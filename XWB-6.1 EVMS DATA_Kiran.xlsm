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 activeTab="5"/>
  </bookViews>
  <sheets>
    <sheet name="Estimates" sheetId="124" r:id="rId1"/>
    <sheet name="EXPEL_DATABASE" sheetId="122" r:id="rId2"/>
    <sheet name="Sheet3" sheetId="23" r:id="rId3"/>
    <sheet name="Sheet2" sheetId="120" r:id="rId4"/>
    <sheet name="Sheet1" sheetId="121" r:id="rId5"/>
    <sheet name="EVM" sheetId="123" r:id="rId6"/>
  </sheets>
  <externalReferences>
    <externalReference r:id="rId7"/>
  </externalReferences>
  <definedNames>
    <definedName name="_xlnm._FilterDatabase" localSheetId="0" hidden="1">Estimates!$A$2:$BC$460</definedName>
    <definedName name="_xlnm._FilterDatabase" localSheetId="1" hidden="1">EXPEL_DATABASE!$A$1:$W$654</definedName>
    <definedName name="Actual_Hours" localSheetId="0">#REF!</definedName>
    <definedName name="Actual_Hours">#REF!</definedName>
    <definedName name="Budget_Hours" localSheetId="0">Estimates!$AT$462</definedName>
    <definedName name="Budget_Hours">#REF!</definedName>
    <definedName name="cApproved">"Architecture Approved"</definedName>
    <definedName name="CATS">#REF!</definedName>
    <definedName name="cDrafted">"Architecture Drafted"</definedName>
    <definedName name="CodeProd">#REF!</definedName>
    <definedName name="ComplexityTable" localSheetId="0">#REF!</definedName>
    <definedName name="ComplexityTable">#REF!</definedName>
    <definedName name="cReviewed">"Architecture Reviewed"</definedName>
    <definedName name="cReworked">"Architecture Reworked"</definedName>
    <definedName name="DraftActions">#REF!</definedName>
    <definedName name="Earned_Value" localSheetId="0">#REF!</definedName>
    <definedName name="Earned_Value">#REF!</definedName>
    <definedName name="ExpelDatabase" localSheetId="0">#REF!</definedName>
    <definedName name="ExpelDatabase">#REF!</definedName>
    <definedName name="HLDesignProd" localSheetId="0">#REF!</definedName>
    <definedName name="HLDesignProd">#REF!</definedName>
    <definedName name="LLDesignProd" localSheetId="0">#REF!</definedName>
    <definedName name="LLDesignProd">#REF!</definedName>
    <definedName name="Planned_Value" localSheetId="0">#REF!</definedName>
    <definedName name="Planned_Value">#REF!</definedName>
    <definedName name="Remaining_Hours" localSheetId="0">Estimates!$AT$463</definedName>
    <definedName name="Remaining_Hours">#REF!</definedName>
    <definedName name="ReReviewActions" localSheetId="0">#REF!</definedName>
    <definedName name="ReReviewActions">#REF!</definedName>
    <definedName name="ReviewActions" localSheetId="0">#REF!</definedName>
    <definedName name="ReviewActions">#REF!</definedName>
    <definedName name="ReworkActions" localSheetId="0">#REF!</definedName>
    <definedName name="ReworkActions">#REF!</definedName>
    <definedName name="Stage" localSheetId="0">#REF!</definedName>
    <definedName name="Stage">#REF!</definedName>
    <definedName name="Z_00585583_5763_4E6E_8BE9_A2957F3B0B40_.wvu.FilterData" localSheetId="0" hidden="1">Estimates!$A$2:$BC$460</definedName>
    <definedName name="Z_00CA5430_6B3A_4E12_B07E_9C9EC9D8F7A7_.wvu.FilterData" localSheetId="0" hidden="1">Estimates!$A$2:$BC$460</definedName>
    <definedName name="Z_02668375_14EE_499B_A8A1_CFA0F3453F57_.wvu.FilterData" localSheetId="0" hidden="1">Estimates!$A$2:$BC$460</definedName>
    <definedName name="Z_02B12058_110B_4DCD_A5EA_5F27400FB028_.wvu.FilterData" localSheetId="0" hidden="1">Estimates!$A$2:$BC$460</definedName>
    <definedName name="Z_073E4016_1145_415C_A40F_9E4FAFB7F6F9_.wvu.FilterData" localSheetId="0" hidden="1">Estimates!$A$2:$BC$460</definedName>
    <definedName name="Z_08FDB3AE_D759_4418_92EA_FF424A75EF3C_.wvu.FilterData" localSheetId="0" hidden="1">Estimates!$A$2:$BC$460</definedName>
    <definedName name="Z_0E4F1AE5_8A5B_4E4F_BC94_E0867EAF2D04_.wvu.FilterData" localSheetId="0" hidden="1">Estimates!$A$2:$BC$460</definedName>
    <definedName name="Z_0FDD0958_5327_4BFA_A249_D4046B3B908E_.wvu.FilterData" localSheetId="0" hidden="1">Estimates!$A$2:$BC$460</definedName>
    <definedName name="Z_1053507D_AB8D_4416_A992_8628E70BD9D6_.wvu.FilterData" localSheetId="0" hidden="1">Estimates!$A$2:$BC$460</definedName>
    <definedName name="Z_11F0A643_03F6_4A9B_A587_984CEF24373C_.wvu.FilterData" localSheetId="0" hidden="1">Estimates!$A$2:$BC$460</definedName>
    <definedName name="Z_151B968A_A632_4D60_97CC_48235AED55BC_.wvu.FilterData" localSheetId="0" hidden="1">Estimates!$A$2:$BC$460</definedName>
    <definedName name="Z_179C3DFD_543F_44EC_B966_131A8C0BD8EC_.wvu.FilterData" localSheetId="0" hidden="1">Estimates!$A$2:$BC$460</definedName>
    <definedName name="Z_18DF35B7_CAA0_4050_BA63_78DA1CA747BE_.wvu.FilterData" localSheetId="0" hidden="1">Estimates!$A$2:$BC$460</definedName>
    <definedName name="Z_195EEB94_5611_43AB_AD4C_189BF5DF63BD_.wvu.FilterData" localSheetId="0" hidden="1">Estimates!$A$2:$BC$460</definedName>
    <definedName name="Z_1A677123_3181_47F1_8D94_D23E42118B34_.wvu.FilterData" localSheetId="0" hidden="1">Estimates!$A$2:$BC$460</definedName>
    <definedName name="Z_1CE7FAA3_375A_44FC_8395_7BB368E304B3_.wvu.FilterData" localSheetId="0" hidden="1">Estimates!$A$2:$BC$460</definedName>
    <definedName name="Z_205619E6_27BE_477C_8F30_B9D83D221447_.wvu.FilterData" localSheetId="0" hidden="1">Estimates!$A$2:$BC$460</definedName>
    <definedName name="Z_24BD079B_697C_411C_9008_788A5796422B_.wvu.FilterData" localSheetId="0" hidden="1">Estimates!$A$2:$BC$460</definedName>
    <definedName name="Z_27A4B667_7EE5_4B37_A36E_7A71AE7736F5_.wvu.FilterData" localSheetId="0" hidden="1">Estimates!$A$2:$BC$460</definedName>
    <definedName name="Z_2843D43C_15A8_41DB_8AAA_3E8B8BBF0B92_.wvu.FilterData" localSheetId="0" hidden="1">Estimates!$A$2:$AR$460</definedName>
    <definedName name="Z_285567D3_CC66_45CD_A6D5_E8F8D0272AF4_.wvu.FilterData" localSheetId="0" hidden="1">Estimates!$A$2:$BC$460</definedName>
    <definedName name="Z_28D79C02_A415_42D9_AF37_1523DA21D815_.wvu.FilterData" localSheetId="0" hidden="1">Estimates!$A$2:$BC$460</definedName>
    <definedName name="Z_2B096DAF_0513_499A_BB3D_6C1B61550EAD_.wvu.FilterData" localSheetId="0" hidden="1">Estimates!$A$2:$BC$460</definedName>
    <definedName name="Z_2C6ABC28_880F_4FC3_AB4C_74CC7AFBB167_.wvu.FilterData" localSheetId="0" hidden="1">Estimates!$A$2:$BC$460</definedName>
    <definedName name="Z_2EDD3601_67EA_4D8B_910E_67CE0A6ECBD5_.wvu.FilterData" localSheetId="0" hidden="1">Estimates!$A$2:$BC$460</definedName>
    <definedName name="Z_2F0F520F_FE73_4F7F_8D69_22C3B19C7199_.wvu.FilterData" localSheetId="0" hidden="1">Estimates!$A$2:$BC$460</definedName>
    <definedName name="Z_30424CC4_8826_483B_A470_2DF1421BF9D1_.wvu.FilterData" localSheetId="0" hidden="1">Estimates!$A$2:$BC$460</definedName>
    <definedName name="Z_3125BE9C_D539_46B3_AB2C_AD44D6D3A43D_.wvu.FilterData" localSheetId="0" hidden="1">Estimates!$A$2:$BC$460</definedName>
    <definedName name="Z_336D4B2A_3FDC_4B06_8744_E8EC053A6C72_.wvu.FilterData" localSheetId="0" hidden="1">Estimates!$A$2:$BC$460</definedName>
    <definedName name="Z_34488582_FC68_47CC_ADEF_620C97FA3BE5_.wvu.FilterData" localSheetId="0" hidden="1">Estimates!$A$2:$BC$460</definedName>
    <definedName name="Z_38797761_B6E7_4EBC_86AC_BCA6FEF8021E_.wvu.FilterData" localSheetId="0" hidden="1">Estimates!$A$2:$BC$460</definedName>
    <definedName name="Z_39344E0E_2CC4_4BC6_A15E_A66B17AEE943_.wvu.FilterData" localSheetId="0" hidden="1">Estimates!$A$2:$BC$460</definedName>
    <definedName name="Z_3ACD5A93_9B0E_40EA_8179_EDF0714A0F5F_.wvu.FilterData" localSheetId="0" hidden="1">Estimates!$A$2:$BC$460</definedName>
    <definedName name="Z_440820DD_D35F_4284_A020_75AFCB09A713_.wvu.FilterData" localSheetId="0" hidden="1">Estimates!$A$2:$BC$460</definedName>
    <definedName name="Z_4C910842_2C9A_49B1_8859_E7171BF1B407_.wvu.FilterData" localSheetId="0" hidden="1">Estimates!$A$2:$BC$460</definedName>
    <definedName name="Z_4D08A3CF_1088_461D_8FD0_F77F7A12F47A_.wvu.FilterData" localSheetId="0" hidden="1">Estimates!$A$2:$BC$460</definedName>
    <definedName name="Z_519FF1E7_076F_47C2_91B9_C17D2E1B6520_.wvu.FilterData" localSheetId="0" hidden="1">Estimates!$A$2:$BC$460</definedName>
    <definedName name="Z_55F258A9_3656_464A_8209_65541A4A9294_.wvu.FilterData" localSheetId="0" hidden="1">Estimates!$A$2:$BC$460</definedName>
    <definedName name="Z_5AC86898_99C0_40C8_A183_7BCAFD4A38C0_.wvu.FilterData" localSheetId="0" hidden="1">Estimates!$A$2:$BC$460</definedName>
    <definedName name="Z_5B263600_835E_44BD_B687_603D70FECA3D_.wvu.FilterData" localSheetId="0" hidden="1">Estimates!$A$2:$BC$460</definedName>
    <definedName name="Z_5DC52079_D56B_4051_B322_996AB6FD6627_.wvu.FilterData" localSheetId="0" hidden="1">Estimates!$A$2:$BC$460</definedName>
    <definedName name="Z_653F5373_3423_4857_B839_026BFFD3E0C5_.wvu.FilterData" localSheetId="0" hidden="1">Estimates!$A$2:$AR$460</definedName>
    <definedName name="Z_6568F72F_D597_4229_B333_125FDE9654F7_.wvu.FilterData" localSheetId="0" hidden="1">Estimates!$A$2:$BC$460</definedName>
    <definedName name="Z_6C263B97_64ED_4CE6_9B05_42BE2811A349_.wvu.FilterData" localSheetId="0" hidden="1">Estimates!$A$2:$BC$460</definedName>
    <definedName name="Z_6F5FAC45_5546_499A_A7F9_2D1EC01BFF6F_.wvu.FilterData" localSheetId="0" hidden="1">Estimates!$A$2:$BC$460</definedName>
    <definedName name="Z_7A8853D3_E047_48D1_9793_9EFDEF0EEDE4_.wvu.FilterData" localSheetId="0" hidden="1">Estimates!$A$2:$BC$460</definedName>
    <definedName name="Z_80A4C2A8_C06A_4479_9387_FA902A5ABA84_.wvu.FilterData" localSheetId="0" hidden="1">Estimates!$A$2:$BC$460</definedName>
    <definedName name="Z_83E26134_8071_4B52_B9C2_8B5396DF70B4_.wvu.FilterData" localSheetId="0" hidden="1">Estimates!$A$2:$BC$460</definedName>
    <definedName name="Z_840FED42_BEAD_40B5_87A2_918C1E6D4128_.wvu.FilterData" localSheetId="0" hidden="1">Estimates!$A$2:$BC$460</definedName>
    <definedName name="Z_88A927A2_C15B_4798_B705_9A4C3740520B_.wvu.FilterData" localSheetId="0" hidden="1">Estimates!$A$2:$BC$460</definedName>
    <definedName name="Z_8AEE08A2_F73E_41EF_8662_F43F5532F7EC_.wvu.FilterData" localSheetId="0" hidden="1">Estimates!$A$2:$AR$460</definedName>
    <definedName name="Z_90088769_7D29_4324_882D_1F352DFBE762_.wvu.FilterData" localSheetId="0" hidden="1">Estimates!$A$2:$BC$460</definedName>
    <definedName name="Z_94202DE1_E113_4D8D_96A4_4561FB59780B_.wvu.FilterData" localSheetId="0" hidden="1">Estimates!$A$2:$BC$460</definedName>
    <definedName name="Z_949F8C7F_DA00_479D_BDE6_6166B149A403_.wvu.FilterData" localSheetId="0" hidden="1">Estimates!$A$2:$BC$460</definedName>
    <definedName name="Z_97AAAFE3_C681_4E27_A277_F09D7DA8C2DD_.wvu.FilterData" localSheetId="0" hidden="1">Estimates!$A$2:$BC$460</definedName>
    <definedName name="Z_999D8AAC_C53E_4106_83D2_C9E986396FD9_.wvu.FilterData" localSheetId="0" hidden="1">Estimates!$A$2:$BC$460</definedName>
    <definedName name="Z_9AFDC459_5911_4A65_BA30_55870CCEC21D_.wvu.FilterData" localSheetId="0" hidden="1">Estimates!$A$2:$BC$460</definedName>
    <definedName name="Z_9C0FECB6_0701_4CC9_8224_D04A63FFA855_.wvu.FilterData" localSheetId="0" hidden="1">Estimates!$A$2:$BC$460</definedName>
    <definedName name="Z_9D72E9D6_9DB4_482E_B9DD_F58734D01B5E_.wvu.FilterData" localSheetId="0" hidden="1">Estimates!$A$2:$BC$460</definedName>
    <definedName name="Z_A0D2DF67_E1B1_4DA1_9AC1_3F9A546EDBAC_.wvu.FilterData" localSheetId="0" hidden="1">Estimates!$A$2:$BC$460</definedName>
    <definedName name="Z_A71D34BF_4843_48AF_BE8E_7F6F7429B3A9_.wvu.FilterData" localSheetId="0" hidden="1">Estimates!$A$2:$BC$460</definedName>
    <definedName name="Z_A779676E_2DE4_4B43_BC39_AEC5C199B098_.wvu.FilterData" localSheetId="0" hidden="1">Estimates!$A$2:$BC$460</definedName>
    <definedName name="Z_A999D12F_2B2E_4096_BB99_71021183E0B4_.wvu.FilterData" localSheetId="0" hidden="1">Estimates!$A$2:$BC$460</definedName>
    <definedName name="Z_AE09ED29_F6F7_475A_B5BB_3958EA691268_.wvu.FilterData" localSheetId="0" hidden="1">Estimates!$A$2:$BC$460</definedName>
    <definedName name="Z_B0A275E6_A927_469D_A668_DC597A053ECA_.wvu.FilterData" localSheetId="0" hidden="1">Estimates!$A$2:$BC$460</definedName>
    <definedName name="Z_B25C0761_BDC6_44DE_BC09_A587D4005716_.wvu.FilterData" localSheetId="0" hidden="1">Estimates!$A$2:$BC$460</definedName>
    <definedName name="Z_B3C29866_3474_43EA_99AD_F394C9416B2B_.wvu.FilterData" localSheetId="0" hidden="1">Estimates!$A$2:$BC$460</definedName>
    <definedName name="Z_B7424DFF_9768_4BA8_BDAE_4777FB6237BE_.wvu.FilterData" localSheetId="0" hidden="1">Estimates!$A$2:$BC$460</definedName>
    <definedName name="Z_B83B79D9_617A_4F50_8CCC_C97938364272_.wvu.FilterData" localSheetId="0" hidden="1">Estimates!$A$2:$BC$460</definedName>
    <definedName name="Z_BC89DC8A_F93A_4EB3_ACCA_03228A52DC73_.wvu.FilterData" localSheetId="0" hidden="1">Estimates!$A$2:$BC$460</definedName>
    <definedName name="Z_BCA45324_2CA3_489E_BB55_957598475AA5_.wvu.FilterData" localSheetId="0" hidden="1">Estimates!$A$2:$BC$460</definedName>
    <definedName name="Z_BF86A2ED_DA54_4E7F_9132_2CCCC0026C49_.wvu.FilterData" localSheetId="0" hidden="1">Estimates!$A$2:$BC$460</definedName>
    <definedName name="Z_BFE285D7_067E_4802_A267_8E7CA36A08B9_.wvu.FilterData" localSheetId="0" hidden="1">Estimates!$A$2:$BC$460</definedName>
    <definedName name="Z_C109B264_67B5_4AC9_A931_02D1609E1F40_.wvu.FilterData" localSheetId="0" hidden="1">Estimates!$A$2:$BC$460</definedName>
    <definedName name="Z_C86AD4D7_9E8D_47DB_A1F4_C303F6E9F37B_.wvu.FilterData" localSheetId="0" hidden="1">Estimates!$A$2:$BC$460</definedName>
    <definedName name="Z_C971FDE6_74A8_4EFE_9B9E_528CE950E287_.wvu.FilterData" localSheetId="0" hidden="1">Estimates!$A$2:$BC$460</definedName>
    <definedName name="Z_D610A0E1_F9A9_4C9F_867A_9AA8DA5806C3_.wvu.FilterData" localSheetId="0" hidden="1">Estimates!$A$2:$BC$460</definedName>
    <definedName name="Z_DD3C4055_6E9F_4337_AF3C_EAB14138E2FC_.wvu.FilterData" localSheetId="0" hidden="1">Estimates!$A$2:$BC$460</definedName>
    <definedName name="Z_DE76E38F_A1D1_4A3E_9C90_F4B6007A1049_.wvu.FilterData" localSheetId="0" hidden="1">Estimates!$A$2:$BC$460</definedName>
    <definedName name="Z_E1C450DA_5A25_49EE_AC15_82D55BC93335_.wvu.FilterData" localSheetId="0" hidden="1">Estimates!$A$2:$BC$460</definedName>
    <definedName name="Z_E8B30110_1132_4597_87AA_506263477060_.wvu.FilterData" localSheetId="0" hidden="1">Estimates!$A$2:$BC$460</definedName>
    <definedName name="Z_EBAB40A3_33F9_48DD_A4C5_74D8EC070E4C_.wvu.FilterData" localSheetId="0" hidden="1">Estimates!$A$2:$BC$460</definedName>
    <definedName name="Z_F320C882_6208_44BF_AD76_CAB3202B3D93_.wvu.FilterData" localSheetId="0" hidden="1">Estimates!$A$2:$AR$460</definedName>
    <definedName name="Z_F5D2243B_2B21_46CD_8452_701C311A56C5_.wvu.FilterData" localSheetId="0" hidden="1">Estimates!$A$2:$BC$460</definedName>
    <definedName name="Z_FAA25FCE_18C5_403C_9C68_9D1F88B3F7EB_.wvu.FilterData" localSheetId="0" hidden="1">Estimates!$A$2:$BC$460</definedName>
    <definedName name="Z_FD20F2C5_C66E_4494_8586_3033804DE88E_.wvu.FilterData" localSheetId="0" hidden="1">Estimates!$A$2:$BC$460</definedName>
  </definedNames>
  <calcPr calcId="145621"/>
</workbook>
</file>

<file path=xl/calcChain.xml><?xml version="1.0" encoding="utf-8"?>
<calcChain xmlns="http://schemas.openxmlformats.org/spreadsheetml/2006/main">
  <c r="AT34" i="121" l="1"/>
  <c r="AT33" i="121"/>
  <c r="AR31" i="121"/>
  <c r="AP31" i="121"/>
  <c r="AN31" i="121"/>
  <c r="AL31" i="121"/>
  <c r="AH31" i="121"/>
  <c r="AF31" i="121"/>
  <c r="AD31" i="121"/>
  <c r="AB31" i="121"/>
  <c r="X31" i="121"/>
  <c r="V31" i="121"/>
  <c r="T31" i="121"/>
  <c r="R31" i="121"/>
  <c r="AT31" i="121" s="1"/>
  <c r="AR30" i="121"/>
  <c r="AP30" i="121"/>
  <c r="AN30" i="121"/>
  <c r="AL30" i="121"/>
  <c r="AH30" i="121"/>
  <c r="AF30" i="121"/>
  <c r="AD30" i="121"/>
  <c r="AB30" i="121"/>
  <c r="X30" i="121"/>
  <c r="V30" i="121"/>
  <c r="T30" i="121"/>
  <c r="R30" i="121"/>
  <c r="AT30" i="121" s="1"/>
  <c r="E30" i="121"/>
  <c r="AS28" i="121"/>
  <c r="AC28" i="121"/>
  <c r="AD28" i="121" s="1"/>
  <c r="P28" i="121"/>
  <c r="K28" i="121"/>
  <c r="AJ28" i="121" s="1"/>
  <c r="J28" i="121"/>
  <c r="I28" i="121"/>
  <c r="H28" i="121"/>
  <c r="Z28" i="121" s="1"/>
  <c r="G28" i="121"/>
  <c r="F28" i="121"/>
  <c r="O28" i="121" s="1"/>
  <c r="E28" i="121"/>
  <c r="AS27" i="121"/>
  <c r="AJ27" i="121"/>
  <c r="K27" i="121"/>
  <c r="J27" i="121"/>
  <c r="I27" i="121"/>
  <c r="P27" i="121" s="1"/>
  <c r="H27" i="121"/>
  <c r="Z27" i="121" s="1"/>
  <c r="G27" i="121"/>
  <c r="F27" i="121"/>
  <c r="E27" i="121"/>
  <c r="AS26" i="121"/>
  <c r="Z26" i="121"/>
  <c r="K26" i="121"/>
  <c r="J26" i="121"/>
  <c r="I26" i="121"/>
  <c r="P26" i="121" s="1"/>
  <c r="H26" i="121"/>
  <c r="G26" i="121"/>
  <c r="F26" i="121"/>
  <c r="E26" i="121"/>
  <c r="AS25" i="121"/>
  <c r="P25" i="121"/>
  <c r="K25" i="121"/>
  <c r="AJ25" i="121" s="1"/>
  <c r="J25" i="121"/>
  <c r="I25" i="121"/>
  <c r="H25" i="121"/>
  <c r="Z25" i="121" s="1"/>
  <c r="G25" i="121"/>
  <c r="F25" i="121"/>
  <c r="O25" i="121" s="1"/>
  <c r="E25" i="121"/>
  <c r="AS24" i="121"/>
  <c r="K24" i="121"/>
  <c r="AJ24" i="121" s="1"/>
  <c r="J24" i="121"/>
  <c r="I24" i="121"/>
  <c r="H24" i="121"/>
  <c r="Z24" i="121" s="1"/>
  <c r="G24" i="121"/>
  <c r="F24" i="121"/>
  <c r="E24" i="121"/>
  <c r="AS23" i="121"/>
  <c r="K23" i="121"/>
  <c r="J23" i="121"/>
  <c r="J1" i="121" s="1"/>
  <c r="I23" i="121"/>
  <c r="H23" i="121"/>
  <c r="G23" i="121"/>
  <c r="F23" i="121"/>
  <c r="O23" i="121" s="1"/>
  <c r="E23" i="121"/>
  <c r="AS22" i="121"/>
  <c r="AC22" i="121"/>
  <c r="AD22" i="121" s="1"/>
  <c r="P22" i="121"/>
  <c r="K22" i="121"/>
  <c r="AJ22" i="121" s="1"/>
  <c r="J22" i="121"/>
  <c r="I22" i="121"/>
  <c r="H22" i="121"/>
  <c r="Z22" i="121" s="1"/>
  <c r="G22" i="121"/>
  <c r="F22" i="121"/>
  <c r="O22" i="121" s="1"/>
  <c r="E22" i="121"/>
  <c r="AS21" i="121"/>
  <c r="P21" i="121"/>
  <c r="K21" i="121"/>
  <c r="AJ21" i="121" s="1"/>
  <c r="J21" i="121"/>
  <c r="I21" i="121"/>
  <c r="H21" i="121"/>
  <c r="Z21" i="121" s="1"/>
  <c r="AE21" i="121" s="1"/>
  <c r="AF21" i="121" s="1"/>
  <c r="G21" i="121"/>
  <c r="F21" i="121"/>
  <c r="O21" i="121" s="1"/>
  <c r="E21" i="121"/>
  <c r="AS20" i="121"/>
  <c r="AE20" i="121"/>
  <c r="AF20" i="121" s="1"/>
  <c r="AA20" i="121"/>
  <c r="AB20" i="121" s="1"/>
  <c r="K20" i="121"/>
  <c r="AJ20" i="121" s="1"/>
  <c r="J20" i="121"/>
  <c r="I20" i="121"/>
  <c r="P20" i="121" s="1"/>
  <c r="H20" i="121"/>
  <c r="Z20" i="121" s="1"/>
  <c r="AG20" i="121" s="1"/>
  <c r="AH20" i="121" s="1"/>
  <c r="G20" i="121"/>
  <c r="F20" i="121"/>
  <c r="E20" i="121"/>
  <c r="AS19" i="121"/>
  <c r="P19" i="121"/>
  <c r="K19" i="121"/>
  <c r="AJ19" i="121" s="1"/>
  <c r="J19" i="121"/>
  <c r="I19" i="121"/>
  <c r="H19" i="121"/>
  <c r="Z19" i="121" s="1"/>
  <c r="AE19" i="121" s="1"/>
  <c r="AF19" i="121" s="1"/>
  <c r="G19" i="121"/>
  <c r="F19" i="121"/>
  <c r="O19" i="121" s="1"/>
  <c r="E19" i="121"/>
  <c r="AS18" i="121"/>
  <c r="K18" i="121"/>
  <c r="AJ18" i="121" s="1"/>
  <c r="J18" i="121"/>
  <c r="I18" i="121"/>
  <c r="P18" i="121" s="1"/>
  <c r="H18" i="121"/>
  <c r="Z18" i="121" s="1"/>
  <c r="G18" i="121"/>
  <c r="F18" i="121"/>
  <c r="E18" i="121"/>
  <c r="AS17" i="121"/>
  <c r="P17" i="121"/>
  <c r="K17" i="121"/>
  <c r="AJ17" i="121" s="1"/>
  <c r="J17" i="121"/>
  <c r="I17" i="121"/>
  <c r="H17" i="121"/>
  <c r="Z17" i="121" s="1"/>
  <c r="AE17" i="121" s="1"/>
  <c r="AF17" i="121" s="1"/>
  <c r="G17" i="121"/>
  <c r="F17" i="121"/>
  <c r="O17" i="121" s="1"/>
  <c r="E17" i="121"/>
  <c r="AS16" i="121"/>
  <c r="AE16" i="121"/>
  <c r="AF16" i="121" s="1"/>
  <c r="AA16" i="121"/>
  <c r="AB16" i="121" s="1"/>
  <c r="K16" i="121"/>
  <c r="AJ16" i="121" s="1"/>
  <c r="J16" i="121"/>
  <c r="I16" i="121"/>
  <c r="P16" i="121" s="1"/>
  <c r="H16" i="121"/>
  <c r="Z16" i="121" s="1"/>
  <c r="AG16" i="121" s="1"/>
  <c r="AH16" i="121" s="1"/>
  <c r="G16" i="121"/>
  <c r="F16" i="121"/>
  <c r="E16" i="121"/>
  <c r="AS15" i="121"/>
  <c r="P15" i="121"/>
  <c r="K15" i="121"/>
  <c r="AJ15" i="121" s="1"/>
  <c r="J15" i="121"/>
  <c r="I15" i="121"/>
  <c r="H15" i="121"/>
  <c r="Z15" i="121" s="1"/>
  <c r="G15" i="121"/>
  <c r="F15" i="121"/>
  <c r="O15" i="121" s="1"/>
  <c r="E15" i="121"/>
  <c r="AS14" i="121"/>
  <c r="K14" i="121"/>
  <c r="J14" i="121"/>
  <c r="I14" i="121"/>
  <c r="P14" i="121" s="1"/>
  <c r="H14" i="121"/>
  <c r="G14" i="121"/>
  <c r="F14" i="121"/>
  <c r="E14" i="121"/>
  <c r="AS13" i="121"/>
  <c r="Z13" i="121"/>
  <c r="K13" i="121"/>
  <c r="J13" i="121"/>
  <c r="I13" i="121"/>
  <c r="P13" i="121" s="1"/>
  <c r="H13" i="121"/>
  <c r="G13" i="121"/>
  <c r="F13" i="121"/>
  <c r="E13" i="121"/>
  <c r="AS12" i="121"/>
  <c r="Z12" i="121"/>
  <c r="K12" i="121"/>
  <c r="J12" i="121"/>
  <c r="I12" i="121"/>
  <c r="P12" i="121" s="1"/>
  <c r="H12" i="121"/>
  <c r="G12" i="121"/>
  <c r="F12" i="121"/>
  <c r="E12" i="121"/>
  <c r="AS11" i="121"/>
  <c r="P11" i="121"/>
  <c r="K11" i="121"/>
  <c r="AJ11" i="121" s="1"/>
  <c r="J11" i="121"/>
  <c r="I11" i="121"/>
  <c r="H11" i="121"/>
  <c r="Z11" i="121" s="1"/>
  <c r="AE11" i="121" s="1"/>
  <c r="AF11" i="121" s="1"/>
  <c r="G11" i="121"/>
  <c r="F11" i="121"/>
  <c r="O11" i="121" s="1"/>
  <c r="E11" i="121"/>
  <c r="AS10" i="121"/>
  <c r="K10" i="121"/>
  <c r="AJ10" i="121" s="1"/>
  <c r="J10" i="121"/>
  <c r="I10" i="121"/>
  <c r="P10" i="121" s="1"/>
  <c r="H10" i="121"/>
  <c r="Z10" i="121" s="1"/>
  <c r="G10" i="121"/>
  <c r="F10" i="121"/>
  <c r="E10" i="121"/>
  <c r="AS9" i="121"/>
  <c r="P9" i="121"/>
  <c r="K9" i="121"/>
  <c r="AJ9" i="121" s="1"/>
  <c r="J9" i="121"/>
  <c r="I9" i="121"/>
  <c r="H9" i="121"/>
  <c r="Z9" i="121" s="1"/>
  <c r="AE9" i="121" s="1"/>
  <c r="AF9" i="121" s="1"/>
  <c r="G9" i="121"/>
  <c r="F9" i="121"/>
  <c r="O9" i="121" s="1"/>
  <c r="E9" i="121"/>
  <c r="AS8" i="121"/>
  <c r="K8" i="121"/>
  <c r="K1" i="121" s="1"/>
  <c r="J8" i="121"/>
  <c r="I8" i="121"/>
  <c r="P8" i="121" s="1"/>
  <c r="H8" i="121"/>
  <c r="Z8" i="121" s="1"/>
  <c r="G8" i="121"/>
  <c r="G1" i="121" s="1"/>
  <c r="F8" i="121"/>
  <c r="E8" i="121"/>
  <c r="AS7" i="121"/>
  <c r="K7" i="121"/>
  <c r="AJ7" i="121" s="1"/>
  <c r="J7" i="121"/>
  <c r="I7" i="121"/>
  <c r="P7" i="121" s="1"/>
  <c r="H7" i="121"/>
  <c r="Z7" i="121" s="1"/>
  <c r="G7" i="121"/>
  <c r="F7" i="121"/>
  <c r="E7" i="121"/>
  <c r="AS6" i="121"/>
  <c r="K6" i="121"/>
  <c r="AJ6" i="121" s="1"/>
  <c r="J6" i="121"/>
  <c r="I6" i="121"/>
  <c r="P6" i="121" s="1"/>
  <c r="H6" i="121"/>
  <c r="Z6" i="121" s="1"/>
  <c r="G6" i="121"/>
  <c r="F6" i="121"/>
  <c r="E6" i="121"/>
  <c r="AS5" i="121"/>
  <c r="P5" i="121"/>
  <c r="K5" i="121"/>
  <c r="AJ5" i="121" s="1"/>
  <c r="J5" i="121"/>
  <c r="I5" i="121"/>
  <c r="H5" i="121"/>
  <c r="Z5" i="121" s="1"/>
  <c r="AE5" i="121" s="1"/>
  <c r="AF5" i="121" s="1"/>
  <c r="G5" i="121"/>
  <c r="F5" i="121"/>
  <c r="O5" i="121" s="1"/>
  <c r="E5" i="121"/>
  <c r="AS4" i="121"/>
  <c r="AE4" i="121"/>
  <c r="AF4" i="121" s="1"/>
  <c r="AA4" i="121"/>
  <c r="AB4" i="121" s="1"/>
  <c r="K4" i="121"/>
  <c r="AJ4" i="121" s="1"/>
  <c r="J4" i="121"/>
  <c r="I4" i="121"/>
  <c r="P4" i="121" s="1"/>
  <c r="H4" i="121"/>
  <c r="Z4" i="121" s="1"/>
  <c r="AG4" i="121" s="1"/>
  <c r="AH4" i="121" s="1"/>
  <c r="G4" i="121"/>
  <c r="F4" i="121"/>
  <c r="E4" i="121"/>
  <c r="AS3" i="121"/>
  <c r="P3" i="121"/>
  <c r="K3" i="121"/>
  <c r="AJ3" i="121" s="1"/>
  <c r="J3" i="121"/>
  <c r="I3" i="121"/>
  <c r="H3" i="121"/>
  <c r="Z3" i="121" s="1"/>
  <c r="AE3" i="121" s="1"/>
  <c r="AF3" i="121" s="1"/>
  <c r="G3" i="121"/>
  <c r="F3" i="121"/>
  <c r="O3" i="121" s="1"/>
  <c r="E3" i="121"/>
  <c r="I1" i="121"/>
  <c r="AT466" i="124"/>
  <c r="AT465" i="124"/>
  <c r="AS460" i="124"/>
  <c r="K460" i="124"/>
  <c r="J460" i="124"/>
  <c r="I460" i="124"/>
  <c r="H460" i="124"/>
  <c r="AJ460" i="124" s="1"/>
  <c r="G460" i="124"/>
  <c r="F460" i="124"/>
  <c r="O460" i="124" s="1"/>
  <c r="E460" i="124"/>
  <c r="AS459" i="124"/>
  <c r="K459" i="124"/>
  <c r="J459" i="124"/>
  <c r="I459" i="124"/>
  <c r="H459" i="124"/>
  <c r="AJ459" i="124" s="1"/>
  <c r="G459" i="124"/>
  <c r="F459" i="124"/>
  <c r="O459" i="124" s="1"/>
  <c r="E459" i="124"/>
  <c r="AS458" i="124"/>
  <c r="K458" i="124"/>
  <c r="J458" i="124"/>
  <c r="I458" i="124"/>
  <c r="H458" i="124"/>
  <c r="AJ458" i="124" s="1"/>
  <c r="G458" i="124"/>
  <c r="F458" i="124"/>
  <c r="O458" i="124" s="1"/>
  <c r="E458" i="124"/>
  <c r="AS457" i="124"/>
  <c r="K457" i="124"/>
  <c r="J457" i="124"/>
  <c r="I457" i="124"/>
  <c r="H457" i="124"/>
  <c r="G457" i="124"/>
  <c r="F457" i="124"/>
  <c r="O457" i="124" s="1"/>
  <c r="E457" i="124"/>
  <c r="AS456" i="124"/>
  <c r="K456" i="124"/>
  <c r="J456" i="124"/>
  <c r="I456" i="124"/>
  <c r="H456" i="124"/>
  <c r="AJ456" i="124" s="1"/>
  <c r="G456" i="124"/>
  <c r="F456" i="124"/>
  <c r="O456" i="124" s="1"/>
  <c r="E456" i="124"/>
  <c r="AS455" i="124"/>
  <c r="K455" i="124"/>
  <c r="J455" i="124"/>
  <c r="I455" i="124"/>
  <c r="H455" i="124"/>
  <c r="AJ455" i="124" s="1"/>
  <c r="G455" i="124"/>
  <c r="F455" i="124"/>
  <c r="O455" i="124" s="1"/>
  <c r="E455" i="124"/>
  <c r="AS454" i="124"/>
  <c r="K454" i="124"/>
  <c r="J454" i="124"/>
  <c r="I454" i="124"/>
  <c r="H454" i="124"/>
  <c r="AJ454" i="124" s="1"/>
  <c r="G454" i="124"/>
  <c r="F454" i="124"/>
  <c r="O454" i="124" s="1"/>
  <c r="E454" i="124"/>
  <c r="AS453" i="124"/>
  <c r="K453" i="124"/>
  <c r="J453" i="124"/>
  <c r="I453" i="124"/>
  <c r="H453" i="124"/>
  <c r="AJ453" i="124" s="1"/>
  <c r="G453" i="124"/>
  <c r="F453" i="124"/>
  <c r="O453" i="124" s="1"/>
  <c r="E453" i="124"/>
  <c r="AS452" i="124"/>
  <c r="K452" i="124"/>
  <c r="J452" i="124"/>
  <c r="I452" i="124"/>
  <c r="H452" i="124"/>
  <c r="AJ452" i="124" s="1"/>
  <c r="G452" i="124"/>
  <c r="F452" i="124"/>
  <c r="O452" i="124" s="1"/>
  <c r="E452" i="124"/>
  <c r="AS451" i="124"/>
  <c r="K451" i="124"/>
  <c r="J451" i="124"/>
  <c r="I451" i="124"/>
  <c r="H451" i="124"/>
  <c r="G451" i="124"/>
  <c r="F451" i="124"/>
  <c r="O451" i="124" s="1"/>
  <c r="E451" i="124"/>
  <c r="AS450" i="124"/>
  <c r="K450" i="124"/>
  <c r="J450" i="124"/>
  <c r="I450" i="124"/>
  <c r="H450" i="124"/>
  <c r="Z450" i="124" s="1"/>
  <c r="G450" i="124"/>
  <c r="F450" i="124"/>
  <c r="E450" i="124"/>
  <c r="AS449" i="124"/>
  <c r="K449" i="124"/>
  <c r="J449" i="124"/>
  <c r="I449" i="124"/>
  <c r="H449" i="124"/>
  <c r="Z449" i="124" s="1"/>
  <c r="G449" i="124"/>
  <c r="F449" i="124"/>
  <c r="E449" i="124"/>
  <c r="AS448" i="124"/>
  <c r="K448" i="124"/>
  <c r="AJ448" i="124" s="1"/>
  <c r="J448" i="124"/>
  <c r="I448" i="124"/>
  <c r="P448" i="124" s="1"/>
  <c r="H448" i="124"/>
  <c r="Z448" i="124" s="1"/>
  <c r="G448" i="124"/>
  <c r="F448" i="124"/>
  <c r="E448" i="124"/>
  <c r="AS447" i="124"/>
  <c r="K447" i="124"/>
  <c r="AJ447" i="124" s="1"/>
  <c r="J447" i="124"/>
  <c r="I447" i="124"/>
  <c r="P447" i="124" s="1"/>
  <c r="H447" i="124"/>
  <c r="Z447" i="124" s="1"/>
  <c r="G447" i="124"/>
  <c r="F447" i="124"/>
  <c r="E447" i="124"/>
  <c r="AS446" i="124"/>
  <c r="K446" i="124"/>
  <c r="AJ446" i="124" s="1"/>
  <c r="J446" i="124"/>
  <c r="I446" i="124"/>
  <c r="P446" i="124" s="1"/>
  <c r="H446" i="124"/>
  <c r="Z446" i="124" s="1"/>
  <c r="G446" i="124"/>
  <c r="F446" i="124"/>
  <c r="E446" i="124"/>
  <c r="AS445" i="124"/>
  <c r="K445" i="124"/>
  <c r="AJ445" i="124" s="1"/>
  <c r="J445" i="124"/>
  <c r="I445" i="124"/>
  <c r="P445" i="124" s="1"/>
  <c r="H445" i="124"/>
  <c r="Z445" i="124" s="1"/>
  <c r="G445" i="124"/>
  <c r="F445" i="124"/>
  <c r="E445" i="124"/>
  <c r="AS444" i="124"/>
  <c r="K444" i="124"/>
  <c r="AJ444" i="124" s="1"/>
  <c r="J444" i="124"/>
  <c r="I444" i="124"/>
  <c r="P444" i="124" s="1"/>
  <c r="H444" i="124"/>
  <c r="Z444" i="124" s="1"/>
  <c r="AG444" i="124" s="1"/>
  <c r="AH444" i="124" s="1"/>
  <c r="G444" i="124"/>
  <c r="F444" i="124"/>
  <c r="E444" i="124"/>
  <c r="AS443" i="124"/>
  <c r="K443" i="124"/>
  <c r="AJ443" i="124" s="1"/>
  <c r="J443" i="124"/>
  <c r="I443" i="124"/>
  <c r="P443" i="124" s="1"/>
  <c r="H443" i="124"/>
  <c r="Z443" i="124" s="1"/>
  <c r="AE443" i="124" s="1"/>
  <c r="AF443" i="124" s="1"/>
  <c r="G443" i="124"/>
  <c r="F443" i="124"/>
  <c r="E443" i="124"/>
  <c r="AS442" i="124"/>
  <c r="K442" i="124"/>
  <c r="AJ442" i="124" s="1"/>
  <c r="J442" i="124"/>
  <c r="I442" i="124"/>
  <c r="P442" i="124" s="1"/>
  <c r="H442" i="124"/>
  <c r="Z442" i="124" s="1"/>
  <c r="AG442" i="124" s="1"/>
  <c r="AH442" i="124" s="1"/>
  <c r="G442" i="124"/>
  <c r="F442" i="124"/>
  <c r="E442" i="124"/>
  <c r="AS441" i="124"/>
  <c r="AG441" i="124"/>
  <c r="AH441" i="124" s="1"/>
  <c r="K441" i="124"/>
  <c r="J441" i="124"/>
  <c r="I441" i="124"/>
  <c r="P441" i="124" s="1"/>
  <c r="H441" i="124"/>
  <c r="Z441" i="124" s="1"/>
  <c r="AE441" i="124" s="1"/>
  <c r="AF441" i="124" s="1"/>
  <c r="G441" i="124"/>
  <c r="F441" i="124"/>
  <c r="E441" i="124"/>
  <c r="AS440" i="124"/>
  <c r="K440" i="124"/>
  <c r="AJ440" i="124" s="1"/>
  <c r="J440" i="124"/>
  <c r="I440" i="124"/>
  <c r="P440" i="124" s="1"/>
  <c r="H440" i="124"/>
  <c r="Z440" i="124" s="1"/>
  <c r="G440" i="124"/>
  <c r="F440" i="124"/>
  <c r="E440" i="124"/>
  <c r="AS439" i="124"/>
  <c r="K439" i="124"/>
  <c r="J439" i="124"/>
  <c r="I439" i="124"/>
  <c r="H439" i="124"/>
  <c r="Z439" i="124" s="1"/>
  <c r="G439" i="124"/>
  <c r="F439" i="124"/>
  <c r="E439" i="124"/>
  <c r="AS438" i="124"/>
  <c r="K438" i="124"/>
  <c r="J438" i="124"/>
  <c r="I438" i="124"/>
  <c r="H438" i="124"/>
  <c r="Z438" i="124" s="1"/>
  <c r="G438" i="124"/>
  <c r="F438" i="124"/>
  <c r="E438" i="124"/>
  <c r="AS437" i="124"/>
  <c r="K437" i="124"/>
  <c r="J437" i="124"/>
  <c r="I437" i="124"/>
  <c r="H437" i="124"/>
  <c r="Z437" i="124" s="1"/>
  <c r="G437" i="124"/>
  <c r="F437" i="124"/>
  <c r="E437" i="124"/>
  <c r="AS436" i="124"/>
  <c r="K436" i="124"/>
  <c r="J436" i="124"/>
  <c r="I436" i="124"/>
  <c r="H436" i="124"/>
  <c r="Z436" i="124" s="1"/>
  <c r="G436" i="124"/>
  <c r="F436" i="124"/>
  <c r="E436" i="124"/>
  <c r="AS435" i="124"/>
  <c r="K435" i="124"/>
  <c r="J435" i="124"/>
  <c r="I435" i="124"/>
  <c r="H435" i="124"/>
  <c r="G435" i="124"/>
  <c r="F435" i="124"/>
  <c r="E435" i="124"/>
  <c r="AS434" i="124"/>
  <c r="K434" i="124"/>
  <c r="J434" i="124"/>
  <c r="I434" i="124"/>
  <c r="H434" i="124"/>
  <c r="Z434" i="124" s="1"/>
  <c r="G434" i="124"/>
  <c r="F434" i="124"/>
  <c r="O434" i="124" s="1"/>
  <c r="E434" i="124"/>
  <c r="AS433" i="124"/>
  <c r="K433" i="124"/>
  <c r="J433" i="124"/>
  <c r="I433" i="124"/>
  <c r="H433" i="124"/>
  <c r="AJ433" i="124" s="1"/>
  <c r="AQ433" i="124" s="1"/>
  <c r="AR433" i="124" s="1"/>
  <c r="G433" i="124"/>
  <c r="F433" i="124"/>
  <c r="O433" i="124" s="1"/>
  <c r="E433" i="124"/>
  <c r="AS432" i="124"/>
  <c r="K432" i="124"/>
  <c r="J432" i="124"/>
  <c r="I432" i="124"/>
  <c r="H432" i="124"/>
  <c r="Z432" i="124" s="1"/>
  <c r="G432" i="124"/>
  <c r="F432" i="124"/>
  <c r="O432" i="124" s="1"/>
  <c r="E432" i="124"/>
  <c r="AS431" i="124"/>
  <c r="K431" i="124"/>
  <c r="J431" i="124"/>
  <c r="I431" i="124"/>
  <c r="H431" i="124"/>
  <c r="Z431" i="124" s="1"/>
  <c r="G431" i="124"/>
  <c r="F431" i="124"/>
  <c r="O431" i="124" s="1"/>
  <c r="E431" i="124"/>
  <c r="AS430" i="124"/>
  <c r="K430" i="124"/>
  <c r="J430" i="124"/>
  <c r="I430" i="124"/>
  <c r="H430" i="124"/>
  <c r="Z430" i="124" s="1"/>
  <c r="G430" i="124"/>
  <c r="F430" i="124"/>
  <c r="O430" i="124" s="1"/>
  <c r="E430" i="124"/>
  <c r="AS429" i="124"/>
  <c r="K429" i="124"/>
  <c r="J429" i="124"/>
  <c r="I429" i="124"/>
  <c r="H429" i="124"/>
  <c r="Z429" i="124" s="1"/>
  <c r="G429" i="124"/>
  <c r="F429" i="124"/>
  <c r="O429" i="124" s="1"/>
  <c r="E429" i="124"/>
  <c r="AS428" i="124"/>
  <c r="K428" i="124"/>
  <c r="J428" i="124"/>
  <c r="I428" i="124"/>
  <c r="H428" i="124"/>
  <c r="Z428" i="124" s="1"/>
  <c r="G428" i="124"/>
  <c r="F428" i="124"/>
  <c r="O428" i="124" s="1"/>
  <c r="E428" i="124"/>
  <c r="AS427" i="124"/>
  <c r="K427" i="124"/>
  <c r="J427" i="124"/>
  <c r="I427" i="124"/>
  <c r="H427" i="124"/>
  <c r="Z427" i="124" s="1"/>
  <c r="G427" i="124"/>
  <c r="F427" i="124"/>
  <c r="O427" i="124" s="1"/>
  <c r="E427" i="124"/>
  <c r="AS426" i="124"/>
  <c r="K426" i="124"/>
  <c r="J426" i="124"/>
  <c r="I426" i="124"/>
  <c r="H426" i="124"/>
  <c r="Z426" i="124" s="1"/>
  <c r="G426" i="124"/>
  <c r="F426" i="124"/>
  <c r="O426" i="124" s="1"/>
  <c r="E426" i="124"/>
  <c r="AS425" i="124"/>
  <c r="K425" i="124"/>
  <c r="J425" i="124"/>
  <c r="I425" i="124"/>
  <c r="H425" i="124"/>
  <c r="Z425" i="124" s="1"/>
  <c r="G425" i="124"/>
  <c r="F425" i="124"/>
  <c r="O425" i="124" s="1"/>
  <c r="E425" i="124"/>
  <c r="AS424" i="124"/>
  <c r="K424" i="124"/>
  <c r="J424" i="124"/>
  <c r="I424" i="124"/>
  <c r="H424" i="124"/>
  <c r="Z424" i="124" s="1"/>
  <c r="G424" i="124"/>
  <c r="F424" i="124"/>
  <c r="O424" i="124" s="1"/>
  <c r="E424" i="124"/>
  <c r="AS423" i="124"/>
  <c r="K423" i="124"/>
  <c r="J423" i="124"/>
  <c r="I423" i="124"/>
  <c r="H423" i="124"/>
  <c r="Z423" i="124" s="1"/>
  <c r="G423" i="124"/>
  <c r="F423" i="124"/>
  <c r="O423" i="124" s="1"/>
  <c r="E423" i="124"/>
  <c r="AS422" i="124"/>
  <c r="K422" i="124"/>
  <c r="J422" i="124"/>
  <c r="I422" i="124"/>
  <c r="H422" i="124"/>
  <c r="Z422" i="124" s="1"/>
  <c r="G422" i="124"/>
  <c r="F422" i="124"/>
  <c r="O422" i="124" s="1"/>
  <c r="E422" i="124"/>
  <c r="AS421" i="124"/>
  <c r="K421" i="124"/>
  <c r="J421" i="124"/>
  <c r="I421" i="124"/>
  <c r="H421" i="124"/>
  <c r="Z421" i="124" s="1"/>
  <c r="G421" i="124"/>
  <c r="F421" i="124"/>
  <c r="O421" i="124" s="1"/>
  <c r="E421" i="124"/>
  <c r="AS420" i="124"/>
  <c r="K420" i="124"/>
  <c r="J420" i="124"/>
  <c r="I420" i="124"/>
  <c r="H420" i="124"/>
  <c r="Z420" i="124" s="1"/>
  <c r="G420" i="124"/>
  <c r="F420" i="124"/>
  <c r="E420" i="124"/>
  <c r="AS164" i="124"/>
  <c r="K164" i="124"/>
  <c r="J164" i="124"/>
  <c r="I164" i="124"/>
  <c r="H164" i="124"/>
  <c r="Z164" i="124" s="1"/>
  <c r="G164" i="124"/>
  <c r="F164" i="124"/>
  <c r="E164" i="124"/>
  <c r="AS418" i="124"/>
  <c r="K418" i="124"/>
  <c r="J418" i="124"/>
  <c r="I418" i="124"/>
  <c r="H418" i="124"/>
  <c r="Z418" i="124" s="1"/>
  <c r="G418" i="124"/>
  <c r="F418" i="124"/>
  <c r="E418" i="124"/>
  <c r="AS417" i="124"/>
  <c r="K417" i="124"/>
  <c r="J417" i="124"/>
  <c r="I417" i="124"/>
  <c r="H417" i="124"/>
  <c r="Z417" i="124" s="1"/>
  <c r="G417" i="124"/>
  <c r="F417" i="124"/>
  <c r="E417" i="124"/>
  <c r="AS416" i="124"/>
  <c r="K416" i="124"/>
  <c r="J416" i="124"/>
  <c r="I416" i="124"/>
  <c r="H416" i="124"/>
  <c r="Z416" i="124" s="1"/>
  <c r="G416" i="124"/>
  <c r="F416" i="124"/>
  <c r="E416" i="124"/>
  <c r="AS415" i="124"/>
  <c r="K415" i="124"/>
  <c r="J415" i="124"/>
  <c r="I415" i="124"/>
  <c r="H415" i="124"/>
  <c r="Z415" i="124" s="1"/>
  <c r="G415" i="124"/>
  <c r="F415" i="124"/>
  <c r="E415" i="124"/>
  <c r="AS414" i="124"/>
  <c r="K414" i="124"/>
  <c r="J414" i="124"/>
  <c r="I414" i="124"/>
  <c r="H414" i="124"/>
  <c r="Z414" i="124" s="1"/>
  <c r="G414" i="124"/>
  <c r="F414" i="124"/>
  <c r="E414" i="124"/>
  <c r="AS413" i="124"/>
  <c r="K413" i="124"/>
  <c r="J413" i="124"/>
  <c r="I413" i="124"/>
  <c r="H413" i="124"/>
  <c r="Z413" i="124" s="1"/>
  <c r="G413" i="124"/>
  <c r="F413" i="124"/>
  <c r="E413" i="124"/>
  <c r="AS412" i="124"/>
  <c r="K412" i="124"/>
  <c r="J412" i="124"/>
  <c r="I412" i="124"/>
  <c r="H412" i="124"/>
  <c r="Z412" i="124" s="1"/>
  <c r="G412" i="124"/>
  <c r="F412" i="124"/>
  <c r="E412" i="124"/>
  <c r="AS411" i="124"/>
  <c r="K411" i="124"/>
  <c r="J411" i="124"/>
  <c r="I411" i="124"/>
  <c r="H411" i="124"/>
  <c r="Z411" i="124" s="1"/>
  <c r="G411" i="124"/>
  <c r="F411" i="124"/>
  <c r="E411" i="124"/>
  <c r="AS410" i="124"/>
  <c r="K410" i="124"/>
  <c r="J410" i="124"/>
  <c r="I410" i="124"/>
  <c r="H410" i="124"/>
  <c r="Z410" i="124" s="1"/>
  <c r="G410" i="124"/>
  <c r="F410" i="124"/>
  <c r="E410" i="124"/>
  <c r="AS409" i="124"/>
  <c r="K409" i="124"/>
  <c r="J409" i="124"/>
  <c r="I409" i="124"/>
  <c r="H409" i="124"/>
  <c r="Z409" i="124" s="1"/>
  <c r="G409" i="124"/>
  <c r="F409" i="124"/>
  <c r="E409" i="124"/>
  <c r="AS408" i="124"/>
  <c r="K408" i="124"/>
  <c r="J408" i="124"/>
  <c r="I408" i="124"/>
  <c r="H408" i="124"/>
  <c r="Z408" i="124" s="1"/>
  <c r="G408" i="124"/>
  <c r="F408" i="124"/>
  <c r="E408" i="124"/>
  <c r="AS162" i="124"/>
  <c r="K162" i="124"/>
  <c r="J162" i="124"/>
  <c r="I162" i="124"/>
  <c r="H162" i="124"/>
  <c r="Z162" i="124" s="1"/>
  <c r="G162" i="124"/>
  <c r="F162" i="124"/>
  <c r="E162" i="124"/>
  <c r="AS406" i="124"/>
  <c r="K406" i="124"/>
  <c r="J406" i="124"/>
  <c r="I406" i="124"/>
  <c r="H406" i="124"/>
  <c r="Z406" i="124" s="1"/>
  <c r="G406" i="124"/>
  <c r="F406" i="124"/>
  <c r="E406" i="124"/>
  <c r="AS131" i="124"/>
  <c r="K131" i="124"/>
  <c r="J131" i="124"/>
  <c r="I131" i="124"/>
  <c r="H131" i="124"/>
  <c r="Z131" i="124" s="1"/>
  <c r="G131" i="124"/>
  <c r="F131" i="124"/>
  <c r="E131" i="124"/>
  <c r="AS404" i="124"/>
  <c r="K404" i="124"/>
  <c r="J404" i="124"/>
  <c r="I404" i="124"/>
  <c r="H404" i="124"/>
  <c r="Z404" i="124" s="1"/>
  <c r="G404" i="124"/>
  <c r="F404" i="124"/>
  <c r="E404" i="124"/>
  <c r="AS403" i="124"/>
  <c r="K403" i="124"/>
  <c r="J403" i="124"/>
  <c r="I403" i="124"/>
  <c r="H403" i="124"/>
  <c r="Z403" i="124" s="1"/>
  <c r="G403" i="124"/>
  <c r="F403" i="124"/>
  <c r="E403" i="124"/>
  <c r="AS130" i="124"/>
  <c r="K130" i="124"/>
  <c r="J130" i="124"/>
  <c r="I130" i="124"/>
  <c r="H130" i="124"/>
  <c r="Z130" i="124" s="1"/>
  <c r="G130" i="124"/>
  <c r="F130" i="124"/>
  <c r="E130" i="124"/>
  <c r="AS401" i="124"/>
  <c r="K401" i="124"/>
  <c r="J401" i="124"/>
  <c r="I401" i="124"/>
  <c r="H401" i="124"/>
  <c r="Z401" i="124" s="1"/>
  <c r="G401" i="124"/>
  <c r="F401" i="124"/>
  <c r="E401" i="124"/>
  <c r="AS400" i="124"/>
  <c r="K400" i="124"/>
  <c r="J400" i="124"/>
  <c r="I400" i="124"/>
  <c r="H400" i="124"/>
  <c r="Z400" i="124" s="1"/>
  <c r="G400" i="124"/>
  <c r="F400" i="124"/>
  <c r="E400" i="124"/>
  <c r="AS399" i="124"/>
  <c r="K399" i="124"/>
  <c r="J399" i="124"/>
  <c r="I399" i="124"/>
  <c r="H399" i="124"/>
  <c r="Z399" i="124" s="1"/>
  <c r="G399" i="124"/>
  <c r="F399" i="124"/>
  <c r="E399" i="124"/>
  <c r="AS398" i="124"/>
  <c r="K398" i="124"/>
  <c r="J398" i="124"/>
  <c r="I398" i="124"/>
  <c r="H398" i="124"/>
  <c r="Z398" i="124" s="1"/>
  <c r="G398" i="124"/>
  <c r="F398" i="124"/>
  <c r="E398" i="124"/>
  <c r="AS397" i="124"/>
  <c r="K397" i="124"/>
  <c r="AJ397" i="124" s="1"/>
  <c r="J397" i="124"/>
  <c r="I397" i="124"/>
  <c r="H397" i="124"/>
  <c r="Z397" i="124" s="1"/>
  <c r="AE397" i="124" s="1"/>
  <c r="AF397" i="124" s="1"/>
  <c r="G397" i="124"/>
  <c r="F397" i="124"/>
  <c r="E397" i="124"/>
  <c r="AS396" i="124"/>
  <c r="K396" i="124"/>
  <c r="J396" i="124"/>
  <c r="I396" i="124"/>
  <c r="H396" i="124"/>
  <c r="Z396" i="124" s="1"/>
  <c r="AG396" i="124" s="1"/>
  <c r="AH396" i="124" s="1"/>
  <c r="G396" i="124"/>
  <c r="F396" i="124"/>
  <c r="E396" i="124"/>
  <c r="AS395" i="124"/>
  <c r="K395" i="124"/>
  <c r="J395" i="124"/>
  <c r="I395" i="124"/>
  <c r="H395" i="124"/>
  <c r="Z395" i="124" s="1"/>
  <c r="AE395" i="124" s="1"/>
  <c r="AF395" i="124" s="1"/>
  <c r="G395" i="124"/>
  <c r="F395" i="124"/>
  <c r="O395" i="124" s="1"/>
  <c r="E395" i="124"/>
  <c r="AS394" i="124"/>
  <c r="K394" i="124"/>
  <c r="J394" i="124"/>
  <c r="I394" i="124"/>
  <c r="H394" i="124"/>
  <c r="Z394" i="124" s="1"/>
  <c r="G394" i="124"/>
  <c r="F394" i="124"/>
  <c r="E394" i="124"/>
  <c r="AS393" i="124"/>
  <c r="K393" i="124"/>
  <c r="J393" i="124"/>
  <c r="I393" i="124"/>
  <c r="H393" i="124"/>
  <c r="Z393" i="124" s="1"/>
  <c r="AE393" i="124" s="1"/>
  <c r="AF393" i="124" s="1"/>
  <c r="G393" i="124"/>
  <c r="F393" i="124"/>
  <c r="E393" i="124"/>
  <c r="AS392" i="124"/>
  <c r="K392" i="124"/>
  <c r="AJ392" i="124" s="1"/>
  <c r="J392" i="124"/>
  <c r="I392" i="124"/>
  <c r="P392" i="124" s="1"/>
  <c r="H392" i="124"/>
  <c r="Z392" i="124" s="1"/>
  <c r="AG392" i="124" s="1"/>
  <c r="AH392" i="124" s="1"/>
  <c r="G392" i="124"/>
  <c r="F392" i="124"/>
  <c r="E392" i="124"/>
  <c r="AS391" i="124"/>
  <c r="K391" i="124"/>
  <c r="J391" i="124"/>
  <c r="I391" i="124"/>
  <c r="H391" i="124"/>
  <c r="Z391" i="124" s="1"/>
  <c r="AE391" i="124" s="1"/>
  <c r="AF391" i="124" s="1"/>
  <c r="G391" i="124"/>
  <c r="F391" i="124"/>
  <c r="E391" i="124"/>
  <c r="AS390" i="124"/>
  <c r="K390" i="124"/>
  <c r="J390" i="124"/>
  <c r="I390" i="124"/>
  <c r="H390" i="124"/>
  <c r="Z390" i="124" s="1"/>
  <c r="G390" i="124"/>
  <c r="F390" i="124"/>
  <c r="E390" i="124"/>
  <c r="AS389" i="124"/>
  <c r="K389" i="124"/>
  <c r="AJ389" i="124" s="1"/>
  <c r="J389" i="124"/>
  <c r="I389" i="124"/>
  <c r="H389" i="124"/>
  <c r="Z389" i="124" s="1"/>
  <c r="AE389" i="124" s="1"/>
  <c r="AF389" i="124" s="1"/>
  <c r="G389" i="124"/>
  <c r="F389" i="124"/>
  <c r="E389" i="124"/>
  <c r="AS388" i="124"/>
  <c r="K388" i="124"/>
  <c r="J388" i="124"/>
  <c r="I388" i="124"/>
  <c r="H388" i="124"/>
  <c r="Z388" i="124" s="1"/>
  <c r="AG388" i="124" s="1"/>
  <c r="AH388" i="124" s="1"/>
  <c r="G388" i="124"/>
  <c r="F388" i="124"/>
  <c r="E388" i="124"/>
  <c r="AS387" i="124"/>
  <c r="K387" i="124"/>
  <c r="J387" i="124"/>
  <c r="I387" i="124"/>
  <c r="H387" i="124"/>
  <c r="Z387" i="124" s="1"/>
  <c r="G387" i="124"/>
  <c r="F387" i="124"/>
  <c r="E387" i="124"/>
  <c r="AS386" i="124"/>
  <c r="K386" i="124"/>
  <c r="J386" i="124"/>
  <c r="I386" i="124"/>
  <c r="H386" i="124"/>
  <c r="Z386" i="124" s="1"/>
  <c r="G386" i="124"/>
  <c r="F386" i="124"/>
  <c r="E386" i="124"/>
  <c r="AS385" i="124"/>
  <c r="K385" i="124"/>
  <c r="J385" i="124"/>
  <c r="I385" i="124"/>
  <c r="H385" i="124"/>
  <c r="Z385" i="124" s="1"/>
  <c r="G385" i="124"/>
  <c r="F385" i="124"/>
  <c r="E385" i="124"/>
  <c r="AS384" i="124"/>
  <c r="K384" i="124"/>
  <c r="J384" i="124"/>
  <c r="I384" i="124"/>
  <c r="H384" i="124"/>
  <c r="Z384" i="124" s="1"/>
  <c r="G384" i="124"/>
  <c r="F384" i="124"/>
  <c r="E384" i="124"/>
  <c r="AS383" i="124"/>
  <c r="K383" i="124"/>
  <c r="J383" i="124"/>
  <c r="I383" i="124"/>
  <c r="H383" i="124"/>
  <c r="Z383" i="124" s="1"/>
  <c r="G383" i="124"/>
  <c r="F383" i="124"/>
  <c r="E383" i="124"/>
  <c r="AS382" i="124"/>
  <c r="K382" i="124"/>
  <c r="J382" i="124"/>
  <c r="I382" i="124"/>
  <c r="H382" i="124"/>
  <c r="Z382" i="124" s="1"/>
  <c r="G382" i="124"/>
  <c r="F382" i="124"/>
  <c r="E382" i="124"/>
  <c r="AS381" i="124"/>
  <c r="K381" i="124"/>
  <c r="J381" i="124"/>
  <c r="I381" i="124"/>
  <c r="H381" i="124"/>
  <c r="Z381" i="124" s="1"/>
  <c r="G381" i="124"/>
  <c r="F381" i="124"/>
  <c r="E381" i="124"/>
  <c r="AS380" i="124"/>
  <c r="K380" i="124"/>
  <c r="J380" i="124"/>
  <c r="I380" i="124"/>
  <c r="H380" i="124"/>
  <c r="Z380" i="124" s="1"/>
  <c r="G380" i="124"/>
  <c r="F380" i="124"/>
  <c r="E380" i="124"/>
  <c r="AS379" i="124"/>
  <c r="K379" i="124"/>
  <c r="J379" i="124"/>
  <c r="I379" i="124"/>
  <c r="H379" i="124"/>
  <c r="Z379" i="124" s="1"/>
  <c r="G379" i="124"/>
  <c r="F379" i="124"/>
  <c r="E379" i="124"/>
  <c r="AS378" i="124"/>
  <c r="K378" i="124"/>
  <c r="J378" i="124"/>
  <c r="I378" i="124"/>
  <c r="H378" i="124"/>
  <c r="Z378" i="124" s="1"/>
  <c r="G378" i="124"/>
  <c r="F378" i="124"/>
  <c r="E378" i="124"/>
  <c r="AS377" i="124"/>
  <c r="K377" i="124"/>
  <c r="J377" i="124"/>
  <c r="I377" i="124"/>
  <c r="H377" i="124"/>
  <c r="Z377" i="124" s="1"/>
  <c r="G377" i="124"/>
  <c r="F377" i="124"/>
  <c r="E377" i="124"/>
  <c r="AS376" i="124"/>
  <c r="K376" i="124"/>
  <c r="J376" i="124"/>
  <c r="I376" i="124"/>
  <c r="H376" i="124"/>
  <c r="Z376" i="124" s="1"/>
  <c r="G376" i="124"/>
  <c r="F376" i="124"/>
  <c r="E376" i="124"/>
  <c r="AS375" i="124"/>
  <c r="K375" i="124"/>
  <c r="J375" i="124"/>
  <c r="I375" i="124"/>
  <c r="H375" i="124"/>
  <c r="Z375" i="124" s="1"/>
  <c r="G375" i="124"/>
  <c r="F375" i="124"/>
  <c r="E375" i="124"/>
  <c r="AS374" i="124"/>
  <c r="K374" i="124"/>
  <c r="J374" i="124"/>
  <c r="I374" i="124"/>
  <c r="H374" i="124"/>
  <c r="Z374" i="124" s="1"/>
  <c r="G374" i="124"/>
  <c r="F374" i="124"/>
  <c r="E374" i="124"/>
  <c r="AS373" i="124"/>
  <c r="K373" i="124"/>
  <c r="J373" i="124"/>
  <c r="I373" i="124"/>
  <c r="H373" i="124"/>
  <c r="Z373" i="124" s="1"/>
  <c r="G373" i="124"/>
  <c r="F373" i="124"/>
  <c r="E373" i="124"/>
  <c r="AS372" i="124"/>
  <c r="K372" i="124"/>
  <c r="J372" i="124"/>
  <c r="I372" i="124"/>
  <c r="H372" i="124"/>
  <c r="Z372" i="124" s="1"/>
  <c r="G372" i="124"/>
  <c r="F372" i="124"/>
  <c r="E372" i="124"/>
  <c r="AS371" i="124"/>
  <c r="K371" i="124"/>
  <c r="J371" i="124"/>
  <c r="I371" i="124"/>
  <c r="H371" i="124"/>
  <c r="Z371" i="124" s="1"/>
  <c r="AG371" i="124" s="1"/>
  <c r="AH371" i="124" s="1"/>
  <c r="G371" i="124"/>
  <c r="F371" i="124"/>
  <c r="E371" i="124"/>
  <c r="AS370" i="124"/>
  <c r="K370" i="124"/>
  <c r="J370" i="124"/>
  <c r="I370" i="124"/>
  <c r="H370" i="124"/>
  <c r="Z370" i="124" s="1"/>
  <c r="AE370" i="124" s="1"/>
  <c r="AF370" i="124" s="1"/>
  <c r="G370" i="124"/>
  <c r="F370" i="124"/>
  <c r="E370" i="124"/>
  <c r="AS369" i="124"/>
  <c r="K369" i="124"/>
  <c r="J369" i="124"/>
  <c r="I369" i="124"/>
  <c r="H369" i="124"/>
  <c r="Z369" i="124" s="1"/>
  <c r="AG369" i="124" s="1"/>
  <c r="AH369" i="124" s="1"/>
  <c r="G369" i="124"/>
  <c r="F369" i="124"/>
  <c r="E369" i="124"/>
  <c r="AS368" i="124"/>
  <c r="K368" i="124"/>
  <c r="AJ368" i="124" s="1"/>
  <c r="J368" i="124"/>
  <c r="I368" i="124"/>
  <c r="P368" i="124" s="1"/>
  <c r="H368" i="124"/>
  <c r="Z368" i="124" s="1"/>
  <c r="AG368" i="124" s="1"/>
  <c r="AH368" i="124" s="1"/>
  <c r="G368" i="124"/>
  <c r="F368" i="124"/>
  <c r="E368" i="124"/>
  <c r="AS367" i="124"/>
  <c r="K367" i="124"/>
  <c r="J367" i="124"/>
  <c r="I367" i="124"/>
  <c r="H367" i="124"/>
  <c r="Z367" i="124" s="1"/>
  <c r="AG367" i="124" s="1"/>
  <c r="AH367" i="124" s="1"/>
  <c r="G367" i="124"/>
  <c r="F367" i="124"/>
  <c r="E367" i="124"/>
  <c r="AS366" i="124"/>
  <c r="K366" i="124"/>
  <c r="J366" i="124"/>
  <c r="I366" i="124"/>
  <c r="H366" i="124"/>
  <c r="Z366" i="124" s="1"/>
  <c r="G366" i="124"/>
  <c r="F366" i="124"/>
  <c r="E366" i="124"/>
  <c r="AS365" i="124"/>
  <c r="K365" i="124"/>
  <c r="AJ365" i="124" s="1"/>
  <c r="J365" i="124"/>
  <c r="I365" i="124"/>
  <c r="H365" i="124"/>
  <c r="Z365" i="124" s="1"/>
  <c r="AG365" i="124" s="1"/>
  <c r="AH365" i="124" s="1"/>
  <c r="G365" i="124"/>
  <c r="F365" i="124"/>
  <c r="E365" i="124"/>
  <c r="AS364" i="124"/>
  <c r="K364" i="124"/>
  <c r="J364" i="124"/>
  <c r="I364" i="124"/>
  <c r="H364" i="124"/>
  <c r="Z364" i="124" s="1"/>
  <c r="AG364" i="124" s="1"/>
  <c r="AH364" i="124" s="1"/>
  <c r="G364" i="124"/>
  <c r="F364" i="124"/>
  <c r="E364" i="124"/>
  <c r="AS363" i="124"/>
  <c r="K363" i="124"/>
  <c r="J363" i="124"/>
  <c r="I363" i="124"/>
  <c r="H363" i="124"/>
  <c r="Z363" i="124" s="1"/>
  <c r="AG363" i="124" s="1"/>
  <c r="AH363" i="124" s="1"/>
  <c r="G363" i="124"/>
  <c r="F363" i="124"/>
  <c r="O363" i="124" s="1"/>
  <c r="E363" i="124"/>
  <c r="AS362" i="124"/>
  <c r="K362" i="124"/>
  <c r="J362" i="124"/>
  <c r="I362" i="124"/>
  <c r="H362" i="124"/>
  <c r="Z362" i="124" s="1"/>
  <c r="G362" i="124"/>
  <c r="F362" i="124"/>
  <c r="E362" i="124"/>
  <c r="AS361" i="124"/>
  <c r="K361" i="124"/>
  <c r="J361" i="124"/>
  <c r="I361" i="124"/>
  <c r="H361" i="124"/>
  <c r="Z361" i="124" s="1"/>
  <c r="AG361" i="124" s="1"/>
  <c r="AH361" i="124" s="1"/>
  <c r="G361" i="124"/>
  <c r="F361" i="124"/>
  <c r="E361" i="124"/>
  <c r="AS360" i="124"/>
  <c r="K360" i="124"/>
  <c r="AJ360" i="124" s="1"/>
  <c r="J360" i="124"/>
  <c r="I360" i="124"/>
  <c r="P360" i="124" s="1"/>
  <c r="H360" i="124"/>
  <c r="Z360" i="124" s="1"/>
  <c r="AG360" i="124" s="1"/>
  <c r="AH360" i="124" s="1"/>
  <c r="G360" i="124"/>
  <c r="F360" i="124"/>
  <c r="E360" i="124"/>
  <c r="AS359" i="124"/>
  <c r="K359" i="124"/>
  <c r="J359" i="124"/>
  <c r="I359" i="124"/>
  <c r="H359" i="124"/>
  <c r="Z359" i="124" s="1"/>
  <c r="AG359" i="124" s="1"/>
  <c r="AH359" i="124" s="1"/>
  <c r="G359" i="124"/>
  <c r="F359" i="124"/>
  <c r="E359" i="124"/>
  <c r="AS358" i="124"/>
  <c r="K358" i="124"/>
  <c r="J358" i="124"/>
  <c r="I358" i="124"/>
  <c r="H358" i="124"/>
  <c r="Z358" i="124" s="1"/>
  <c r="G358" i="124"/>
  <c r="F358" i="124"/>
  <c r="E358" i="124"/>
  <c r="AS357" i="124"/>
  <c r="K357" i="124"/>
  <c r="AJ357" i="124" s="1"/>
  <c r="J357" i="124"/>
  <c r="I357" i="124"/>
  <c r="H357" i="124"/>
  <c r="Z357" i="124" s="1"/>
  <c r="AG357" i="124" s="1"/>
  <c r="AH357" i="124" s="1"/>
  <c r="G357" i="124"/>
  <c r="F357" i="124"/>
  <c r="E357" i="124"/>
  <c r="AS356" i="124"/>
  <c r="K356" i="124"/>
  <c r="J356" i="124"/>
  <c r="I356" i="124"/>
  <c r="H356" i="124"/>
  <c r="Z356" i="124" s="1"/>
  <c r="AG356" i="124" s="1"/>
  <c r="AH356" i="124" s="1"/>
  <c r="G356" i="124"/>
  <c r="F356" i="124"/>
  <c r="E356" i="124"/>
  <c r="AS355" i="124"/>
  <c r="K355" i="124"/>
  <c r="J355" i="124"/>
  <c r="I355" i="124"/>
  <c r="H355" i="124"/>
  <c r="Z355" i="124" s="1"/>
  <c r="AG355" i="124" s="1"/>
  <c r="AH355" i="124" s="1"/>
  <c r="G355" i="124"/>
  <c r="F355" i="124"/>
  <c r="O355" i="124" s="1"/>
  <c r="E355" i="124"/>
  <c r="AS354" i="124"/>
  <c r="K354" i="124"/>
  <c r="J354" i="124"/>
  <c r="I354" i="124"/>
  <c r="H354" i="124"/>
  <c r="Z354" i="124" s="1"/>
  <c r="G354" i="124"/>
  <c r="F354" i="124"/>
  <c r="E354" i="124"/>
  <c r="AS353" i="124"/>
  <c r="K353" i="124"/>
  <c r="J353" i="124"/>
  <c r="I353" i="124"/>
  <c r="H353" i="124"/>
  <c r="Z353" i="124" s="1"/>
  <c r="G353" i="124"/>
  <c r="F353" i="124"/>
  <c r="O353" i="124" s="1"/>
  <c r="E353" i="124"/>
  <c r="AS352" i="124"/>
  <c r="K352" i="124"/>
  <c r="J352" i="124"/>
  <c r="I352" i="124"/>
  <c r="H352" i="124"/>
  <c r="Z352" i="124" s="1"/>
  <c r="G352" i="124"/>
  <c r="F352" i="124"/>
  <c r="O352" i="124" s="1"/>
  <c r="E352" i="124"/>
  <c r="AS351" i="124"/>
  <c r="K351" i="124"/>
  <c r="J351" i="124"/>
  <c r="I351" i="124"/>
  <c r="H351" i="124"/>
  <c r="Z351" i="124" s="1"/>
  <c r="G351" i="124"/>
  <c r="F351" i="124"/>
  <c r="O351" i="124" s="1"/>
  <c r="E351" i="124"/>
  <c r="AS350" i="124"/>
  <c r="K350" i="124"/>
  <c r="J350" i="124"/>
  <c r="I350" i="124"/>
  <c r="H350" i="124"/>
  <c r="Z350" i="124" s="1"/>
  <c r="G350" i="124"/>
  <c r="F350" i="124"/>
  <c r="O350" i="124" s="1"/>
  <c r="E350" i="124"/>
  <c r="AS349" i="124"/>
  <c r="K349" i="124"/>
  <c r="J349" i="124"/>
  <c r="I349" i="124"/>
  <c r="H349" i="124"/>
  <c r="Z349" i="124" s="1"/>
  <c r="G349" i="124"/>
  <c r="F349" i="124"/>
  <c r="O349" i="124" s="1"/>
  <c r="E349" i="124"/>
  <c r="AS348" i="124"/>
  <c r="K348" i="124"/>
  <c r="J348" i="124"/>
  <c r="I348" i="124"/>
  <c r="H348" i="124"/>
  <c r="Z348" i="124" s="1"/>
  <c r="G348" i="124"/>
  <c r="F348" i="124"/>
  <c r="O348" i="124" s="1"/>
  <c r="E348" i="124"/>
  <c r="AS347" i="124"/>
  <c r="K347" i="124"/>
  <c r="J347" i="124"/>
  <c r="I347" i="124"/>
  <c r="H347" i="124"/>
  <c r="Z347" i="124" s="1"/>
  <c r="G347" i="124"/>
  <c r="F347" i="124"/>
  <c r="O347" i="124" s="1"/>
  <c r="E347" i="124"/>
  <c r="AS346" i="124"/>
  <c r="K346" i="124"/>
  <c r="J346" i="124"/>
  <c r="I346" i="124"/>
  <c r="H346" i="124"/>
  <c r="Z346" i="124" s="1"/>
  <c r="G346" i="124"/>
  <c r="F346" i="124"/>
  <c r="O346" i="124" s="1"/>
  <c r="E346" i="124"/>
  <c r="AS345" i="124"/>
  <c r="K345" i="124"/>
  <c r="J345" i="124"/>
  <c r="I345" i="124"/>
  <c r="H345" i="124"/>
  <c r="Z345" i="124" s="1"/>
  <c r="G345" i="124"/>
  <c r="F345" i="124"/>
  <c r="O345" i="124" s="1"/>
  <c r="E345" i="124"/>
  <c r="AS344" i="124"/>
  <c r="K344" i="124"/>
  <c r="J344" i="124"/>
  <c r="I344" i="124"/>
  <c r="H344" i="124"/>
  <c r="Z344" i="124" s="1"/>
  <c r="G344" i="124"/>
  <c r="F344" i="124"/>
  <c r="O344" i="124" s="1"/>
  <c r="E344" i="124"/>
  <c r="AS343" i="124"/>
  <c r="K343" i="124"/>
  <c r="J343" i="124"/>
  <c r="I343" i="124"/>
  <c r="H343" i="124"/>
  <c r="Z343" i="124" s="1"/>
  <c r="G343" i="124"/>
  <c r="F343" i="124"/>
  <c r="O343" i="124" s="1"/>
  <c r="E343" i="124"/>
  <c r="AS342" i="124"/>
  <c r="K342" i="124"/>
  <c r="J342" i="124"/>
  <c r="I342" i="124"/>
  <c r="H342" i="124"/>
  <c r="Z342" i="124" s="1"/>
  <c r="G342" i="124"/>
  <c r="F342" i="124"/>
  <c r="O342" i="124" s="1"/>
  <c r="E342" i="124"/>
  <c r="AS341" i="124"/>
  <c r="K341" i="124"/>
  <c r="J341" i="124"/>
  <c r="I341" i="124"/>
  <c r="H341" i="124"/>
  <c r="Z341" i="124" s="1"/>
  <c r="G341" i="124"/>
  <c r="F341" i="124"/>
  <c r="O341" i="124" s="1"/>
  <c r="E341" i="124"/>
  <c r="AS340" i="124"/>
  <c r="K340" i="124"/>
  <c r="J340" i="124"/>
  <c r="I340" i="124"/>
  <c r="H340" i="124"/>
  <c r="G340" i="124"/>
  <c r="F340" i="124"/>
  <c r="O340" i="124" s="1"/>
  <c r="E340" i="124"/>
  <c r="AS339" i="124"/>
  <c r="K339" i="124"/>
  <c r="J339" i="124"/>
  <c r="I339" i="124"/>
  <c r="H339" i="124"/>
  <c r="Z339" i="124" s="1"/>
  <c r="G339" i="124"/>
  <c r="F339" i="124"/>
  <c r="O339" i="124" s="1"/>
  <c r="E339" i="124"/>
  <c r="AS338" i="124"/>
  <c r="K338" i="124"/>
  <c r="J338" i="124"/>
  <c r="I338" i="124"/>
  <c r="H338" i="124"/>
  <c r="G338" i="124"/>
  <c r="F338" i="124"/>
  <c r="O338" i="124" s="1"/>
  <c r="E338" i="124"/>
  <c r="AS337" i="124"/>
  <c r="K337" i="124"/>
  <c r="J337" i="124"/>
  <c r="I337" i="124"/>
  <c r="H337" i="124"/>
  <c r="Z337" i="124" s="1"/>
  <c r="G337" i="124"/>
  <c r="F337" i="124"/>
  <c r="O337" i="124" s="1"/>
  <c r="E337" i="124"/>
  <c r="AS336" i="124"/>
  <c r="K336" i="124"/>
  <c r="J336" i="124"/>
  <c r="I336" i="124"/>
  <c r="H336" i="124"/>
  <c r="Z336" i="124" s="1"/>
  <c r="G336" i="124"/>
  <c r="F336" i="124"/>
  <c r="E336" i="124"/>
  <c r="AS335" i="124"/>
  <c r="K335" i="124"/>
  <c r="J335" i="124"/>
  <c r="I335" i="124"/>
  <c r="H335" i="124"/>
  <c r="Z335" i="124" s="1"/>
  <c r="G335" i="124"/>
  <c r="F335" i="124"/>
  <c r="E335" i="124"/>
  <c r="AS334" i="124"/>
  <c r="K334" i="124"/>
  <c r="J334" i="124"/>
  <c r="I334" i="124"/>
  <c r="H334" i="124"/>
  <c r="Z334" i="124" s="1"/>
  <c r="G334" i="124"/>
  <c r="F334" i="124"/>
  <c r="O334" i="124" s="1"/>
  <c r="E334" i="124"/>
  <c r="AS333" i="124"/>
  <c r="K333" i="124"/>
  <c r="J333" i="124"/>
  <c r="I333" i="124"/>
  <c r="H333" i="124"/>
  <c r="Z333" i="124" s="1"/>
  <c r="G333" i="124"/>
  <c r="F333" i="124"/>
  <c r="O333" i="124" s="1"/>
  <c r="E333" i="124"/>
  <c r="AS332" i="124"/>
  <c r="K332" i="124"/>
  <c r="J332" i="124"/>
  <c r="I332" i="124"/>
  <c r="H332" i="124"/>
  <c r="Z332" i="124" s="1"/>
  <c r="G332" i="124"/>
  <c r="F332" i="124"/>
  <c r="E332" i="124"/>
  <c r="AS331" i="124"/>
  <c r="K331" i="124"/>
  <c r="J331" i="124"/>
  <c r="I331" i="124"/>
  <c r="H331" i="124"/>
  <c r="Z331" i="124" s="1"/>
  <c r="G331" i="124"/>
  <c r="F331" i="124"/>
  <c r="E331" i="124"/>
  <c r="AS330" i="124"/>
  <c r="K330" i="124"/>
  <c r="J330" i="124"/>
  <c r="I330" i="124"/>
  <c r="H330" i="124"/>
  <c r="Z330" i="124" s="1"/>
  <c r="G330" i="124"/>
  <c r="F330" i="124"/>
  <c r="O330" i="124" s="1"/>
  <c r="E330" i="124"/>
  <c r="AS329" i="124"/>
  <c r="K329" i="124"/>
  <c r="J329" i="124"/>
  <c r="I329" i="124"/>
  <c r="H329" i="124"/>
  <c r="Z329" i="124" s="1"/>
  <c r="G329" i="124"/>
  <c r="F329" i="124"/>
  <c r="O329" i="124" s="1"/>
  <c r="E329" i="124"/>
  <c r="AS328" i="124"/>
  <c r="K328" i="124"/>
  <c r="J328" i="124"/>
  <c r="I328" i="124"/>
  <c r="H328" i="124"/>
  <c r="Z328" i="124" s="1"/>
  <c r="G328" i="124"/>
  <c r="F328" i="124"/>
  <c r="E328" i="124"/>
  <c r="AS327" i="124"/>
  <c r="K327" i="124"/>
  <c r="J327" i="124"/>
  <c r="I327" i="124"/>
  <c r="H327" i="124"/>
  <c r="Z327" i="124" s="1"/>
  <c r="G327" i="124"/>
  <c r="F327" i="124"/>
  <c r="E327" i="124"/>
  <c r="AS326" i="124"/>
  <c r="K326" i="124"/>
  <c r="J326" i="124"/>
  <c r="I326" i="124"/>
  <c r="H326" i="124"/>
  <c r="Z326" i="124" s="1"/>
  <c r="G326" i="124"/>
  <c r="F326" i="124"/>
  <c r="O326" i="124" s="1"/>
  <c r="E326" i="124"/>
  <c r="AS325" i="124"/>
  <c r="K325" i="124"/>
  <c r="J325" i="124"/>
  <c r="I325" i="124"/>
  <c r="H325" i="124"/>
  <c r="Z325" i="124" s="1"/>
  <c r="G325" i="124"/>
  <c r="F325" i="124"/>
  <c r="O325" i="124" s="1"/>
  <c r="E325" i="124"/>
  <c r="AS324" i="124"/>
  <c r="K324" i="124"/>
  <c r="J324" i="124"/>
  <c r="I324" i="124"/>
  <c r="H324" i="124"/>
  <c r="Z324" i="124" s="1"/>
  <c r="G324" i="124"/>
  <c r="F324" i="124"/>
  <c r="E324" i="124"/>
  <c r="AS323" i="124"/>
  <c r="K323" i="124"/>
  <c r="J323" i="124"/>
  <c r="I323" i="124"/>
  <c r="H323" i="124"/>
  <c r="Z323" i="124" s="1"/>
  <c r="G323" i="124"/>
  <c r="F323" i="124"/>
  <c r="E323" i="124"/>
  <c r="AS322" i="124"/>
  <c r="K322" i="124"/>
  <c r="J322" i="124"/>
  <c r="I322" i="124"/>
  <c r="H322" i="124"/>
  <c r="Z322" i="124" s="1"/>
  <c r="G322" i="124"/>
  <c r="F322" i="124"/>
  <c r="E322" i="124"/>
  <c r="AS321" i="124"/>
  <c r="K321" i="124"/>
  <c r="J321" i="124"/>
  <c r="I321" i="124"/>
  <c r="H321" i="124"/>
  <c r="Z321" i="124" s="1"/>
  <c r="G321" i="124"/>
  <c r="F321" i="124"/>
  <c r="E321" i="124"/>
  <c r="AS320" i="124"/>
  <c r="K320" i="124"/>
  <c r="J320" i="124"/>
  <c r="I320" i="124"/>
  <c r="H320" i="124"/>
  <c r="Z320" i="124" s="1"/>
  <c r="G320" i="124"/>
  <c r="F320" i="124"/>
  <c r="E320" i="124"/>
  <c r="AS319" i="124"/>
  <c r="K319" i="124"/>
  <c r="J319" i="124"/>
  <c r="I319" i="124"/>
  <c r="H319" i="124"/>
  <c r="Z319" i="124" s="1"/>
  <c r="G319" i="124"/>
  <c r="F319" i="124"/>
  <c r="E319" i="124"/>
  <c r="AS318" i="124"/>
  <c r="K318" i="124"/>
  <c r="J318" i="124"/>
  <c r="I318" i="124"/>
  <c r="H318" i="124"/>
  <c r="Z318" i="124" s="1"/>
  <c r="G318" i="124"/>
  <c r="F318" i="124"/>
  <c r="E318" i="124"/>
  <c r="AS317" i="124"/>
  <c r="K317" i="124"/>
  <c r="J317" i="124"/>
  <c r="I317" i="124"/>
  <c r="H317" i="124"/>
  <c r="Z317" i="124" s="1"/>
  <c r="G317" i="124"/>
  <c r="F317" i="124"/>
  <c r="E317" i="124"/>
  <c r="AS316" i="124"/>
  <c r="K316" i="124"/>
  <c r="J316" i="124"/>
  <c r="I316" i="124"/>
  <c r="H316" i="124"/>
  <c r="Z316" i="124" s="1"/>
  <c r="G316" i="124"/>
  <c r="F316" i="124"/>
  <c r="E316" i="124"/>
  <c r="AS315" i="124"/>
  <c r="K315" i="124"/>
  <c r="J315" i="124"/>
  <c r="I315" i="124"/>
  <c r="H315" i="124"/>
  <c r="Z315" i="124" s="1"/>
  <c r="G315" i="124"/>
  <c r="F315" i="124"/>
  <c r="E315" i="124"/>
  <c r="AS314" i="124"/>
  <c r="K314" i="124"/>
  <c r="J314" i="124"/>
  <c r="I314" i="124"/>
  <c r="H314" i="124"/>
  <c r="Z314" i="124" s="1"/>
  <c r="G314" i="124"/>
  <c r="F314" i="124"/>
  <c r="E314" i="124"/>
  <c r="AS313" i="124"/>
  <c r="K313" i="124"/>
  <c r="J313" i="124"/>
  <c r="I313" i="124"/>
  <c r="H313" i="124"/>
  <c r="Z313" i="124" s="1"/>
  <c r="G313" i="124"/>
  <c r="F313" i="124"/>
  <c r="E313" i="124"/>
  <c r="AS312" i="124"/>
  <c r="K312" i="124"/>
  <c r="J312" i="124"/>
  <c r="I312" i="124"/>
  <c r="H312" i="124"/>
  <c r="Z312" i="124" s="1"/>
  <c r="G312" i="124"/>
  <c r="F312" i="124"/>
  <c r="E312" i="124"/>
  <c r="AS311" i="124"/>
  <c r="K311" i="124"/>
  <c r="J311" i="124"/>
  <c r="I311" i="124"/>
  <c r="H311" i="124"/>
  <c r="Z311" i="124" s="1"/>
  <c r="G311" i="124"/>
  <c r="F311" i="124"/>
  <c r="E311" i="124"/>
  <c r="AS310" i="124"/>
  <c r="K310" i="124"/>
  <c r="J310" i="124"/>
  <c r="I310" i="124"/>
  <c r="H310" i="124"/>
  <c r="Z310" i="124" s="1"/>
  <c r="G310" i="124"/>
  <c r="F310" i="124"/>
  <c r="E310" i="124"/>
  <c r="AS419" i="124"/>
  <c r="K419" i="124"/>
  <c r="J419" i="124"/>
  <c r="I419" i="124"/>
  <c r="H419" i="124"/>
  <c r="Z419" i="124" s="1"/>
  <c r="G419" i="124"/>
  <c r="F419" i="124"/>
  <c r="E419" i="124"/>
  <c r="AS308" i="124"/>
  <c r="K308" i="124"/>
  <c r="J308" i="124"/>
  <c r="I308" i="124"/>
  <c r="H308" i="124"/>
  <c r="Z308" i="124" s="1"/>
  <c r="G308" i="124"/>
  <c r="F308" i="124"/>
  <c r="E308" i="124"/>
  <c r="AS307" i="124"/>
  <c r="K307" i="124"/>
  <c r="J307" i="124"/>
  <c r="I307" i="124"/>
  <c r="H307" i="124"/>
  <c r="Z307" i="124" s="1"/>
  <c r="G307" i="124"/>
  <c r="F307" i="124"/>
  <c r="E307" i="124"/>
  <c r="AS407" i="124"/>
  <c r="K407" i="124"/>
  <c r="J407" i="124"/>
  <c r="I407" i="124"/>
  <c r="H407" i="124"/>
  <c r="Z407" i="124" s="1"/>
  <c r="G407" i="124"/>
  <c r="F407" i="124"/>
  <c r="E407" i="124"/>
  <c r="AS305" i="124"/>
  <c r="K305" i="124"/>
  <c r="J305" i="124"/>
  <c r="I305" i="124"/>
  <c r="H305" i="124"/>
  <c r="Z305" i="124" s="1"/>
  <c r="G305" i="124"/>
  <c r="F305" i="124"/>
  <c r="E305" i="124"/>
  <c r="AS304" i="124"/>
  <c r="K304" i="124"/>
  <c r="J304" i="124"/>
  <c r="I304" i="124"/>
  <c r="H304" i="124"/>
  <c r="Z304" i="124" s="1"/>
  <c r="G304" i="124"/>
  <c r="F304" i="124"/>
  <c r="E304" i="124"/>
  <c r="AS303" i="124"/>
  <c r="K303" i="124"/>
  <c r="J303" i="124"/>
  <c r="I303" i="124"/>
  <c r="H303" i="124"/>
  <c r="Z303" i="124" s="1"/>
  <c r="G303" i="124"/>
  <c r="F303" i="124"/>
  <c r="E303" i="124"/>
  <c r="AS302" i="124"/>
  <c r="K302" i="124"/>
  <c r="J302" i="124"/>
  <c r="I302" i="124"/>
  <c r="H302" i="124"/>
  <c r="Z302" i="124" s="1"/>
  <c r="G302" i="124"/>
  <c r="F302" i="124"/>
  <c r="E302" i="124"/>
  <c r="AS301" i="124"/>
  <c r="K301" i="124"/>
  <c r="J301" i="124"/>
  <c r="I301" i="124"/>
  <c r="H301" i="124"/>
  <c r="Z301" i="124" s="1"/>
  <c r="G301" i="124"/>
  <c r="F301" i="124"/>
  <c r="E301" i="124"/>
  <c r="AS300" i="124"/>
  <c r="K300" i="124"/>
  <c r="J300" i="124"/>
  <c r="I300" i="124"/>
  <c r="H300" i="124"/>
  <c r="Z300" i="124" s="1"/>
  <c r="G300" i="124"/>
  <c r="F300" i="124"/>
  <c r="E300" i="124"/>
  <c r="AS299" i="124"/>
  <c r="K299" i="124"/>
  <c r="J299" i="124"/>
  <c r="I299" i="124"/>
  <c r="H299" i="124"/>
  <c r="Z299" i="124" s="1"/>
  <c r="G299" i="124"/>
  <c r="F299" i="124"/>
  <c r="E299" i="124"/>
  <c r="AS298" i="124"/>
  <c r="K298" i="124"/>
  <c r="J298" i="124"/>
  <c r="I298" i="124"/>
  <c r="H298" i="124"/>
  <c r="Z298" i="124" s="1"/>
  <c r="G298" i="124"/>
  <c r="F298" i="124"/>
  <c r="E298" i="124"/>
  <c r="AS297" i="124"/>
  <c r="K297" i="124"/>
  <c r="J297" i="124"/>
  <c r="I297" i="124"/>
  <c r="H297" i="124"/>
  <c r="Z297" i="124" s="1"/>
  <c r="G297" i="124"/>
  <c r="F297" i="124"/>
  <c r="E297" i="124"/>
  <c r="AS296" i="124"/>
  <c r="K296" i="124"/>
  <c r="J296" i="124"/>
  <c r="I296" i="124"/>
  <c r="H296" i="124"/>
  <c r="Z296" i="124" s="1"/>
  <c r="G296" i="124"/>
  <c r="F296" i="124"/>
  <c r="E296" i="124"/>
  <c r="AS295" i="124"/>
  <c r="K295" i="124"/>
  <c r="J295" i="124"/>
  <c r="I295" i="124"/>
  <c r="H295" i="124"/>
  <c r="Z295" i="124" s="1"/>
  <c r="G295" i="124"/>
  <c r="F295" i="124"/>
  <c r="E295" i="124"/>
  <c r="AS294" i="124"/>
  <c r="K294" i="124"/>
  <c r="J294" i="124"/>
  <c r="I294" i="124"/>
  <c r="H294" i="124"/>
  <c r="G294" i="124"/>
  <c r="F294" i="124"/>
  <c r="E294" i="124"/>
  <c r="AS293" i="124"/>
  <c r="K293" i="124"/>
  <c r="J293" i="124"/>
  <c r="I293" i="124"/>
  <c r="H293" i="124"/>
  <c r="G293" i="124"/>
  <c r="F293" i="124"/>
  <c r="E293" i="124"/>
  <c r="AS405" i="124"/>
  <c r="K405" i="124"/>
  <c r="J405" i="124"/>
  <c r="I405" i="124"/>
  <c r="H405" i="124"/>
  <c r="G405" i="124"/>
  <c r="F405" i="124"/>
  <c r="E405" i="124"/>
  <c r="AS402" i="124"/>
  <c r="K402" i="124"/>
  <c r="J402" i="124"/>
  <c r="I402" i="124"/>
  <c r="H402" i="124"/>
  <c r="Z402" i="124" s="1"/>
  <c r="G402" i="124"/>
  <c r="F402" i="124"/>
  <c r="E402" i="124"/>
  <c r="AS309" i="124"/>
  <c r="K309" i="124"/>
  <c r="J309" i="124"/>
  <c r="I309" i="124"/>
  <c r="H309" i="124"/>
  <c r="Z309" i="124" s="1"/>
  <c r="G309" i="124"/>
  <c r="F309" i="124"/>
  <c r="E309" i="124"/>
  <c r="AS289" i="124"/>
  <c r="K289" i="124"/>
  <c r="J289" i="124"/>
  <c r="I289" i="124"/>
  <c r="H289" i="124"/>
  <c r="Z289" i="124" s="1"/>
  <c r="G289" i="124"/>
  <c r="F289" i="124"/>
  <c r="E289" i="124"/>
  <c r="AS288" i="124"/>
  <c r="K288" i="124"/>
  <c r="J288" i="124"/>
  <c r="I288" i="124"/>
  <c r="H288" i="124"/>
  <c r="Z288" i="124" s="1"/>
  <c r="G288" i="124"/>
  <c r="F288" i="124"/>
  <c r="E288" i="124"/>
  <c r="AS287" i="124"/>
  <c r="K287" i="124"/>
  <c r="J287" i="124"/>
  <c r="I287" i="124"/>
  <c r="H287" i="124"/>
  <c r="Z287" i="124" s="1"/>
  <c r="G287" i="124"/>
  <c r="F287" i="124"/>
  <c r="E287" i="124"/>
  <c r="AS286" i="124"/>
  <c r="K286" i="124"/>
  <c r="J286" i="124"/>
  <c r="I286" i="124"/>
  <c r="H286" i="124"/>
  <c r="Z286" i="124" s="1"/>
  <c r="G286" i="124"/>
  <c r="F286" i="124"/>
  <c r="E286" i="124"/>
  <c r="AS285" i="124"/>
  <c r="K285" i="124"/>
  <c r="J285" i="124"/>
  <c r="I285" i="124"/>
  <c r="H285" i="124"/>
  <c r="Z285" i="124" s="1"/>
  <c r="G285" i="124"/>
  <c r="F285" i="124"/>
  <c r="E285" i="124"/>
  <c r="AS284" i="124"/>
  <c r="K284" i="124"/>
  <c r="J284" i="124"/>
  <c r="I284" i="124"/>
  <c r="H284" i="124"/>
  <c r="Z284" i="124" s="1"/>
  <c r="G284" i="124"/>
  <c r="F284" i="124"/>
  <c r="E284" i="124"/>
  <c r="AS283" i="124"/>
  <c r="K283" i="124"/>
  <c r="J283" i="124"/>
  <c r="I283" i="124"/>
  <c r="H283" i="124"/>
  <c r="Z283" i="124" s="1"/>
  <c r="G283" i="124"/>
  <c r="F283" i="124"/>
  <c r="E283" i="124"/>
  <c r="AS282" i="124"/>
  <c r="K282" i="124"/>
  <c r="J282" i="124"/>
  <c r="I282" i="124"/>
  <c r="H282" i="124"/>
  <c r="Z282" i="124" s="1"/>
  <c r="G282" i="124"/>
  <c r="F282" i="124"/>
  <c r="E282" i="124"/>
  <c r="AS281" i="124"/>
  <c r="K281" i="124"/>
  <c r="J281" i="124"/>
  <c r="I281" i="124"/>
  <c r="H281" i="124"/>
  <c r="G281" i="124"/>
  <c r="F281" i="124"/>
  <c r="E281" i="124"/>
  <c r="AS280" i="124"/>
  <c r="K280" i="124"/>
  <c r="J280" i="124"/>
  <c r="I280" i="124"/>
  <c r="H280" i="124"/>
  <c r="Z280" i="124" s="1"/>
  <c r="G280" i="124"/>
  <c r="F280" i="124"/>
  <c r="O280" i="124" s="1"/>
  <c r="E280" i="124"/>
  <c r="AS279" i="124"/>
  <c r="K279" i="124"/>
  <c r="J279" i="124"/>
  <c r="I279" i="124"/>
  <c r="H279" i="124"/>
  <c r="G279" i="124"/>
  <c r="F279" i="124"/>
  <c r="O279" i="124" s="1"/>
  <c r="E279" i="124"/>
  <c r="AS278" i="124"/>
  <c r="K278" i="124"/>
  <c r="J278" i="124"/>
  <c r="I278" i="124"/>
  <c r="H278" i="124"/>
  <c r="Z278" i="124" s="1"/>
  <c r="G278" i="124"/>
  <c r="F278" i="124"/>
  <c r="E278" i="124"/>
  <c r="AS277" i="124"/>
  <c r="K277" i="124"/>
  <c r="J277" i="124"/>
  <c r="I277" i="124"/>
  <c r="H277" i="124"/>
  <c r="G277" i="124"/>
  <c r="F277" i="124"/>
  <c r="E277" i="124"/>
  <c r="AS276" i="124"/>
  <c r="K276" i="124"/>
  <c r="J276" i="124"/>
  <c r="I276" i="124"/>
  <c r="H276" i="124"/>
  <c r="Z276" i="124" s="1"/>
  <c r="G276" i="124"/>
  <c r="F276" i="124"/>
  <c r="O276" i="124" s="1"/>
  <c r="E276" i="124"/>
  <c r="AS275" i="124"/>
  <c r="K275" i="124"/>
  <c r="J275" i="124"/>
  <c r="I275" i="124"/>
  <c r="H275" i="124"/>
  <c r="G275" i="124"/>
  <c r="F275" i="124"/>
  <c r="O275" i="124" s="1"/>
  <c r="E275" i="124"/>
  <c r="AS274" i="124"/>
  <c r="K274" i="124"/>
  <c r="J274" i="124"/>
  <c r="I274" i="124"/>
  <c r="H274" i="124"/>
  <c r="Z274" i="124" s="1"/>
  <c r="G274" i="124"/>
  <c r="F274" i="124"/>
  <c r="E274" i="124"/>
  <c r="AS273" i="124"/>
  <c r="K273" i="124"/>
  <c r="J273" i="124"/>
  <c r="I273" i="124"/>
  <c r="H273" i="124"/>
  <c r="G273" i="124"/>
  <c r="F273" i="124"/>
  <c r="E273" i="124"/>
  <c r="AS272" i="124"/>
  <c r="K272" i="124"/>
  <c r="J272" i="124"/>
  <c r="I272" i="124"/>
  <c r="H272" i="124"/>
  <c r="Z272" i="124" s="1"/>
  <c r="G272" i="124"/>
  <c r="F272" i="124"/>
  <c r="O272" i="124" s="1"/>
  <c r="E272" i="124"/>
  <c r="AS271" i="124"/>
  <c r="K271" i="124"/>
  <c r="J271" i="124"/>
  <c r="I271" i="124"/>
  <c r="H271" i="124"/>
  <c r="G271" i="124"/>
  <c r="F271" i="124"/>
  <c r="O271" i="124" s="1"/>
  <c r="E271" i="124"/>
  <c r="AS270" i="124"/>
  <c r="K270" i="124"/>
  <c r="J270" i="124"/>
  <c r="I270" i="124"/>
  <c r="H270" i="124"/>
  <c r="Z270" i="124" s="1"/>
  <c r="G270" i="124"/>
  <c r="F270" i="124"/>
  <c r="E270" i="124"/>
  <c r="AS269" i="124"/>
  <c r="K269" i="124"/>
  <c r="J269" i="124"/>
  <c r="I269" i="124"/>
  <c r="H269" i="124"/>
  <c r="G269" i="124"/>
  <c r="F269" i="124"/>
  <c r="E269" i="124"/>
  <c r="AS268" i="124"/>
  <c r="K268" i="124"/>
  <c r="J268" i="124"/>
  <c r="I268" i="124"/>
  <c r="H268" i="124"/>
  <c r="Z268" i="124" s="1"/>
  <c r="G268" i="124"/>
  <c r="F268" i="124"/>
  <c r="O268" i="124" s="1"/>
  <c r="E268" i="124"/>
  <c r="AS267" i="124"/>
  <c r="K267" i="124"/>
  <c r="J267" i="124"/>
  <c r="I267" i="124"/>
  <c r="H267" i="124"/>
  <c r="G267" i="124"/>
  <c r="F267" i="124"/>
  <c r="O267" i="124" s="1"/>
  <c r="E267" i="124"/>
  <c r="AS266" i="124"/>
  <c r="K266" i="124"/>
  <c r="J266" i="124"/>
  <c r="I266" i="124"/>
  <c r="H266" i="124"/>
  <c r="Z266" i="124" s="1"/>
  <c r="G266" i="124"/>
  <c r="F266" i="124"/>
  <c r="E266" i="124"/>
  <c r="AS265" i="124"/>
  <c r="K265" i="124"/>
  <c r="J265" i="124"/>
  <c r="I265" i="124"/>
  <c r="H265" i="124"/>
  <c r="G265" i="124"/>
  <c r="F265" i="124"/>
  <c r="E265" i="124"/>
  <c r="AS264" i="124"/>
  <c r="K264" i="124"/>
  <c r="J264" i="124"/>
  <c r="I264" i="124"/>
  <c r="H264" i="124"/>
  <c r="Z264" i="124" s="1"/>
  <c r="G264" i="124"/>
  <c r="F264" i="124"/>
  <c r="O264" i="124" s="1"/>
  <c r="E264" i="124"/>
  <c r="AS263" i="124"/>
  <c r="K263" i="124"/>
  <c r="J263" i="124"/>
  <c r="I263" i="124"/>
  <c r="H263" i="124"/>
  <c r="G263" i="124"/>
  <c r="F263" i="124"/>
  <c r="O263" i="124" s="1"/>
  <c r="E263" i="124"/>
  <c r="AS262" i="124"/>
  <c r="K262" i="124"/>
  <c r="J262" i="124"/>
  <c r="I262" i="124"/>
  <c r="H262" i="124"/>
  <c r="Z262" i="124" s="1"/>
  <c r="G262" i="124"/>
  <c r="F262" i="124"/>
  <c r="E262" i="124"/>
  <c r="AS261" i="124"/>
  <c r="K261" i="124"/>
  <c r="J261" i="124"/>
  <c r="I261" i="124"/>
  <c r="H261" i="124"/>
  <c r="G261" i="124"/>
  <c r="F261" i="124"/>
  <c r="E261" i="124"/>
  <c r="AS260" i="124"/>
  <c r="K260" i="124"/>
  <c r="J260" i="124"/>
  <c r="I260" i="124"/>
  <c r="H260" i="124"/>
  <c r="Z260" i="124" s="1"/>
  <c r="G260" i="124"/>
  <c r="F260" i="124"/>
  <c r="O260" i="124" s="1"/>
  <c r="E260" i="124"/>
  <c r="AS259" i="124"/>
  <c r="K259" i="124"/>
  <c r="J259" i="124"/>
  <c r="I259" i="124"/>
  <c r="H259" i="124"/>
  <c r="G259" i="124"/>
  <c r="F259" i="124"/>
  <c r="O259" i="124" s="1"/>
  <c r="E259" i="124"/>
  <c r="AS258" i="124"/>
  <c r="K258" i="124"/>
  <c r="J258" i="124"/>
  <c r="I258" i="124"/>
  <c r="H258" i="124"/>
  <c r="Z258" i="124" s="1"/>
  <c r="G258" i="124"/>
  <c r="F258" i="124"/>
  <c r="E258" i="124"/>
  <c r="AS257" i="124"/>
  <c r="K257" i="124"/>
  <c r="J257" i="124"/>
  <c r="I257" i="124"/>
  <c r="H257" i="124"/>
  <c r="G257" i="124"/>
  <c r="F257" i="124"/>
  <c r="E257" i="124"/>
  <c r="AS256" i="124"/>
  <c r="K256" i="124"/>
  <c r="J256" i="124"/>
  <c r="I256" i="124"/>
  <c r="H256" i="124"/>
  <c r="Z256" i="124" s="1"/>
  <c r="G256" i="124"/>
  <c r="F256" i="124"/>
  <c r="O256" i="124" s="1"/>
  <c r="E256" i="124"/>
  <c r="AS255" i="124"/>
  <c r="K255" i="124"/>
  <c r="J255" i="124"/>
  <c r="I255" i="124"/>
  <c r="H255" i="124"/>
  <c r="G255" i="124"/>
  <c r="F255" i="124"/>
  <c r="O255" i="124" s="1"/>
  <c r="E255" i="124"/>
  <c r="AS254" i="124"/>
  <c r="K254" i="124"/>
  <c r="J254" i="124"/>
  <c r="I254" i="124"/>
  <c r="H254" i="124"/>
  <c r="Z254" i="124" s="1"/>
  <c r="G254" i="124"/>
  <c r="F254" i="124"/>
  <c r="E254" i="124"/>
  <c r="AS253" i="124"/>
  <c r="K253" i="124"/>
  <c r="J253" i="124"/>
  <c r="I253" i="124"/>
  <c r="H253" i="124"/>
  <c r="G253" i="124"/>
  <c r="F253" i="124"/>
  <c r="E253" i="124"/>
  <c r="AS252" i="124"/>
  <c r="K252" i="124"/>
  <c r="J252" i="124"/>
  <c r="I252" i="124"/>
  <c r="H252" i="124"/>
  <c r="G252" i="124"/>
  <c r="F252" i="124"/>
  <c r="E252" i="124"/>
  <c r="AS251" i="124"/>
  <c r="K251" i="124"/>
  <c r="J251" i="124"/>
  <c r="I251" i="124"/>
  <c r="H251" i="124"/>
  <c r="Z251" i="124" s="1"/>
  <c r="G251" i="124"/>
  <c r="F251" i="124"/>
  <c r="E251" i="124"/>
  <c r="AS250" i="124"/>
  <c r="K250" i="124"/>
  <c r="J250" i="124"/>
  <c r="I250" i="124"/>
  <c r="H250" i="124"/>
  <c r="Z250" i="124" s="1"/>
  <c r="G250" i="124"/>
  <c r="F250" i="124"/>
  <c r="E250" i="124"/>
  <c r="AS249" i="124"/>
  <c r="K249" i="124"/>
  <c r="J249" i="124"/>
  <c r="I249" i="124"/>
  <c r="H249" i="124"/>
  <c r="Z249" i="124" s="1"/>
  <c r="G249" i="124"/>
  <c r="F249" i="124"/>
  <c r="E249" i="124"/>
  <c r="AS248" i="124"/>
  <c r="K248" i="124"/>
  <c r="J248" i="124"/>
  <c r="I248" i="124"/>
  <c r="H248" i="124"/>
  <c r="Z248" i="124" s="1"/>
  <c r="G248" i="124"/>
  <c r="F248" i="124"/>
  <c r="E248" i="124"/>
  <c r="AS247" i="124"/>
  <c r="K247" i="124"/>
  <c r="J247" i="124"/>
  <c r="I247" i="124"/>
  <c r="H247" i="124"/>
  <c r="Z247" i="124" s="1"/>
  <c r="G247" i="124"/>
  <c r="F247" i="124"/>
  <c r="E247" i="124"/>
  <c r="AS246" i="124"/>
  <c r="K246" i="124"/>
  <c r="J246" i="124"/>
  <c r="I246" i="124"/>
  <c r="H246" i="124"/>
  <c r="Z246" i="124" s="1"/>
  <c r="G246" i="124"/>
  <c r="F246" i="124"/>
  <c r="E246" i="124"/>
  <c r="AS245" i="124"/>
  <c r="K245" i="124"/>
  <c r="J245" i="124"/>
  <c r="I245" i="124"/>
  <c r="H245" i="124"/>
  <c r="Z245" i="124" s="1"/>
  <c r="G245" i="124"/>
  <c r="F245" i="124"/>
  <c r="E245" i="124"/>
  <c r="AS244" i="124"/>
  <c r="K244" i="124"/>
  <c r="J244" i="124"/>
  <c r="I244" i="124"/>
  <c r="H244" i="124"/>
  <c r="Z244" i="124" s="1"/>
  <c r="G244" i="124"/>
  <c r="F244" i="124"/>
  <c r="E244" i="124"/>
  <c r="AS243" i="124"/>
  <c r="K243" i="124"/>
  <c r="J243" i="124"/>
  <c r="I243" i="124"/>
  <c r="H243" i="124"/>
  <c r="Z243" i="124" s="1"/>
  <c r="G243" i="124"/>
  <c r="F243" i="124"/>
  <c r="E243" i="124"/>
  <c r="AS242" i="124"/>
  <c r="K242" i="124"/>
  <c r="J242" i="124"/>
  <c r="I242" i="124"/>
  <c r="H242" i="124"/>
  <c r="Z242" i="124" s="1"/>
  <c r="G242" i="124"/>
  <c r="F242" i="124"/>
  <c r="E242" i="124"/>
  <c r="AS241" i="124"/>
  <c r="K241" i="124"/>
  <c r="J241" i="124"/>
  <c r="I241" i="124"/>
  <c r="H241" i="124"/>
  <c r="Z241" i="124" s="1"/>
  <c r="G241" i="124"/>
  <c r="F241" i="124"/>
  <c r="E241" i="124"/>
  <c r="AS240" i="124"/>
  <c r="K240" i="124"/>
  <c r="J240" i="124"/>
  <c r="I240" i="124"/>
  <c r="H240" i="124"/>
  <c r="Z240" i="124" s="1"/>
  <c r="G240" i="124"/>
  <c r="F240" i="124"/>
  <c r="E240" i="124"/>
  <c r="AS239" i="124"/>
  <c r="K239" i="124"/>
  <c r="J239" i="124"/>
  <c r="I239" i="124"/>
  <c r="H239" i="124"/>
  <c r="Z239" i="124" s="1"/>
  <c r="G239" i="124"/>
  <c r="F239" i="124"/>
  <c r="E239" i="124"/>
  <c r="AS238" i="124"/>
  <c r="K238" i="124"/>
  <c r="J238" i="124"/>
  <c r="I238" i="124"/>
  <c r="H238" i="124"/>
  <c r="Z238" i="124" s="1"/>
  <c r="G238" i="124"/>
  <c r="F238" i="124"/>
  <c r="E238" i="124"/>
  <c r="AS237" i="124"/>
  <c r="K237" i="124"/>
  <c r="J237" i="124"/>
  <c r="I237" i="124"/>
  <c r="H237" i="124"/>
  <c r="Z237" i="124" s="1"/>
  <c r="G237" i="124"/>
  <c r="F237" i="124"/>
  <c r="E237" i="124"/>
  <c r="AS236" i="124"/>
  <c r="K236" i="124"/>
  <c r="J236" i="124"/>
  <c r="I236" i="124"/>
  <c r="H236" i="124"/>
  <c r="Z236" i="124" s="1"/>
  <c r="G236" i="124"/>
  <c r="F236" i="124"/>
  <c r="E236" i="124"/>
  <c r="AS235" i="124"/>
  <c r="K235" i="124"/>
  <c r="J235" i="124"/>
  <c r="I235" i="124"/>
  <c r="H235" i="124"/>
  <c r="Z235" i="124" s="1"/>
  <c r="G235" i="124"/>
  <c r="F235" i="124"/>
  <c r="E235" i="124"/>
  <c r="AS234" i="124"/>
  <c r="K234" i="124"/>
  <c r="J234" i="124"/>
  <c r="I234" i="124"/>
  <c r="H234" i="124"/>
  <c r="Z234" i="124" s="1"/>
  <c r="G234" i="124"/>
  <c r="F234" i="124"/>
  <c r="E234" i="124"/>
  <c r="AS233" i="124"/>
  <c r="K233" i="124"/>
  <c r="J233" i="124"/>
  <c r="I233" i="124"/>
  <c r="H233" i="124"/>
  <c r="Z233" i="124" s="1"/>
  <c r="G233" i="124"/>
  <c r="F233" i="124"/>
  <c r="E233" i="124"/>
  <c r="AS232" i="124"/>
  <c r="K232" i="124"/>
  <c r="J232" i="124"/>
  <c r="I232" i="124"/>
  <c r="H232" i="124"/>
  <c r="Z232" i="124" s="1"/>
  <c r="G232" i="124"/>
  <c r="F232" i="124"/>
  <c r="E232" i="124"/>
  <c r="AS231" i="124"/>
  <c r="K231" i="124"/>
  <c r="J231" i="124"/>
  <c r="I231" i="124"/>
  <c r="H231" i="124"/>
  <c r="Z231" i="124" s="1"/>
  <c r="G231" i="124"/>
  <c r="F231" i="124"/>
  <c r="E231" i="124"/>
  <c r="AS230" i="124"/>
  <c r="K230" i="124"/>
  <c r="J230" i="124"/>
  <c r="I230" i="124"/>
  <c r="H230" i="124"/>
  <c r="Z230" i="124" s="1"/>
  <c r="G230" i="124"/>
  <c r="F230" i="124"/>
  <c r="E230" i="124"/>
  <c r="AS229" i="124"/>
  <c r="K229" i="124"/>
  <c r="J229" i="124"/>
  <c r="I229" i="124"/>
  <c r="H229" i="124"/>
  <c r="Z229" i="124" s="1"/>
  <c r="G229" i="124"/>
  <c r="F229" i="124"/>
  <c r="E229" i="124"/>
  <c r="AS228" i="124"/>
  <c r="K228" i="124"/>
  <c r="J228" i="124"/>
  <c r="I228" i="124"/>
  <c r="H228" i="124"/>
  <c r="G228" i="124"/>
  <c r="F228" i="124"/>
  <c r="E228" i="124"/>
  <c r="AS227" i="124"/>
  <c r="K227" i="124"/>
  <c r="J227" i="124"/>
  <c r="I227" i="124"/>
  <c r="H227" i="124"/>
  <c r="G227" i="124"/>
  <c r="F227" i="124"/>
  <c r="E227" i="124"/>
  <c r="AS226" i="124"/>
  <c r="K226" i="124"/>
  <c r="J226" i="124"/>
  <c r="I226" i="124"/>
  <c r="H226" i="124"/>
  <c r="Z226" i="124" s="1"/>
  <c r="G226" i="124"/>
  <c r="F226" i="124"/>
  <c r="E226" i="124"/>
  <c r="AS225" i="124"/>
  <c r="K225" i="124"/>
  <c r="J225" i="124"/>
  <c r="I225" i="124"/>
  <c r="H225" i="124"/>
  <c r="G225" i="124"/>
  <c r="F225" i="124"/>
  <c r="E225" i="124"/>
  <c r="AS224" i="124"/>
  <c r="K224" i="124"/>
  <c r="J224" i="124"/>
  <c r="I224" i="124"/>
  <c r="H224" i="124"/>
  <c r="G224" i="124"/>
  <c r="F224" i="124"/>
  <c r="E224" i="124"/>
  <c r="AS223" i="124"/>
  <c r="K223" i="124"/>
  <c r="J223" i="124"/>
  <c r="I223" i="124"/>
  <c r="H223" i="124"/>
  <c r="G223" i="124"/>
  <c r="F223" i="124"/>
  <c r="E223" i="124"/>
  <c r="AS222" i="124"/>
  <c r="K222" i="124"/>
  <c r="J222" i="124"/>
  <c r="I222" i="124"/>
  <c r="H222" i="124"/>
  <c r="G222" i="124"/>
  <c r="F222" i="124"/>
  <c r="E222" i="124"/>
  <c r="AS221" i="124"/>
  <c r="K221" i="124"/>
  <c r="J221" i="124"/>
  <c r="I221" i="124"/>
  <c r="H221" i="124"/>
  <c r="G221" i="124"/>
  <c r="F221" i="124"/>
  <c r="E221" i="124"/>
  <c r="AS220" i="124"/>
  <c r="K220" i="124"/>
  <c r="J220" i="124"/>
  <c r="I220" i="124"/>
  <c r="H220" i="124"/>
  <c r="G220" i="124"/>
  <c r="F220" i="124"/>
  <c r="E220" i="124"/>
  <c r="AS306" i="124"/>
  <c r="K306" i="124"/>
  <c r="J306" i="124"/>
  <c r="I306" i="124"/>
  <c r="H306" i="124"/>
  <c r="G306" i="124"/>
  <c r="F306" i="124"/>
  <c r="E306" i="124"/>
  <c r="AS218" i="124"/>
  <c r="K218" i="124"/>
  <c r="J218" i="124"/>
  <c r="I218" i="124"/>
  <c r="H218" i="124"/>
  <c r="G218" i="124"/>
  <c r="F218" i="124"/>
  <c r="E218" i="124"/>
  <c r="AS217" i="124"/>
  <c r="K217" i="124"/>
  <c r="J217" i="124"/>
  <c r="I217" i="124"/>
  <c r="H217" i="124"/>
  <c r="G217" i="124"/>
  <c r="F217" i="124"/>
  <c r="E217" i="124"/>
  <c r="AS216" i="124"/>
  <c r="K216" i="124"/>
  <c r="J216" i="124"/>
  <c r="I216" i="124"/>
  <c r="H216" i="124"/>
  <c r="G216" i="124"/>
  <c r="F216" i="124"/>
  <c r="E216" i="124"/>
  <c r="AS215" i="124"/>
  <c r="K215" i="124"/>
  <c r="J215" i="124"/>
  <c r="I215" i="124"/>
  <c r="H215" i="124"/>
  <c r="G215" i="124"/>
  <c r="F215" i="124"/>
  <c r="E215" i="124"/>
  <c r="AS214" i="124"/>
  <c r="K214" i="124"/>
  <c r="J214" i="124"/>
  <c r="I214" i="124"/>
  <c r="H214" i="124"/>
  <c r="G214" i="124"/>
  <c r="F214" i="124"/>
  <c r="E214" i="124"/>
  <c r="AS213" i="124"/>
  <c r="K213" i="124"/>
  <c r="J213" i="124"/>
  <c r="I213" i="124"/>
  <c r="H213" i="124"/>
  <c r="G213" i="124"/>
  <c r="F213" i="124"/>
  <c r="E213" i="124"/>
  <c r="AS212" i="124"/>
  <c r="K212" i="124"/>
  <c r="J212" i="124"/>
  <c r="I212" i="124"/>
  <c r="H212" i="124"/>
  <c r="G212" i="124"/>
  <c r="F212" i="124"/>
  <c r="E212" i="124"/>
  <c r="AS211" i="124"/>
  <c r="K211" i="124"/>
  <c r="J211" i="124"/>
  <c r="I211" i="124"/>
  <c r="H211" i="124"/>
  <c r="G211" i="124"/>
  <c r="F211" i="124"/>
  <c r="E211" i="124"/>
  <c r="AS210" i="124"/>
  <c r="K210" i="124"/>
  <c r="J210" i="124"/>
  <c r="I210" i="124"/>
  <c r="H210" i="124"/>
  <c r="G210" i="124"/>
  <c r="F210" i="124"/>
  <c r="E210" i="124"/>
  <c r="AS209" i="124"/>
  <c r="K209" i="124"/>
  <c r="J209" i="124"/>
  <c r="I209" i="124"/>
  <c r="H209" i="124"/>
  <c r="G209" i="124"/>
  <c r="F209" i="124"/>
  <c r="E209" i="124"/>
  <c r="AS208" i="124"/>
  <c r="K208" i="124"/>
  <c r="J208" i="124"/>
  <c r="I208" i="124"/>
  <c r="H208" i="124"/>
  <c r="G208" i="124"/>
  <c r="F208" i="124"/>
  <c r="E208" i="124"/>
  <c r="AS207" i="124"/>
  <c r="K207" i="124"/>
  <c r="J207" i="124"/>
  <c r="I207" i="124"/>
  <c r="H207" i="124"/>
  <c r="G207" i="124"/>
  <c r="F207" i="124"/>
  <c r="E207" i="124"/>
  <c r="AS206" i="124"/>
  <c r="K206" i="124"/>
  <c r="J206" i="124"/>
  <c r="I206" i="124"/>
  <c r="H206" i="124"/>
  <c r="G206" i="124"/>
  <c r="F206" i="124"/>
  <c r="E206" i="124"/>
  <c r="AS205" i="124"/>
  <c r="K205" i="124"/>
  <c r="J205" i="124"/>
  <c r="I205" i="124"/>
  <c r="H205" i="124"/>
  <c r="Z205" i="124" s="1"/>
  <c r="G205" i="124"/>
  <c r="F205" i="124"/>
  <c r="E205" i="124"/>
  <c r="AS204" i="124"/>
  <c r="K204" i="124"/>
  <c r="J204" i="124"/>
  <c r="I204" i="124"/>
  <c r="H204" i="124"/>
  <c r="G204" i="124"/>
  <c r="F204" i="124"/>
  <c r="E204" i="124"/>
  <c r="AS292" i="124"/>
  <c r="K292" i="124"/>
  <c r="J292" i="124"/>
  <c r="I292" i="124"/>
  <c r="H292" i="124"/>
  <c r="G292" i="124"/>
  <c r="F292" i="124"/>
  <c r="E292" i="124"/>
  <c r="AS202" i="124"/>
  <c r="K202" i="124"/>
  <c r="J202" i="124"/>
  <c r="I202" i="124"/>
  <c r="H202" i="124"/>
  <c r="G202" i="124"/>
  <c r="F202" i="124"/>
  <c r="O202" i="124" s="1"/>
  <c r="E202" i="124"/>
  <c r="AS201" i="124"/>
  <c r="K201" i="124"/>
  <c r="J201" i="124"/>
  <c r="I201" i="124"/>
  <c r="H201" i="124"/>
  <c r="Z201" i="124" s="1"/>
  <c r="AG201" i="124" s="1"/>
  <c r="AH201" i="124" s="1"/>
  <c r="G201" i="124"/>
  <c r="F201" i="124"/>
  <c r="E201" i="124"/>
  <c r="AS200" i="124"/>
  <c r="K200" i="124"/>
  <c r="J200" i="124"/>
  <c r="I200" i="124"/>
  <c r="H200" i="124"/>
  <c r="G200" i="124"/>
  <c r="F200" i="124"/>
  <c r="E200" i="124"/>
  <c r="AS199" i="124"/>
  <c r="K199" i="124"/>
  <c r="AJ199" i="124" s="1"/>
  <c r="J199" i="124"/>
  <c r="I199" i="124"/>
  <c r="P199" i="124" s="1"/>
  <c r="H199" i="124"/>
  <c r="Z199" i="124" s="1"/>
  <c r="AG199" i="124" s="1"/>
  <c r="AH199" i="124" s="1"/>
  <c r="G199" i="124"/>
  <c r="F199" i="124"/>
  <c r="E199" i="124"/>
  <c r="AS198" i="124"/>
  <c r="K198" i="124"/>
  <c r="J198" i="124"/>
  <c r="I198" i="124"/>
  <c r="H198" i="124"/>
  <c r="Z198" i="124" s="1"/>
  <c r="AG198" i="124" s="1"/>
  <c r="AH198" i="124" s="1"/>
  <c r="G198" i="124"/>
  <c r="F198" i="124"/>
  <c r="E198" i="124"/>
  <c r="AS197" i="124"/>
  <c r="K197" i="124"/>
  <c r="J197" i="124"/>
  <c r="I197" i="124"/>
  <c r="H197" i="124"/>
  <c r="Z197" i="124" s="1"/>
  <c r="AG197" i="124" s="1"/>
  <c r="AH197" i="124" s="1"/>
  <c r="G197" i="124"/>
  <c r="F197" i="124"/>
  <c r="E197" i="124"/>
  <c r="AS196" i="124"/>
  <c r="K196" i="124"/>
  <c r="AJ196" i="124" s="1"/>
  <c r="J196" i="124"/>
  <c r="I196" i="124"/>
  <c r="H196" i="124"/>
  <c r="Z196" i="124" s="1"/>
  <c r="AG196" i="124" s="1"/>
  <c r="AH196" i="124" s="1"/>
  <c r="G196" i="124"/>
  <c r="F196" i="124"/>
  <c r="E196" i="124"/>
  <c r="AS195" i="124"/>
  <c r="K195" i="124"/>
  <c r="J195" i="124"/>
  <c r="I195" i="124"/>
  <c r="H195" i="124"/>
  <c r="Z195" i="124" s="1"/>
  <c r="AG195" i="124" s="1"/>
  <c r="AH195" i="124" s="1"/>
  <c r="G195" i="124"/>
  <c r="F195" i="124"/>
  <c r="E195" i="124"/>
  <c r="AS194" i="124"/>
  <c r="K194" i="124"/>
  <c r="J194" i="124"/>
  <c r="I194" i="124"/>
  <c r="H194" i="124"/>
  <c r="Z194" i="124" s="1"/>
  <c r="AG194" i="124" s="1"/>
  <c r="AH194" i="124" s="1"/>
  <c r="G194" i="124"/>
  <c r="F194" i="124"/>
  <c r="O194" i="124" s="1"/>
  <c r="E194" i="124"/>
  <c r="AS193" i="124"/>
  <c r="K193" i="124"/>
  <c r="J193" i="124"/>
  <c r="I193" i="124"/>
  <c r="H193" i="124"/>
  <c r="Z193" i="124" s="1"/>
  <c r="AG193" i="124" s="1"/>
  <c r="AH193" i="124" s="1"/>
  <c r="G193" i="124"/>
  <c r="F193" i="124"/>
  <c r="E193" i="124"/>
  <c r="AS192" i="124"/>
  <c r="K192" i="124"/>
  <c r="J192" i="124"/>
  <c r="I192" i="124"/>
  <c r="H192" i="124"/>
  <c r="Z192" i="124" s="1"/>
  <c r="AG192" i="124" s="1"/>
  <c r="AH192" i="124" s="1"/>
  <c r="G192" i="124"/>
  <c r="F192" i="124"/>
  <c r="E192" i="124"/>
  <c r="AS191" i="124"/>
  <c r="K191" i="124"/>
  <c r="AJ191" i="124" s="1"/>
  <c r="J191" i="124"/>
  <c r="I191" i="124"/>
  <c r="P191" i="124" s="1"/>
  <c r="H191" i="124"/>
  <c r="Z191" i="124" s="1"/>
  <c r="AG191" i="124" s="1"/>
  <c r="AH191" i="124" s="1"/>
  <c r="G191" i="124"/>
  <c r="E191" i="124" s="1"/>
  <c r="F191" i="124"/>
  <c r="AS190" i="124"/>
  <c r="K190" i="124"/>
  <c r="J190" i="124"/>
  <c r="I190" i="124"/>
  <c r="H190" i="124"/>
  <c r="Z190" i="124" s="1"/>
  <c r="AG190" i="124" s="1"/>
  <c r="AH190" i="124" s="1"/>
  <c r="G190" i="124"/>
  <c r="E190" i="124" s="1"/>
  <c r="F190" i="124"/>
  <c r="AS189" i="124"/>
  <c r="K189" i="124"/>
  <c r="J189" i="124"/>
  <c r="I189" i="124"/>
  <c r="H189" i="124"/>
  <c r="Z189" i="124" s="1"/>
  <c r="AG189" i="124" s="1"/>
  <c r="AH189" i="124" s="1"/>
  <c r="G189" i="124"/>
  <c r="E189" i="124" s="1"/>
  <c r="F189" i="124"/>
  <c r="AS188" i="124"/>
  <c r="K188" i="124"/>
  <c r="AJ188" i="124" s="1"/>
  <c r="J188" i="124"/>
  <c r="I188" i="124"/>
  <c r="H188" i="124"/>
  <c r="Z188" i="124" s="1"/>
  <c r="AG188" i="124" s="1"/>
  <c r="AH188" i="124" s="1"/>
  <c r="G188" i="124"/>
  <c r="E188" i="124" s="1"/>
  <c r="F188" i="124"/>
  <c r="AS187" i="124"/>
  <c r="K187" i="124"/>
  <c r="J187" i="124"/>
  <c r="I187" i="124"/>
  <c r="H187" i="124"/>
  <c r="Z187" i="124" s="1"/>
  <c r="AG187" i="124" s="1"/>
  <c r="AH187" i="124" s="1"/>
  <c r="G187" i="124"/>
  <c r="F187" i="124"/>
  <c r="E187" i="124"/>
  <c r="AS186" i="124"/>
  <c r="K186" i="124"/>
  <c r="J186" i="124"/>
  <c r="I186" i="124"/>
  <c r="H186" i="124"/>
  <c r="G186" i="124"/>
  <c r="F186" i="124"/>
  <c r="E186" i="124"/>
  <c r="AS185" i="124"/>
  <c r="K185" i="124"/>
  <c r="J185" i="124"/>
  <c r="I185" i="124"/>
  <c r="H185" i="124"/>
  <c r="G185" i="124"/>
  <c r="F185" i="124"/>
  <c r="E185" i="124"/>
  <c r="AS184" i="124"/>
  <c r="K184" i="124"/>
  <c r="J184" i="124"/>
  <c r="I184" i="124"/>
  <c r="H184" i="124"/>
  <c r="G184" i="124"/>
  <c r="F184" i="124"/>
  <c r="E184" i="124"/>
  <c r="AS183" i="124"/>
  <c r="K183" i="124"/>
  <c r="J183" i="124"/>
  <c r="I183" i="124"/>
  <c r="H183" i="124"/>
  <c r="G183" i="124"/>
  <c r="F183" i="124"/>
  <c r="E183" i="124"/>
  <c r="AS182" i="124"/>
  <c r="K182" i="124"/>
  <c r="J182" i="124"/>
  <c r="I182" i="124"/>
  <c r="H182" i="124"/>
  <c r="Z182" i="124" s="1"/>
  <c r="G182" i="124"/>
  <c r="F182" i="124"/>
  <c r="E182" i="124"/>
  <c r="AS291" i="124"/>
  <c r="K291" i="124"/>
  <c r="J291" i="124"/>
  <c r="I291" i="124"/>
  <c r="H291" i="124"/>
  <c r="Z291" i="124" s="1"/>
  <c r="G291" i="124"/>
  <c r="F291" i="124"/>
  <c r="E291" i="124"/>
  <c r="AS180" i="124"/>
  <c r="K180" i="124"/>
  <c r="J180" i="124"/>
  <c r="I180" i="124"/>
  <c r="H180" i="124"/>
  <c r="G180" i="124"/>
  <c r="F180" i="124"/>
  <c r="E180" i="124"/>
  <c r="AS179" i="124"/>
  <c r="K179" i="124"/>
  <c r="J179" i="124"/>
  <c r="I179" i="124"/>
  <c r="H179" i="124"/>
  <c r="G179" i="124"/>
  <c r="F179" i="124"/>
  <c r="E179" i="124"/>
  <c r="AS178" i="124"/>
  <c r="K178" i="124"/>
  <c r="J178" i="124"/>
  <c r="I178" i="124"/>
  <c r="H178" i="124"/>
  <c r="G178" i="124"/>
  <c r="F178" i="124"/>
  <c r="E178" i="124"/>
  <c r="AS177" i="124"/>
  <c r="K177" i="124"/>
  <c r="J177" i="124"/>
  <c r="I177" i="124"/>
  <c r="H177" i="124"/>
  <c r="G177" i="124"/>
  <c r="F177" i="124"/>
  <c r="E177" i="124"/>
  <c r="AS176" i="124"/>
  <c r="K176" i="124"/>
  <c r="J176" i="124"/>
  <c r="I176" i="124"/>
  <c r="H176" i="124"/>
  <c r="G176" i="124"/>
  <c r="F176" i="124"/>
  <c r="E176" i="124"/>
  <c r="AS175" i="124"/>
  <c r="K175" i="124"/>
  <c r="J175" i="124"/>
  <c r="I175" i="124"/>
  <c r="H175" i="124"/>
  <c r="G175" i="124"/>
  <c r="F175" i="124"/>
  <c r="E175" i="124"/>
  <c r="AS174" i="124"/>
  <c r="K174" i="124"/>
  <c r="J174" i="124"/>
  <c r="I174" i="124"/>
  <c r="H174" i="124"/>
  <c r="G174" i="124"/>
  <c r="F174" i="124"/>
  <c r="E174" i="124"/>
  <c r="AS173" i="124"/>
  <c r="K173" i="124"/>
  <c r="J173" i="124"/>
  <c r="I173" i="124"/>
  <c r="H173" i="124"/>
  <c r="G173" i="124"/>
  <c r="F173" i="124"/>
  <c r="E173" i="124"/>
  <c r="AS172" i="124"/>
  <c r="K172" i="124"/>
  <c r="J172" i="124"/>
  <c r="I172" i="124"/>
  <c r="H172" i="124"/>
  <c r="G172" i="124"/>
  <c r="F172" i="124"/>
  <c r="E172" i="124"/>
  <c r="AS171" i="124"/>
  <c r="K171" i="124"/>
  <c r="J171" i="124"/>
  <c r="I171" i="124"/>
  <c r="H171" i="124"/>
  <c r="G171" i="124"/>
  <c r="F171" i="124"/>
  <c r="E171" i="124"/>
  <c r="AS170" i="124"/>
  <c r="K170" i="124"/>
  <c r="J170" i="124"/>
  <c r="I170" i="124"/>
  <c r="H170" i="124"/>
  <c r="G170" i="124"/>
  <c r="F170" i="124"/>
  <c r="E170" i="124"/>
  <c r="AS169" i="124"/>
  <c r="K169" i="124"/>
  <c r="J169" i="124"/>
  <c r="I169" i="124"/>
  <c r="H169" i="124"/>
  <c r="G169" i="124"/>
  <c r="F169" i="124"/>
  <c r="E169" i="124"/>
  <c r="AS168" i="124"/>
  <c r="K168" i="124"/>
  <c r="J168" i="124"/>
  <c r="I168" i="124"/>
  <c r="H168" i="124"/>
  <c r="Z168" i="124" s="1"/>
  <c r="G168" i="124"/>
  <c r="F168" i="124"/>
  <c r="E168" i="124"/>
  <c r="AS290" i="124"/>
  <c r="K290" i="124"/>
  <c r="J290" i="124"/>
  <c r="I290" i="124"/>
  <c r="H290" i="124"/>
  <c r="G290" i="124"/>
  <c r="F290" i="124"/>
  <c r="E290" i="124"/>
  <c r="AS219" i="124"/>
  <c r="K219" i="124"/>
  <c r="J219" i="124"/>
  <c r="I219" i="124"/>
  <c r="H219" i="124"/>
  <c r="G219" i="124"/>
  <c r="F219" i="124"/>
  <c r="E219" i="124"/>
  <c r="AS203" i="124"/>
  <c r="K203" i="124"/>
  <c r="J203" i="124"/>
  <c r="I203" i="124"/>
  <c r="H203" i="124"/>
  <c r="G203" i="124"/>
  <c r="F203" i="124"/>
  <c r="E203" i="124"/>
  <c r="AS181" i="124"/>
  <c r="K181" i="124"/>
  <c r="J181" i="124"/>
  <c r="I181" i="124"/>
  <c r="H181" i="124"/>
  <c r="G181" i="124"/>
  <c r="F181" i="124"/>
  <c r="E181" i="124"/>
  <c r="AS163" i="124"/>
  <c r="K163" i="124"/>
  <c r="J163" i="124"/>
  <c r="I163" i="124"/>
  <c r="H163" i="124"/>
  <c r="Z163" i="124" s="1"/>
  <c r="G163" i="124"/>
  <c r="F163" i="124"/>
  <c r="E163" i="124"/>
  <c r="AS167" i="124"/>
  <c r="K167" i="124"/>
  <c r="J167" i="124"/>
  <c r="I167" i="124"/>
  <c r="H167" i="124"/>
  <c r="G167" i="124"/>
  <c r="F167" i="124"/>
  <c r="E167" i="124"/>
  <c r="AS161" i="124"/>
  <c r="K161" i="124"/>
  <c r="J161" i="124"/>
  <c r="I161" i="124"/>
  <c r="H161" i="124"/>
  <c r="Z161" i="124" s="1"/>
  <c r="G161" i="124"/>
  <c r="F161" i="124"/>
  <c r="E161" i="124"/>
  <c r="AS160" i="124"/>
  <c r="K160" i="124"/>
  <c r="J160" i="124"/>
  <c r="I160" i="124"/>
  <c r="H160" i="124"/>
  <c r="G160" i="124"/>
  <c r="F160" i="124"/>
  <c r="E160" i="124"/>
  <c r="AS159" i="124"/>
  <c r="K159" i="124"/>
  <c r="J159" i="124"/>
  <c r="I159" i="124"/>
  <c r="H159" i="124"/>
  <c r="G159" i="124"/>
  <c r="F159" i="124"/>
  <c r="E159" i="124"/>
  <c r="AS158" i="124"/>
  <c r="K158" i="124"/>
  <c r="J158" i="124"/>
  <c r="I158" i="124"/>
  <c r="H158" i="124"/>
  <c r="G158" i="124"/>
  <c r="F158" i="124"/>
  <c r="E158" i="124"/>
  <c r="AS157" i="124"/>
  <c r="K157" i="124"/>
  <c r="J157" i="124"/>
  <c r="I157" i="124"/>
  <c r="H157" i="124"/>
  <c r="G157" i="124"/>
  <c r="F157" i="124"/>
  <c r="E157" i="124"/>
  <c r="AS156" i="124"/>
  <c r="K156" i="124"/>
  <c r="J156" i="124"/>
  <c r="I156" i="124"/>
  <c r="H156" i="124"/>
  <c r="G156" i="124"/>
  <c r="F156" i="124"/>
  <c r="E156" i="124"/>
  <c r="AS155" i="124"/>
  <c r="K155" i="124"/>
  <c r="J155" i="124"/>
  <c r="I155" i="124"/>
  <c r="H155" i="124"/>
  <c r="G155" i="124"/>
  <c r="F155" i="124"/>
  <c r="E155" i="124"/>
  <c r="AS154" i="124"/>
  <c r="K154" i="124"/>
  <c r="J154" i="124"/>
  <c r="I154" i="124"/>
  <c r="H154" i="124"/>
  <c r="G154" i="124"/>
  <c r="F154" i="124"/>
  <c r="E154" i="124"/>
  <c r="AS153" i="124"/>
  <c r="K153" i="124"/>
  <c r="J153" i="124"/>
  <c r="I153" i="124"/>
  <c r="H153" i="124"/>
  <c r="Z153" i="124" s="1"/>
  <c r="G153" i="124"/>
  <c r="F153" i="124"/>
  <c r="E153" i="124"/>
  <c r="AS152" i="124"/>
  <c r="K152" i="124"/>
  <c r="J152" i="124"/>
  <c r="I152" i="124"/>
  <c r="H152" i="124"/>
  <c r="G152" i="124"/>
  <c r="F152" i="124"/>
  <c r="E152" i="124"/>
  <c r="AS151" i="124"/>
  <c r="K151" i="124"/>
  <c r="J151" i="124"/>
  <c r="I151" i="124"/>
  <c r="H151" i="124"/>
  <c r="G151" i="124"/>
  <c r="F151" i="124"/>
  <c r="E151" i="124"/>
  <c r="AS150" i="124"/>
  <c r="K150" i="124"/>
  <c r="J150" i="124"/>
  <c r="I150" i="124"/>
  <c r="H150" i="124"/>
  <c r="G150" i="124"/>
  <c r="F150" i="124"/>
  <c r="E150" i="124"/>
  <c r="AS149" i="124"/>
  <c r="K149" i="124"/>
  <c r="J149" i="124"/>
  <c r="I149" i="124"/>
  <c r="H149" i="124"/>
  <c r="G149" i="124"/>
  <c r="F149" i="124"/>
  <c r="E149" i="124"/>
  <c r="AS148" i="124"/>
  <c r="K148" i="124"/>
  <c r="J148" i="124"/>
  <c r="I148" i="124"/>
  <c r="H148" i="124"/>
  <c r="Z148" i="124" s="1"/>
  <c r="G148" i="124"/>
  <c r="F148" i="124"/>
  <c r="E148" i="124"/>
  <c r="AS147" i="124"/>
  <c r="K147" i="124"/>
  <c r="J147" i="124"/>
  <c r="I147" i="124"/>
  <c r="H147" i="124"/>
  <c r="G147" i="124"/>
  <c r="F147" i="124"/>
  <c r="E147" i="124"/>
  <c r="AW146" i="124"/>
  <c r="AS146" i="124"/>
  <c r="K146" i="124"/>
  <c r="J146" i="124"/>
  <c r="I146" i="124"/>
  <c r="H146" i="124"/>
  <c r="G146" i="124"/>
  <c r="E146" i="124" s="1"/>
  <c r="F146" i="124"/>
  <c r="AS145" i="124"/>
  <c r="K145" i="124"/>
  <c r="J145" i="124"/>
  <c r="I145" i="124"/>
  <c r="H145" i="124"/>
  <c r="G145" i="124"/>
  <c r="E145" i="124" s="1"/>
  <c r="F145" i="124"/>
  <c r="AS144" i="124"/>
  <c r="K144" i="124"/>
  <c r="J144" i="124"/>
  <c r="I144" i="124"/>
  <c r="H144" i="124"/>
  <c r="G144" i="124"/>
  <c r="E144" i="124" s="1"/>
  <c r="F144" i="124"/>
  <c r="AS143" i="124"/>
  <c r="K143" i="124"/>
  <c r="J143" i="124"/>
  <c r="I143" i="124"/>
  <c r="H143" i="124"/>
  <c r="G143" i="124"/>
  <c r="E143" i="124" s="1"/>
  <c r="F143" i="124"/>
  <c r="AS142" i="124"/>
  <c r="K142" i="124"/>
  <c r="J142" i="124"/>
  <c r="I142" i="124"/>
  <c r="H142" i="124"/>
  <c r="G142" i="124"/>
  <c r="E142" i="124" s="1"/>
  <c r="F142" i="124"/>
  <c r="AS141" i="124"/>
  <c r="K141" i="124"/>
  <c r="J141" i="124"/>
  <c r="I141" i="124"/>
  <c r="H141" i="124"/>
  <c r="G141" i="124"/>
  <c r="E141" i="124" s="1"/>
  <c r="F141" i="124"/>
  <c r="AS140" i="124"/>
  <c r="K140" i="124"/>
  <c r="J140" i="124"/>
  <c r="I140" i="124"/>
  <c r="H140" i="124"/>
  <c r="G140" i="124"/>
  <c r="E140" i="124" s="1"/>
  <c r="F140" i="124"/>
  <c r="AS139" i="124"/>
  <c r="K139" i="124"/>
  <c r="J139" i="124"/>
  <c r="I139" i="124"/>
  <c r="H139" i="124"/>
  <c r="G139" i="124"/>
  <c r="E139" i="124" s="1"/>
  <c r="F139" i="124"/>
  <c r="AS138" i="124"/>
  <c r="K138" i="124"/>
  <c r="J138" i="124"/>
  <c r="I138" i="124"/>
  <c r="H138" i="124"/>
  <c r="G138" i="124"/>
  <c r="E138" i="124" s="1"/>
  <c r="F138" i="124"/>
  <c r="AS137" i="124"/>
  <c r="K137" i="124"/>
  <c r="J137" i="124"/>
  <c r="I137" i="124"/>
  <c r="H137" i="124"/>
  <c r="G137" i="124"/>
  <c r="E137" i="124" s="1"/>
  <c r="F137" i="124"/>
  <c r="AS136" i="124"/>
  <c r="K136" i="124"/>
  <c r="J136" i="124"/>
  <c r="I136" i="124"/>
  <c r="H136" i="124"/>
  <c r="G136" i="124"/>
  <c r="E136" i="124" s="1"/>
  <c r="F136" i="124"/>
  <c r="AS135" i="124"/>
  <c r="K135" i="124"/>
  <c r="J135" i="124"/>
  <c r="I135" i="124"/>
  <c r="H135" i="124"/>
  <c r="G135" i="124"/>
  <c r="E135" i="124" s="1"/>
  <c r="F135" i="124"/>
  <c r="AS134" i="124"/>
  <c r="K134" i="124"/>
  <c r="J134" i="124"/>
  <c r="I134" i="124"/>
  <c r="H134" i="124"/>
  <c r="G134" i="124"/>
  <c r="E134" i="124" s="1"/>
  <c r="F134" i="124"/>
  <c r="AS133" i="124"/>
  <c r="K133" i="124"/>
  <c r="J133" i="124"/>
  <c r="I133" i="124"/>
  <c r="H133" i="124"/>
  <c r="G133" i="124"/>
  <c r="E133" i="124" s="1"/>
  <c r="F133" i="124"/>
  <c r="AS132" i="124"/>
  <c r="K132" i="124"/>
  <c r="J132" i="124"/>
  <c r="I132" i="124"/>
  <c r="H132" i="124"/>
  <c r="G132" i="124"/>
  <c r="E132" i="124" s="1"/>
  <c r="F132" i="124"/>
  <c r="AS166" i="124"/>
  <c r="K166" i="124"/>
  <c r="J166" i="124"/>
  <c r="I166" i="124"/>
  <c r="H166" i="124"/>
  <c r="Z166" i="124" s="1"/>
  <c r="G166" i="124"/>
  <c r="E166" i="124" s="1"/>
  <c r="F166" i="124"/>
  <c r="AS165" i="124"/>
  <c r="K165" i="124"/>
  <c r="J165" i="124"/>
  <c r="I165" i="124"/>
  <c r="H165" i="124"/>
  <c r="Z165" i="124" s="1"/>
  <c r="G165" i="124"/>
  <c r="E165" i="124" s="1"/>
  <c r="F165" i="124"/>
  <c r="AS129" i="124"/>
  <c r="K129" i="124"/>
  <c r="J129" i="124"/>
  <c r="I129" i="124"/>
  <c r="H129" i="124"/>
  <c r="G129" i="124"/>
  <c r="E129" i="124" s="1"/>
  <c r="F129" i="124"/>
  <c r="AS128" i="124"/>
  <c r="K128" i="124"/>
  <c r="J128" i="124"/>
  <c r="I128" i="124"/>
  <c r="H128" i="124"/>
  <c r="G128" i="124"/>
  <c r="E128" i="124" s="1"/>
  <c r="F128" i="124"/>
  <c r="AS127" i="124"/>
  <c r="K127" i="124"/>
  <c r="J127" i="124"/>
  <c r="I127" i="124"/>
  <c r="H127" i="124"/>
  <c r="G127" i="124"/>
  <c r="E127" i="124" s="1"/>
  <c r="F127" i="124"/>
  <c r="AS126" i="124"/>
  <c r="K126" i="124"/>
  <c r="J126" i="124"/>
  <c r="I126" i="124"/>
  <c r="H126" i="124"/>
  <c r="G126" i="124"/>
  <c r="E126" i="124" s="1"/>
  <c r="F126" i="124"/>
  <c r="AS125" i="124"/>
  <c r="K125" i="124"/>
  <c r="J125" i="124"/>
  <c r="I125" i="124"/>
  <c r="H125" i="124"/>
  <c r="G125" i="124"/>
  <c r="E125" i="124" s="1"/>
  <c r="F125" i="124"/>
  <c r="AS124" i="124"/>
  <c r="K124" i="124"/>
  <c r="J124" i="124"/>
  <c r="I124" i="124"/>
  <c r="H124" i="124"/>
  <c r="G124" i="124"/>
  <c r="E124" i="124" s="1"/>
  <c r="F124" i="124"/>
  <c r="AS123" i="124"/>
  <c r="K123" i="124"/>
  <c r="J123" i="124"/>
  <c r="I123" i="124"/>
  <c r="H123" i="124"/>
  <c r="G123" i="124"/>
  <c r="E123" i="124" s="1"/>
  <c r="F123" i="124"/>
  <c r="AS122" i="124"/>
  <c r="K122" i="124"/>
  <c r="J122" i="124"/>
  <c r="I122" i="124"/>
  <c r="H122" i="124"/>
  <c r="G122" i="124"/>
  <c r="E122" i="124" s="1"/>
  <c r="F122" i="124"/>
  <c r="AS121" i="124"/>
  <c r="K121" i="124"/>
  <c r="J121" i="124"/>
  <c r="I121" i="124"/>
  <c r="H121" i="124"/>
  <c r="G121" i="124"/>
  <c r="E121" i="124" s="1"/>
  <c r="F121" i="124"/>
  <c r="AS120" i="124"/>
  <c r="K120" i="124"/>
  <c r="J120" i="124"/>
  <c r="I120" i="124"/>
  <c r="H120" i="124"/>
  <c r="G120" i="124"/>
  <c r="E120" i="124" s="1"/>
  <c r="F120" i="124"/>
  <c r="AS119" i="124"/>
  <c r="K119" i="124"/>
  <c r="J119" i="124"/>
  <c r="I119" i="124"/>
  <c r="H119" i="124"/>
  <c r="G119" i="124"/>
  <c r="E119" i="124" s="1"/>
  <c r="F119" i="124"/>
  <c r="AS118" i="124"/>
  <c r="K118" i="124"/>
  <c r="J118" i="124"/>
  <c r="I118" i="124"/>
  <c r="H118" i="124"/>
  <c r="G118" i="124"/>
  <c r="E118" i="124" s="1"/>
  <c r="F118" i="124"/>
  <c r="AS117" i="124"/>
  <c r="K117" i="124"/>
  <c r="J117" i="124"/>
  <c r="I117" i="124"/>
  <c r="H117" i="124"/>
  <c r="G117" i="124"/>
  <c r="E117" i="124" s="1"/>
  <c r="F117" i="124"/>
  <c r="AS116" i="124"/>
  <c r="K116" i="124"/>
  <c r="J116" i="124"/>
  <c r="I116" i="124"/>
  <c r="H116" i="124"/>
  <c r="G116" i="124"/>
  <c r="E116" i="124" s="1"/>
  <c r="F116" i="124"/>
  <c r="AS115" i="124"/>
  <c r="K115" i="124"/>
  <c r="J115" i="124"/>
  <c r="I115" i="124"/>
  <c r="H115" i="124"/>
  <c r="G115" i="124"/>
  <c r="F115" i="124"/>
  <c r="E115" i="124"/>
  <c r="AS114" i="124"/>
  <c r="K114" i="124"/>
  <c r="J114" i="124"/>
  <c r="I114" i="124"/>
  <c r="H114" i="124"/>
  <c r="G114" i="124"/>
  <c r="E114" i="124" s="1"/>
  <c r="F114" i="124"/>
  <c r="AS113" i="124"/>
  <c r="K113" i="124"/>
  <c r="J113" i="124"/>
  <c r="I113" i="124"/>
  <c r="H113" i="124"/>
  <c r="G113" i="124"/>
  <c r="E113" i="124" s="1"/>
  <c r="F113" i="124"/>
  <c r="AS112" i="124"/>
  <c r="K112" i="124"/>
  <c r="J112" i="124"/>
  <c r="I112" i="124"/>
  <c r="H112" i="124"/>
  <c r="G112" i="124"/>
  <c r="E112" i="124" s="1"/>
  <c r="F112" i="124"/>
  <c r="AS111" i="124"/>
  <c r="K111" i="124"/>
  <c r="J111" i="124"/>
  <c r="I111" i="124"/>
  <c r="H111" i="124"/>
  <c r="G111" i="124"/>
  <c r="E111" i="124" s="1"/>
  <c r="F111" i="124"/>
  <c r="AS110" i="124"/>
  <c r="K110" i="124"/>
  <c r="J110" i="124"/>
  <c r="I110" i="124"/>
  <c r="H110" i="124"/>
  <c r="G110" i="124"/>
  <c r="E110" i="124" s="1"/>
  <c r="F110" i="124"/>
  <c r="AS109" i="124"/>
  <c r="K109" i="124"/>
  <c r="J109" i="124"/>
  <c r="I109" i="124"/>
  <c r="H109" i="124"/>
  <c r="G109" i="124"/>
  <c r="E109" i="124" s="1"/>
  <c r="F109" i="124"/>
  <c r="AS108" i="124"/>
  <c r="K108" i="124"/>
  <c r="J108" i="124"/>
  <c r="I108" i="124"/>
  <c r="H108" i="124"/>
  <c r="G108" i="124"/>
  <c r="E108" i="124" s="1"/>
  <c r="F108" i="124"/>
  <c r="AS107" i="124"/>
  <c r="K107" i="124"/>
  <c r="J107" i="124"/>
  <c r="I107" i="124"/>
  <c r="H107" i="124"/>
  <c r="G107" i="124"/>
  <c r="E107" i="124" s="1"/>
  <c r="F107" i="124"/>
  <c r="AS106" i="124"/>
  <c r="K106" i="124"/>
  <c r="J106" i="124"/>
  <c r="I106" i="124"/>
  <c r="H106" i="124"/>
  <c r="G106" i="124"/>
  <c r="E106" i="124" s="1"/>
  <c r="F106" i="124"/>
  <c r="AS105" i="124"/>
  <c r="K105" i="124"/>
  <c r="J105" i="124"/>
  <c r="I105" i="124"/>
  <c r="H105" i="124"/>
  <c r="G105" i="124"/>
  <c r="E105" i="124" s="1"/>
  <c r="F105" i="124"/>
  <c r="AS104" i="124"/>
  <c r="K104" i="124"/>
  <c r="J104" i="124"/>
  <c r="I104" i="124"/>
  <c r="H104" i="124"/>
  <c r="G104" i="124"/>
  <c r="E104" i="124" s="1"/>
  <c r="F104" i="124"/>
  <c r="AS103" i="124"/>
  <c r="K103" i="124"/>
  <c r="J103" i="124"/>
  <c r="I103" i="124"/>
  <c r="H103" i="124"/>
  <c r="G103" i="124"/>
  <c r="E103" i="124" s="1"/>
  <c r="F103" i="124"/>
  <c r="AS102" i="124"/>
  <c r="K102" i="124"/>
  <c r="J102" i="124"/>
  <c r="I102" i="124"/>
  <c r="H102" i="124"/>
  <c r="G102" i="124"/>
  <c r="E102" i="124" s="1"/>
  <c r="F102" i="124"/>
  <c r="AS101" i="124"/>
  <c r="K101" i="124"/>
  <c r="J101" i="124"/>
  <c r="I101" i="124"/>
  <c r="H101" i="124"/>
  <c r="G101" i="124"/>
  <c r="E101" i="124" s="1"/>
  <c r="F101" i="124"/>
  <c r="AS100" i="124"/>
  <c r="K100" i="124"/>
  <c r="J100" i="124"/>
  <c r="I100" i="124"/>
  <c r="H100" i="124"/>
  <c r="G100" i="124"/>
  <c r="E100" i="124" s="1"/>
  <c r="F100" i="124"/>
  <c r="AS99" i="124"/>
  <c r="K99" i="124"/>
  <c r="J99" i="124"/>
  <c r="I99" i="124"/>
  <c r="H99" i="124"/>
  <c r="G99" i="124"/>
  <c r="F99" i="124"/>
  <c r="E99" i="124"/>
  <c r="AS98" i="124"/>
  <c r="K98" i="124"/>
  <c r="J98" i="124"/>
  <c r="I98" i="124"/>
  <c r="H98" i="124"/>
  <c r="G98" i="124"/>
  <c r="E98" i="124" s="1"/>
  <c r="F98" i="124"/>
  <c r="AS97" i="124"/>
  <c r="K97" i="124"/>
  <c r="J97" i="124"/>
  <c r="I97" i="124"/>
  <c r="H97" i="124"/>
  <c r="G97" i="124"/>
  <c r="E97" i="124" s="1"/>
  <c r="F97" i="124"/>
  <c r="AS96" i="124"/>
  <c r="K96" i="124"/>
  <c r="J96" i="124"/>
  <c r="I96" i="124"/>
  <c r="H96" i="124"/>
  <c r="G96" i="124"/>
  <c r="E96" i="124" s="1"/>
  <c r="F96" i="124"/>
  <c r="AS95" i="124"/>
  <c r="K95" i="124"/>
  <c r="J95" i="124"/>
  <c r="I95" i="124"/>
  <c r="H95" i="124"/>
  <c r="G95" i="124"/>
  <c r="E95" i="124" s="1"/>
  <c r="F95" i="124"/>
  <c r="AS94" i="124"/>
  <c r="K94" i="124"/>
  <c r="J94" i="124"/>
  <c r="I94" i="124"/>
  <c r="H94" i="124"/>
  <c r="G94" i="124"/>
  <c r="E94" i="124" s="1"/>
  <c r="F94" i="124"/>
  <c r="AS93" i="124"/>
  <c r="K93" i="124"/>
  <c r="J93" i="124"/>
  <c r="I93" i="124"/>
  <c r="H93" i="124"/>
  <c r="G93" i="124"/>
  <c r="E93" i="124" s="1"/>
  <c r="F93" i="124"/>
  <c r="AS92" i="124"/>
  <c r="K92" i="124"/>
  <c r="J92" i="124"/>
  <c r="I92" i="124"/>
  <c r="H92" i="124"/>
  <c r="G92" i="124"/>
  <c r="E92" i="124" s="1"/>
  <c r="F92" i="124"/>
  <c r="AS91" i="124"/>
  <c r="K91" i="124"/>
  <c r="J91" i="124"/>
  <c r="I91" i="124"/>
  <c r="H91" i="124"/>
  <c r="G91" i="124"/>
  <c r="E91" i="124" s="1"/>
  <c r="F91" i="124"/>
  <c r="AS90" i="124"/>
  <c r="K90" i="124"/>
  <c r="J90" i="124"/>
  <c r="I90" i="124"/>
  <c r="H90" i="124"/>
  <c r="G90" i="124"/>
  <c r="E90" i="124" s="1"/>
  <c r="F90" i="124"/>
  <c r="AS89" i="124"/>
  <c r="K89" i="124"/>
  <c r="J89" i="124"/>
  <c r="I89" i="124"/>
  <c r="H89" i="124"/>
  <c r="G89" i="124"/>
  <c r="E89" i="124" s="1"/>
  <c r="F89" i="124"/>
  <c r="AS88" i="124"/>
  <c r="K88" i="124"/>
  <c r="J88" i="124"/>
  <c r="I88" i="124"/>
  <c r="H88" i="124"/>
  <c r="G88" i="124"/>
  <c r="E88" i="124" s="1"/>
  <c r="F88" i="124"/>
  <c r="AS87" i="124"/>
  <c r="K87" i="124"/>
  <c r="J87" i="124"/>
  <c r="I87" i="124"/>
  <c r="H87" i="124"/>
  <c r="G87" i="124"/>
  <c r="E87" i="124" s="1"/>
  <c r="F87" i="124"/>
  <c r="AS86" i="124"/>
  <c r="K86" i="124"/>
  <c r="J86" i="124"/>
  <c r="I86" i="124"/>
  <c r="H86" i="124"/>
  <c r="G86" i="124"/>
  <c r="E86" i="124" s="1"/>
  <c r="F86" i="124"/>
  <c r="AS85" i="124"/>
  <c r="K85" i="124"/>
  <c r="J85" i="124"/>
  <c r="I85" i="124"/>
  <c r="H85" i="124"/>
  <c r="G85" i="124"/>
  <c r="E85" i="124" s="1"/>
  <c r="F85" i="124"/>
  <c r="AS84" i="124"/>
  <c r="K84" i="124"/>
  <c r="J84" i="124"/>
  <c r="I84" i="124"/>
  <c r="H84" i="124"/>
  <c r="G84" i="124"/>
  <c r="E84" i="124" s="1"/>
  <c r="F84" i="124"/>
  <c r="AV83" i="124"/>
  <c r="AS83" i="124"/>
  <c r="K83" i="124"/>
  <c r="J83" i="124"/>
  <c r="I83" i="124"/>
  <c r="H83" i="124"/>
  <c r="G83" i="124"/>
  <c r="F83" i="124"/>
  <c r="E83" i="124"/>
  <c r="AS82" i="124"/>
  <c r="K82" i="124"/>
  <c r="J82" i="124"/>
  <c r="I82" i="124"/>
  <c r="H82" i="124"/>
  <c r="G82" i="124"/>
  <c r="F82" i="124"/>
  <c r="E82" i="124"/>
  <c r="AS81" i="124"/>
  <c r="K81" i="124"/>
  <c r="J81" i="124"/>
  <c r="I81" i="124"/>
  <c r="H81" i="124"/>
  <c r="G81" i="124"/>
  <c r="F81" i="124"/>
  <c r="E81" i="124"/>
  <c r="AS80" i="124"/>
  <c r="K80" i="124"/>
  <c r="J80" i="124"/>
  <c r="I80" i="124"/>
  <c r="H80" i="124"/>
  <c r="G80" i="124"/>
  <c r="F80" i="124"/>
  <c r="E80" i="124"/>
  <c r="AS79" i="124"/>
  <c r="K79" i="124"/>
  <c r="J79" i="124"/>
  <c r="I79" i="124"/>
  <c r="H79" i="124"/>
  <c r="G79" i="124"/>
  <c r="F79" i="124"/>
  <c r="E79" i="124"/>
  <c r="AS78" i="124"/>
  <c r="K78" i="124"/>
  <c r="J78" i="124"/>
  <c r="I78" i="124"/>
  <c r="H78" i="124"/>
  <c r="Z78" i="124" s="1"/>
  <c r="G78" i="124"/>
  <c r="F78" i="124"/>
  <c r="O78" i="124" s="1"/>
  <c r="E78" i="124"/>
  <c r="AS77" i="124"/>
  <c r="K77" i="124"/>
  <c r="J77" i="124"/>
  <c r="I77" i="124"/>
  <c r="H77" i="124"/>
  <c r="G77" i="124"/>
  <c r="F77" i="124"/>
  <c r="O77" i="124" s="1"/>
  <c r="E77" i="124"/>
  <c r="AS76" i="124"/>
  <c r="K76" i="124"/>
  <c r="J76" i="124"/>
  <c r="I76" i="124"/>
  <c r="H76" i="124"/>
  <c r="Z76" i="124" s="1"/>
  <c r="G76" i="124"/>
  <c r="F76" i="124"/>
  <c r="E76" i="124"/>
  <c r="AS75" i="124"/>
  <c r="K75" i="124"/>
  <c r="J75" i="124"/>
  <c r="I75" i="124"/>
  <c r="H75" i="124"/>
  <c r="G75" i="124"/>
  <c r="F75" i="124"/>
  <c r="E75" i="124"/>
  <c r="AS74" i="124"/>
  <c r="K74" i="124"/>
  <c r="J74" i="124"/>
  <c r="I74" i="124"/>
  <c r="H74" i="124"/>
  <c r="Z74" i="124" s="1"/>
  <c r="G74" i="124"/>
  <c r="F74" i="124"/>
  <c r="O74" i="124" s="1"/>
  <c r="E74" i="124"/>
  <c r="AS73" i="124"/>
  <c r="K73" i="124"/>
  <c r="J73" i="124"/>
  <c r="I73" i="124"/>
  <c r="H73" i="124"/>
  <c r="G73" i="124"/>
  <c r="F73" i="124"/>
  <c r="O73" i="124" s="1"/>
  <c r="E73" i="124"/>
  <c r="AS72" i="124"/>
  <c r="K72" i="124"/>
  <c r="J72" i="124"/>
  <c r="I72" i="124"/>
  <c r="H72" i="124"/>
  <c r="G72" i="124"/>
  <c r="F72" i="124"/>
  <c r="O72" i="124" s="1"/>
  <c r="E72" i="124"/>
  <c r="AS71" i="124"/>
  <c r="K71" i="124"/>
  <c r="J71" i="124"/>
  <c r="I71" i="124"/>
  <c r="H71" i="124"/>
  <c r="Z71" i="124" s="1"/>
  <c r="G71" i="124"/>
  <c r="F71" i="124"/>
  <c r="E71" i="124"/>
  <c r="AS70" i="124"/>
  <c r="K70" i="124"/>
  <c r="J70" i="124"/>
  <c r="I70" i="124"/>
  <c r="H70" i="124"/>
  <c r="G70" i="124"/>
  <c r="F70" i="124"/>
  <c r="E70" i="124"/>
  <c r="AS69" i="124"/>
  <c r="K69" i="124"/>
  <c r="J69" i="124"/>
  <c r="I69" i="124"/>
  <c r="H69" i="124"/>
  <c r="Z69" i="124" s="1"/>
  <c r="G69" i="124"/>
  <c r="F69" i="124"/>
  <c r="O69" i="124" s="1"/>
  <c r="E69" i="124"/>
  <c r="AS68" i="124"/>
  <c r="K68" i="124"/>
  <c r="J68" i="124"/>
  <c r="I68" i="124"/>
  <c r="H68" i="124"/>
  <c r="Z68" i="124" s="1"/>
  <c r="G68" i="124"/>
  <c r="F68" i="124"/>
  <c r="E68" i="124"/>
  <c r="AS67" i="124"/>
  <c r="K67" i="124"/>
  <c r="J67" i="124"/>
  <c r="I67" i="124"/>
  <c r="H67" i="124"/>
  <c r="G67" i="124"/>
  <c r="F67" i="124"/>
  <c r="E67" i="124"/>
  <c r="AS66" i="124"/>
  <c r="K66" i="124"/>
  <c r="J66" i="124"/>
  <c r="I66" i="124"/>
  <c r="H66" i="124"/>
  <c r="G66" i="124"/>
  <c r="F66" i="124"/>
  <c r="O66" i="124" s="1"/>
  <c r="E66" i="124"/>
  <c r="AS65" i="124"/>
  <c r="K65" i="124"/>
  <c r="J65" i="124"/>
  <c r="I65" i="124"/>
  <c r="H65" i="124"/>
  <c r="G65" i="124"/>
  <c r="F65" i="124"/>
  <c r="O65" i="124" s="1"/>
  <c r="E65" i="124"/>
  <c r="AS64" i="124"/>
  <c r="K64" i="124"/>
  <c r="J64" i="124"/>
  <c r="I64" i="124"/>
  <c r="H64" i="124"/>
  <c r="Z64" i="124" s="1"/>
  <c r="G64" i="124"/>
  <c r="F64" i="124"/>
  <c r="E64" i="124"/>
  <c r="AS63" i="124"/>
  <c r="K63" i="124"/>
  <c r="J63" i="124"/>
  <c r="I63" i="124"/>
  <c r="H63" i="124"/>
  <c r="G63" i="124"/>
  <c r="F63" i="124"/>
  <c r="E63" i="124"/>
  <c r="AS62" i="124"/>
  <c r="K62" i="124"/>
  <c r="J62" i="124"/>
  <c r="I62" i="124"/>
  <c r="H62" i="124"/>
  <c r="Z62" i="124" s="1"/>
  <c r="G62" i="124"/>
  <c r="F62" i="124"/>
  <c r="O62" i="124" s="1"/>
  <c r="E62" i="124"/>
  <c r="AS61" i="124"/>
  <c r="K61" i="124"/>
  <c r="J61" i="124"/>
  <c r="I61" i="124"/>
  <c r="H61" i="124"/>
  <c r="G61" i="124"/>
  <c r="F61" i="124"/>
  <c r="O61" i="124" s="1"/>
  <c r="E61" i="124"/>
  <c r="AS60" i="124"/>
  <c r="K60" i="124"/>
  <c r="J60" i="124"/>
  <c r="I60" i="124"/>
  <c r="H60" i="124"/>
  <c r="G60" i="124"/>
  <c r="F60" i="124"/>
  <c r="E60" i="124"/>
  <c r="AS59" i="124"/>
  <c r="K59" i="124"/>
  <c r="J59" i="124"/>
  <c r="I59" i="124"/>
  <c r="H59" i="124"/>
  <c r="G59" i="124"/>
  <c r="F59" i="124"/>
  <c r="E59" i="124"/>
  <c r="AS58" i="124"/>
  <c r="K58" i="124"/>
  <c r="J58" i="124"/>
  <c r="I58" i="124"/>
  <c r="H58" i="124"/>
  <c r="Z58" i="124" s="1"/>
  <c r="G58" i="124"/>
  <c r="F58" i="124"/>
  <c r="O58" i="124" s="1"/>
  <c r="E58" i="124"/>
  <c r="AS57" i="124"/>
  <c r="K57" i="124"/>
  <c r="J57" i="124"/>
  <c r="I57" i="124"/>
  <c r="H57" i="124"/>
  <c r="G57" i="124"/>
  <c r="F57" i="124"/>
  <c r="O57" i="124" s="1"/>
  <c r="E57" i="124"/>
  <c r="AS56" i="124"/>
  <c r="K56" i="124"/>
  <c r="J56" i="124"/>
  <c r="I56" i="124"/>
  <c r="H56" i="124"/>
  <c r="Z56" i="124" s="1"/>
  <c r="G56" i="124"/>
  <c r="E56" i="124" s="1"/>
  <c r="F56" i="124"/>
  <c r="AS55" i="124"/>
  <c r="K55" i="124"/>
  <c r="J55" i="124"/>
  <c r="I55" i="124"/>
  <c r="H55" i="124"/>
  <c r="G55" i="124"/>
  <c r="E55" i="124" s="1"/>
  <c r="F55" i="124"/>
  <c r="AS54" i="124"/>
  <c r="K54" i="124"/>
  <c r="J54" i="124"/>
  <c r="I54" i="124"/>
  <c r="H54" i="124"/>
  <c r="Z54" i="124" s="1"/>
  <c r="G54" i="124"/>
  <c r="E54" i="124" s="1"/>
  <c r="F54" i="124"/>
  <c r="AS53" i="124"/>
  <c r="K53" i="124"/>
  <c r="J53" i="124"/>
  <c r="I53" i="124"/>
  <c r="H53" i="124"/>
  <c r="G53" i="124"/>
  <c r="E53" i="124" s="1"/>
  <c r="F53" i="124"/>
  <c r="AS52" i="124"/>
  <c r="K52" i="124"/>
  <c r="J52" i="124"/>
  <c r="I52" i="124"/>
  <c r="H52" i="124"/>
  <c r="Z52" i="124" s="1"/>
  <c r="G52" i="124"/>
  <c r="E52" i="124" s="1"/>
  <c r="F52" i="124"/>
  <c r="AS51" i="124"/>
  <c r="K51" i="124"/>
  <c r="J51" i="124"/>
  <c r="I51" i="124"/>
  <c r="H51" i="124"/>
  <c r="G51" i="124"/>
  <c r="E51" i="124" s="1"/>
  <c r="F51" i="124"/>
  <c r="AS50" i="124"/>
  <c r="K50" i="124"/>
  <c r="J50" i="124"/>
  <c r="I50" i="124"/>
  <c r="H50" i="124"/>
  <c r="Z50" i="124" s="1"/>
  <c r="G50" i="124"/>
  <c r="E50" i="124" s="1"/>
  <c r="F50" i="124"/>
  <c r="AS49" i="124"/>
  <c r="K49" i="124"/>
  <c r="J49" i="124"/>
  <c r="I49" i="124"/>
  <c r="H49" i="124"/>
  <c r="G49" i="124"/>
  <c r="E49" i="124" s="1"/>
  <c r="F49" i="124"/>
  <c r="AS48" i="124"/>
  <c r="K48" i="124"/>
  <c r="J48" i="124"/>
  <c r="I48" i="124"/>
  <c r="H48" i="124"/>
  <c r="Z48" i="124" s="1"/>
  <c r="G48" i="124"/>
  <c r="E48" i="124" s="1"/>
  <c r="F48" i="124"/>
  <c r="AS47" i="124"/>
  <c r="K47" i="124"/>
  <c r="J47" i="124"/>
  <c r="I47" i="124"/>
  <c r="H47" i="124"/>
  <c r="G47" i="124"/>
  <c r="E47" i="124" s="1"/>
  <c r="F47" i="124"/>
  <c r="AS46" i="124"/>
  <c r="K46" i="124"/>
  <c r="J46" i="124"/>
  <c r="I46" i="124"/>
  <c r="H46" i="124"/>
  <c r="Z46" i="124" s="1"/>
  <c r="G46" i="124"/>
  <c r="E46" i="124" s="1"/>
  <c r="F46" i="124"/>
  <c r="AS45" i="124"/>
  <c r="K45" i="124"/>
  <c r="J45" i="124"/>
  <c r="I45" i="124"/>
  <c r="H45" i="124"/>
  <c r="G45" i="124"/>
  <c r="E45" i="124" s="1"/>
  <c r="F45" i="124"/>
  <c r="AS44" i="124"/>
  <c r="K44" i="124"/>
  <c r="J44" i="124"/>
  <c r="I44" i="124"/>
  <c r="H44" i="124"/>
  <c r="Z44" i="124" s="1"/>
  <c r="G44" i="124"/>
  <c r="E44" i="124" s="1"/>
  <c r="F44" i="124"/>
  <c r="AS43" i="124"/>
  <c r="K43" i="124"/>
  <c r="J43" i="124"/>
  <c r="I43" i="124"/>
  <c r="H43" i="124"/>
  <c r="G43" i="124"/>
  <c r="E43" i="124" s="1"/>
  <c r="F43" i="124"/>
  <c r="AS42" i="124"/>
  <c r="K42" i="124"/>
  <c r="J42" i="124"/>
  <c r="I42" i="124"/>
  <c r="H42" i="124"/>
  <c r="Z42" i="124" s="1"/>
  <c r="G42" i="124"/>
  <c r="E42" i="124" s="1"/>
  <c r="F42" i="124"/>
  <c r="AS41" i="124"/>
  <c r="K41" i="124"/>
  <c r="J41" i="124"/>
  <c r="I41" i="124"/>
  <c r="H41" i="124"/>
  <c r="G41" i="124"/>
  <c r="E41" i="124" s="1"/>
  <c r="F41" i="124"/>
  <c r="AS40" i="124"/>
  <c r="K40" i="124"/>
  <c r="J40" i="124"/>
  <c r="I40" i="124"/>
  <c r="H40" i="124"/>
  <c r="Z40" i="124" s="1"/>
  <c r="G40" i="124"/>
  <c r="E40" i="124" s="1"/>
  <c r="F40" i="124"/>
  <c r="AS39" i="124"/>
  <c r="K39" i="124"/>
  <c r="J39" i="124"/>
  <c r="I39" i="124"/>
  <c r="H39" i="124"/>
  <c r="G39" i="124"/>
  <c r="E39" i="124" s="1"/>
  <c r="F39" i="124"/>
  <c r="AS38" i="124"/>
  <c r="K38" i="124"/>
  <c r="J38" i="124"/>
  <c r="I38" i="124"/>
  <c r="H38" i="124"/>
  <c r="Z38" i="124" s="1"/>
  <c r="G38" i="124"/>
  <c r="E38" i="124" s="1"/>
  <c r="F38" i="124"/>
  <c r="AS37" i="124"/>
  <c r="K37" i="124"/>
  <c r="J37" i="124"/>
  <c r="I37" i="124"/>
  <c r="H37" i="124"/>
  <c r="G37" i="124"/>
  <c r="E37" i="124" s="1"/>
  <c r="F37" i="124"/>
  <c r="AS36" i="124"/>
  <c r="K36" i="124"/>
  <c r="J36" i="124"/>
  <c r="I36" i="124"/>
  <c r="H36" i="124"/>
  <c r="Z36" i="124" s="1"/>
  <c r="G36" i="124"/>
  <c r="E36" i="124" s="1"/>
  <c r="F36" i="124"/>
  <c r="AS35" i="124"/>
  <c r="K35" i="124"/>
  <c r="J35" i="124"/>
  <c r="I35" i="124"/>
  <c r="H35" i="124"/>
  <c r="G35" i="124"/>
  <c r="E35" i="124" s="1"/>
  <c r="F35" i="124"/>
  <c r="O35" i="124" s="1"/>
  <c r="AS34" i="124"/>
  <c r="K34" i="124"/>
  <c r="AJ34" i="124" s="1"/>
  <c r="J34" i="124"/>
  <c r="I34" i="124"/>
  <c r="P34" i="124" s="1"/>
  <c r="H34" i="124"/>
  <c r="Z34" i="124" s="1"/>
  <c r="G34" i="124"/>
  <c r="E34" i="124" s="1"/>
  <c r="F34" i="124"/>
  <c r="AS33" i="124"/>
  <c r="K33" i="124"/>
  <c r="J33" i="124"/>
  <c r="I33" i="124"/>
  <c r="H33" i="124"/>
  <c r="G33" i="124"/>
  <c r="E33" i="124" s="1"/>
  <c r="F33" i="124"/>
  <c r="O33" i="124" s="1"/>
  <c r="AS32" i="124"/>
  <c r="K32" i="124"/>
  <c r="AJ32" i="124" s="1"/>
  <c r="J32" i="124"/>
  <c r="I32" i="124"/>
  <c r="P32" i="124" s="1"/>
  <c r="H32" i="124"/>
  <c r="Z32" i="124" s="1"/>
  <c r="G32" i="124"/>
  <c r="E32" i="124" s="1"/>
  <c r="F32" i="124"/>
  <c r="AS31" i="124"/>
  <c r="K31" i="124"/>
  <c r="J31" i="124"/>
  <c r="I31" i="124"/>
  <c r="H31" i="124"/>
  <c r="G31" i="124"/>
  <c r="E31" i="124" s="1"/>
  <c r="F31" i="124"/>
  <c r="O31" i="124" s="1"/>
  <c r="AS30" i="124"/>
  <c r="K30" i="124"/>
  <c r="AJ30" i="124" s="1"/>
  <c r="J30" i="124"/>
  <c r="I30" i="124"/>
  <c r="P30" i="124" s="1"/>
  <c r="H30" i="124"/>
  <c r="Z30" i="124" s="1"/>
  <c r="G30" i="124"/>
  <c r="E30" i="124" s="1"/>
  <c r="F30" i="124"/>
  <c r="AS29" i="124"/>
  <c r="K29" i="124"/>
  <c r="J29" i="124"/>
  <c r="I29" i="124"/>
  <c r="H29" i="124"/>
  <c r="G29" i="124"/>
  <c r="E29" i="124" s="1"/>
  <c r="F29" i="124"/>
  <c r="O29" i="124" s="1"/>
  <c r="AS28" i="124"/>
  <c r="K28" i="124"/>
  <c r="AJ28" i="124" s="1"/>
  <c r="J28" i="124"/>
  <c r="I28" i="124"/>
  <c r="P28" i="124" s="1"/>
  <c r="H28" i="124"/>
  <c r="Z28" i="124" s="1"/>
  <c r="G28" i="124"/>
  <c r="E28" i="124" s="1"/>
  <c r="F28" i="124"/>
  <c r="AS27" i="124"/>
  <c r="K27" i="124"/>
  <c r="J27" i="124"/>
  <c r="I27" i="124"/>
  <c r="H27" i="124"/>
  <c r="G27" i="124"/>
  <c r="E27" i="124" s="1"/>
  <c r="F27" i="124"/>
  <c r="O27" i="124" s="1"/>
  <c r="AS26" i="124"/>
  <c r="K26" i="124"/>
  <c r="AJ26" i="124" s="1"/>
  <c r="J26" i="124"/>
  <c r="I26" i="124"/>
  <c r="P26" i="124" s="1"/>
  <c r="H26" i="124"/>
  <c r="Z26" i="124" s="1"/>
  <c r="G26" i="124"/>
  <c r="E26" i="124" s="1"/>
  <c r="F26" i="124"/>
  <c r="AS25" i="124"/>
  <c r="K25" i="124"/>
  <c r="J25" i="124"/>
  <c r="I25" i="124"/>
  <c r="H25" i="124"/>
  <c r="G25" i="124"/>
  <c r="E25" i="124" s="1"/>
  <c r="F25" i="124"/>
  <c r="O25" i="124" s="1"/>
  <c r="AS24" i="124"/>
  <c r="K24" i="124"/>
  <c r="AJ24" i="124" s="1"/>
  <c r="J24" i="124"/>
  <c r="I24" i="124"/>
  <c r="P24" i="124" s="1"/>
  <c r="H24" i="124"/>
  <c r="Z24" i="124" s="1"/>
  <c r="G24" i="124"/>
  <c r="E24" i="124" s="1"/>
  <c r="F24" i="124"/>
  <c r="AS23" i="124"/>
  <c r="K23" i="124"/>
  <c r="J23" i="124"/>
  <c r="I23" i="124"/>
  <c r="H23" i="124"/>
  <c r="G23" i="124"/>
  <c r="E23" i="124" s="1"/>
  <c r="F23" i="124"/>
  <c r="O23" i="124" s="1"/>
  <c r="AS22" i="124"/>
  <c r="K22" i="124"/>
  <c r="AJ22" i="124" s="1"/>
  <c r="J22" i="124"/>
  <c r="I22" i="124"/>
  <c r="P22" i="124" s="1"/>
  <c r="H22" i="124"/>
  <c r="Z22" i="124" s="1"/>
  <c r="G22" i="124"/>
  <c r="E22" i="124" s="1"/>
  <c r="F22" i="124"/>
  <c r="AS21" i="124"/>
  <c r="K21" i="124"/>
  <c r="J21" i="124"/>
  <c r="I21" i="124"/>
  <c r="H21" i="124"/>
  <c r="G21" i="124"/>
  <c r="E21" i="124" s="1"/>
  <c r="F21" i="124"/>
  <c r="O21" i="124" s="1"/>
  <c r="AS20" i="124"/>
  <c r="K20" i="124"/>
  <c r="AJ20" i="124" s="1"/>
  <c r="J20" i="124"/>
  <c r="I20" i="124"/>
  <c r="P20" i="124" s="1"/>
  <c r="H20" i="124"/>
  <c r="Z20" i="124" s="1"/>
  <c r="G20" i="124"/>
  <c r="E20" i="124" s="1"/>
  <c r="F20" i="124"/>
  <c r="AS19" i="124"/>
  <c r="K19" i="124"/>
  <c r="J19" i="124"/>
  <c r="I19" i="124"/>
  <c r="H19" i="124"/>
  <c r="G19" i="124"/>
  <c r="E19" i="124" s="1"/>
  <c r="F19" i="124"/>
  <c r="O19" i="124" s="1"/>
  <c r="AS18" i="124"/>
  <c r="K18" i="124"/>
  <c r="AJ18" i="124" s="1"/>
  <c r="J18" i="124"/>
  <c r="I18" i="124"/>
  <c r="P18" i="124" s="1"/>
  <c r="H18" i="124"/>
  <c r="Z18" i="124" s="1"/>
  <c r="G18" i="124"/>
  <c r="E18" i="124" s="1"/>
  <c r="F18" i="124"/>
  <c r="AS17" i="124"/>
  <c r="K17" i="124"/>
  <c r="J17" i="124"/>
  <c r="I17" i="124"/>
  <c r="H17" i="124"/>
  <c r="G17" i="124"/>
  <c r="E17" i="124" s="1"/>
  <c r="F17" i="124"/>
  <c r="O17" i="124" s="1"/>
  <c r="AS16" i="124"/>
  <c r="K16" i="124"/>
  <c r="AJ16" i="124" s="1"/>
  <c r="J16" i="124"/>
  <c r="I16" i="124"/>
  <c r="P16" i="124" s="1"/>
  <c r="H16" i="124"/>
  <c r="Z16" i="124" s="1"/>
  <c r="G16" i="124"/>
  <c r="E16" i="124" s="1"/>
  <c r="F16" i="124"/>
  <c r="AS15" i="124"/>
  <c r="K15" i="124"/>
  <c r="J15" i="124"/>
  <c r="I15" i="124"/>
  <c r="H15" i="124"/>
  <c r="Z15" i="124" s="1"/>
  <c r="G15" i="124"/>
  <c r="E15" i="124" s="1"/>
  <c r="F15" i="124"/>
  <c r="O15" i="124" s="1"/>
  <c r="AS14" i="124"/>
  <c r="K14" i="124"/>
  <c r="AJ14" i="124" s="1"/>
  <c r="J14" i="124"/>
  <c r="I14" i="124"/>
  <c r="P14" i="124" s="1"/>
  <c r="H14" i="124"/>
  <c r="Z14" i="124" s="1"/>
  <c r="G14" i="124"/>
  <c r="E14" i="124" s="1"/>
  <c r="F14" i="124"/>
  <c r="AS13" i="124"/>
  <c r="K13" i="124"/>
  <c r="J13" i="124"/>
  <c r="I13" i="124"/>
  <c r="H13" i="124"/>
  <c r="G13" i="124"/>
  <c r="E13" i="124" s="1"/>
  <c r="F13" i="124"/>
  <c r="O13" i="124" s="1"/>
  <c r="AS12" i="124"/>
  <c r="K12" i="124"/>
  <c r="AJ12" i="124" s="1"/>
  <c r="J12" i="124"/>
  <c r="I12" i="124"/>
  <c r="P12" i="124" s="1"/>
  <c r="H12" i="124"/>
  <c r="Z12" i="124" s="1"/>
  <c r="G12" i="124"/>
  <c r="E12" i="124" s="1"/>
  <c r="F12" i="124"/>
  <c r="AS11" i="124"/>
  <c r="K11" i="124"/>
  <c r="J11" i="124"/>
  <c r="I11" i="124"/>
  <c r="H11" i="124"/>
  <c r="G11" i="124"/>
  <c r="E11" i="124" s="1"/>
  <c r="F11" i="124"/>
  <c r="O11" i="124" s="1"/>
  <c r="AS10" i="124"/>
  <c r="K10" i="124"/>
  <c r="AJ10" i="124" s="1"/>
  <c r="J10" i="124"/>
  <c r="I10" i="124"/>
  <c r="H10" i="124"/>
  <c r="Z10" i="124" s="1"/>
  <c r="G10" i="124"/>
  <c r="E10" i="124" s="1"/>
  <c r="F10" i="124"/>
  <c r="AS9" i="124"/>
  <c r="K9" i="124"/>
  <c r="J9" i="124"/>
  <c r="I9" i="124"/>
  <c r="H9" i="124"/>
  <c r="Z9" i="124" s="1"/>
  <c r="G9" i="124"/>
  <c r="E9" i="124" s="1"/>
  <c r="F9" i="124"/>
  <c r="O9" i="124" s="1"/>
  <c r="AS8" i="124"/>
  <c r="K8" i="124"/>
  <c r="AJ8" i="124" s="1"/>
  <c r="J8" i="124"/>
  <c r="I8" i="124"/>
  <c r="P8" i="124" s="1"/>
  <c r="H8" i="124"/>
  <c r="Z8" i="124" s="1"/>
  <c r="G8" i="124"/>
  <c r="E8" i="124" s="1"/>
  <c r="F8" i="124"/>
  <c r="AS7" i="124"/>
  <c r="K7" i="124"/>
  <c r="J7" i="124"/>
  <c r="I7" i="124"/>
  <c r="H7" i="124"/>
  <c r="Z7" i="124" s="1"/>
  <c r="G7" i="124"/>
  <c r="E7" i="124" s="1"/>
  <c r="F7" i="124"/>
  <c r="O7" i="124" s="1"/>
  <c r="AS6" i="124"/>
  <c r="K6" i="124"/>
  <c r="AJ6" i="124" s="1"/>
  <c r="J6" i="124"/>
  <c r="I6" i="124"/>
  <c r="P6" i="124" s="1"/>
  <c r="H6" i="124"/>
  <c r="Z6" i="124" s="1"/>
  <c r="G6" i="124"/>
  <c r="E6" i="124" s="1"/>
  <c r="F6" i="124"/>
  <c r="AS5" i="124"/>
  <c r="K5" i="124"/>
  <c r="J5" i="124"/>
  <c r="I5" i="124"/>
  <c r="H5" i="124"/>
  <c r="Z5" i="124" s="1"/>
  <c r="G5" i="124"/>
  <c r="E5" i="124" s="1"/>
  <c r="F5" i="124"/>
  <c r="O5" i="124" s="1"/>
  <c r="AS4" i="124"/>
  <c r="K4" i="124"/>
  <c r="AJ4" i="124" s="1"/>
  <c r="J4" i="124"/>
  <c r="I4" i="124"/>
  <c r="P4" i="124" s="1"/>
  <c r="H4" i="124"/>
  <c r="Z4" i="124" s="1"/>
  <c r="G4" i="124"/>
  <c r="F4" i="124"/>
  <c r="AS3" i="124"/>
  <c r="K3" i="124"/>
  <c r="J3" i="124"/>
  <c r="I3" i="124"/>
  <c r="H3" i="124"/>
  <c r="Z3" i="124" s="1"/>
  <c r="G3" i="124"/>
  <c r="E3" i="124" s="1"/>
  <c r="F3" i="124"/>
  <c r="O3" i="124" s="1"/>
  <c r="AQ3" i="121" l="1"/>
  <c r="AR3" i="121" s="1"/>
  <c r="AO3" i="121"/>
  <c r="AP3" i="121" s="1"/>
  <c r="AM3" i="121"/>
  <c r="AN3" i="121" s="1"/>
  <c r="AK3" i="121"/>
  <c r="AL3" i="121" s="1"/>
  <c r="W6" i="121"/>
  <c r="X6" i="121" s="1"/>
  <c r="U6" i="121"/>
  <c r="V6" i="121" s="1"/>
  <c r="S6" i="121"/>
  <c r="T6" i="121" s="1"/>
  <c r="Q6" i="121"/>
  <c r="W8" i="121"/>
  <c r="X8" i="121" s="1"/>
  <c r="U8" i="121"/>
  <c r="V8" i="121" s="1"/>
  <c r="S8" i="121"/>
  <c r="T8" i="121" s="1"/>
  <c r="Q8" i="121"/>
  <c r="AQ9" i="121"/>
  <c r="AR9" i="121" s="1"/>
  <c r="AO9" i="121"/>
  <c r="AP9" i="121" s="1"/>
  <c r="AM9" i="121"/>
  <c r="AN9" i="121" s="1"/>
  <c r="AK9" i="121"/>
  <c r="AL9" i="121" s="1"/>
  <c r="W4" i="121"/>
  <c r="X4" i="121" s="1"/>
  <c r="U4" i="121"/>
  <c r="V4" i="121" s="1"/>
  <c r="S4" i="121"/>
  <c r="T4" i="121" s="1"/>
  <c r="Q4" i="121"/>
  <c r="AQ4" i="121"/>
  <c r="AR4" i="121" s="1"/>
  <c r="AM4" i="121"/>
  <c r="AN4" i="121" s="1"/>
  <c r="AQ5" i="121"/>
  <c r="AR5" i="121" s="1"/>
  <c r="AO5" i="121"/>
  <c r="AP5" i="121" s="1"/>
  <c r="AM5" i="121"/>
  <c r="AN5" i="121" s="1"/>
  <c r="AK5" i="121"/>
  <c r="AL5" i="121" s="1"/>
  <c r="W10" i="121"/>
  <c r="X10" i="121" s="1"/>
  <c r="U10" i="121"/>
  <c r="V10" i="121" s="1"/>
  <c r="S10" i="121"/>
  <c r="T10" i="121" s="1"/>
  <c r="Q10" i="121"/>
  <c r="AQ10" i="121"/>
  <c r="AR10" i="121" s="1"/>
  <c r="AO10" i="121"/>
  <c r="AP10" i="121" s="1"/>
  <c r="AM10" i="121"/>
  <c r="AN10" i="121" s="1"/>
  <c r="AK10" i="121"/>
  <c r="AL10" i="121" s="1"/>
  <c r="AQ11" i="121"/>
  <c r="AR11" i="121" s="1"/>
  <c r="AO11" i="121"/>
  <c r="AP11" i="121" s="1"/>
  <c r="AM11" i="121"/>
  <c r="AN11" i="121" s="1"/>
  <c r="AK11" i="121"/>
  <c r="AL11" i="121" s="1"/>
  <c r="W3" i="121"/>
  <c r="X3" i="121" s="1"/>
  <c r="U3" i="121"/>
  <c r="V3" i="121" s="1"/>
  <c r="AX3" i="121" s="1"/>
  <c r="S3" i="121"/>
  <c r="T3" i="121" s="1"/>
  <c r="Q3" i="121"/>
  <c r="AC3" i="121"/>
  <c r="AD3" i="121" s="1"/>
  <c r="AG3" i="121"/>
  <c r="AH3" i="121" s="1"/>
  <c r="W5" i="121"/>
  <c r="X5" i="121" s="1"/>
  <c r="U5" i="121"/>
  <c r="V5" i="121" s="1"/>
  <c r="AX5" i="121" s="1"/>
  <c r="S5" i="121"/>
  <c r="T5" i="121" s="1"/>
  <c r="Q5" i="121"/>
  <c r="AC5" i="121"/>
  <c r="AD5" i="121" s="1"/>
  <c r="AG5" i="121"/>
  <c r="AH5" i="121" s="1"/>
  <c r="AJ8" i="121"/>
  <c r="W9" i="121"/>
  <c r="X9" i="121" s="1"/>
  <c r="AY9" i="121" s="1"/>
  <c r="U9" i="121"/>
  <c r="V9" i="121" s="1"/>
  <c r="S9" i="121"/>
  <c r="T9" i="121" s="1"/>
  <c r="Q9" i="121"/>
  <c r="AC9" i="121"/>
  <c r="AD9" i="121" s="1"/>
  <c r="AG9" i="121"/>
  <c r="AH9" i="121" s="1"/>
  <c r="W11" i="121"/>
  <c r="X11" i="121" s="1"/>
  <c r="AY11" i="121" s="1"/>
  <c r="U11" i="121"/>
  <c r="V11" i="121" s="1"/>
  <c r="S11" i="121"/>
  <c r="T11" i="121" s="1"/>
  <c r="Q11" i="121"/>
  <c r="AC11" i="121"/>
  <c r="AD11" i="121" s="1"/>
  <c r="AG11" i="121"/>
  <c r="AH11" i="121" s="1"/>
  <c r="AE15" i="121"/>
  <c r="AF15" i="121" s="1"/>
  <c r="AA15" i="121"/>
  <c r="AB15" i="121" s="1"/>
  <c r="W15" i="121"/>
  <c r="X15" i="121" s="1"/>
  <c r="U15" i="121"/>
  <c r="V15" i="121" s="1"/>
  <c r="S15" i="121"/>
  <c r="T15" i="121" s="1"/>
  <c r="AW15" i="121" s="1"/>
  <c r="Q15" i="121"/>
  <c r="AG15" i="121"/>
  <c r="AH15" i="121" s="1"/>
  <c r="W16" i="121"/>
  <c r="X16" i="121" s="1"/>
  <c r="U16" i="121"/>
  <c r="V16" i="121" s="1"/>
  <c r="S16" i="121"/>
  <c r="T16" i="121" s="1"/>
  <c r="Q16" i="121"/>
  <c r="AQ17" i="121"/>
  <c r="AR17" i="121" s="1"/>
  <c r="AO17" i="121"/>
  <c r="AP17" i="121" s="1"/>
  <c r="AM17" i="121"/>
  <c r="AN17" i="121" s="1"/>
  <c r="AK17" i="121"/>
  <c r="AL17" i="121" s="1"/>
  <c r="W20" i="121"/>
  <c r="X20" i="121" s="1"/>
  <c r="U20" i="121"/>
  <c r="V20" i="121" s="1"/>
  <c r="S20" i="121"/>
  <c r="T20" i="121" s="1"/>
  <c r="Q20" i="121"/>
  <c r="AQ21" i="121"/>
  <c r="AR21" i="121" s="1"/>
  <c r="AO21" i="121"/>
  <c r="AP21" i="121" s="1"/>
  <c r="AM21" i="121"/>
  <c r="AN21" i="121" s="1"/>
  <c r="AK21" i="121"/>
  <c r="AL21" i="121" s="1"/>
  <c r="AA3" i="121"/>
  <c r="AB3" i="121" s="1"/>
  <c r="O4" i="121"/>
  <c r="AO4" i="121" s="1"/>
  <c r="AP4" i="121" s="1"/>
  <c r="AC4" i="121"/>
  <c r="AD4" i="121" s="1"/>
  <c r="AA5" i="121"/>
  <c r="AB5" i="121" s="1"/>
  <c r="O6" i="121"/>
  <c r="O7" i="121"/>
  <c r="O8" i="121"/>
  <c r="AA9" i="121"/>
  <c r="AB9" i="121" s="1"/>
  <c r="O10" i="121"/>
  <c r="AC10" i="121"/>
  <c r="AD10" i="121" s="1"/>
  <c r="AA11" i="121"/>
  <c r="AB11" i="121" s="1"/>
  <c r="O12" i="121"/>
  <c r="Q12" i="121" s="1"/>
  <c r="AJ12" i="121"/>
  <c r="AG12" i="121"/>
  <c r="AH12" i="121" s="1"/>
  <c r="AC12" i="121"/>
  <c r="AD12" i="121" s="1"/>
  <c r="AW12" i="121" s="1"/>
  <c r="O13" i="121"/>
  <c r="S13" i="121" s="1"/>
  <c r="AJ13" i="121"/>
  <c r="AG13" i="121"/>
  <c r="AH13" i="121" s="1"/>
  <c r="AC13" i="121"/>
  <c r="AD13" i="121" s="1"/>
  <c r="AW13" i="121" s="1"/>
  <c r="AQ15" i="121"/>
  <c r="AR15" i="121" s="1"/>
  <c r="AO15" i="121"/>
  <c r="AP15" i="121" s="1"/>
  <c r="AM15" i="121"/>
  <c r="AN15" i="121" s="1"/>
  <c r="AK15" i="121"/>
  <c r="AL15" i="121" s="1"/>
  <c r="AC15" i="121"/>
  <c r="AD15" i="121" s="1"/>
  <c r="W18" i="121"/>
  <c r="X18" i="121" s="1"/>
  <c r="U18" i="121"/>
  <c r="V18" i="121" s="1"/>
  <c r="S18" i="121"/>
  <c r="T18" i="121" s="1"/>
  <c r="Q18" i="121"/>
  <c r="AQ18" i="121"/>
  <c r="AR18" i="121" s="1"/>
  <c r="AO18" i="121"/>
  <c r="AP18" i="121" s="1"/>
  <c r="AM18" i="121"/>
  <c r="AN18" i="121" s="1"/>
  <c r="AK18" i="121"/>
  <c r="AL18" i="121" s="1"/>
  <c r="AQ19" i="121"/>
  <c r="AR19" i="121" s="1"/>
  <c r="AO19" i="121"/>
  <c r="AP19" i="121" s="1"/>
  <c r="AM19" i="121"/>
  <c r="AN19" i="121" s="1"/>
  <c r="AK19" i="121"/>
  <c r="AL19" i="121" s="1"/>
  <c r="W17" i="121"/>
  <c r="X17" i="121" s="1"/>
  <c r="AY17" i="121" s="1"/>
  <c r="U17" i="121"/>
  <c r="V17" i="121" s="1"/>
  <c r="S17" i="121"/>
  <c r="T17" i="121" s="1"/>
  <c r="Q17" i="121"/>
  <c r="AC17" i="121"/>
  <c r="AD17" i="121" s="1"/>
  <c r="AG17" i="121"/>
  <c r="AH17" i="121" s="1"/>
  <c r="W19" i="121"/>
  <c r="X19" i="121" s="1"/>
  <c r="AY19" i="121" s="1"/>
  <c r="U19" i="121"/>
  <c r="V19" i="121" s="1"/>
  <c r="AX19" i="121" s="1"/>
  <c r="S19" i="121"/>
  <c r="T19" i="121" s="1"/>
  <c r="Q19" i="121"/>
  <c r="AC19" i="121"/>
  <c r="AD19" i="121" s="1"/>
  <c r="AG19" i="121"/>
  <c r="AH19" i="121" s="1"/>
  <c r="W21" i="121"/>
  <c r="X21" i="121" s="1"/>
  <c r="AY21" i="121" s="1"/>
  <c r="U21" i="121"/>
  <c r="V21" i="121" s="1"/>
  <c r="AX21" i="121" s="1"/>
  <c r="S21" i="121"/>
  <c r="T21" i="121" s="1"/>
  <c r="Q21" i="121"/>
  <c r="AC21" i="121"/>
  <c r="AD21" i="121" s="1"/>
  <c r="AG21" i="121"/>
  <c r="AH21" i="121" s="1"/>
  <c r="AM22" i="121"/>
  <c r="AK22" i="121"/>
  <c r="AL22" i="121" s="1"/>
  <c r="AO22" i="121"/>
  <c r="AP22" i="121" s="1"/>
  <c r="AJ23" i="121"/>
  <c r="P23" i="121"/>
  <c r="Z23" i="121"/>
  <c r="AE25" i="121"/>
  <c r="AF25" i="121" s="1"/>
  <c r="AA25" i="121"/>
  <c r="AB25" i="121" s="1"/>
  <c r="AC25" i="121"/>
  <c r="AD25" i="121" s="1"/>
  <c r="W25" i="121"/>
  <c r="X25" i="121" s="1"/>
  <c r="U25" i="121"/>
  <c r="V25" i="121" s="1"/>
  <c r="S25" i="121"/>
  <c r="T25" i="121" s="1"/>
  <c r="Q25" i="121"/>
  <c r="AG25" i="121"/>
  <c r="AH25" i="121" s="1"/>
  <c r="AG27" i="121"/>
  <c r="AH27" i="121" s="1"/>
  <c r="AQ27" i="121"/>
  <c r="AR27" i="121" s="1"/>
  <c r="AO27" i="121"/>
  <c r="AP27" i="121" s="1"/>
  <c r="AM27" i="121"/>
  <c r="AN27" i="121" s="1"/>
  <c r="AK27" i="121"/>
  <c r="AL27" i="121" s="1"/>
  <c r="AQ28" i="121"/>
  <c r="AR28" i="121" s="1"/>
  <c r="AO28" i="121"/>
  <c r="AP28" i="121" s="1"/>
  <c r="AM28" i="121"/>
  <c r="AN28" i="121" s="1"/>
  <c r="AK28" i="121"/>
  <c r="AL28" i="121" s="1"/>
  <c r="H1" i="121"/>
  <c r="O14" i="121"/>
  <c r="S14" i="121" s="1"/>
  <c r="AJ14" i="121"/>
  <c r="O16" i="121"/>
  <c r="AQ16" i="121" s="1"/>
  <c r="AR16" i="121" s="1"/>
  <c r="AC16" i="121"/>
  <c r="AD16" i="121" s="1"/>
  <c r="AA17" i="121"/>
  <c r="AB17" i="121" s="1"/>
  <c r="O18" i="121"/>
  <c r="AC18" i="121"/>
  <c r="AD18" i="121" s="1"/>
  <c r="AA19" i="121"/>
  <c r="AB19" i="121" s="1"/>
  <c r="O20" i="121"/>
  <c r="AO20" i="121" s="1"/>
  <c r="AP20" i="121" s="1"/>
  <c r="AC20" i="121"/>
  <c r="AD20" i="121" s="1"/>
  <c r="AA21" i="121"/>
  <c r="AB21" i="121" s="1"/>
  <c r="AE22" i="121"/>
  <c r="AF22" i="121" s="1"/>
  <c r="AA22" i="121"/>
  <c r="AB22" i="121" s="1"/>
  <c r="W22" i="121"/>
  <c r="X22" i="121" s="1"/>
  <c r="U22" i="121"/>
  <c r="V22" i="121" s="1"/>
  <c r="AX22" i="121" s="1"/>
  <c r="S22" i="121"/>
  <c r="T22" i="121" s="1"/>
  <c r="AW22" i="121" s="1"/>
  <c r="Q22" i="121"/>
  <c r="AG22" i="121"/>
  <c r="AH22" i="121" s="1"/>
  <c r="AQ22" i="121"/>
  <c r="AR22" i="121" s="1"/>
  <c r="AQ24" i="121"/>
  <c r="AR24" i="121" s="1"/>
  <c r="AO24" i="121"/>
  <c r="AP24" i="121" s="1"/>
  <c r="AM24" i="121"/>
  <c r="AN24" i="121" s="1"/>
  <c r="AK24" i="121"/>
  <c r="AL24" i="121" s="1"/>
  <c r="Z14" i="121"/>
  <c r="AQ25" i="121"/>
  <c r="AR25" i="121" s="1"/>
  <c r="AO25" i="121"/>
  <c r="AP25" i="121" s="1"/>
  <c r="AM25" i="121"/>
  <c r="AN25" i="121" s="1"/>
  <c r="AK25" i="121"/>
  <c r="AL25" i="121" s="1"/>
  <c r="S26" i="121"/>
  <c r="Q26" i="121"/>
  <c r="U26" i="121"/>
  <c r="V26" i="121" s="1"/>
  <c r="W26" i="121"/>
  <c r="X26" i="121" s="1"/>
  <c r="W27" i="121"/>
  <c r="X27" i="121" s="1"/>
  <c r="U27" i="121"/>
  <c r="V27" i="121" s="1"/>
  <c r="S27" i="121"/>
  <c r="T27" i="121" s="1"/>
  <c r="Q27" i="121"/>
  <c r="AE28" i="121"/>
  <c r="AF28" i="121" s="1"/>
  <c r="AA28" i="121"/>
  <c r="AB28" i="121" s="1"/>
  <c r="W28" i="121"/>
  <c r="X28" i="121" s="1"/>
  <c r="U28" i="121"/>
  <c r="V28" i="121" s="1"/>
  <c r="AX28" i="121" s="1"/>
  <c r="S28" i="121"/>
  <c r="T28" i="121" s="1"/>
  <c r="AW28" i="121" s="1"/>
  <c r="Q28" i="121"/>
  <c r="AG28" i="121"/>
  <c r="AH28" i="121" s="1"/>
  <c r="O24" i="121"/>
  <c r="P24" i="121"/>
  <c r="AC24" i="121"/>
  <c r="AD24" i="121" s="1"/>
  <c r="O26" i="121"/>
  <c r="AJ26" i="121"/>
  <c r="AG26" i="121"/>
  <c r="AH26" i="121" s="1"/>
  <c r="AE26" i="121"/>
  <c r="AF26" i="121" s="1"/>
  <c r="AC26" i="121"/>
  <c r="AD26" i="121" s="1"/>
  <c r="AW26" i="121" s="1"/>
  <c r="AA26" i="121"/>
  <c r="AB26" i="121" s="1"/>
  <c r="O27" i="121"/>
  <c r="AC27" i="121"/>
  <c r="AD27" i="121" s="1"/>
  <c r="Z11" i="124"/>
  <c r="Z13" i="124"/>
  <c r="Z17" i="124"/>
  <c r="Z19" i="124"/>
  <c r="Z21" i="124"/>
  <c r="Z31" i="124"/>
  <c r="Z33" i="124"/>
  <c r="P10" i="124"/>
  <c r="I1" i="124"/>
  <c r="Z23" i="124"/>
  <c r="Z25" i="124"/>
  <c r="Z27" i="124"/>
  <c r="Z29" i="124"/>
  <c r="Z35" i="124"/>
  <c r="Z60" i="124"/>
  <c r="Z66" i="124"/>
  <c r="Z203" i="124"/>
  <c r="Z169" i="124"/>
  <c r="Z170" i="124"/>
  <c r="Z171" i="124"/>
  <c r="Z172" i="124"/>
  <c r="Z173" i="124"/>
  <c r="Z174" i="124"/>
  <c r="Z175" i="124"/>
  <c r="Z176" i="124"/>
  <c r="Z177" i="124"/>
  <c r="Z178" i="124"/>
  <c r="Z179" i="124"/>
  <c r="Z180" i="124"/>
  <c r="AE187" i="124"/>
  <c r="AF187" i="124" s="1"/>
  <c r="Z207" i="124"/>
  <c r="Z227" i="124"/>
  <c r="Z228" i="124"/>
  <c r="O37" i="124"/>
  <c r="O38" i="124"/>
  <c r="O41" i="124"/>
  <c r="O42" i="124"/>
  <c r="O45" i="124"/>
  <c r="O46" i="124"/>
  <c r="O49" i="124"/>
  <c r="O50" i="124"/>
  <c r="O53" i="124"/>
  <c r="O54" i="124"/>
  <c r="O84" i="124"/>
  <c r="AJ84" i="124"/>
  <c r="O85" i="124"/>
  <c r="AJ85" i="124"/>
  <c r="O86" i="124"/>
  <c r="AJ86" i="124"/>
  <c r="O87" i="124"/>
  <c r="AJ87" i="124"/>
  <c r="O88" i="124"/>
  <c r="AJ88" i="124"/>
  <c r="O89" i="124"/>
  <c r="AJ89" i="124"/>
  <c r="O90" i="124"/>
  <c r="AJ90" i="124"/>
  <c r="O91" i="124"/>
  <c r="AJ91" i="124"/>
  <c r="O92" i="124"/>
  <c r="AJ92" i="124"/>
  <c r="O93" i="124"/>
  <c r="AJ93" i="124"/>
  <c r="O94" i="124"/>
  <c r="AJ94" i="124"/>
  <c r="O95" i="124"/>
  <c r="AJ95" i="124"/>
  <c r="O96" i="124"/>
  <c r="AJ96" i="124"/>
  <c r="O97" i="124"/>
  <c r="AJ97" i="124"/>
  <c r="O98" i="124"/>
  <c r="AJ98" i="124"/>
  <c r="O99" i="124"/>
  <c r="AJ99" i="124"/>
  <c r="O100" i="124"/>
  <c r="AJ100" i="124"/>
  <c r="O101" i="124"/>
  <c r="AJ101" i="124"/>
  <c r="O102" i="124"/>
  <c r="AJ102" i="124"/>
  <c r="O103" i="124"/>
  <c r="AJ103" i="124"/>
  <c r="O104" i="124"/>
  <c r="AJ104" i="124"/>
  <c r="O105" i="124"/>
  <c r="AJ105" i="124"/>
  <c r="O106" i="124"/>
  <c r="AJ106" i="124"/>
  <c r="O107" i="124"/>
  <c r="AJ107" i="124"/>
  <c r="O108" i="124"/>
  <c r="AJ108" i="124"/>
  <c r="O109" i="124"/>
  <c r="AJ109" i="124"/>
  <c r="O110" i="124"/>
  <c r="AJ110" i="124"/>
  <c r="O111" i="124"/>
  <c r="AJ111" i="124"/>
  <c r="O112" i="124"/>
  <c r="AJ112" i="124"/>
  <c r="O113" i="124"/>
  <c r="AJ113" i="124"/>
  <c r="O114" i="124"/>
  <c r="AJ114" i="124"/>
  <c r="O115" i="124"/>
  <c r="AJ115" i="124"/>
  <c r="O116" i="124"/>
  <c r="AJ116" i="124"/>
  <c r="O117" i="124"/>
  <c r="AJ117" i="124"/>
  <c r="O118" i="124"/>
  <c r="AJ118" i="124"/>
  <c r="O119" i="124"/>
  <c r="AJ119" i="124"/>
  <c r="O120" i="124"/>
  <c r="AJ120" i="124"/>
  <c r="O121" i="124"/>
  <c r="AJ121" i="124"/>
  <c r="O122" i="124"/>
  <c r="AJ122" i="124"/>
  <c r="O123" i="124"/>
  <c r="AJ123" i="124"/>
  <c r="O124" i="124"/>
  <c r="AJ124" i="124"/>
  <c r="O125" i="124"/>
  <c r="AJ125" i="124"/>
  <c r="O126" i="124"/>
  <c r="AJ126" i="124"/>
  <c r="O127" i="124"/>
  <c r="AJ127" i="124"/>
  <c r="O128" i="124"/>
  <c r="AJ128" i="124"/>
  <c r="O129" i="124"/>
  <c r="AJ129" i="124"/>
  <c r="O165" i="124"/>
  <c r="O166" i="124"/>
  <c r="O132" i="124"/>
  <c r="AJ132" i="124"/>
  <c r="O133" i="124"/>
  <c r="AJ133" i="124"/>
  <c r="O134" i="124"/>
  <c r="AJ134" i="124"/>
  <c r="O135" i="124"/>
  <c r="AJ135" i="124"/>
  <c r="AE195" i="124"/>
  <c r="AF195" i="124" s="1"/>
  <c r="Z147" i="124"/>
  <c r="Z149" i="124"/>
  <c r="Z150" i="124"/>
  <c r="Z151" i="124"/>
  <c r="Z152" i="124"/>
  <c r="Z154" i="124"/>
  <c r="Z155" i="124"/>
  <c r="Z156" i="124"/>
  <c r="Z157" i="124"/>
  <c r="Z158" i="124"/>
  <c r="Z159" i="124"/>
  <c r="Z160" i="124"/>
  <c r="Z181" i="124"/>
  <c r="Z219" i="124"/>
  <c r="Z290" i="124"/>
  <c r="Z183" i="124"/>
  <c r="Z184" i="124"/>
  <c r="Z185" i="124"/>
  <c r="Z186" i="124"/>
  <c r="Z200" i="124"/>
  <c r="AG200" i="124" s="1"/>
  <c r="AH200" i="124" s="1"/>
  <c r="Z202" i="124"/>
  <c r="AG202" i="124" s="1"/>
  <c r="AH202" i="124" s="1"/>
  <c r="Z292" i="124"/>
  <c r="Z220" i="124"/>
  <c r="Z221" i="124"/>
  <c r="Z222" i="124"/>
  <c r="Z223" i="124"/>
  <c r="Z224" i="124"/>
  <c r="Z225" i="124"/>
  <c r="AE356" i="124"/>
  <c r="AF356" i="124" s="1"/>
  <c r="AE388" i="124"/>
  <c r="AF388" i="124" s="1"/>
  <c r="O136" i="124"/>
  <c r="AJ136" i="124"/>
  <c r="O137" i="124"/>
  <c r="AJ137" i="124"/>
  <c r="O138" i="124"/>
  <c r="AJ138" i="124"/>
  <c r="O139" i="124"/>
  <c r="AJ139" i="124"/>
  <c r="O140" i="124"/>
  <c r="AJ140" i="124"/>
  <c r="O141" i="124"/>
  <c r="AJ141" i="124"/>
  <c r="O142" i="124"/>
  <c r="AJ142" i="124"/>
  <c r="O143" i="124"/>
  <c r="AJ143" i="124"/>
  <c r="O144" i="124"/>
  <c r="AJ144" i="124"/>
  <c r="O145" i="124"/>
  <c r="AJ145" i="124"/>
  <c r="O146" i="124"/>
  <c r="AJ146" i="124"/>
  <c r="P147" i="124"/>
  <c r="AJ147" i="124"/>
  <c r="P187" i="124"/>
  <c r="AJ187" i="124"/>
  <c r="O190" i="124"/>
  <c r="AE191" i="124"/>
  <c r="AF191" i="124" s="1"/>
  <c r="AJ192" i="124"/>
  <c r="P195" i="124"/>
  <c r="AJ195" i="124"/>
  <c r="O198" i="124"/>
  <c r="AE199" i="124"/>
  <c r="AF199" i="124" s="1"/>
  <c r="AJ200" i="124"/>
  <c r="P292" i="124"/>
  <c r="AJ292" i="124"/>
  <c r="P220" i="124"/>
  <c r="AJ220" i="124"/>
  <c r="P221" i="124"/>
  <c r="AJ221" i="124"/>
  <c r="P222" i="124"/>
  <c r="AJ222" i="124"/>
  <c r="P223" i="124"/>
  <c r="AJ223" i="124"/>
  <c r="P224" i="124"/>
  <c r="AJ224" i="124"/>
  <c r="P225" i="124"/>
  <c r="AJ225" i="124"/>
  <c r="P226" i="124"/>
  <c r="AJ226" i="124"/>
  <c r="P227" i="124"/>
  <c r="AJ227" i="124"/>
  <c r="P228" i="124"/>
  <c r="AJ228" i="124"/>
  <c r="P229" i="124"/>
  <c r="AJ229" i="124"/>
  <c r="P230" i="124"/>
  <c r="AJ230" i="124"/>
  <c r="P231" i="124"/>
  <c r="AJ231" i="124"/>
  <c r="P232" i="124"/>
  <c r="AJ232" i="124"/>
  <c r="P233" i="124"/>
  <c r="AJ233" i="124"/>
  <c r="P234" i="124"/>
  <c r="AJ234" i="124"/>
  <c r="P235" i="124"/>
  <c r="AJ235" i="124"/>
  <c r="P236" i="124"/>
  <c r="AJ236" i="124"/>
  <c r="P237" i="124"/>
  <c r="AJ237" i="124"/>
  <c r="P238" i="124"/>
  <c r="AJ238" i="124"/>
  <c r="P239" i="124"/>
  <c r="AJ239" i="124"/>
  <c r="P240" i="124"/>
  <c r="AJ240" i="124"/>
  <c r="P241" i="124"/>
  <c r="AJ241" i="124"/>
  <c r="P242" i="124"/>
  <c r="AJ242" i="124"/>
  <c r="P243" i="124"/>
  <c r="AE364" i="124"/>
  <c r="AF364" i="124" s="1"/>
  <c r="AE396" i="124"/>
  <c r="AF396" i="124" s="1"/>
  <c r="AJ243" i="124"/>
  <c r="P244" i="124"/>
  <c r="AJ244" i="124"/>
  <c r="P245" i="124"/>
  <c r="AJ245" i="124"/>
  <c r="P246" i="124"/>
  <c r="AJ246" i="124"/>
  <c r="P247" i="124"/>
  <c r="AJ247" i="124"/>
  <c r="P248" i="124"/>
  <c r="AJ248" i="124"/>
  <c r="P249" i="124"/>
  <c r="AJ249" i="124"/>
  <c r="P250" i="124"/>
  <c r="AJ250" i="124"/>
  <c r="P251" i="124"/>
  <c r="AJ251" i="124"/>
  <c r="P252" i="124"/>
  <c r="P356" i="124"/>
  <c r="AJ356" i="124"/>
  <c r="O359" i="124"/>
  <c r="AE360" i="124"/>
  <c r="AF360" i="124" s="1"/>
  <c r="AJ361" i="124"/>
  <c r="P364" i="124"/>
  <c r="AJ364" i="124"/>
  <c r="O367" i="124"/>
  <c r="AE368" i="124"/>
  <c r="AF368" i="124" s="1"/>
  <c r="AJ369" i="124"/>
  <c r="P372" i="124"/>
  <c r="AJ372" i="124"/>
  <c r="P373" i="124"/>
  <c r="AJ373" i="124"/>
  <c r="P374" i="124"/>
  <c r="AJ374" i="124"/>
  <c r="P375" i="124"/>
  <c r="AJ375" i="124"/>
  <c r="P376" i="124"/>
  <c r="AJ376" i="124"/>
  <c r="P377" i="124"/>
  <c r="AJ377" i="124"/>
  <c r="P378" i="124"/>
  <c r="AJ378" i="124"/>
  <c r="P379" i="124"/>
  <c r="AJ379" i="124"/>
  <c r="P380" i="124"/>
  <c r="AJ380" i="124"/>
  <c r="P381" i="124"/>
  <c r="AJ381" i="124"/>
  <c r="P382" i="124"/>
  <c r="AJ382" i="124"/>
  <c r="P383" i="124"/>
  <c r="AJ383" i="124"/>
  <c r="P384" i="124"/>
  <c r="AJ384" i="124"/>
  <c r="P385" i="124"/>
  <c r="AJ385" i="124"/>
  <c r="P386" i="124"/>
  <c r="AJ386" i="124"/>
  <c r="P387" i="124"/>
  <c r="AJ387" i="124"/>
  <c r="P388" i="124"/>
  <c r="AJ388" i="124"/>
  <c r="O391" i="124"/>
  <c r="AE392" i="124"/>
  <c r="AF392" i="124" s="1"/>
  <c r="AJ393" i="124"/>
  <c r="P396" i="124"/>
  <c r="AJ396" i="124"/>
  <c r="O399" i="124"/>
  <c r="O400" i="124"/>
  <c r="O401" i="124"/>
  <c r="O130" i="124"/>
  <c r="O403" i="124"/>
  <c r="O404" i="124"/>
  <c r="O131" i="124"/>
  <c r="O406" i="124"/>
  <c r="O162" i="124"/>
  <c r="O408" i="124"/>
  <c r="O409" i="124"/>
  <c r="O410" i="124"/>
  <c r="O411" i="124"/>
  <c r="O412" i="124"/>
  <c r="O413" i="124"/>
  <c r="O414" i="124"/>
  <c r="O417" i="124"/>
  <c r="O418" i="124"/>
  <c r="J1" i="124"/>
  <c r="G1" i="124"/>
  <c r="K1" i="124"/>
  <c r="P3" i="124"/>
  <c r="AJ3" i="124"/>
  <c r="AQ3" i="124" s="1"/>
  <c r="AR3" i="124" s="1"/>
  <c r="P5" i="124"/>
  <c r="AJ5" i="124"/>
  <c r="AQ5" i="124" s="1"/>
  <c r="AR5" i="124" s="1"/>
  <c r="P7" i="124"/>
  <c r="AJ7" i="124"/>
  <c r="AO7" i="124" s="1"/>
  <c r="AP7" i="124" s="1"/>
  <c r="P9" i="124"/>
  <c r="AJ9" i="124"/>
  <c r="AQ9" i="124" s="1"/>
  <c r="AR9" i="124" s="1"/>
  <c r="P11" i="124"/>
  <c r="AJ11" i="124"/>
  <c r="AO11" i="124" s="1"/>
  <c r="AP11" i="124" s="1"/>
  <c r="P13" i="124"/>
  <c r="AJ13" i="124"/>
  <c r="AQ13" i="124" s="1"/>
  <c r="AR13" i="124" s="1"/>
  <c r="P15" i="124"/>
  <c r="AJ15" i="124"/>
  <c r="AO15" i="124" s="1"/>
  <c r="AP15" i="124" s="1"/>
  <c r="P17" i="124"/>
  <c r="AJ17" i="124"/>
  <c r="AQ17" i="124" s="1"/>
  <c r="AR17" i="124" s="1"/>
  <c r="P19" i="124"/>
  <c r="AJ19" i="124"/>
  <c r="AO19" i="124" s="1"/>
  <c r="AP19" i="124" s="1"/>
  <c r="P21" i="124"/>
  <c r="AJ21" i="124"/>
  <c r="AQ21" i="124" s="1"/>
  <c r="AR21" i="124" s="1"/>
  <c r="P23" i="124"/>
  <c r="AJ23" i="124"/>
  <c r="AO23" i="124" s="1"/>
  <c r="AP23" i="124" s="1"/>
  <c r="P25" i="124"/>
  <c r="AJ25" i="124"/>
  <c r="AQ25" i="124" s="1"/>
  <c r="AR25" i="124" s="1"/>
  <c r="P27" i="124"/>
  <c r="AJ27" i="124"/>
  <c r="AO27" i="124" s="1"/>
  <c r="AP27" i="124" s="1"/>
  <c r="P29" i="124"/>
  <c r="AJ29" i="124"/>
  <c r="AQ29" i="124" s="1"/>
  <c r="AR29" i="124" s="1"/>
  <c r="P31" i="124"/>
  <c r="AJ31" i="124"/>
  <c r="AO31" i="124" s="1"/>
  <c r="AP31" i="124" s="1"/>
  <c r="P33" i="124"/>
  <c r="AJ33" i="124"/>
  <c r="AQ33" i="124" s="1"/>
  <c r="AR33" i="124" s="1"/>
  <c r="P35" i="124"/>
  <c r="AJ35" i="124"/>
  <c r="AO35" i="124" s="1"/>
  <c r="AP35" i="124" s="1"/>
  <c r="O39" i="124"/>
  <c r="O40" i="124"/>
  <c r="O43" i="124"/>
  <c r="O44" i="124"/>
  <c r="O47" i="124"/>
  <c r="O48" i="124"/>
  <c r="O51" i="124"/>
  <c r="O52" i="124"/>
  <c r="O55" i="124"/>
  <c r="O56" i="124"/>
  <c r="O59" i="124"/>
  <c r="O60" i="124"/>
  <c r="AG60" i="124" s="1"/>
  <c r="AH60" i="124" s="1"/>
  <c r="O63" i="124"/>
  <c r="O64" i="124"/>
  <c r="O67" i="124"/>
  <c r="O68" i="124"/>
  <c r="AG68" i="124" s="1"/>
  <c r="AH68" i="124" s="1"/>
  <c r="O70" i="124"/>
  <c r="O71" i="124"/>
  <c r="O75" i="124"/>
  <c r="O76" i="124"/>
  <c r="O79" i="124"/>
  <c r="O80" i="124"/>
  <c r="AJ80" i="124"/>
  <c r="O81" i="124"/>
  <c r="AJ81" i="124"/>
  <c r="O82" i="124"/>
  <c r="AJ82" i="124"/>
  <c r="O83" i="124"/>
  <c r="AJ83" i="124"/>
  <c r="O147" i="124"/>
  <c r="O148" i="124"/>
  <c r="O149" i="124"/>
  <c r="O150" i="124"/>
  <c r="O151" i="124"/>
  <c r="O152" i="124"/>
  <c r="O153" i="124"/>
  <c r="O154" i="124"/>
  <c r="O155" i="124"/>
  <c r="O156" i="124"/>
  <c r="O157" i="124"/>
  <c r="O158" i="124"/>
  <c r="O159" i="124"/>
  <c r="O160" i="124"/>
  <c r="O161" i="124"/>
  <c r="O167" i="124"/>
  <c r="AJ167" i="124"/>
  <c r="AQ167" i="124" s="1"/>
  <c r="AR167" i="124" s="1"/>
  <c r="O163" i="124"/>
  <c r="O181" i="124"/>
  <c r="AG181" i="124" s="1"/>
  <c r="AH181" i="124" s="1"/>
  <c r="O203" i="124"/>
  <c r="O219" i="124"/>
  <c r="AG219" i="124" s="1"/>
  <c r="AH219" i="124" s="1"/>
  <c r="O290" i="124"/>
  <c r="O168" i="124"/>
  <c r="O169" i="124"/>
  <c r="O170" i="124"/>
  <c r="O171" i="124"/>
  <c r="O172" i="124"/>
  <c r="O173" i="124"/>
  <c r="O174" i="124"/>
  <c r="O175" i="124"/>
  <c r="O176" i="124"/>
  <c r="O177" i="124"/>
  <c r="O178" i="124"/>
  <c r="O179" i="124"/>
  <c r="O180" i="124"/>
  <c r="O291" i="124"/>
  <c r="O182" i="124"/>
  <c r="O183" i="124"/>
  <c r="O184" i="124"/>
  <c r="O185" i="124"/>
  <c r="O186" i="124"/>
  <c r="AA187" i="124"/>
  <c r="AB187" i="124" s="1"/>
  <c r="O188" i="124"/>
  <c r="P188" i="124"/>
  <c r="P189" i="124"/>
  <c r="W189" i="124" s="1"/>
  <c r="X189" i="124" s="1"/>
  <c r="AJ189" i="124"/>
  <c r="AE189" i="124"/>
  <c r="AF189" i="124" s="1"/>
  <c r="AJ190" i="124"/>
  <c r="AA191" i="124"/>
  <c r="AB191" i="124" s="1"/>
  <c r="O192" i="124"/>
  <c r="P192" i="124"/>
  <c r="P193" i="124"/>
  <c r="AJ193" i="124"/>
  <c r="AQ193" i="124" s="1"/>
  <c r="AR193" i="124" s="1"/>
  <c r="AE193" i="124"/>
  <c r="AF193" i="124" s="1"/>
  <c r="AJ194" i="124"/>
  <c r="AQ194" i="124" s="1"/>
  <c r="AR194" i="124" s="1"/>
  <c r="AA195" i="124"/>
  <c r="AB195" i="124" s="1"/>
  <c r="O196" i="124"/>
  <c r="P196" i="124"/>
  <c r="P197" i="124"/>
  <c r="W197" i="124" s="1"/>
  <c r="X197" i="124" s="1"/>
  <c r="AJ197" i="124"/>
  <c r="AE197" i="124"/>
  <c r="AF197" i="124" s="1"/>
  <c r="AJ198" i="124"/>
  <c r="AA199" i="124"/>
  <c r="AB199" i="124" s="1"/>
  <c r="O200" i="124"/>
  <c r="P200" i="124"/>
  <c r="P201" i="124"/>
  <c r="AJ201" i="124"/>
  <c r="AQ201" i="124" s="1"/>
  <c r="AR201" i="124" s="1"/>
  <c r="AE201" i="124"/>
  <c r="AF201" i="124" s="1"/>
  <c r="AJ202" i="124"/>
  <c r="AQ202" i="124" s="1"/>
  <c r="AR202" i="124" s="1"/>
  <c r="O204" i="124"/>
  <c r="AG354" i="124"/>
  <c r="AH354" i="124" s="1"/>
  <c r="AE354" i="124"/>
  <c r="AF354" i="124" s="1"/>
  <c r="AA354" i="124"/>
  <c r="AB354" i="124" s="1"/>
  <c r="P359" i="124"/>
  <c r="AG362" i="124"/>
  <c r="AH362" i="124" s="1"/>
  <c r="AE362" i="124"/>
  <c r="AF362" i="124" s="1"/>
  <c r="AA362" i="124"/>
  <c r="AB362" i="124" s="1"/>
  <c r="P367" i="124"/>
  <c r="P371" i="124"/>
  <c r="AA189" i="124"/>
  <c r="AB189" i="124" s="1"/>
  <c r="P190" i="124"/>
  <c r="AA193" i="124"/>
  <c r="AB193" i="124" s="1"/>
  <c r="P194" i="124"/>
  <c r="AA197" i="124"/>
  <c r="AB197" i="124" s="1"/>
  <c r="P198" i="124"/>
  <c r="AA201" i="124"/>
  <c r="AB201" i="124" s="1"/>
  <c r="P202" i="124"/>
  <c r="P355" i="124"/>
  <c r="AG358" i="124"/>
  <c r="AH358" i="124" s="1"/>
  <c r="AE358" i="124"/>
  <c r="AF358" i="124" s="1"/>
  <c r="AA358" i="124"/>
  <c r="AB358" i="124" s="1"/>
  <c r="P363" i="124"/>
  <c r="AG366" i="124"/>
  <c r="AH366" i="124" s="1"/>
  <c r="AE366" i="124"/>
  <c r="AF366" i="124" s="1"/>
  <c r="AA366" i="124"/>
  <c r="AB366" i="124" s="1"/>
  <c r="O205" i="124"/>
  <c r="O206" i="124"/>
  <c r="O207" i="124"/>
  <c r="O208" i="124"/>
  <c r="O209" i="124"/>
  <c r="AJ209" i="124"/>
  <c r="O210" i="124"/>
  <c r="AJ210" i="124"/>
  <c r="O211" i="124"/>
  <c r="AJ211" i="124"/>
  <c r="O212" i="124"/>
  <c r="AJ212" i="124"/>
  <c r="O213" i="124"/>
  <c r="AJ213" i="124"/>
  <c r="O214" i="124"/>
  <c r="AJ214" i="124"/>
  <c r="O215" i="124"/>
  <c r="AJ215" i="124"/>
  <c r="O216" i="124"/>
  <c r="AJ216" i="124"/>
  <c r="O217" i="124"/>
  <c r="AJ217" i="124"/>
  <c r="O218" i="124"/>
  <c r="AJ218" i="124"/>
  <c r="O306" i="124"/>
  <c r="AJ306" i="124"/>
  <c r="O220" i="124"/>
  <c r="O221" i="124"/>
  <c r="O222" i="124"/>
  <c r="O223" i="124"/>
  <c r="O224" i="124"/>
  <c r="O225" i="124"/>
  <c r="O226" i="124"/>
  <c r="O227" i="124"/>
  <c r="O228" i="124"/>
  <c r="O229" i="124"/>
  <c r="O230" i="124"/>
  <c r="O231" i="124"/>
  <c r="O232" i="124"/>
  <c r="O233" i="124"/>
  <c r="O234" i="124"/>
  <c r="O235" i="124"/>
  <c r="O236" i="124"/>
  <c r="O237" i="124"/>
  <c r="O238" i="124"/>
  <c r="O239" i="124"/>
  <c r="O240" i="124"/>
  <c r="O241" i="124"/>
  <c r="O242" i="124"/>
  <c r="O243" i="124"/>
  <c r="O244" i="124"/>
  <c r="O245" i="124"/>
  <c r="O246" i="124"/>
  <c r="O247" i="124"/>
  <c r="O248" i="124"/>
  <c r="O249" i="124"/>
  <c r="O250" i="124"/>
  <c r="O251" i="124"/>
  <c r="O252" i="124"/>
  <c r="O253" i="124"/>
  <c r="O254" i="124"/>
  <c r="O257" i="124"/>
  <c r="O258" i="124"/>
  <c r="O261" i="124"/>
  <c r="O262" i="124"/>
  <c r="O265" i="124"/>
  <c r="O266" i="124"/>
  <c r="O269" i="124"/>
  <c r="O270" i="124"/>
  <c r="O273" i="124"/>
  <c r="O274" i="124"/>
  <c r="O277" i="124"/>
  <c r="O278" i="124"/>
  <c r="O281" i="124"/>
  <c r="O282" i="124"/>
  <c r="O283" i="124"/>
  <c r="O284" i="124"/>
  <c r="O285" i="124"/>
  <c r="O286" i="124"/>
  <c r="O287" i="124"/>
  <c r="O288" i="124"/>
  <c r="O289" i="124"/>
  <c r="O309" i="124"/>
  <c r="O402" i="124"/>
  <c r="O405" i="124"/>
  <c r="AJ405" i="124"/>
  <c r="O293" i="124"/>
  <c r="AJ293" i="124"/>
  <c r="O294" i="124"/>
  <c r="AJ294" i="124"/>
  <c r="O295" i="124"/>
  <c r="O296" i="124"/>
  <c r="O297" i="124"/>
  <c r="O298" i="124"/>
  <c r="O299" i="124"/>
  <c r="O300" i="124"/>
  <c r="O301" i="124"/>
  <c r="O302" i="124"/>
  <c r="O303" i="124"/>
  <c r="O304" i="124"/>
  <c r="O305" i="124"/>
  <c r="O407" i="124"/>
  <c r="O307" i="124"/>
  <c r="O308" i="124"/>
  <c r="O419" i="124"/>
  <c r="O310" i="124"/>
  <c r="O311" i="124"/>
  <c r="O312" i="124"/>
  <c r="O313" i="124"/>
  <c r="O314" i="124"/>
  <c r="O315" i="124"/>
  <c r="O316" i="124"/>
  <c r="O317" i="124"/>
  <c r="O318" i="124"/>
  <c r="O319" i="124"/>
  <c r="O320" i="124"/>
  <c r="O321" i="124"/>
  <c r="O322" i="124"/>
  <c r="O323" i="124"/>
  <c r="O324" i="124"/>
  <c r="O327" i="124"/>
  <c r="O328" i="124"/>
  <c r="O331" i="124"/>
  <c r="O332" i="124"/>
  <c r="O335" i="124"/>
  <c r="O336" i="124"/>
  <c r="P354" i="124"/>
  <c r="AJ354" i="124"/>
  <c r="AJ355" i="124"/>
  <c r="AA356" i="124"/>
  <c r="AB356" i="124" s="1"/>
  <c r="O357" i="124"/>
  <c r="P357" i="124"/>
  <c r="P358" i="124"/>
  <c r="AJ358" i="124"/>
  <c r="AJ359" i="124"/>
  <c r="AA360" i="124"/>
  <c r="AB360" i="124" s="1"/>
  <c r="O361" i="124"/>
  <c r="P361" i="124"/>
  <c r="P362" i="124"/>
  <c r="AJ362" i="124"/>
  <c r="AJ363" i="124"/>
  <c r="AA364" i="124"/>
  <c r="AB364" i="124" s="1"/>
  <c r="O365" i="124"/>
  <c r="P365" i="124"/>
  <c r="P366" i="124"/>
  <c r="AJ366" i="124"/>
  <c r="AJ367" i="124"/>
  <c r="AA368" i="124"/>
  <c r="AB368" i="124" s="1"/>
  <c r="O369" i="124"/>
  <c r="P369" i="124"/>
  <c r="P370" i="124"/>
  <c r="AJ370" i="124"/>
  <c r="P391" i="124"/>
  <c r="AG394" i="124"/>
  <c r="AH394" i="124" s="1"/>
  <c r="AE394" i="124"/>
  <c r="AF394" i="124" s="1"/>
  <c r="AA394" i="124"/>
  <c r="AB394" i="124" s="1"/>
  <c r="AG390" i="124"/>
  <c r="AH390" i="124" s="1"/>
  <c r="AE390" i="124"/>
  <c r="AF390" i="124" s="1"/>
  <c r="AA390" i="124"/>
  <c r="AB390" i="124" s="1"/>
  <c r="P395" i="124"/>
  <c r="AJ371" i="124"/>
  <c r="O373" i="124"/>
  <c r="O374" i="124"/>
  <c r="O375" i="124"/>
  <c r="O376" i="124"/>
  <c r="O377" i="124"/>
  <c r="O378" i="124"/>
  <c r="O379" i="124"/>
  <c r="O380" i="124"/>
  <c r="O381" i="124"/>
  <c r="O382" i="124"/>
  <c r="O383" i="124"/>
  <c r="O384" i="124"/>
  <c r="O385" i="124"/>
  <c r="O386" i="124"/>
  <c r="O387" i="124"/>
  <c r="AA388" i="124"/>
  <c r="AB388" i="124" s="1"/>
  <c r="O389" i="124"/>
  <c r="P389" i="124"/>
  <c r="P390" i="124"/>
  <c r="AJ390" i="124"/>
  <c r="AJ391" i="124"/>
  <c r="AA392" i="124"/>
  <c r="AB392" i="124" s="1"/>
  <c r="O393" i="124"/>
  <c r="P393" i="124"/>
  <c r="P394" i="124"/>
  <c r="AJ394" i="124"/>
  <c r="AJ395" i="124"/>
  <c r="AA396" i="124"/>
  <c r="AB396" i="124" s="1"/>
  <c r="O397" i="124"/>
  <c r="P397" i="124"/>
  <c r="P398" i="124"/>
  <c r="AJ398" i="124"/>
  <c r="P399" i="124"/>
  <c r="AJ399" i="124"/>
  <c r="P400" i="124"/>
  <c r="AJ400" i="124"/>
  <c r="P401" i="124"/>
  <c r="AJ401" i="124"/>
  <c r="P130" i="124"/>
  <c r="AJ130" i="124"/>
  <c r="P403" i="124"/>
  <c r="AJ403" i="124"/>
  <c r="P404" i="124"/>
  <c r="AJ404" i="124"/>
  <c r="P131" i="124"/>
  <c r="AJ131" i="124"/>
  <c r="P406" i="124"/>
  <c r="AJ406" i="124"/>
  <c r="P162" i="124"/>
  <c r="AJ162" i="124"/>
  <c r="P408" i="124"/>
  <c r="AJ408" i="124"/>
  <c r="P409" i="124"/>
  <c r="AJ409" i="124"/>
  <c r="P410" i="124"/>
  <c r="AJ410" i="124"/>
  <c r="P411" i="124"/>
  <c r="AJ411" i="124"/>
  <c r="P412" i="124"/>
  <c r="AJ412" i="124"/>
  <c r="P413" i="124"/>
  <c r="AJ413" i="124"/>
  <c r="O415" i="124"/>
  <c r="O416" i="124"/>
  <c r="O164" i="124"/>
  <c r="O420" i="124"/>
  <c r="O435" i="124"/>
  <c r="O436" i="124"/>
  <c r="O437" i="124"/>
  <c r="O438" i="124"/>
  <c r="O439" i="124"/>
  <c r="O440" i="124"/>
  <c r="O441" i="124"/>
  <c r="AC441" i="124"/>
  <c r="AD441" i="124" s="1"/>
  <c r="O446" i="124"/>
  <c r="O447" i="124"/>
  <c r="O448" i="124"/>
  <c r="O449" i="124"/>
  <c r="O450" i="124"/>
  <c r="AE3" i="124"/>
  <c r="AF3" i="124" s="1"/>
  <c r="AC3" i="124"/>
  <c r="AD3" i="124" s="1"/>
  <c r="AG3" i="124"/>
  <c r="AH3" i="124" s="1"/>
  <c r="AA3" i="124"/>
  <c r="AB3" i="124" s="1"/>
  <c r="W4" i="124"/>
  <c r="X4" i="124" s="1"/>
  <c r="U4" i="124"/>
  <c r="V4" i="124" s="1"/>
  <c r="S4" i="124"/>
  <c r="T4" i="124" s="1"/>
  <c r="Q4" i="124"/>
  <c r="W6" i="124"/>
  <c r="X6" i="124" s="1"/>
  <c r="U6" i="124"/>
  <c r="V6" i="124" s="1"/>
  <c r="S6" i="124"/>
  <c r="T6" i="124" s="1"/>
  <c r="Q6" i="124"/>
  <c r="AQ6" i="124"/>
  <c r="AR6" i="124" s="1"/>
  <c r="AO6" i="124"/>
  <c r="AP6" i="124" s="1"/>
  <c r="AM6" i="124"/>
  <c r="AN6" i="124" s="1"/>
  <c r="AK6" i="124"/>
  <c r="AL6" i="124" s="1"/>
  <c r="AG7" i="124"/>
  <c r="AH7" i="124" s="1"/>
  <c r="AE7" i="124"/>
  <c r="AF7" i="124" s="1"/>
  <c r="AC7" i="124"/>
  <c r="AD7" i="124" s="1"/>
  <c r="AA7" i="124"/>
  <c r="AB7" i="124" s="1"/>
  <c r="AQ8" i="124"/>
  <c r="AR8" i="124" s="1"/>
  <c r="AO8" i="124"/>
  <c r="AP8" i="124" s="1"/>
  <c r="AM8" i="124"/>
  <c r="AN8" i="124" s="1"/>
  <c r="AK8" i="124"/>
  <c r="AL8" i="124" s="1"/>
  <c r="AG11" i="124"/>
  <c r="AH11" i="124" s="1"/>
  <c r="AE11" i="124"/>
  <c r="AF11" i="124" s="1"/>
  <c r="AC11" i="124"/>
  <c r="AD11" i="124" s="1"/>
  <c r="AA11" i="124"/>
  <c r="AB11" i="124" s="1"/>
  <c r="W12" i="124"/>
  <c r="X12" i="124" s="1"/>
  <c r="U12" i="124"/>
  <c r="V12" i="124" s="1"/>
  <c r="S12" i="124"/>
  <c r="T12" i="124" s="1"/>
  <c r="Q12" i="124"/>
  <c r="AQ12" i="124"/>
  <c r="AR12" i="124" s="1"/>
  <c r="AO12" i="124"/>
  <c r="AP12" i="124" s="1"/>
  <c r="AM12" i="124"/>
  <c r="AN12" i="124" s="1"/>
  <c r="AK12" i="124"/>
  <c r="AL12" i="124" s="1"/>
  <c r="AG13" i="124"/>
  <c r="AH13" i="124" s="1"/>
  <c r="AE13" i="124"/>
  <c r="AF13" i="124" s="1"/>
  <c r="AC13" i="124"/>
  <c r="AD13" i="124" s="1"/>
  <c r="AA13" i="124"/>
  <c r="AB13" i="124" s="1"/>
  <c r="W14" i="124"/>
  <c r="X14" i="124" s="1"/>
  <c r="U14" i="124"/>
  <c r="V14" i="124" s="1"/>
  <c r="S14" i="124"/>
  <c r="T14" i="124" s="1"/>
  <c r="Q14" i="124"/>
  <c r="AQ14" i="124"/>
  <c r="AR14" i="124" s="1"/>
  <c r="AO14" i="124"/>
  <c r="AP14" i="124" s="1"/>
  <c r="AM14" i="124"/>
  <c r="AN14" i="124" s="1"/>
  <c r="AK14" i="124"/>
  <c r="AL14" i="124" s="1"/>
  <c r="AG15" i="124"/>
  <c r="AH15" i="124" s="1"/>
  <c r="AE15" i="124"/>
  <c r="AF15" i="124" s="1"/>
  <c r="AC15" i="124"/>
  <c r="AD15" i="124" s="1"/>
  <c r="AA15" i="124"/>
  <c r="AB15" i="124" s="1"/>
  <c r="W16" i="124"/>
  <c r="X16" i="124" s="1"/>
  <c r="U16" i="124"/>
  <c r="V16" i="124" s="1"/>
  <c r="S16" i="124"/>
  <c r="T16" i="124" s="1"/>
  <c r="Q16" i="124"/>
  <c r="AQ16" i="124"/>
  <c r="AR16" i="124" s="1"/>
  <c r="AO16" i="124"/>
  <c r="AP16" i="124" s="1"/>
  <c r="AM16" i="124"/>
  <c r="AN16" i="124" s="1"/>
  <c r="AK16" i="124"/>
  <c r="AL16" i="124" s="1"/>
  <c r="AG17" i="124"/>
  <c r="AH17" i="124" s="1"/>
  <c r="AE17" i="124"/>
  <c r="AF17" i="124" s="1"/>
  <c r="AC17" i="124"/>
  <c r="AD17" i="124" s="1"/>
  <c r="AA17" i="124"/>
  <c r="AB17" i="124" s="1"/>
  <c r="W18" i="124"/>
  <c r="X18" i="124" s="1"/>
  <c r="U18" i="124"/>
  <c r="V18" i="124" s="1"/>
  <c r="S18" i="124"/>
  <c r="T18" i="124" s="1"/>
  <c r="Q18" i="124"/>
  <c r="AG19" i="124"/>
  <c r="AH19" i="124" s="1"/>
  <c r="AE19" i="124"/>
  <c r="AF19" i="124" s="1"/>
  <c r="AC19" i="124"/>
  <c r="AD19" i="124" s="1"/>
  <c r="AA19" i="124"/>
  <c r="AB19" i="124" s="1"/>
  <c r="AQ20" i="124"/>
  <c r="AR20" i="124" s="1"/>
  <c r="AO20" i="124"/>
  <c r="AP20" i="124" s="1"/>
  <c r="AM20" i="124"/>
  <c r="AN20" i="124" s="1"/>
  <c r="AK20" i="124"/>
  <c r="AL20" i="124" s="1"/>
  <c r="AG21" i="124"/>
  <c r="AH21" i="124" s="1"/>
  <c r="AE21" i="124"/>
  <c r="AF21" i="124" s="1"/>
  <c r="AC21" i="124"/>
  <c r="AD21" i="124" s="1"/>
  <c r="AA21" i="124"/>
  <c r="AB21" i="124" s="1"/>
  <c r="W22" i="124"/>
  <c r="X22" i="124" s="1"/>
  <c r="U22" i="124"/>
  <c r="V22" i="124" s="1"/>
  <c r="S22" i="124"/>
  <c r="T22" i="124" s="1"/>
  <c r="Q22" i="124"/>
  <c r="AQ22" i="124"/>
  <c r="AR22" i="124" s="1"/>
  <c r="AO22" i="124"/>
  <c r="AP22" i="124" s="1"/>
  <c r="AM22" i="124"/>
  <c r="AN22" i="124" s="1"/>
  <c r="AK22" i="124"/>
  <c r="AL22" i="124" s="1"/>
  <c r="AG23" i="124"/>
  <c r="AH23" i="124" s="1"/>
  <c r="AE23" i="124"/>
  <c r="AF23" i="124" s="1"/>
  <c r="AC23" i="124"/>
  <c r="AD23" i="124" s="1"/>
  <c r="AA23" i="124"/>
  <c r="AB23" i="124" s="1"/>
  <c r="W24" i="124"/>
  <c r="X24" i="124" s="1"/>
  <c r="U24" i="124"/>
  <c r="V24" i="124" s="1"/>
  <c r="S24" i="124"/>
  <c r="T24" i="124" s="1"/>
  <c r="Q24" i="124"/>
  <c r="AQ24" i="124"/>
  <c r="AR24" i="124" s="1"/>
  <c r="AO24" i="124"/>
  <c r="AP24" i="124" s="1"/>
  <c r="AM24" i="124"/>
  <c r="AN24" i="124" s="1"/>
  <c r="AK24" i="124"/>
  <c r="AL24" i="124" s="1"/>
  <c r="AG25" i="124"/>
  <c r="AH25" i="124" s="1"/>
  <c r="AE25" i="124"/>
  <c r="AF25" i="124" s="1"/>
  <c r="AC25" i="124"/>
  <c r="AD25" i="124" s="1"/>
  <c r="AA25" i="124"/>
  <c r="AB25" i="124" s="1"/>
  <c r="W26" i="124"/>
  <c r="X26" i="124" s="1"/>
  <c r="U26" i="124"/>
  <c r="V26" i="124" s="1"/>
  <c r="S26" i="124"/>
  <c r="T26" i="124" s="1"/>
  <c r="Q26" i="124"/>
  <c r="W3" i="124"/>
  <c r="X3" i="124" s="1"/>
  <c r="U3" i="124"/>
  <c r="V3" i="124" s="1"/>
  <c r="S3" i="124"/>
  <c r="T3" i="124" s="1"/>
  <c r="Q3" i="124"/>
  <c r="AO3" i="124"/>
  <c r="AP3" i="124" s="1"/>
  <c r="AK3" i="124"/>
  <c r="AL3" i="124" s="1"/>
  <c r="AG4" i="124"/>
  <c r="AH4" i="124" s="1"/>
  <c r="AE4" i="124"/>
  <c r="AF4" i="124" s="1"/>
  <c r="AC4" i="124"/>
  <c r="AD4" i="124" s="1"/>
  <c r="AA4" i="124"/>
  <c r="AB4" i="124" s="1"/>
  <c r="W5" i="124"/>
  <c r="X5" i="124" s="1"/>
  <c r="U5" i="124"/>
  <c r="V5" i="124" s="1"/>
  <c r="S5" i="124"/>
  <c r="T5" i="124" s="1"/>
  <c r="Q5" i="124"/>
  <c r="AO5" i="124"/>
  <c r="AP5" i="124" s="1"/>
  <c r="AK5" i="124"/>
  <c r="AL5" i="124" s="1"/>
  <c r="O6" i="124"/>
  <c r="AG6" i="124"/>
  <c r="AH6" i="124" s="1"/>
  <c r="AE6" i="124"/>
  <c r="AF6" i="124" s="1"/>
  <c r="AC6" i="124"/>
  <c r="AD6" i="124" s="1"/>
  <c r="AA6" i="124"/>
  <c r="AB6" i="124" s="1"/>
  <c r="W7" i="124"/>
  <c r="X7" i="124" s="1"/>
  <c r="U7" i="124"/>
  <c r="V7" i="124" s="1"/>
  <c r="S7" i="124"/>
  <c r="T7" i="124" s="1"/>
  <c r="Q7" i="124"/>
  <c r="AQ7" i="124"/>
  <c r="AR7" i="124" s="1"/>
  <c r="AM7" i="124"/>
  <c r="AN7" i="124" s="1"/>
  <c r="O8" i="124"/>
  <c r="AG8" i="124"/>
  <c r="AH8" i="124" s="1"/>
  <c r="AE8" i="124"/>
  <c r="AF8" i="124" s="1"/>
  <c r="AC8" i="124"/>
  <c r="AD8" i="124" s="1"/>
  <c r="AA8" i="124"/>
  <c r="AB8" i="124" s="1"/>
  <c r="W9" i="124"/>
  <c r="X9" i="124" s="1"/>
  <c r="U9" i="124"/>
  <c r="V9" i="124" s="1"/>
  <c r="S9" i="124"/>
  <c r="T9" i="124" s="1"/>
  <c r="Q9" i="124"/>
  <c r="AO9" i="124"/>
  <c r="AP9" i="124" s="1"/>
  <c r="AK9" i="124"/>
  <c r="AL9" i="124" s="1"/>
  <c r="O10" i="124"/>
  <c r="W10" i="124" s="1"/>
  <c r="AG10" i="124"/>
  <c r="AH10" i="124" s="1"/>
  <c r="AE10" i="124"/>
  <c r="AF10" i="124" s="1"/>
  <c r="AC10" i="124"/>
  <c r="AD10" i="124" s="1"/>
  <c r="AA10" i="124"/>
  <c r="AB10" i="124" s="1"/>
  <c r="W11" i="124"/>
  <c r="X11" i="124" s="1"/>
  <c r="U11" i="124"/>
  <c r="V11" i="124" s="1"/>
  <c r="S11" i="124"/>
  <c r="T11" i="124" s="1"/>
  <c r="Q11" i="124"/>
  <c r="AQ11" i="124"/>
  <c r="AR11" i="124" s="1"/>
  <c r="AM11" i="124"/>
  <c r="AN11" i="124" s="1"/>
  <c r="O12" i="124"/>
  <c r="AG12" i="124"/>
  <c r="AH12" i="124" s="1"/>
  <c r="AE12" i="124"/>
  <c r="AF12" i="124" s="1"/>
  <c r="AC12" i="124"/>
  <c r="AD12" i="124" s="1"/>
  <c r="AA12" i="124"/>
  <c r="AB12" i="124" s="1"/>
  <c r="W13" i="124"/>
  <c r="X13" i="124" s="1"/>
  <c r="U13" i="124"/>
  <c r="V13" i="124" s="1"/>
  <c r="S13" i="124"/>
  <c r="T13" i="124" s="1"/>
  <c r="Q13" i="124"/>
  <c r="AO13" i="124"/>
  <c r="AP13" i="124" s="1"/>
  <c r="AK13" i="124"/>
  <c r="AL13" i="124" s="1"/>
  <c r="O14" i="124"/>
  <c r="AG14" i="124"/>
  <c r="AH14" i="124" s="1"/>
  <c r="AE14" i="124"/>
  <c r="AF14" i="124" s="1"/>
  <c r="AC14" i="124"/>
  <c r="AD14" i="124" s="1"/>
  <c r="AA14" i="124"/>
  <c r="AB14" i="124" s="1"/>
  <c r="W15" i="124"/>
  <c r="X15" i="124" s="1"/>
  <c r="U15" i="124"/>
  <c r="V15" i="124" s="1"/>
  <c r="S15" i="124"/>
  <c r="T15" i="124" s="1"/>
  <c r="Q15" i="124"/>
  <c r="AQ15" i="124"/>
  <c r="AR15" i="124" s="1"/>
  <c r="AM15" i="124"/>
  <c r="AN15" i="124" s="1"/>
  <c r="O16" i="124"/>
  <c r="AG16" i="124"/>
  <c r="AH16" i="124" s="1"/>
  <c r="AE16" i="124"/>
  <c r="AF16" i="124" s="1"/>
  <c r="AC16" i="124"/>
  <c r="AD16" i="124" s="1"/>
  <c r="AA16" i="124"/>
  <c r="AB16" i="124" s="1"/>
  <c r="W17" i="124"/>
  <c r="X17" i="124" s="1"/>
  <c r="U17" i="124"/>
  <c r="V17" i="124" s="1"/>
  <c r="S17" i="124"/>
  <c r="T17" i="124" s="1"/>
  <c r="Q17" i="124"/>
  <c r="AO17" i="124"/>
  <c r="AP17" i="124" s="1"/>
  <c r="AK17" i="124"/>
  <c r="AL17" i="124" s="1"/>
  <c r="O18" i="124"/>
  <c r="AQ18" i="124" s="1"/>
  <c r="AG18" i="124"/>
  <c r="AH18" i="124" s="1"/>
  <c r="AE18" i="124"/>
  <c r="AF18" i="124" s="1"/>
  <c r="AC18" i="124"/>
  <c r="AD18" i="124" s="1"/>
  <c r="AA18" i="124"/>
  <c r="AB18" i="124" s="1"/>
  <c r="W19" i="124"/>
  <c r="X19" i="124" s="1"/>
  <c r="U19" i="124"/>
  <c r="V19" i="124" s="1"/>
  <c r="S19" i="124"/>
  <c r="T19" i="124" s="1"/>
  <c r="Q19" i="124"/>
  <c r="AQ19" i="124"/>
  <c r="AR19" i="124" s="1"/>
  <c r="AM19" i="124"/>
  <c r="AN19" i="124" s="1"/>
  <c r="O20" i="124"/>
  <c r="AG20" i="124"/>
  <c r="AH20" i="124" s="1"/>
  <c r="AE20" i="124"/>
  <c r="AF20" i="124" s="1"/>
  <c r="AC20" i="124"/>
  <c r="AD20" i="124" s="1"/>
  <c r="AA20" i="124"/>
  <c r="AB20" i="124" s="1"/>
  <c r="W21" i="124"/>
  <c r="X21" i="124" s="1"/>
  <c r="U21" i="124"/>
  <c r="V21" i="124" s="1"/>
  <c r="S21" i="124"/>
  <c r="T21" i="124" s="1"/>
  <c r="Q21" i="124"/>
  <c r="AO21" i="124"/>
  <c r="AP21" i="124" s="1"/>
  <c r="AK21" i="124"/>
  <c r="AL21" i="124" s="1"/>
  <c r="O22" i="124"/>
  <c r="AG22" i="124"/>
  <c r="AH22" i="124" s="1"/>
  <c r="AE22" i="124"/>
  <c r="AF22" i="124" s="1"/>
  <c r="AC22" i="124"/>
  <c r="AD22" i="124" s="1"/>
  <c r="AA22" i="124"/>
  <c r="AB22" i="124" s="1"/>
  <c r="W23" i="124"/>
  <c r="X23" i="124" s="1"/>
  <c r="U23" i="124"/>
  <c r="V23" i="124" s="1"/>
  <c r="S23" i="124"/>
  <c r="T23" i="124" s="1"/>
  <c r="Q23" i="124"/>
  <c r="AQ23" i="124"/>
  <c r="AR23" i="124" s="1"/>
  <c r="AM23" i="124"/>
  <c r="AN23" i="124" s="1"/>
  <c r="O24" i="124"/>
  <c r="AG24" i="124"/>
  <c r="AH24" i="124" s="1"/>
  <c r="AE24" i="124"/>
  <c r="AF24" i="124" s="1"/>
  <c r="AC24" i="124"/>
  <c r="AD24" i="124" s="1"/>
  <c r="AA24" i="124"/>
  <c r="AB24" i="124" s="1"/>
  <c r="W25" i="124"/>
  <c r="X25" i="124" s="1"/>
  <c r="U25" i="124"/>
  <c r="V25" i="124" s="1"/>
  <c r="S25" i="124"/>
  <c r="T25" i="124" s="1"/>
  <c r="Q25" i="124"/>
  <c r="AO25" i="124"/>
  <c r="AP25" i="124" s="1"/>
  <c r="AK25" i="124"/>
  <c r="AL25" i="124" s="1"/>
  <c r="O26" i="124"/>
  <c r="AA26" i="124"/>
  <c r="AB26" i="124" s="1"/>
  <c r="AG26" i="124"/>
  <c r="AH26" i="124" s="1"/>
  <c r="AE26" i="124"/>
  <c r="AF26" i="124" s="1"/>
  <c r="AC26" i="124"/>
  <c r="AD26" i="124" s="1"/>
  <c r="W27" i="124"/>
  <c r="X27" i="124" s="1"/>
  <c r="U27" i="124"/>
  <c r="V27" i="124" s="1"/>
  <c r="S27" i="124"/>
  <c r="T27" i="124" s="1"/>
  <c r="Q27" i="124"/>
  <c r="AQ27" i="124"/>
  <c r="AR27" i="124" s="1"/>
  <c r="AM27" i="124"/>
  <c r="AN27" i="124" s="1"/>
  <c r="O28" i="124"/>
  <c r="AG28" i="124"/>
  <c r="AH28" i="124" s="1"/>
  <c r="AE28" i="124"/>
  <c r="AF28" i="124" s="1"/>
  <c r="AC28" i="124"/>
  <c r="AD28" i="124" s="1"/>
  <c r="AA28" i="124"/>
  <c r="AB28" i="124" s="1"/>
  <c r="W29" i="124"/>
  <c r="X29" i="124" s="1"/>
  <c r="U29" i="124"/>
  <c r="V29" i="124" s="1"/>
  <c r="S29" i="124"/>
  <c r="T29" i="124" s="1"/>
  <c r="Q29" i="124"/>
  <c r="AO29" i="124"/>
  <c r="AP29" i="124" s="1"/>
  <c r="AK29" i="124"/>
  <c r="AL29" i="124" s="1"/>
  <c r="O30" i="124"/>
  <c r="AG30" i="124"/>
  <c r="AH30" i="124" s="1"/>
  <c r="AE30" i="124"/>
  <c r="AF30" i="124" s="1"/>
  <c r="AC30" i="124"/>
  <c r="AD30" i="124" s="1"/>
  <c r="AA30" i="124"/>
  <c r="AB30" i="124" s="1"/>
  <c r="W31" i="124"/>
  <c r="X31" i="124" s="1"/>
  <c r="U31" i="124"/>
  <c r="V31" i="124" s="1"/>
  <c r="S31" i="124"/>
  <c r="T31" i="124" s="1"/>
  <c r="Q31" i="124"/>
  <c r="AQ31" i="124"/>
  <c r="AR31" i="124" s="1"/>
  <c r="AM31" i="124"/>
  <c r="AN31" i="124" s="1"/>
  <c r="O32" i="124"/>
  <c r="AG32" i="124"/>
  <c r="AH32" i="124" s="1"/>
  <c r="AE32" i="124"/>
  <c r="AF32" i="124" s="1"/>
  <c r="AC32" i="124"/>
  <c r="AD32" i="124" s="1"/>
  <c r="AA32" i="124"/>
  <c r="AB32" i="124" s="1"/>
  <c r="W33" i="124"/>
  <c r="X33" i="124" s="1"/>
  <c r="U33" i="124"/>
  <c r="V33" i="124" s="1"/>
  <c r="S33" i="124"/>
  <c r="T33" i="124" s="1"/>
  <c r="Q33" i="124"/>
  <c r="AO33" i="124"/>
  <c r="AP33" i="124" s="1"/>
  <c r="AK33" i="124"/>
  <c r="AL33" i="124" s="1"/>
  <c r="O34" i="124"/>
  <c r="AG34" i="124"/>
  <c r="AH34" i="124" s="1"/>
  <c r="AE34" i="124"/>
  <c r="AF34" i="124" s="1"/>
  <c r="AC34" i="124"/>
  <c r="AD34" i="124" s="1"/>
  <c r="AA34" i="124"/>
  <c r="AB34" i="124" s="1"/>
  <c r="W35" i="124"/>
  <c r="X35" i="124" s="1"/>
  <c r="U35" i="124"/>
  <c r="V35" i="124" s="1"/>
  <c r="S35" i="124"/>
  <c r="T35" i="124" s="1"/>
  <c r="Q35" i="124"/>
  <c r="AQ35" i="124"/>
  <c r="AR35" i="124" s="1"/>
  <c r="AM35" i="124"/>
  <c r="AN35" i="124" s="1"/>
  <c r="O36" i="124"/>
  <c r="AG5" i="124"/>
  <c r="AH5" i="124" s="1"/>
  <c r="AE5" i="124"/>
  <c r="AF5" i="124" s="1"/>
  <c r="AC5" i="124"/>
  <c r="AD5" i="124" s="1"/>
  <c r="AA5" i="124"/>
  <c r="AB5" i="124" s="1"/>
  <c r="W8" i="124"/>
  <c r="X8" i="124" s="1"/>
  <c r="AY8" i="124" s="1"/>
  <c r="U8" i="124"/>
  <c r="V8" i="124" s="1"/>
  <c r="AX8" i="124" s="1"/>
  <c r="S8" i="124"/>
  <c r="T8" i="124" s="1"/>
  <c r="AW8" i="124" s="1"/>
  <c r="Q8" i="124"/>
  <c r="AG9" i="124"/>
  <c r="AH9" i="124" s="1"/>
  <c r="AE9" i="124"/>
  <c r="AF9" i="124" s="1"/>
  <c r="AC9" i="124"/>
  <c r="AD9" i="124" s="1"/>
  <c r="AA9" i="124"/>
  <c r="AB9" i="124" s="1"/>
  <c r="AQ10" i="124"/>
  <c r="AR10" i="124" s="1"/>
  <c r="AO10" i="124"/>
  <c r="AP10" i="124" s="1"/>
  <c r="AM10" i="124"/>
  <c r="AN10" i="124" s="1"/>
  <c r="AK10" i="124"/>
  <c r="AL10" i="124" s="1"/>
  <c r="W20" i="124"/>
  <c r="X20" i="124" s="1"/>
  <c r="AY20" i="124" s="1"/>
  <c r="U20" i="124"/>
  <c r="V20" i="124" s="1"/>
  <c r="AX20" i="124" s="1"/>
  <c r="S20" i="124"/>
  <c r="T20" i="124" s="1"/>
  <c r="AW20" i="124" s="1"/>
  <c r="Q20" i="124"/>
  <c r="AQ26" i="124"/>
  <c r="AR26" i="124" s="1"/>
  <c r="AO26" i="124"/>
  <c r="AP26" i="124" s="1"/>
  <c r="AM26" i="124"/>
  <c r="AN26" i="124" s="1"/>
  <c r="AK26" i="124"/>
  <c r="AL26" i="124" s="1"/>
  <c r="AG27" i="124"/>
  <c r="AH27" i="124" s="1"/>
  <c r="AE27" i="124"/>
  <c r="AF27" i="124" s="1"/>
  <c r="AC27" i="124"/>
  <c r="AD27" i="124" s="1"/>
  <c r="AA27" i="124"/>
  <c r="AB27" i="124" s="1"/>
  <c r="W28" i="124"/>
  <c r="X28" i="124" s="1"/>
  <c r="U28" i="124"/>
  <c r="V28" i="124" s="1"/>
  <c r="S28" i="124"/>
  <c r="T28" i="124" s="1"/>
  <c r="Q28" i="124"/>
  <c r="AQ28" i="124"/>
  <c r="AR28" i="124" s="1"/>
  <c r="AO28" i="124"/>
  <c r="AP28" i="124" s="1"/>
  <c r="AM28" i="124"/>
  <c r="AN28" i="124" s="1"/>
  <c r="AK28" i="124"/>
  <c r="AL28" i="124" s="1"/>
  <c r="AG29" i="124"/>
  <c r="AH29" i="124" s="1"/>
  <c r="AE29" i="124"/>
  <c r="AF29" i="124" s="1"/>
  <c r="AC29" i="124"/>
  <c r="AD29" i="124" s="1"/>
  <c r="AA29" i="124"/>
  <c r="AB29" i="124" s="1"/>
  <c r="W30" i="124"/>
  <c r="X30" i="124" s="1"/>
  <c r="U30" i="124"/>
  <c r="V30" i="124" s="1"/>
  <c r="S30" i="124"/>
  <c r="T30" i="124" s="1"/>
  <c r="Q30" i="124"/>
  <c r="AQ30" i="124"/>
  <c r="AR30" i="124" s="1"/>
  <c r="AO30" i="124"/>
  <c r="AP30" i="124" s="1"/>
  <c r="AM30" i="124"/>
  <c r="AN30" i="124" s="1"/>
  <c r="AK30" i="124"/>
  <c r="AL30" i="124" s="1"/>
  <c r="AG31" i="124"/>
  <c r="AH31" i="124" s="1"/>
  <c r="AE31" i="124"/>
  <c r="AF31" i="124" s="1"/>
  <c r="AC31" i="124"/>
  <c r="AD31" i="124" s="1"/>
  <c r="AA31" i="124"/>
  <c r="AB31" i="124" s="1"/>
  <c r="W32" i="124"/>
  <c r="X32" i="124" s="1"/>
  <c r="U32" i="124"/>
  <c r="V32" i="124" s="1"/>
  <c r="S32" i="124"/>
  <c r="T32" i="124" s="1"/>
  <c r="Q32" i="124"/>
  <c r="AQ32" i="124"/>
  <c r="AR32" i="124" s="1"/>
  <c r="AO32" i="124"/>
  <c r="AP32" i="124" s="1"/>
  <c r="AM32" i="124"/>
  <c r="AN32" i="124" s="1"/>
  <c r="AK32" i="124"/>
  <c r="AL32" i="124" s="1"/>
  <c r="AG33" i="124"/>
  <c r="AH33" i="124" s="1"/>
  <c r="AE33" i="124"/>
  <c r="AF33" i="124" s="1"/>
  <c r="AC33" i="124"/>
  <c r="AD33" i="124" s="1"/>
  <c r="AA33" i="124"/>
  <c r="AB33" i="124" s="1"/>
  <c r="W34" i="124"/>
  <c r="X34" i="124" s="1"/>
  <c r="U34" i="124"/>
  <c r="V34" i="124" s="1"/>
  <c r="S34" i="124"/>
  <c r="T34" i="124" s="1"/>
  <c r="Q34" i="124"/>
  <c r="AQ34" i="124"/>
  <c r="AR34" i="124" s="1"/>
  <c r="AO34" i="124"/>
  <c r="AP34" i="124" s="1"/>
  <c r="AM34" i="124"/>
  <c r="AN34" i="124" s="1"/>
  <c r="AK34" i="124"/>
  <c r="AL34" i="124" s="1"/>
  <c r="AG35" i="124"/>
  <c r="AH35" i="124" s="1"/>
  <c r="AE35" i="124"/>
  <c r="AF35" i="124" s="1"/>
  <c r="AC35" i="124"/>
  <c r="AD35" i="124" s="1"/>
  <c r="AA35" i="124"/>
  <c r="AB35" i="124" s="1"/>
  <c r="AJ39" i="124"/>
  <c r="P39" i="124"/>
  <c r="AG40" i="124"/>
  <c r="AH40" i="124" s="1"/>
  <c r="AE40" i="124"/>
  <c r="AF40" i="124" s="1"/>
  <c r="AC40" i="124"/>
  <c r="AD40" i="124" s="1"/>
  <c r="AA40" i="124"/>
  <c r="AB40" i="124" s="1"/>
  <c r="AG42" i="124"/>
  <c r="AH42" i="124" s="1"/>
  <c r="AE42" i="124"/>
  <c r="AF42" i="124" s="1"/>
  <c r="AC42" i="124"/>
  <c r="AD42" i="124" s="1"/>
  <c r="AA42" i="124"/>
  <c r="AB42" i="124" s="1"/>
  <c r="AJ43" i="124"/>
  <c r="P43" i="124"/>
  <c r="AG44" i="124"/>
  <c r="AH44" i="124" s="1"/>
  <c r="AE44" i="124"/>
  <c r="AF44" i="124" s="1"/>
  <c r="AC44" i="124"/>
  <c r="AD44" i="124" s="1"/>
  <c r="AA44" i="124"/>
  <c r="AB44" i="124" s="1"/>
  <c r="AJ45" i="124"/>
  <c r="P45" i="124"/>
  <c r="AG46" i="124"/>
  <c r="AH46" i="124" s="1"/>
  <c r="AE46" i="124"/>
  <c r="AF46" i="124" s="1"/>
  <c r="AC46" i="124"/>
  <c r="AD46" i="124" s="1"/>
  <c r="AA46" i="124"/>
  <c r="AB46" i="124" s="1"/>
  <c r="AJ49" i="124"/>
  <c r="P49" i="124"/>
  <c r="AG50" i="124"/>
  <c r="AH50" i="124" s="1"/>
  <c r="AE50" i="124"/>
  <c r="AF50" i="124" s="1"/>
  <c r="AC50" i="124"/>
  <c r="AD50" i="124" s="1"/>
  <c r="AA50" i="124"/>
  <c r="AB50" i="124" s="1"/>
  <c r="AJ51" i="124"/>
  <c r="P51" i="124"/>
  <c r="AG52" i="124"/>
  <c r="AH52" i="124" s="1"/>
  <c r="AE52" i="124"/>
  <c r="AF52" i="124" s="1"/>
  <c r="AC52" i="124"/>
  <c r="AD52" i="124" s="1"/>
  <c r="AA52" i="124"/>
  <c r="AB52" i="124" s="1"/>
  <c r="AJ53" i="124"/>
  <c r="P53" i="124"/>
  <c r="AG56" i="124"/>
  <c r="AH56" i="124" s="1"/>
  <c r="AE56" i="124"/>
  <c r="AF56" i="124" s="1"/>
  <c r="AC56" i="124"/>
  <c r="AD56" i="124" s="1"/>
  <c r="AA56" i="124"/>
  <c r="AB56" i="124" s="1"/>
  <c r="AJ59" i="124"/>
  <c r="P59" i="124"/>
  <c r="AE60" i="124"/>
  <c r="AF60" i="124" s="1"/>
  <c r="AA60" i="124"/>
  <c r="AB60" i="124" s="1"/>
  <c r="AJ61" i="124"/>
  <c r="P61" i="124"/>
  <c r="AG62" i="124"/>
  <c r="AH62" i="124" s="1"/>
  <c r="AE62" i="124"/>
  <c r="AF62" i="124" s="1"/>
  <c r="AC62" i="124"/>
  <c r="AD62" i="124" s="1"/>
  <c r="AA62" i="124"/>
  <c r="AB62" i="124" s="1"/>
  <c r="AJ63" i="124"/>
  <c r="P63" i="124"/>
  <c r="AG64" i="124"/>
  <c r="AH64" i="124" s="1"/>
  <c r="AE64" i="124"/>
  <c r="AF64" i="124" s="1"/>
  <c r="AC64" i="124"/>
  <c r="AD64" i="124" s="1"/>
  <c r="AA64" i="124"/>
  <c r="AB64" i="124" s="1"/>
  <c r="AJ65" i="124"/>
  <c r="P65" i="124"/>
  <c r="AG66" i="124"/>
  <c r="AH66" i="124" s="1"/>
  <c r="AE66" i="124"/>
  <c r="AF66" i="124" s="1"/>
  <c r="AC66" i="124"/>
  <c r="AD66" i="124" s="1"/>
  <c r="AA66" i="124"/>
  <c r="AB66" i="124" s="1"/>
  <c r="AJ67" i="124"/>
  <c r="P67" i="124"/>
  <c r="AE68" i="124"/>
  <c r="AF68" i="124" s="1"/>
  <c r="AA68" i="124"/>
  <c r="AB68" i="124" s="1"/>
  <c r="AG69" i="124"/>
  <c r="AH69" i="124" s="1"/>
  <c r="AE69" i="124"/>
  <c r="AF69" i="124" s="1"/>
  <c r="AC69" i="124"/>
  <c r="AD69" i="124" s="1"/>
  <c r="AA69" i="124"/>
  <c r="AB69" i="124" s="1"/>
  <c r="AJ70" i="124"/>
  <c r="P70" i="124"/>
  <c r="AG71" i="124"/>
  <c r="AH71" i="124" s="1"/>
  <c r="AE71" i="124"/>
  <c r="AF71" i="124" s="1"/>
  <c r="AC71" i="124"/>
  <c r="AD71" i="124" s="1"/>
  <c r="AA71" i="124"/>
  <c r="AB71" i="124" s="1"/>
  <c r="AJ72" i="124"/>
  <c r="P72" i="124"/>
  <c r="AJ73" i="124"/>
  <c r="P73" i="124"/>
  <c r="AG74" i="124"/>
  <c r="AH74" i="124" s="1"/>
  <c r="AE74" i="124"/>
  <c r="AF74" i="124" s="1"/>
  <c r="AC74" i="124"/>
  <c r="AD74" i="124" s="1"/>
  <c r="AA74" i="124"/>
  <c r="AB74" i="124" s="1"/>
  <c r="AJ75" i="124"/>
  <c r="P75" i="124"/>
  <c r="AG76" i="124"/>
  <c r="AH76" i="124" s="1"/>
  <c r="AE76" i="124"/>
  <c r="AF76" i="124" s="1"/>
  <c r="AC76" i="124"/>
  <c r="AD76" i="124" s="1"/>
  <c r="AA76" i="124"/>
  <c r="AB76" i="124" s="1"/>
  <c r="AJ77" i="124"/>
  <c r="P77" i="124"/>
  <c r="AG78" i="124"/>
  <c r="AH78" i="124" s="1"/>
  <c r="AE78" i="124"/>
  <c r="AF78" i="124" s="1"/>
  <c r="AC78" i="124"/>
  <c r="AD78" i="124" s="1"/>
  <c r="AA78" i="124"/>
  <c r="AB78" i="124" s="1"/>
  <c r="AJ79" i="124"/>
  <c r="P79" i="124"/>
  <c r="AQ80" i="124"/>
  <c r="AR80" i="124" s="1"/>
  <c r="AO80" i="124"/>
  <c r="AP80" i="124" s="1"/>
  <c r="AM80" i="124"/>
  <c r="AN80" i="124" s="1"/>
  <c r="AK80" i="124"/>
  <c r="AL80" i="124" s="1"/>
  <c r="AQ81" i="124"/>
  <c r="AR81" i="124" s="1"/>
  <c r="AO81" i="124"/>
  <c r="AP81" i="124" s="1"/>
  <c r="AM81" i="124"/>
  <c r="AN81" i="124" s="1"/>
  <c r="AK81" i="124"/>
  <c r="AL81" i="124" s="1"/>
  <c r="AQ82" i="124"/>
  <c r="AR82" i="124" s="1"/>
  <c r="AO82" i="124"/>
  <c r="AP82" i="124" s="1"/>
  <c r="AM82" i="124"/>
  <c r="AN82" i="124" s="1"/>
  <c r="AK82" i="124"/>
  <c r="AL82" i="124" s="1"/>
  <c r="AM83" i="124"/>
  <c r="AQ83" i="124"/>
  <c r="AR83" i="124" s="1"/>
  <c r="AO83" i="124"/>
  <c r="AP83" i="124" s="1"/>
  <c r="AK83" i="124"/>
  <c r="AG147" i="124"/>
  <c r="AH147" i="124" s="1"/>
  <c r="AE147" i="124"/>
  <c r="AF147" i="124" s="1"/>
  <c r="AC147" i="124"/>
  <c r="AD147" i="124" s="1"/>
  <c r="AA147" i="124"/>
  <c r="AB147" i="124" s="1"/>
  <c r="AG148" i="124"/>
  <c r="AH148" i="124" s="1"/>
  <c r="AE148" i="124"/>
  <c r="AF148" i="124" s="1"/>
  <c r="AC148" i="124"/>
  <c r="AD148" i="124" s="1"/>
  <c r="AA148" i="124"/>
  <c r="AB148" i="124" s="1"/>
  <c r="AG149" i="124"/>
  <c r="AH149" i="124" s="1"/>
  <c r="AE149" i="124"/>
  <c r="AF149" i="124" s="1"/>
  <c r="AC149" i="124"/>
  <c r="AD149" i="124" s="1"/>
  <c r="AA149" i="124"/>
  <c r="AB149" i="124" s="1"/>
  <c r="AG150" i="124"/>
  <c r="AH150" i="124" s="1"/>
  <c r="AE150" i="124"/>
  <c r="AF150" i="124" s="1"/>
  <c r="AC150" i="124"/>
  <c r="AD150" i="124" s="1"/>
  <c r="AA150" i="124"/>
  <c r="AB150" i="124" s="1"/>
  <c r="AG151" i="124"/>
  <c r="AH151" i="124" s="1"/>
  <c r="AE151" i="124"/>
  <c r="AF151" i="124" s="1"/>
  <c r="AC151" i="124"/>
  <c r="AD151" i="124" s="1"/>
  <c r="AA151" i="124"/>
  <c r="AB151" i="124" s="1"/>
  <c r="AG152" i="124"/>
  <c r="AH152" i="124" s="1"/>
  <c r="AE152" i="124"/>
  <c r="AF152" i="124" s="1"/>
  <c r="AC152" i="124"/>
  <c r="AD152" i="124" s="1"/>
  <c r="AA152" i="124"/>
  <c r="AB152" i="124" s="1"/>
  <c r="AG153" i="124"/>
  <c r="AH153" i="124" s="1"/>
  <c r="AE153" i="124"/>
  <c r="AF153" i="124" s="1"/>
  <c r="AC153" i="124"/>
  <c r="AD153" i="124" s="1"/>
  <c r="AA153" i="124"/>
  <c r="AB153" i="124" s="1"/>
  <c r="AG154" i="124"/>
  <c r="AH154" i="124" s="1"/>
  <c r="AE154" i="124"/>
  <c r="AF154" i="124" s="1"/>
  <c r="AC154" i="124"/>
  <c r="AD154" i="124" s="1"/>
  <c r="AA154" i="124"/>
  <c r="AB154" i="124" s="1"/>
  <c r="AG155" i="124"/>
  <c r="AH155" i="124" s="1"/>
  <c r="AE155" i="124"/>
  <c r="AF155" i="124" s="1"/>
  <c r="AC155" i="124"/>
  <c r="AD155" i="124" s="1"/>
  <c r="AA155" i="124"/>
  <c r="AB155" i="124" s="1"/>
  <c r="AG156" i="124"/>
  <c r="AH156" i="124" s="1"/>
  <c r="AE156" i="124"/>
  <c r="AF156" i="124" s="1"/>
  <c r="AC156" i="124"/>
  <c r="AD156" i="124" s="1"/>
  <c r="AA156" i="124"/>
  <c r="AB156" i="124" s="1"/>
  <c r="AG157" i="124"/>
  <c r="AH157" i="124" s="1"/>
  <c r="AE157" i="124"/>
  <c r="AF157" i="124" s="1"/>
  <c r="AC157" i="124"/>
  <c r="AD157" i="124" s="1"/>
  <c r="AA157" i="124"/>
  <c r="AB157" i="124" s="1"/>
  <c r="AG158" i="124"/>
  <c r="AH158" i="124" s="1"/>
  <c r="AE158" i="124"/>
  <c r="AF158" i="124" s="1"/>
  <c r="AC158" i="124"/>
  <c r="AD158" i="124" s="1"/>
  <c r="AA158" i="124"/>
  <c r="AB158" i="124" s="1"/>
  <c r="AG159" i="124"/>
  <c r="AH159" i="124" s="1"/>
  <c r="AE159" i="124"/>
  <c r="AF159" i="124" s="1"/>
  <c r="AC159" i="124"/>
  <c r="AD159" i="124" s="1"/>
  <c r="AA159" i="124"/>
  <c r="AB159" i="124" s="1"/>
  <c r="AG160" i="124"/>
  <c r="AH160" i="124" s="1"/>
  <c r="AE160" i="124"/>
  <c r="AF160" i="124" s="1"/>
  <c r="AC160" i="124"/>
  <c r="AD160" i="124" s="1"/>
  <c r="AA160" i="124"/>
  <c r="AB160" i="124" s="1"/>
  <c r="AG161" i="124"/>
  <c r="AH161" i="124" s="1"/>
  <c r="AE161" i="124"/>
  <c r="AF161" i="124" s="1"/>
  <c r="AC161" i="124"/>
  <c r="AD161" i="124" s="1"/>
  <c r="AA161" i="124"/>
  <c r="AB161" i="124" s="1"/>
  <c r="AO167" i="124"/>
  <c r="AP167" i="124" s="1"/>
  <c r="AK167" i="124"/>
  <c r="AL167" i="124" s="1"/>
  <c r="AV167" i="124" s="1"/>
  <c r="AG163" i="124"/>
  <c r="AH163" i="124" s="1"/>
  <c r="AE163" i="124"/>
  <c r="AF163" i="124" s="1"/>
  <c r="AC163" i="124"/>
  <c r="AD163" i="124" s="1"/>
  <c r="AA163" i="124"/>
  <c r="AB163" i="124" s="1"/>
  <c r="AE181" i="124"/>
  <c r="AF181" i="124" s="1"/>
  <c r="AA181" i="124"/>
  <c r="AB181" i="124" s="1"/>
  <c r="AG203" i="124"/>
  <c r="AH203" i="124" s="1"/>
  <c r="AE203" i="124"/>
  <c r="AF203" i="124" s="1"/>
  <c r="AC203" i="124"/>
  <c r="AD203" i="124" s="1"/>
  <c r="AA203" i="124"/>
  <c r="AB203" i="124" s="1"/>
  <c r="AE219" i="124"/>
  <c r="AF219" i="124" s="1"/>
  <c r="AA219" i="124"/>
  <c r="AB219" i="124" s="1"/>
  <c r="AG290" i="124"/>
  <c r="AH290" i="124" s="1"/>
  <c r="AE290" i="124"/>
  <c r="AF290" i="124" s="1"/>
  <c r="AC290" i="124"/>
  <c r="AD290" i="124" s="1"/>
  <c r="AA290" i="124"/>
  <c r="AB290" i="124" s="1"/>
  <c r="AG168" i="124"/>
  <c r="AH168" i="124" s="1"/>
  <c r="AE168" i="124"/>
  <c r="AF168" i="124" s="1"/>
  <c r="AC168" i="124"/>
  <c r="AD168" i="124" s="1"/>
  <c r="AA168" i="124"/>
  <c r="AB168" i="124" s="1"/>
  <c r="AG169" i="124"/>
  <c r="AH169" i="124" s="1"/>
  <c r="AE169" i="124"/>
  <c r="AF169" i="124" s="1"/>
  <c r="AC169" i="124"/>
  <c r="AD169" i="124" s="1"/>
  <c r="AA169" i="124"/>
  <c r="AB169" i="124" s="1"/>
  <c r="AG170" i="124"/>
  <c r="AH170" i="124" s="1"/>
  <c r="AE170" i="124"/>
  <c r="AF170" i="124" s="1"/>
  <c r="AC170" i="124"/>
  <c r="AD170" i="124" s="1"/>
  <c r="AA170" i="124"/>
  <c r="AB170" i="124" s="1"/>
  <c r="AG171" i="124"/>
  <c r="AH171" i="124" s="1"/>
  <c r="AE171" i="124"/>
  <c r="AF171" i="124" s="1"/>
  <c r="AC171" i="124"/>
  <c r="AD171" i="124" s="1"/>
  <c r="AA171" i="124"/>
  <c r="AB171" i="124" s="1"/>
  <c r="AG172" i="124"/>
  <c r="AH172" i="124" s="1"/>
  <c r="AE172" i="124"/>
  <c r="AF172" i="124" s="1"/>
  <c r="AC172" i="124"/>
  <c r="AD172" i="124" s="1"/>
  <c r="AA172" i="124"/>
  <c r="AB172" i="124" s="1"/>
  <c r="AG173" i="124"/>
  <c r="AH173" i="124" s="1"/>
  <c r="AE173" i="124"/>
  <c r="AF173" i="124" s="1"/>
  <c r="AC173" i="124"/>
  <c r="AD173" i="124" s="1"/>
  <c r="AA173" i="124"/>
  <c r="AB173" i="124" s="1"/>
  <c r="AG174" i="124"/>
  <c r="AH174" i="124" s="1"/>
  <c r="AE174" i="124"/>
  <c r="AF174" i="124" s="1"/>
  <c r="AC174" i="124"/>
  <c r="AD174" i="124" s="1"/>
  <c r="AA174" i="124"/>
  <c r="AB174" i="124" s="1"/>
  <c r="AG175" i="124"/>
  <c r="AH175" i="124" s="1"/>
  <c r="AE175" i="124"/>
  <c r="AF175" i="124" s="1"/>
  <c r="AC175" i="124"/>
  <c r="AD175" i="124" s="1"/>
  <c r="AA175" i="124"/>
  <c r="AB175" i="124" s="1"/>
  <c r="AG176" i="124"/>
  <c r="AH176" i="124" s="1"/>
  <c r="AE176" i="124"/>
  <c r="AF176" i="124" s="1"/>
  <c r="AC176" i="124"/>
  <c r="AD176" i="124" s="1"/>
  <c r="AA176" i="124"/>
  <c r="AB176" i="124" s="1"/>
  <c r="AG177" i="124"/>
  <c r="AH177" i="124" s="1"/>
  <c r="AE177" i="124"/>
  <c r="AF177" i="124" s="1"/>
  <c r="AC177" i="124"/>
  <c r="AD177" i="124" s="1"/>
  <c r="AA177" i="124"/>
  <c r="AB177" i="124" s="1"/>
  <c r="AG178" i="124"/>
  <c r="AH178" i="124" s="1"/>
  <c r="AE178" i="124"/>
  <c r="AF178" i="124" s="1"/>
  <c r="AC178" i="124"/>
  <c r="AD178" i="124" s="1"/>
  <c r="AA178" i="124"/>
  <c r="AB178" i="124" s="1"/>
  <c r="AG179" i="124"/>
  <c r="AH179" i="124" s="1"/>
  <c r="AE179" i="124"/>
  <c r="AF179" i="124" s="1"/>
  <c r="AC179" i="124"/>
  <c r="AD179" i="124" s="1"/>
  <c r="AA179" i="124"/>
  <c r="AB179" i="124" s="1"/>
  <c r="AG180" i="124"/>
  <c r="AH180" i="124" s="1"/>
  <c r="AE180" i="124"/>
  <c r="AF180" i="124" s="1"/>
  <c r="AC180" i="124"/>
  <c r="AD180" i="124" s="1"/>
  <c r="AA180" i="124"/>
  <c r="AB180" i="124" s="1"/>
  <c r="AG291" i="124"/>
  <c r="AH291" i="124" s="1"/>
  <c r="AE291" i="124"/>
  <c r="AF291" i="124" s="1"/>
  <c r="AC291" i="124"/>
  <c r="AD291" i="124" s="1"/>
  <c r="AA291" i="124"/>
  <c r="AB291" i="124" s="1"/>
  <c r="AG182" i="124"/>
  <c r="AH182" i="124" s="1"/>
  <c r="AE182" i="124"/>
  <c r="AF182" i="124" s="1"/>
  <c r="AC182" i="124"/>
  <c r="AD182" i="124" s="1"/>
  <c r="AA182" i="124"/>
  <c r="AB182" i="124" s="1"/>
  <c r="AG183" i="124"/>
  <c r="AH183" i="124" s="1"/>
  <c r="AE183" i="124"/>
  <c r="AF183" i="124" s="1"/>
  <c r="AC183" i="124"/>
  <c r="AD183" i="124" s="1"/>
  <c r="AA183" i="124"/>
  <c r="AB183" i="124" s="1"/>
  <c r="AG184" i="124"/>
  <c r="AH184" i="124" s="1"/>
  <c r="AE184" i="124"/>
  <c r="AF184" i="124" s="1"/>
  <c r="AC184" i="124"/>
  <c r="AD184" i="124" s="1"/>
  <c r="AA184" i="124"/>
  <c r="AB184" i="124" s="1"/>
  <c r="AG185" i="124"/>
  <c r="AH185" i="124" s="1"/>
  <c r="AE185" i="124"/>
  <c r="AF185" i="124" s="1"/>
  <c r="AC185" i="124"/>
  <c r="AD185" i="124" s="1"/>
  <c r="AA185" i="124"/>
  <c r="AB185" i="124" s="1"/>
  <c r="AG186" i="124"/>
  <c r="AH186" i="124" s="1"/>
  <c r="AE186" i="124"/>
  <c r="AF186" i="124" s="1"/>
  <c r="AC186" i="124"/>
  <c r="AD186" i="124" s="1"/>
  <c r="AA186" i="124"/>
  <c r="AB186" i="124" s="1"/>
  <c r="U189" i="124"/>
  <c r="V189" i="124" s="1"/>
  <c r="Q189" i="124"/>
  <c r="AQ189" i="124"/>
  <c r="AR189" i="124" s="1"/>
  <c r="AO189" i="124"/>
  <c r="AP189" i="124" s="1"/>
  <c r="AM189" i="124"/>
  <c r="AN189" i="124" s="1"/>
  <c r="AK189" i="124"/>
  <c r="AL189" i="124" s="1"/>
  <c r="AQ190" i="124"/>
  <c r="AR190" i="124" s="1"/>
  <c r="AO190" i="124"/>
  <c r="AP190" i="124" s="1"/>
  <c r="AM190" i="124"/>
  <c r="AN190" i="124" s="1"/>
  <c r="AK190" i="124"/>
  <c r="AL190" i="124" s="1"/>
  <c r="W193" i="124"/>
  <c r="X193" i="124" s="1"/>
  <c r="U193" i="124"/>
  <c r="V193" i="124" s="1"/>
  <c r="S193" i="124"/>
  <c r="T193" i="124" s="1"/>
  <c r="Q193" i="124"/>
  <c r="AO193" i="124"/>
  <c r="AP193" i="124" s="1"/>
  <c r="AK193" i="124"/>
  <c r="AL193" i="124" s="1"/>
  <c r="AO194" i="124"/>
  <c r="AP194" i="124" s="1"/>
  <c r="AK194" i="124"/>
  <c r="AL194" i="124" s="1"/>
  <c r="U197" i="124"/>
  <c r="V197" i="124" s="1"/>
  <c r="Q197" i="124"/>
  <c r="AQ197" i="124"/>
  <c r="AR197" i="124" s="1"/>
  <c r="AO197" i="124"/>
  <c r="AP197" i="124" s="1"/>
  <c r="AM197" i="124"/>
  <c r="AN197" i="124" s="1"/>
  <c r="AK197" i="124"/>
  <c r="AL197" i="124" s="1"/>
  <c r="AQ198" i="124"/>
  <c r="AR198" i="124" s="1"/>
  <c r="AO198" i="124"/>
  <c r="AP198" i="124" s="1"/>
  <c r="AM198" i="124"/>
  <c r="AN198" i="124" s="1"/>
  <c r="AK198" i="124"/>
  <c r="AL198" i="124" s="1"/>
  <c r="W201" i="124"/>
  <c r="X201" i="124" s="1"/>
  <c r="U201" i="124"/>
  <c r="V201" i="124" s="1"/>
  <c r="S201" i="124"/>
  <c r="T201" i="124" s="1"/>
  <c r="Q201" i="124"/>
  <c r="AO201" i="124"/>
  <c r="AP201" i="124" s="1"/>
  <c r="AK201" i="124"/>
  <c r="AL201" i="124" s="1"/>
  <c r="AO202" i="124"/>
  <c r="AP202" i="124" s="1"/>
  <c r="AK202" i="124"/>
  <c r="AL202" i="124" s="1"/>
  <c r="AG205" i="124"/>
  <c r="AH205" i="124" s="1"/>
  <c r="AE205" i="124"/>
  <c r="AF205" i="124" s="1"/>
  <c r="AC205" i="124"/>
  <c r="AD205" i="124" s="1"/>
  <c r="AA205" i="124"/>
  <c r="AB205" i="124" s="1"/>
  <c r="AG207" i="124"/>
  <c r="AH207" i="124" s="1"/>
  <c r="AE207" i="124"/>
  <c r="AF207" i="124" s="1"/>
  <c r="AC207" i="124"/>
  <c r="AD207" i="124" s="1"/>
  <c r="AA207" i="124"/>
  <c r="AB207" i="124" s="1"/>
  <c r="E4" i="124"/>
  <c r="E462" i="124" s="1"/>
  <c r="AG36" i="124"/>
  <c r="AH36" i="124" s="1"/>
  <c r="AE36" i="124"/>
  <c r="AF36" i="124" s="1"/>
  <c r="AC36" i="124"/>
  <c r="AD36" i="124" s="1"/>
  <c r="AA36" i="124"/>
  <c r="AB36" i="124" s="1"/>
  <c r="AJ37" i="124"/>
  <c r="P37" i="124"/>
  <c r="AG38" i="124"/>
  <c r="AH38" i="124" s="1"/>
  <c r="AE38" i="124"/>
  <c r="AF38" i="124" s="1"/>
  <c r="AC38" i="124"/>
  <c r="AD38" i="124" s="1"/>
  <c r="AA38" i="124"/>
  <c r="AB38" i="124" s="1"/>
  <c r="AJ41" i="124"/>
  <c r="P41" i="124"/>
  <c r="AJ47" i="124"/>
  <c r="P47" i="124"/>
  <c r="AG48" i="124"/>
  <c r="AH48" i="124" s="1"/>
  <c r="AE48" i="124"/>
  <c r="AF48" i="124" s="1"/>
  <c r="AC48" i="124"/>
  <c r="AD48" i="124" s="1"/>
  <c r="AA48" i="124"/>
  <c r="AB48" i="124" s="1"/>
  <c r="AG54" i="124"/>
  <c r="AH54" i="124" s="1"/>
  <c r="AE54" i="124"/>
  <c r="AF54" i="124" s="1"/>
  <c r="AC54" i="124"/>
  <c r="AD54" i="124" s="1"/>
  <c r="AA54" i="124"/>
  <c r="AB54" i="124" s="1"/>
  <c r="AJ55" i="124"/>
  <c r="P55" i="124"/>
  <c r="AJ57" i="124"/>
  <c r="P57" i="124"/>
  <c r="AG58" i="124"/>
  <c r="AH58" i="124" s="1"/>
  <c r="AE58" i="124"/>
  <c r="AF58" i="124" s="1"/>
  <c r="AC58" i="124"/>
  <c r="AD58" i="124" s="1"/>
  <c r="AA58" i="124"/>
  <c r="AB58" i="124" s="1"/>
  <c r="H1" i="124"/>
  <c r="AJ36" i="124"/>
  <c r="P36" i="124"/>
  <c r="Z37" i="124"/>
  <c r="AJ38" i="124"/>
  <c r="P38" i="124"/>
  <c r="Z39" i="124"/>
  <c r="AJ40" i="124"/>
  <c r="P40" i="124"/>
  <c r="Z41" i="124"/>
  <c r="AJ42" i="124"/>
  <c r="P42" i="124"/>
  <c r="Z43" i="124"/>
  <c r="AJ44" i="124"/>
  <c r="P44" i="124"/>
  <c r="Z45" i="124"/>
  <c r="AJ46" i="124"/>
  <c r="P46" i="124"/>
  <c r="Z47" i="124"/>
  <c r="AJ48" i="124"/>
  <c r="P48" i="124"/>
  <c r="Z49" i="124"/>
  <c r="AJ50" i="124"/>
  <c r="P50" i="124"/>
  <c r="Z51" i="124"/>
  <c r="AJ52" i="124"/>
  <c r="P52" i="124"/>
  <c r="Z53" i="124"/>
  <c r="AJ54" i="124"/>
  <c r="P54" i="124"/>
  <c r="Z55" i="124"/>
  <c r="AJ56" i="124"/>
  <c r="P56" i="124"/>
  <c r="Z57" i="124"/>
  <c r="AJ58" i="124"/>
  <c r="P58" i="124"/>
  <c r="Z59" i="124"/>
  <c r="AJ60" i="124"/>
  <c r="P60" i="124"/>
  <c r="Z61" i="124"/>
  <c r="AJ62" i="124"/>
  <c r="P62" i="124"/>
  <c r="Z63" i="124"/>
  <c r="AJ64" i="124"/>
  <c r="P64" i="124"/>
  <c r="Z65" i="124"/>
  <c r="AJ66" i="124"/>
  <c r="P66" i="124"/>
  <c r="Z67" i="124"/>
  <c r="AJ68" i="124"/>
  <c r="P68" i="124"/>
  <c r="AJ69" i="124"/>
  <c r="P69" i="124"/>
  <c r="Z70" i="124"/>
  <c r="AJ71" i="124"/>
  <c r="P71" i="124"/>
  <c r="Z72" i="124"/>
  <c r="Z73" i="124"/>
  <c r="AJ74" i="124"/>
  <c r="P74" i="124"/>
  <c r="Z75" i="124"/>
  <c r="AJ76" i="124"/>
  <c r="P76" i="124"/>
  <c r="Z77" i="124"/>
  <c r="AJ78" i="124"/>
  <c r="P78" i="124"/>
  <c r="Z79" i="124"/>
  <c r="AQ84" i="124"/>
  <c r="AR84" i="124" s="1"/>
  <c r="AO84" i="124"/>
  <c r="AP84" i="124" s="1"/>
  <c r="AM84" i="124"/>
  <c r="AN84" i="124" s="1"/>
  <c r="AK84" i="124"/>
  <c r="AL84" i="124" s="1"/>
  <c r="AQ85" i="124"/>
  <c r="AR85" i="124" s="1"/>
  <c r="AO85" i="124"/>
  <c r="AP85" i="124" s="1"/>
  <c r="AM85" i="124"/>
  <c r="AN85" i="124" s="1"/>
  <c r="AK85" i="124"/>
  <c r="AL85" i="124" s="1"/>
  <c r="AQ86" i="124"/>
  <c r="AR86" i="124" s="1"/>
  <c r="AO86" i="124"/>
  <c r="AP86" i="124" s="1"/>
  <c r="AM86" i="124"/>
  <c r="AN86" i="124" s="1"/>
  <c r="AK86" i="124"/>
  <c r="AL86" i="124" s="1"/>
  <c r="AQ87" i="124"/>
  <c r="AR87" i="124" s="1"/>
  <c r="AO87" i="124"/>
  <c r="AP87" i="124" s="1"/>
  <c r="AM87" i="124"/>
  <c r="AN87" i="124" s="1"/>
  <c r="AK87" i="124"/>
  <c r="AL87" i="124" s="1"/>
  <c r="AQ88" i="124"/>
  <c r="AR88" i="124" s="1"/>
  <c r="AO88" i="124"/>
  <c r="AP88" i="124" s="1"/>
  <c r="AM88" i="124"/>
  <c r="AN88" i="124" s="1"/>
  <c r="AK88" i="124"/>
  <c r="AL88" i="124" s="1"/>
  <c r="AQ89" i="124"/>
  <c r="AR89" i="124" s="1"/>
  <c r="AO89" i="124"/>
  <c r="AP89" i="124" s="1"/>
  <c r="AM89" i="124"/>
  <c r="AN89" i="124" s="1"/>
  <c r="AK89" i="124"/>
  <c r="AL89" i="124" s="1"/>
  <c r="AQ90" i="124"/>
  <c r="AR90" i="124" s="1"/>
  <c r="AO90" i="124"/>
  <c r="AP90" i="124" s="1"/>
  <c r="AM90" i="124"/>
  <c r="AN90" i="124" s="1"/>
  <c r="AK90" i="124"/>
  <c r="AL90" i="124" s="1"/>
  <c r="AQ91" i="124"/>
  <c r="AR91" i="124" s="1"/>
  <c r="AO91" i="124"/>
  <c r="AP91" i="124" s="1"/>
  <c r="AM91" i="124"/>
  <c r="AN91" i="124" s="1"/>
  <c r="AK91" i="124"/>
  <c r="AL91" i="124" s="1"/>
  <c r="AQ92" i="124"/>
  <c r="AR92" i="124" s="1"/>
  <c r="AO92" i="124"/>
  <c r="AP92" i="124" s="1"/>
  <c r="AM92" i="124"/>
  <c r="AN92" i="124" s="1"/>
  <c r="AK92" i="124"/>
  <c r="AL92" i="124" s="1"/>
  <c r="AQ93" i="124"/>
  <c r="AR93" i="124" s="1"/>
  <c r="AO93" i="124"/>
  <c r="AP93" i="124" s="1"/>
  <c r="AM93" i="124"/>
  <c r="AN93" i="124" s="1"/>
  <c r="AK93" i="124"/>
  <c r="AL93" i="124" s="1"/>
  <c r="AQ94" i="124"/>
  <c r="AR94" i="124" s="1"/>
  <c r="AO94" i="124"/>
  <c r="AP94" i="124" s="1"/>
  <c r="AM94" i="124"/>
  <c r="AN94" i="124" s="1"/>
  <c r="AK94" i="124"/>
  <c r="AL94" i="124" s="1"/>
  <c r="AQ95" i="124"/>
  <c r="AR95" i="124" s="1"/>
  <c r="AO95" i="124"/>
  <c r="AP95" i="124" s="1"/>
  <c r="AM95" i="124"/>
  <c r="AN95" i="124" s="1"/>
  <c r="AK95" i="124"/>
  <c r="AL95" i="124" s="1"/>
  <c r="AQ96" i="124"/>
  <c r="AR96" i="124" s="1"/>
  <c r="AO96" i="124"/>
  <c r="AP96" i="124" s="1"/>
  <c r="AM96" i="124"/>
  <c r="AN96" i="124" s="1"/>
  <c r="AK96" i="124"/>
  <c r="AL96" i="124" s="1"/>
  <c r="AQ97" i="124"/>
  <c r="AR97" i="124" s="1"/>
  <c r="AO97" i="124"/>
  <c r="AP97" i="124" s="1"/>
  <c r="AM97" i="124"/>
  <c r="AN97" i="124" s="1"/>
  <c r="AK97" i="124"/>
  <c r="AL97" i="124" s="1"/>
  <c r="AQ98" i="124"/>
  <c r="AR98" i="124" s="1"/>
  <c r="AO98" i="124"/>
  <c r="AP98" i="124" s="1"/>
  <c r="AM98" i="124"/>
  <c r="AN98" i="124" s="1"/>
  <c r="AK98" i="124"/>
  <c r="AL98" i="124" s="1"/>
  <c r="AQ99" i="124"/>
  <c r="AR99" i="124" s="1"/>
  <c r="AO99" i="124"/>
  <c r="AP99" i="124" s="1"/>
  <c r="AM99" i="124"/>
  <c r="AN99" i="124" s="1"/>
  <c r="AK99" i="124"/>
  <c r="AL99" i="124" s="1"/>
  <c r="AQ100" i="124"/>
  <c r="AR100" i="124" s="1"/>
  <c r="AO100" i="124"/>
  <c r="AP100" i="124" s="1"/>
  <c r="AM100" i="124"/>
  <c r="AN100" i="124" s="1"/>
  <c r="AK100" i="124"/>
  <c r="AL100" i="124" s="1"/>
  <c r="AQ101" i="124"/>
  <c r="AR101" i="124" s="1"/>
  <c r="AO101" i="124"/>
  <c r="AP101" i="124" s="1"/>
  <c r="AM101" i="124"/>
  <c r="AN101" i="124" s="1"/>
  <c r="AK101" i="124"/>
  <c r="AL101" i="124" s="1"/>
  <c r="AQ102" i="124"/>
  <c r="AR102" i="124" s="1"/>
  <c r="AO102" i="124"/>
  <c r="AP102" i="124" s="1"/>
  <c r="AM102" i="124"/>
  <c r="AN102" i="124" s="1"/>
  <c r="AK102" i="124"/>
  <c r="AL102" i="124" s="1"/>
  <c r="AQ103" i="124"/>
  <c r="AR103" i="124" s="1"/>
  <c r="AO103" i="124"/>
  <c r="AP103" i="124" s="1"/>
  <c r="AM103" i="124"/>
  <c r="AN103" i="124" s="1"/>
  <c r="AK103" i="124"/>
  <c r="AL103" i="124" s="1"/>
  <c r="AQ104" i="124"/>
  <c r="AR104" i="124" s="1"/>
  <c r="AO104" i="124"/>
  <c r="AP104" i="124" s="1"/>
  <c r="AM104" i="124"/>
  <c r="AN104" i="124" s="1"/>
  <c r="AK104" i="124"/>
  <c r="AL104" i="124" s="1"/>
  <c r="AQ105" i="124"/>
  <c r="AR105" i="124" s="1"/>
  <c r="AO105" i="124"/>
  <c r="AP105" i="124" s="1"/>
  <c r="AM105" i="124"/>
  <c r="AN105" i="124" s="1"/>
  <c r="AK105" i="124"/>
  <c r="AL105" i="124" s="1"/>
  <c r="AQ106" i="124"/>
  <c r="AR106" i="124" s="1"/>
  <c r="AO106" i="124"/>
  <c r="AP106" i="124" s="1"/>
  <c r="AM106" i="124"/>
  <c r="AN106" i="124" s="1"/>
  <c r="AK106" i="124"/>
  <c r="AL106" i="124" s="1"/>
  <c r="AQ107" i="124"/>
  <c r="AR107" i="124" s="1"/>
  <c r="AO107" i="124"/>
  <c r="AP107" i="124" s="1"/>
  <c r="AM107" i="124"/>
  <c r="AN107" i="124" s="1"/>
  <c r="AK107" i="124"/>
  <c r="AL107" i="124" s="1"/>
  <c r="AQ108" i="124"/>
  <c r="AR108" i="124" s="1"/>
  <c r="AO108" i="124"/>
  <c r="AP108" i="124" s="1"/>
  <c r="AM108" i="124"/>
  <c r="AN108" i="124" s="1"/>
  <c r="AK108" i="124"/>
  <c r="AL108" i="124" s="1"/>
  <c r="AQ109" i="124"/>
  <c r="AR109" i="124" s="1"/>
  <c r="AO109" i="124"/>
  <c r="AP109" i="124" s="1"/>
  <c r="AM109" i="124"/>
  <c r="AN109" i="124" s="1"/>
  <c r="AK109" i="124"/>
  <c r="AL109" i="124" s="1"/>
  <c r="AQ110" i="124"/>
  <c r="AR110" i="124" s="1"/>
  <c r="AO110" i="124"/>
  <c r="AP110" i="124" s="1"/>
  <c r="AM110" i="124"/>
  <c r="AN110" i="124" s="1"/>
  <c r="AK110" i="124"/>
  <c r="AL110" i="124" s="1"/>
  <c r="AQ111" i="124"/>
  <c r="AR111" i="124" s="1"/>
  <c r="AO111" i="124"/>
  <c r="AP111" i="124" s="1"/>
  <c r="AM111" i="124"/>
  <c r="AN111" i="124" s="1"/>
  <c r="AK111" i="124"/>
  <c r="AL111" i="124" s="1"/>
  <c r="AQ112" i="124"/>
  <c r="AR112" i="124" s="1"/>
  <c r="AO112" i="124"/>
  <c r="AP112" i="124" s="1"/>
  <c r="AM112" i="124"/>
  <c r="AN112" i="124" s="1"/>
  <c r="AK112" i="124"/>
  <c r="AL112" i="124" s="1"/>
  <c r="AQ113" i="124"/>
  <c r="AR113" i="124" s="1"/>
  <c r="AO113" i="124"/>
  <c r="AP113" i="124" s="1"/>
  <c r="AM113" i="124"/>
  <c r="AN113" i="124" s="1"/>
  <c r="AK113" i="124"/>
  <c r="AL113" i="124" s="1"/>
  <c r="AQ114" i="124"/>
  <c r="AR114" i="124" s="1"/>
  <c r="AO114" i="124"/>
  <c r="AP114" i="124" s="1"/>
  <c r="AM114" i="124"/>
  <c r="AN114" i="124" s="1"/>
  <c r="AK114" i="124"/>
  <c r="AL114" i="124" s="1"/>
  <c r="AQ115" i="124"/>
  <c r="AR115" i="124" s="1"/>
  <c r="AO115" i="124"/>
  <c r="AP115" i="124" s="1"/>
  <c r="AM115" i="124"/>
  <c r="AN115" i="124" s="1"/>
  <c r="AK115" i="124"/>
  <c r="AL115" i="124" s="1"/>
  <c r="AQ116" i="124"/>
  <c r="AR116" i="124" s="1"/>
  <c r="AO116" i="124"/>
  <c r="AP116" i="124" s="1"/>
  <c r="AM116" i="124"/>
  <c r="AN116" i="124" s="1"/>
  <c r="AK116" i="124"/>
  <c r="AL116" i="124" s="1"/>
  <c r="AQ117" i="124"/>
  <c r="AR117" i="124" s="1"/>
  <c r="AO117" i="124"/>
  <c r="AP117" i="124" s="1"/>
  <c r="AM117" i="124"/>
  <c r="AN117" i="124" s="1"/>
  <c r="AK117" i="124"/>
  <c r="AL117" i="124" s="1"/>
  <c r="AQ118" i="124"/>
  <c r="AR118" i="124" s="1"/>
  <c r="AO118" i="124"/>
  <c r="AP118" i="124" s="1"/>
  <c r="AM118" i="124"/>
  <c r="AN118" i="124" s="1"/>
  <c r="AK118" i="124"/>
  <c r="AL118" i="124" s="1"/>
  <c r="AQ119" i="124"/>
  <c r="AR119" i="124" s="1"/>
  <c r="AO119" i="124"/>
  <c r="AP119" i="124" s="1"/>
  <c r="AM119" i="124"/>
  <c r="AN119" i="124" s="1"/>
  <c r="AK119" i="124"/>
  <c r="AL119" i="124" s="1"/>
  <c r="AQ120" i="124"/>
  <c r="AR120" i="124" s="1"/>
  <c r="AO120" i="124"/>
  <c r="AP120" i="124" s="1"/>
  <c r="AM120" i="124"/>
  <c r="AN120" i="124" s="1"/>
  <c r="AK120" i="124"/>
  <c r="AL120" i="124" s="1"/>
  <c r="AQ121" i="124"/>
  <c r="AR121" i="124" s="1"/>
  <c r="AO121" i="124"/>
  <c r="AP121" i="124" s="1"/>
  <c r="AM121" i="124"/>
  <c r="AN121" i="124" s="1"/>
  <c r="AK121" i="124"/>
  <c r="AL121" i="124" s="1"/>
  <c r="AQ122" i="124"/>
  <c r="AR122" i="124" s="1"/>
  <c r="AO122" i="124"/>
  <c r="AP122" i="124" s="1"/>
  <c r="AM122" i="124"/>
  <c r="AN122" i="124" s="1"/>
  <c r="AK122" i="124"/>
  <c r="AL122" i="124" s="1"/>
  <c r="AQ123" i="124"/>
  <c r="AR123" i="124" s="1"/>
  <c r="AO123" i="124"/>
  <c r="AP123" i="124" s="1"/>
  <c r="AM123" i="124"/>
  <c r="AN123" i="124" s="1"/>
  <c r="AK123" i="124"/>
  <c r="AL123" i="124" s="1"/>
  <c r="AQ124" i="124"/>
  <c r="AR124" i="124" s="1"/>
  <c r="AO124" i="124"/>
  <c r="AP124" i="124" s="1"/>
  <c r="AM124" i="124"/>
  <c r="AN124" i="124" s="1"/>
  <c r="AK124" i="124"/>
  <c r="AL124" i="124" s="1"/>
  <c r="AQ125" i="124"/>
  <c r="AR125" i="124" s="1"/>
  <c r="AO125" i="124"/>
  <c r="AP125" i="124" s="1"/>
  <c r="AM125" i="124"/>
  <c r="AN125" i="124" s="1"/>
  <c r="AK125" i="124"/>
  <c r="AL125" i="124" s="1"/>
  <c r="AQ126" i="124"/>
  <c r="AR126" i="124" s="1"/>
  <c r="AO126" i="124"/>
  <c r="AP126" i="124" s="1"/>
  <c r="AM126" i="124"/>
  <c r="AN126" i="124" s="1"/>
  <c r="AK126" i="124"/>
  <c r="AL126" i="124" s="1"/>
  <c r="AQ127" i="124"/>
  <c r="AR127" i="124" s="1"/>
  <c r="AO127" i="124"/>
  <c r="AP127" i="124" s="1"/>
  <c r="AM127" i="124"/>
  <c r="AN127" i="124" s="1"/>
  <c r="AK127" i="124"/>
  <c r="AL127" i="124" s="1"/>
  <c r="AQ128" i="124"/>
  <c r="AR128" i="124" s="1"/>
  <c r="AO128" i="124"/>
  <c r="AP128" i="124" s="1"/>
  <c r="AM128" i="124"/>
  <c r="AN128" i="124" s="1"/>
  <c r="AK128" i="124"/>
  <c r="AL128" i="124" s="1"/>
  <c r="AQ129" i="124"/>
  <c r="AR129" i="124" s="1"/>
  <c r="AO129" i="124"/>
  <c r="AP129" i="124" s="1"/>
  <c r="AM129" i="124"/>
  <c r="AN129" i="124" s="1"/>
  <c r="AK129" i="124"/>
  <c r="AL129" i="124" s="1"/>
  <c r="AG165" i="124"/>
  <c r="AH165" i="124" s="1"/>
  <c r="AE165" i="124"/>
  <c r="AF165" i="124" s="1"/>
  <c r="AC165" i="124"/>
  <c r="AD165" i="124" s="1"/>
  <c r="AW165" i="124" s="1"/>
  <c r="AA165" i="124"/>
  <c r="AB165" i="124" s="1"/>
  <c r="AG166" i="124"/>
  <c r="AH166" i="124" s="1"/>
  <c r="AE166" i="124"/>
  <c r="AF166" i="124" s="1"/>
  <c r="AC166" i="124"/>
  <c r="AD166" i="124" s="1"/>
  <c r="AW166" i="124" s="1"/>
  <c r="AA166" i="124"/>
  <c r="AB166" i="124" s="1"/>
  <c r="AQ132" i="124"/>
  <c r="AR132" i="124" s="1"/>
  <c r="AO132" i="124"/>
  <c r="AP132" i="124" s="1"/>
  <c r="AM132" i="124"/>
  <c r="AN132" i="124" s="1"/>
  <c r="AK132" i="124"/>
  <c r="AL132" i="124" s="1"/>
  <c r="AQ133" i="124"/>
  <c r="AR133" i="124" s="1"/>
  <c r="AO133" i="124"/>
  <c r="AP133" i="124" s="1"/>
  <c r="AM133" i="124"/>
  <c r="AN133" i="124" s="1"/>
  <c r="AK133" i="124"/>
  <c r="AL133" i="124" s="1"/>
  <c r="AQ134" i="124"/>
  <c r="AR134" i="124" s="1"/>
  <c r="AO134" i="124"/>
  <c r="AP134" i="124" s="1"/>
  <c r="AM134" i="124"/>
  <c r="AN134" i="124" s="1"/>
  <c r="AK134" i="124"/>
  <c r="AL134" i="124" s="1"/>
  <c r="AQ135" i="124"/>
  <c r="AR135" i="124" s="1"/>
  <c r="AO135" i="124"/>
  <c r="AP135" i="124" s="1"/>
  <c r="AM135" i="124"/>
  <c r="AN135" i="124" s="1"/>
  <c r="AK135" i="124"/>
  <c r="AL135" i="124" s="1"/>
  <c r="AQ136" i="124"/>
  <c r="AR136" i="124" s="1"/>
  <c r="AO136" i="124"/>
  <c r="AP136" i="124" s="1"/>
  <c r="AM136" i="124"/>
  <c r="AN136" i="124" s="1"/>
  <c r="AK136" i="124"/>
  <c r="AL136" i="124" s="1"/>
  <c r="AQ137" i="124"/>
  <c r="AR137" i="124" s="1"/>
  <c r="AO137" i="124"/>
  <c r="AP137" i="124" s="1"/>
  <c r="AM137" i="124"/>
  <c r="AN137" i="124" s="1"/>
  <c r="AK137" i="124"/>
  <c r="AL137" i="124" s="1"/>
  <c r="AQ138" i="124"/>
  <c r="AR138" i="124" s="1"/>
  <c r="AO138" i="124"/>
  <c r="AP138" i="124" s="1"/>
  <c r="AM138" i="124"/>
  <c r="AN138" i="124" s="1"/>
  <c r="AK138" i="124"/>
  <c r="AL138" i="124" s="1"/>
  <c r="AQ139" i="124"/>
  <c r="AR139" i="124" s="1"/>
  <c r="AO139" i="124"/>
  <c r="AP139" i="124" s="1"/>
  <c r="AM139" i="124"/>
  <c r="AN139" i="124" s="1"/>
  <c r="AK139" i="124"/>
  <c r="AL139" i="124" s="1"/>
  <c r="AQ140" i="124"/>
  <c r="AR140" i="124" s="1"/>
  <c r="AO140" i="124"/>
  <c r="AP140" i="124" s="1"/>
  <c r="AM140" i="124"/>
  <c r="AN140" i="124" s="1"/>
  <c r="AK140" i="124"/>
  <c r="AL140" i="124" s="1"/>
  <c r="AQ141" i="124"/>
  <c r="AR141" i="124" s="1"/>
  <c r="AO141" i="124"/>
  <c r="AP141" i="124" s="1"/>
  <c r="AM141" i="124"/>
  <c r="AN141" i="124" s="1"/>
  <c r="AK141" i="124"/>
  <c r="AL141" i="124" s="1"/>
  <c r="AQ142" i="124"/>
  <c r="AR142" i="124" s="1"/>
  <c r="AO142" i="124"/>
  <c r="AP142" i="124" s="1"/>
  <c r="AM142" i="124"/>
  <c r="AN142" i="124" s="1"/>
  <c r="AK142" i="124"/>
  <c r="AL142" i="124" s="1"/>
  <c r="AQ143" i="124"/>
  <c r="AR143" i="124" s="1"/>
  <c r="AO143" i="124"/>
  <c r="AP143" i="124" s="1"/>
  <c r="AM143" i="124"/>
  <c r="AN143" i="124" s="1"/>
  <c r="AK143" i="124"/>
  <c r="AL143" i="124" s="1"/>
  <c r="AQ144" i="124"/>
  <c r="AR144" i="124" s="1"/>
  <c r="AO144" i="124"/>
  <c r="AP144" i="124" s="1"/>
  <c r="AM144" i="124"/>
  <c r="AN144" i="124" s="1"/>
  <c r="AK144" i="124"/>
  <c r="AL144" i="124" s="1"/>
  <c r="AQ145" i="124"/>
  <c r="AR145" i="124" s="1"/>
  <c r="AO145" i="124"/>
  <c r="AP145" i="124" s="1"/>
  <c r="AM145" i="124"/>
  <c r="AN145" i="124" s="1"/>
  <c r="AK145" i="124"/>
  <c r="AL145" i="124" s="1"/>
  <c r="AQ146" i="124"/>
  <c r="AR146" i="124" s="1"/>
  <c r="AO146" i="124"/>
  <c r="AP146" i="124" s="1"/>
  <c r="AM146" i="124"/>
  <c r="AK146" i="124"/>
  <c r="AL146" i="124" s="1"/>
  <c r="W147" i="124"/>
  <c r="X147" i="124" s="1"/>
  <c r="U147" i="124"/>
  <c r="V147" i="124" s="1"/>
  <c r="S147" i="124"/>
  <c r="T147" i="124" s="1"/>
  <c r="Q147" i="124"/>
  <c r="AQ147" i="124"/>
  <c r="AR147" i="124" s="1"/>
  <c r="AO147" i="124"/>
  <c r="AP147" i="124" s="1"/>
  <c r="AM147" i="124"/>
  <c r="AN147" i="124" s="1"/>
  <c r="AK147" i="124"/>
  <c r="AL147" i="124" s="1"/>
  <c r="W187" i="124"/>
  <c r="X187" i="124" s="1"/>
  <c r="U187" i="124"/>
  <c r="V187" i="124" s="1"/>
  <c r="S187" i="124"/>
  <c r="T187" i="124" s="1"/>
  <c r="Q187" i="124"/>
  <c r="AQ187" i="124"/>
  <c r="AR187" i="124" s="1"/>
  <c r="AO187" i="124"/>
  <c r="AP187" i="124" s="1"/>
  <c r="AM187" i="124"/>
  <c r="AN187" i="124" s="1"/>
  <c r="AK187" i="124"/>
  <c r="AL187" i="124" s="1"/>
  <c r="AQ188" i="124"/>
  <c r="AR188" i="124" s="1"/>
  <c r="AO188" i="124"/>
  <c r="AP188" i="124" s="1"/>
  <c r="AM188" i="124"/>
  <c r="AN188" i="124" s="1"/>
  <c r="AK188" i="124"/>
  <c r="AL188" i="124" s="1"/>
  <c r="W191" i="124"/>
  <c r="X191" i="124" s="1"/>
  <c r="U191" i="124"/>
  <c r="V191" i="124" s="1"/>
  <c r="S191" i="124"/>
  <c r="T191" i="124" s="1"/>
  <c r="Q191" i="124"/>
  <c r="AQ191" i="124"/>
  <c r="AR191" i="124" s="1"/>
  <c r="AO191" i="124"/>
  <c r="AP191" i="124" s="1"/>
  <c r="AM191" i="124"/>
  <c r="AN191" i="124" s="1"/>
  <c r="AK191" i="124"/>
  <c r="AL191" i="124" s="1"/>
  <c r="AQ192" i="124"/>
  <c r="AR192" i="124" s="1"/>
  <c r="AO192" i="124"/>
  <c r="AP192" i="124" s="1"/>
  <c r="AM192" i="124"/>
  <c r="AN192" i="124" s="1"/>
  <c r="AK192" i="124"/>
  <c r="AL192" i="124" s="1"/>
  <c r="W195" i="124"/>
  <c r="X195" i="124" s="1"/>
  <c r="U195" i="124"/>
  <c r="V195" i="124" s="1"/>
  <c r="S195" i="124"/>
  <c r="T195" i="124" s="1"/>
  <c r="Q195" i="124"/>
  <c r="AQ195" i="124"/>
  <c r="AR195" i="124" s="1"/>
  <c r="AO195" i="124"/>
  <c r="AP195" i="124" s="1"/>
  <c r="AM195" i="124"/>
  <c r="AN195" i="124" s="1"/>
  <c r="AK195" i="124"/>
  <c r="AL195" i="124" s="1"/>
  <c r="AQ196" i="124"/>
  <c r="AR196" i="124" s="1"/>
  <c r="AO196" i="124"/>
  <c r="AP196" i="124" s="1"/>
  <c r="AM196" i="124"/>
  <c r="AN196" i="124" s="1"/>
  <c r="AK196" i="124"/>
  <c r="AL196" i="124" s="1"/>
  <c r="W199" i="124"/>
  <c r="X199" i="124" s="1"/>
  <c r="U199" i="124"/>
  <c r="V199" i="124" s="1"/>
  <c r="S199" i="124"/>
  <c r="T199" i="124" s="1"/>
  <c r="Q199" i="124"/>
  <c r="AQ199" i="124"/>
  <c r="AR199" i="124" s="1"/>
  <c r="AO199" i="124"/>
  <c r="AP199" i="124" s="1"/>
  <c r="AM199" i="124"/>
  <c r="AN199" i="124" s="1"/>
  <c r="AK199" i="124"/>
  <c r="AL199" i="124" s="1"/>
  <c r="AQ200" i="124"/>
  <c r="AR200" i="124" s="1"/>
  <c r="AO200" i="124"/>
  <c r="AP200" i="124" s="1"/>
  <c r="AM200" i="124"/>
  <c r="AN200" i="124" s="1"/>
  <c r="AK200" i="124"/>
  <c r="AL200" i="124" s="1"/>
  <c r="W292" i="124"/>
  <c r="X292" i="124" s="1"/>
  <c r="U292" i="124"/>
  <c r="V292" i="124" s="1"/>
  <c r="S292" i="124"/>
  <c r="T292" i="124" s="1"/>
  <c r="Q292" i="124"/>
  <c r="Z80" i="124"/>
  <c r="Z81" i="124"/>
  <c r="Z82" i="124"/>
  <c r="Z84" i="124"/>
  <c r="Z85" i="124"/>
  <c r="Z86" i="124"/>
  <c r="Z87" i="124"/>
  <c r="Z88" i="124"/>
  <c r="Z89" i="124"/>
  <c r="Z90" i="124"/>
  <c r="Z91" i="124"/>
  <c r="Z92" i="124"/>
  <c r="Z93" i="124"/>
  <c r="Z94" i="124"/>
  <c r="Z95" i="124"/>
  <c r="Z96" i="124"/>
  <c r="Z97" i="124"/>
  <c r="Z98" i="124"/>
  <c r="Z99" i="124"/>
  <c r="Z100" i="124"/>
  <c r="Z101" i="124"/>
  <c r="Z102" i="124"/>
  <c r="Z103" i="124"/>
  <c r="Z104" i="124"/>
  <c r="Z105" i="124"/>
  <c r="Z106" i="124"/>
  <c r="Z107" i="124"/>
  <c r="Z108" i="124"/>
  <c r="Z109" i="124"/>
  <c r="Z110" i="124"/>
  <c r="Z111" i="124"/>
  <c r="Z112" i="124"/>
  <c r="Z113" i="124"/>
  <c r="Z114" i="124"/>
  <c r="Z115" i="124"/>
  <c r="Z116" i="124"/>
  <c r="Z117" i="124"/>
  <c r="Z118" i="124"/>
  <c r="Z119" i="124"/>
  <c r="Z120" i="124"/>
  <c r="Z121" i="124"/>
  <c r="Z122" i="124"/>
  <c r="Z123" i="124"/>
  <c r="Z124" i="124"/>
  <c r="Z125" i="124"/>
  <c r="Z126" i="124"/>
  <c r="Z127" i="124"/>
  <c r="Z128" i="124"/>
  <c r="Z129" i="124"/>
  <c r="AJ165" i="124"/>
  <c r="AJ166" i="124"/>
  <c r="Z132" i="124"/>
  <c r="Z133" i="124"/>
  <c r="Z134" i="124"/>
  <c r="Z135" i="124"/>
  <c r="Z136" i="124"/>
  <c r="Z137" i="124"/>
  <c r="Z138" i="124"/>
  <c r="Z139" i="124"/>
  <c r="Z140" i="124"/>
  <c r="Z141" i="124"/>
  <c r="Z142" i="124"/>
  <c r="Z143" i="124"/>
  <c r="Z144" i="124"/>
  <c r="Z145" i="124"/>
  <c r="P148" i="124"/>
  <c r="AJ148" i="124"/>
  <c r="P149" i="124"/>
  <c r="AJ149" i="124"/>
  <c r="P150" i="124"/>
  <c r="AJ150" i="124"/>
  <c r="P151" i="124"/>
  <c r="AJ151" i="124"/>
  <c r="P152" i="124"/>
  <c r="AJ152" i="124"/>
  <c r="P153" i="124"/>
  <c r="AJ153" i="124"/>
  <c r="P154" i="124"/>
  <c r="AJ154" i="124"/>
  <c r="P155" i="124"/>
  <c r="AJ155" i="124"/>
  <c r="P156" i="124"/>
  <c r="AJ156" i="124"/>
  <c r="P157" i="124"/>
  <c r="AJ157" i="124"/>
  <c r="P158" i="124"/>
  <c r="AJ158" i="124"/>
  <c r="P159" i="124"/>
  <c r="AJ159" i="124"/>
  <c r="P160" i="124"/>
  <c r="AJ160" i="124"/>
  <c r="P161" i="124"/>
  <c r="AJ161" i="124"/>
  <c r="P167" i="124"/>
  <c r="P163" i="124"/>
  <c r="AJ163" i="124"/>
  <c r="P181" i="124"/>
  <c r="AJ181" i="124"/>
  <c r="P203" i="124"/>
  <c r="AJ203" i="124"/>
  <c r="P219" i="124"/>
  <c r="AJ219" i="124"/>
  <c r="P290" i="124"/>
  <c r="AJ290" i="124"/>
  <c r="P168" i="124"/>
  <c r="AJ168" i="124"/>
  <c r="P169" i="124"/>
  <c r="AJ169" i="124"/>
  <c r="P170" i="124"/>
  <c r="AJ170" i="124"/>
  <c r="P171" i="124"/>
  <c r="AJ171" i="124"/>
  <c r="P172" i="124"/>
  <c r="AJ172" i="124"/>
  <c r="P173" i="124"/>
  <c r="AJ173" i="124"/>
  <c r="P174" i="124"/>
  <c r="AJ174" i="124"/>
  <c r="P175" i="124"/>
  <c r="AJ175" i="124"/>
  <c r="P176" i="124"/>
  <c r="AJ176" i="124"/>
  <c r="P177" i="124"/>
  <c r="AJ177" i="124"/>
  <c r="P178" i="124"/>
  <c r="AJ178" i="124"/>
  <c r="P179" i="124"/>
  <c r="AJ179" i="124"/>
  <c r="P180" i="124"/>
  <c r="AJ180" i="124"/>
  <c r="P291" i="124"/>
  <c r="AJ291" i="124"/>
  <c r="P182" i="124"/>
  <c r="AJ182" i="124"/>
  <c r="P183" i="124"/>
  <c r="AJ183" i="124"/>
  <c r="P184" i="124"/>
  <c r="AJ184" i="124"/>
  <c r="P185" i="124"/>
  <c r="AJ185" i="124"/>
  <c r="P186" i="124"/>
  <c r="AJ186" i="124"/>
  <c r="O187" i="124"/>
  <c r="AC187" i="124"/>
  <c r="AD187" i="124" s="1"/>
  <c r="AA188" i="124"/>
  <c r="AB188" i="124" s="1"/>
  <c r="AE188" i="124"/>
  <c r="AF188" i="124" s="1"/>
  <c r="O189" i="124"/>
  <c r="AC189" i="124"/>
  <c r="AD189" i="124" s="1"/>
  <c r="AA190" i="124"/>
  <c r="AB190" i="124" s="1"/>
  <c r="AE190" i="124"/>
  <c r="AF190" i="124" s="1"/>
  <c r="O191" i="124"/>
  <c r="AC191" i="124"/>
  <c r="AD191" i="124" s="1"/>
  <c r="AA192" i="124"/>
  <c r="AB192" i="124" s="1"/>
  <c r="AE192" i="124"/>
  <c r="AF192" i="124" s="1"/>
  <c r="O193" i="124"/>
  <c r="AC193" i="124"/>
  <c r="AD193" i="124" s="1"/>
  <c r="AA194" i="124"/>
  <c r="AB194" i="124" s="1"/>
  <c r="AE194" i="124"/>
  <c r="AF194" i="124" s="1"/>
  <c r="O195" i="124"/>
  <c r="AC195" i="124"/>
  <c r="AD195" i="124" s="1"/>
  <c r="AA196" i="124"/>
  <c r="AB196" i="124" s="1"/>
  <c r="AE196" i="124"/>
  <c r="AF196" i="124" s="1"/>
  <c r="O197" i="124"/>
  <c r="AC197" i="124"/>
  <c r="AD197" i="124" s="1"/>
  <c r="AA198" i="124"/>
  <c r="AB198" i="124" s="1"/>
  <c r="AE198" i="124"/>
  <c r="AF198" i="124" s="1"/>
  <c r="O199" i="124"/>
  <c r="AC199" i="124"/>
  <c r="AD199" i="124" s="1"/>
  <c r="AA200" i="124"/>
  <c r="AB200" i="124" s="1"/>
  <c r="AE200" i="124"/>
  <c r="AF200" i="124" s="1"/>
  <c r="O201" i="124"/>
  <c r="AC201" i="124"/>
  <c r="AD201" i="124" s="1"/>
  <c r="AA202" i="124"/>
  <c r="AB202" i="124" s="1"/>
  <c r="AE202" i="124"/>
  <c r="AF202" i="124" s="1"/>
  <c r="O292" i="124"/>
  <c r="AG292" i="124" s="1"/>
  <c r="AH292" i="124" s="1"/>
  <c r="AJ204" i="124"/>
  <c r="P204" i="124"/>
  <c r="AJ206" i="124"/>
  <c r="P206" i="124"/>
  <c r="AJ208" i="124"/>
  <c r="P208" i="124"/>
  <c r="Z208" i="124"/>
  <c r="AQ209" i="124"/>
  <c r="AR209" i="124" s="1"/>
  <c r="AO209" i="124"/>
  <c r="AP209" i="124" s="1"/>
  <c r="AM209" i="124"/>
  <c r="AN209" i="124" s="1"/>
  <c r="AK209" i="124"/>
  <c r="AL209" i="124" s="1"/>
  <c r="AQ210" i="124"/>
  <c r="AR210" i="124" s="1"/>
  <c r="AO210" i="124"/>
  <c r="AP210" i="124" s="1"/>
  <c r="AM210" i="124"/>
  <c r="AN210" i="124" s="1"/>
  <c r="AK210" i="124"/>
  <c r="AL210" i="124" s="1"/>
  <c r="AQ211" i="124"/>
  <c r="AR211" i="124" s="1"/>
  <c r="AO211" i="124"/>
  <c r="AP211" i="124" s="1"/>
  <c r="AM211" i="124"/>
  <c r="AN211" i="124" s="1"/>
  <c r="AK211" i="124"/>
  <c r="AL211" i="124" s="1"/>
  <c r="AQ212" i="124"/>
  <c r="AR212" i="124" s="1"/>
  <c r="AO212" i="124"/>
  <c r="AP212" i="124" s="1"/>
  <c r="AM212" i="124"/>
  <c r="AN212" i="124" s="1"/>
  <c r="AK212" i="124"/>
  <c r="AL212" i="124" s="1"/>
  <c r="AQ213" i="124"/>
  <c r="AR213" i="124" s="1"/>
  <c r="AO213" i="124"/>
  <c r="AP213" i="124" s="1"/>
  <c r="AM213" i="124"/>
  <c r="AN213" i="124" s="1"/>
  <c r="AK213" i="124"/>
  <c r="AL213" i="124" s="1"/>
  <c r="AQ214" i="124"/>
  <c r="AR214" i="124" s="1"/>
  <c r="AO214" i="124"/>
  <c r="AP214" i="124" s="1"/>
  <c r="AM214" i="124"/>
  <c r="AN214" i="124" s="1"/>
  <c r="AK214" i="124"/>
  <c r="AL214" i="124" s="1"/>
  <c r="AQ215" i="124"/>
  <c r="AR215" i="124" s="1"/>
  <c r="AO215" i="124"/>
  <c r="AP215" i="124" s="1"/>
  <c r="AM215" i="124"/>
  <c r="AN215" i="124" s="1"/>
  <c r="AK215" i="124"/>
  <c r="AL215" i="124" s="1"/>
  <c r="AQ216" i="124"/>
  <c r="AR216" i="124" s="1"/>
  <c r="AO216" i="124"/>
  <c r="AP216" i="124" s="1"/>
  <c r="AM216" i="124"/>
  <c r="AN216" i="124" s="1"/>
  <c r="AK216" i="124"/>
  <c r="AL216" i="124" s="1"/>
  <c r="AQ217" i="124"/>
  <c r="AR217" i="124" s="1"/>
  <c r="AO217" i="124"/>
  <c r="AP217" i="124" s="1"/>
  <c r="AM217" i="124"/>
  <c r="AN217" i="124" s="1"/>
  <c r="AK217" i="124"/>
  <c r="AL217" i="124" s="1"/>
  <c r="AQ218" i="124"/>
  <c r="AR218" i="124" s="1"/>
  <c r="AO218" i="124"/>
  <c r="AP218" i="124" s="1"/>
  <c r="AM218" i="124"/>
  <c r="AN218" i="124" s="1"/>
  <c r="AK218" i="124"/>
  <c r="AL218" i="124" s="1"/>
  <c r="AQ306" i="124"/>
  <c r="AR306" i="124" s="1"/>
  <c r="AO306" i="124"/>
  <c r="AP306" i="124" s="1"/>
  <c r="AM306" i="124"/>
  <c r="AN306" i="124" s="1"/>
  <c r="AK306" i="124"/>
  <c r="AG220" i="124"/>
  <c r="AH220" i="124" s="1"/>
  <c r="AE220" i="124"/>
  <c r="AF220" i="124" s="1"/>
  <c r="AC220" i="124"/>
  <c r="AD220" i="124" s="1"/>
  <c r="AA220" i="124"/>
  <c r="AB220" i="124" s="1"/>
  <c r="AG221" i="124"/>
  <c r="AH221" i="124" s="1"/>
  <c r="AE221" i="124"/>
  <c r="AF221" i="124" s="1"/>
  <c r="AC221" i="124"/>
  <c r="AD221" i="124" s="1"/>
  <c r="AA221" i="124"/>
  <c r="AB221" i="124" s="1"/>
  <c r="AG222" i="124"/>
  <c r="AH222" i="124" s="1"/>
  <c r="AE222" i="124"/>
  <c r="AF222" i="124" s="1"/>
  <c r="AC222" i="124"/>
  <c r="AD222" i="124" s="1"/>
  <c r="AA222" i="124"/>
  <c r="AB222" i="124" s="1"/>
  <c r="AG223" i="124"/>
  <c r="AH223" i="124" s="1"/>
  <c r="AE223" i="124"/>
  <c r="AF223" i="124" s="1"/>
  <c r="AC223" i="124"/>
  <c r="AD223" i="124" s="1"/>
  <c r="AA223" i="124"/>
  <c r="AB223" i="124" s="1"/>
  <c r="AG224" i="124"/>
  <c r="AH224" i="124" s="1"/>
  <c r="AE224" i="124"/>
  <c r="AF224" i="124" s="1"/>
  <c r="AC224" i="124"/>
  <c r="AD224" i="124" s="1"/>
  <c r="AA224" i="124"/>
  <c r="AB224" i="124" s="1"/>
  <c r="AG225" i="124"/>
  <c r="AH225" i="124" s="1"/>
  <c r="AE225" i="124"/>
  <c r="AF225" i="124" s="1"/>
  <c r="AC225" i="124"/>
  <c r="AD225" i="124" s="1"/>
  <c r="AA225" i="124"/>
  <c r="AB225" i="124" s="1"/>
  <c r="AG226" i="124"/>
  <c r="AH226" i="124" s="1"/>
  <c r="AE226" i="124"/>
  <c r="AF226" i="124" s="1"/>
  <c r="AC226" i="124"/>
  <c r="AD226" i="124" s="1"/>
  <c r="AA226" i="124"/>
  <c r="AB226" i="124" s="1"/>
  <c r="AG227" i="124"/>
  <c r="AH227" i="124" s="1"/>
  <c r="AE227" i="124"/>
  <c r="AF227" i="124" s="1"/>
  <c r="AC227" i="124"/>
  <c r="AD227" i="124" s="1"/>
  <c r="AA227" i="124"/>
  <c r="AB227" i="124" s="1"/>
  <c r="AG228" i="124"/>
  <c r="AH228" i="124" s="1"/>
  <c r="AE228" i="124"/>
  <c r="AF228" i="124" s="1"/>
  <c r="AC228" i="124"/>
  <c r="AD228" i="124" s="1"/>
  <c r="AA228" i="124"/>
  <c r="AB228" i="124" s="1"/>
  <c r="AG229" i="124"/>
  <c r="AH229" i="124" s="1"/>
  <c r="AE229" i="124"/>
  <c r="AF229" i="124" s="1"/>
  <c r="AC229" i="124"/>
  <c r="AD229" i="124" s="1"/>
  <c r="AA229" i="124"/>
  <c r="AB229" i="124" s="1"/>
  <c r="AG230" i="124"/>
  <c r="AH230" i="124" s="1"/>
  <c r="AE230" i="124"/>
  <c r="AF230" i="124" s="1"/>
  <c r="AC230" i="124"/>
  <c r="AD230" i="124" s="1"/>
  <c r="AA230" i="124"/>
  <c r="AB230" i="124" s="1"/>
  <c r="AG231" i="124"/>
  <c r="AH231" i="124" s="1"/>
  <c r="AE231" i="124"/>
  <c r="AF231" i="124" s="1"/>
  <c r="AC231" i="124"/>
  <c r="AD231" i="124" s="1"/>
  <c r="AA231" i="124"/>
  <c r="AB231" i="124" s="1"/>
  <c r="AG232" i="124"/>
  <c r="AH232" i="124" s="1"/>
  <c r="AE232" i="124"/>
  <c r="AF232" i="124" s="1"/>
  <c r="AC232" i="124"/>
  <c r="AD232" i="124" s="1"/>
  <c r="AA232" i="124"/>
  <c r="AB232" i="124" s="1"/>
  <c r="AG233" i="124"/>
  <c r="AH233" i="124" s="1"/>
  <c r="AE233" i="124"/>
  <c r="AF233" i="124" s="1"/>
  <c r="AC233" i="124"/>
  <c r="AD233" i="124" s="1"/>
  <c r="AA233" i="124"/>
  <c r="AB233" i="124" s="1"/>
  <c r="AG234" i="124"/>
  <c r="AH234" i="124" s="1"/>
  <c r="AE234" i="124"/>
  <c r="AF234" i="124" s="1"/>
  <c r="AC234" i="124"/>
  <c r="AD234" i="124" s="1"/>
  <c r="AA234" i="124"/>
  <c r="AB234" i="124" s="1"/>
  <c r="AG235" i="124"/>
  <c r="AH235" i="124" s="1"/>
  <c r="AE235" i="124"/>
  <c r="AF235" i="124" s="1"/>
  <c r="AC235" i="124"/>
  <c r="AD235" i="124" s="1"/>
  <c r="AA235" i="124"/>
  <c r="AB235" i="124" s="1"/>
  <c r="AG236" i="124"/>
  <c r="AH236" i="124" s="1"/>
  <c r="AE236" i="124"/>
  <c r="AF236" i="124" s="1"/>
  <c r="AC236" i="124"/>
  <c r="AD236" i="124" s="1"/>
  <c r="AA236" i="124"/>
  <c r="AB236" i="124" s="1"/>
  <c r="AG237" i="124"/>
  <c r="AH237" i="124" s="1"/>
  <c r="AE237" i="124"/>
  <c r="AF237" i="124" s="1"/>
  <c r="AC237" i="124"/>
  <c r="AD237" i="124" s="1"/>
  <c r="AA237" i="124"/>
  <c r="AB237" i="124" s="1"/>
  <c r="AG238" i="124"/>
  <c r="AH238" i="124" s="1"/>
  <c r="AE238" i="124"/>
  <c r="AF238" i="124" s="1"/>
  <c r="AC238" i="124"/>
  <c r="AD238" i="124" s="1"/>
  <c r="AA238" i="124"/>
  <c r="AB238" i="124" s="1"/>
  <c r="AG239" i="124"/>
  <c r="AH239" i="124" s="1"/>
  <c r="AE239" i="124"/>
  <c r="AF239" i="124" s="1"/>
  <c r="AC239" i="124"/>
  <c r="AD239" i="124" s="1"/>
  <c r="AA239" i="124"/>
  <c r="AB239" i="124" s="1"/>
  <c r="AG240" i="124"/>
  <c r="AH240" i="124" s="1"/>
  <c r="AE240" i="124"/>
  <c r="AF240" i="124" s="1"/>
  <c r="AC240" i="124"/>
  <c r="AD240" i="124" s="1"/>
  <c r="AA240" i="124"/>
  <c r="AB240" i="124" s="1"/>
  <c r="AG241" i="124"/>
  <c r="AH241" i="124" s="1"/>
  <c r="AE241" i="124"/>
  <c r="AF241" i="124" s="1"/>
  <c r="AC241" i="124"/>
  <c r="AD241" i="124" s="1"/>
  <c r="AA241" i="124"/>
  <c r="AB241" i="124" s="1"/>
  <c r="AG242" i="124"/>
  <c r="AH242" i="124" s="1"/>
  <c r="AE242" i="124"/>
  <c r="AF242" i="124" s="1"/>
  <c r="AC242" i="124"/>
  <c r="AD242" i="124" s="1"/>
  <c r="AA242" i="124"/>
  <c r="AB242" i="124" s="1"/>
  <c r="AG243" i="124"/>
  <c r="AH243" i="124" s="1"/>
  <c r="AE243" i="124"/>
  <c r="AF243" i="124" s="1"/>
  <c r="AC243" i="124"/>
  <c r="AD243" i="124" s="1"/>
  <c r="AA243" i="124"/>
  <c r="AB243" i="124" s="1"/>
  <c r="AG244" i="124"/>
  <c r="AH244" i="124" s="1"/>
  <c r="AE244" i="124"/>
  <c r="AF244" i="124" s="1"/>
  <c r="AC244" i="124"/>
  <c r="AD244" i="124" s="1"/>
  <c r="AA244" i="124"/>
  <c r="AB244" i="124" s="1"/>
  <c r="AG245" i="124"/>
  <c r="AH245" i="124" s="1"/>
  <c r="AE245" i="124"/>
  <c r="AF245" i="124" s="1"/>
  <c r="AC245" i="124"/>
  <c r="AD245" i="124" s="1"/>
  <c r="AA245" i="124"/>
  <c r="AB245" i="124" s="1"/>
  <c r="AG246" i="124"/>
  <c r="AH246" i="124" s="1"/>
  <c r="AE246" i="124"/>
  <c r="AF246" i="124" s="1"/>
  <c r="AC246" i="124"/>
  <c r="AD246" i="124" s="1"/>
  <c r="AA246" i="124"/>
  <c r="AB246" i="124" s="1"/>
  <c r="AG247" i="124"/>
  <c r="AH247" i="124" s="1"/>
  <c r="AE247" i="124"/>
  <c r="AF247" i="124" s="1"/>
  <c r="AC247" i="124"/>
  <c r="AD247" i="124" s="1"/>
  <c r="AA247" i="124"/>
  <c r="AB247" i="124" s="1"/>
  <c r="AG248" i="124"/>
  <c r="AH248" i="124" s="1"/>
  <c r="AE248" i="124"/>
  <c r="AF248" i="124" s="1"/>
  <c r="AC248" i="124"/>
  <c r="AD248" i="124" s="1"/>
  <c r="AA248" i="124"/>
  <c r="AB248" i="124" s="1"/>
  <c r="AG249" i="124"/>
  <c r="AH249" i="124" s="1"/>
  <c r="AE249" i="124"/>
  <c r="AF249" i="124" s="1"/>
  <c r="AC249" i="124"/>
  <c r="AD249" i="124" s="1"/>
  <c r="AA249" i="124"/>
  <c r="AB249" i="124" s="1"/>
  <c r="AG250" i="124"/>
  <c r="AH250" i="124" s="1"/>
  <c r="AE250" i="124"/>
  <c r="AF250" i="124" s="1"/>
  <c r="AC250" i="124"/>
  <c r="AD250" i="124" s="1"/>
  <c r="AA250" i="124"/>
  <c r="AB250" i="124" s="1"/>
  <c r="AG251" i="124"/>
  <c r="AH251" i="124" s="1"/>
  <c r="AE251" i="124"/>
  <c r="AF251" i="124" s="1"/>
  <c r="AC251" i="124"/>
  <c r="AD251" i="124" s="1"/>
  <c r="AA251" i="124"/>
  <c r="AB251" i="124" s="1"/>
  <c r="P80" i="124"/>
  <c r="P81" i="124"/>
  <c r="P82" i="124"/>
  <c r="P83" i="124"/>
  <c r="Z83" i="124"/>
  <c r="P84" i="124"/>
  <c r="P85" i="124"/>
  <c r="P86" i="124"/>
  <c r="P87" i="124"/>
  <c r="P88" i="124"/>
  <c r="P89" i="124"/>
  <c r="P90" i="124"/>
  <c r="P91" i="124"/>
  <c r="P92" i="124"/>
  <c r="P93" i="124"/>
  <c r="P94" i="124"/>
  <c r="P95" i="124"/>
  <c r="P96" i="124"/>
  <c r="P97" i="124"/>
  <c r="P98" i="124"/>
  <c r="P99" i="124"/>
  <c r="P100" i="124"/>
  <c r="P101" i="124"/>
  <c r="P102" i="124"/>
  <c r="P103" i="124"/>
  <c r="P104" i="124"/>
  <c r="P105" i="124"/>
  <c r="P106" i="124"/>
  <c r="P107" i="124"/>
  <c r="P108" i="124"/>
  <c r="P109" i="124"/>
  <c r="P110" i="124"/>
  <c r="P111" i="124"/>
  <c r="P112" i="124"/>
  <c r="P113" i="124"/>
  <c r="P114" i="124"/>
  <c r="P115" i="124"/>
  <c r="P116" i="124"/>
  <c r="P117" i="124"/>
  <c r="P118" i="124"/>
  <c r="P119" i="124"/>
  <c r="P120" i="124"/>
  <c r="P121" i="124"/>
  <c r="P122" i="124"/>
  <c r="P123" i="124"/>
  <c r="P124" i="124"/>
  <c r="P125" i="124"/>
  <c r="P126" i="124"/>
  <c r="P127" i="124"/>
  <c r="P128" i="124"/>
  <c r="P129" i="124"/>
  <c r="P165" i="124"/>
  <c r="P166" i="124"/>
  <c r="P132" i="124"/>
  <c r="P133" i="124"/>
  <c r="P134" i="124"/>
  <c r="P135" i="124"/>
  <c r="P136" i="124"/>
  <c r="P137" i="124"/>
  <c r="P138" i="124"/>
  <c r="P139" i="124"/>
  <c r="P140" i="124"/>
  <c r="P141" i="124"/>
  <c r="P142" i="124"/>
  <c r="P143" i="124"/>
  <c r="P144" i="124"/>
  <c r="P145" i="124"/>
  <c r="P146" i="124"/>
  <c r="Z146" i="124"/>
  <c r="Z167" i="124"/>
  <c r="W188" i="124"/>
  <c r="X188" i="124" s="1"/>
  <c r="AY188" i="124" s="1"/>
  <c r="U188" i="124"/>
  <c r="V188" i="124" s="1"/>
  <c r="AX188" i="124" s="1"/>
  <c r="S188" i="124"/>
  <c r="T188" i="124" s="1"/>
  <c r="Q188" i="124"/>
  <c r="AC188" i="124"/>
  <c r="AD188" i="124" s="1"/>
  <c r="W190" i="124"/>
  <c r="X190" i="124" s="1"/>
  <c r="AY190" i="124" s="1"/>
  <c r="U190" i="124"/>
  <c r="V190" i="124" s="1"/>
  <c r="AX190" i="124" s="1"/>
  <c r="S190" i="124"/>
  <c r="T190" i="124" s="1"/>
  <c r="Q190" i="124"/>
  <c r="AC190" i="124"/>
  <c r="AD190" i="124" s="1"/>
  <c r="W192" i="124"/>
  <c r="X192" i="124" s="1"/>
  <c r="AY192" i="124" s="1"/>
  <c r="U192" i="124"/>
  <c r="V192" i="124" s="1"/>
  <c r="AX192" i="124" s="1"/>
  <c r="S192" i="124"/>
  <c r="T192" i="124" s="1"/>
  <c r="Q192" i="124"/>
  <c r="AC192" i="124"/>
  <c r="AD192" i="124" s="1"/>
  <c r="W194" i="124"/>
  <c r="X194" i="124" s="1"/>
  <c r="U194" i="124"/>
  <c r="V194" i="124" s="1"/>
  <c r="AX194" i="124" s="1"/>
  <c r="S194" i="124"/>
  <c r="T194" i="124" s="1"/>
  <c r="Q194" i="124"/>
  <c r="AC194" i="124"/>
  <c r="AD194" i="124" s="1"/>
  <c r="W196" i="124"/>
  <c r="X196" i="124" s="1"/>
  <c r="AY196" i="124" s="1"/>
  <c r="U196" i="124"/>
  <c r="V196" i="124" s="1"/>
  <c r="AX196" i="124" s="1"/>
  <c r="S196" i="124"/>
  <c r="T196" i="124" s="1"/>
  <c r="Q196" i="124"/>
  <c r="AC196" i="124"/>
  <c r="AD196" i="124" s="1"/>
  <c r="W198" i="124"/>
  <c r="X198" i="124" s="1"/>
  <c r="AY198" i="124" s="1"/>
  <c r="U198" i="124"/>
  <c r="V198" i="124" s="1"/>
  <c r="AX198" i="124" s="1"/>
  <c r="S198" i="124"/>
  <c r="T198" i="124" s="1"/>
  <c r="Q198" i="124"/>
  <c r="AC198" i="124"/>
  <c r="AD198" i="124" s="1"/>
  <c r="W200" i="124"/>
  <c r="X200" i="124" s="1"/>
  <c r="AY200" i="124" s="1"/>
  <c r="U200" i="124"/>
  <c r="V200" i="124" s="1"/>
  <c r="AX200" i="124" s="1"/>
  <c r="S200" i="124"/>
  <c r="T200" i="124" s="1"/>
  <c r="Q200" i="124"/>
  <c r="AC200" i="124"/>
  <c r="AD200" i="124" s="1"/>
  <c r="W202" i="124"/>
  <c r="X202" i="124" s="1"/>
  <c r="U202" i="124"/>
  <c r="V202" i="124" s="1"/>
  <c r="AX202" i="124" s="1"/>
  <c r="S202" i="124"/>
  <c r="T202" i="124" s="1"/>
  <c r="Q202" i="124"/>
  <c r="AC202" i="124"/>
  <c r="AD202" i="124" s="1"/>
  <c r="Z204" i="124"/>
  <c r="AJ205" i="124"/>
  <c r="P205" i="124"/>
  <c r="Z206" i="124"/>
  <c r="AJ207" i="124"/>
  <c r="P207" i="124"/>
  <c r="W220" i="124"/>
  <c r="X220" i="124" s="1"/>
  <c r="U220" i="124"/>
  <c r="V220" i="124" s="1"/>
  <c r="S220" i="124"/>
  <c r="T220" i="124" s="1"/>
  <c r="Q220" i="124"/>
  <c r="AQ220" i="124"/>
  <c r="AR220" i="124" s="1"/>
  <c r="AO220" i="124"/>
  <c r="AP220" i="124" s="1"/>
  <c r="AM220" i="124"/>
  <c r="AN220" i="124" s="1"/>
  <c r="AK220" i="124"/>
  <c r="AL220" i="124" s="1"/>
  <c r="W221" i="124"/>
  <c r="X221" i="124" s="1"/>
  <c r="U221" i="124"/>
  <c r="V221" i="124" s="1"/>
  <c r="S221" i="124"/>
  <c r="T221" i="124" s="1"/>
  <c r="Q221" i="124"/>
  <c r="AQ221" i="124"/>
  <c r="AR221" i="124" s="1"/>
  <c r="AO221" i="124"/>
  <c r="AP221" i="124" s="1"/>
  <c r="AM221" i="124"/>
  <c r="AN221" i="124" s="1"/>
  <c r="AK221" i="124"/>
  <c r="AL221" i="124" s="1"/>
  <c r="W222" i="124"/>
  <c r="X222" i="124" s="1"/>
  <c r="U222" i="124"/>
  <c r="V222" i="124" s="1"/>
  <c r="S222" i="124"/>
  <c r="T222" i="124" s="1"/>
  <c r="Q222" i="124"/>
  <c r="AQ222" i="124"/>
  <c r="AR222" i="124" s="1"/>
  <c r="AO222" i="124"/>
  <c r="AP222" i="124" s="1"/>
  <c r="AM222" i="124"/>
  <c r="AN222" i="124" s="1"/>
  <c r="AK222" i="124"/>
  <c r="AL222" i="124" s="1"/>
  <c r="W223" i="124"/>
  <c r="X223" i="124" s="1"/>
  <c r="U223" i="124"/>
  <c r="V223" i="124" s="1"/>
  <c r="S223" i="124"/>
  <c r="T223" i="124" s="1"/>
  <c r="Q223" i="124"/>
  <c r="AQ223" i="124"/>
  <c r="AR223" i="124" s="1"/>
  <c r="AO223" i="124"/>
  <c r="AP223" i="124" s="1"/>
  <c r="AM223" i="124"/>
  <c r="AN223" i="124" s="1"/>
  <c r="AK223" i="124"/>
  <c r="AL223" i="124" s="1"/>
  <c r="W224" i="124"/>
  <c r="X224" i="124" s="1"/>
  <c r="U224" i="124"/>
  <c r="V224" i="124" s="1"/>
  <c r="S224" i="124"/>
  <c r="T224" i="124" s="1"/>
  <c r="Q224" i="124"/>
  <c r="AQ224" i="124"/>
  <c r="AR224" i="124" s="1"/>
  <c r="AO224" i="124"/>
  <c r="AP224" i="124" s="1"/>
  <c r="AM224" i="124"/>
  <c r="AN224" i="124" s="1"/>
  <c r="AK224" i="124"/>
  <c r="AL224" i="124" s="1"/>
  <c r="W225" i="124"/>
  <c r="X225" i="124" s="1"/>
  <c r="U225" i="124"/>
  <c r="V225" i="124" s="1"/>
  <c r="S225" i="124"/>
  <c r="T225" i="124" s="1"/>
  <c r="Q225" i="124"/>
  <c r="AQ225" i="124"/>
  <c r="AR225" i="124" s="1"/>
  <c r="AO225" i="124"/>
  <c r="AP225" i="124" s="1"/>
  <c r="AM225" i="124"/>
  <c r="AN225" i="124" s="1"/>
  <c r="AK225" i="124"/>
  <c r="AL225" i="124" s="1"/>
  <c r="W226" i="124"/>
  <c r="X226" i="124" s="1"/>
  <c r="U226" i="124"/>
  <c r="V226" i="124" s="1"/>
  <c r="S226" i="124"/>
  <c r="T226" i="124" s="1"/>
  <c r="Q226" i="124"/>
  <c r="AQ226" i="124"/>
  <c r="AR226" i="124" s="1"/>
  <c r="AO226" i="124"/>
  <c r="AP226" i="124" s="1"/>
  <c r="AM226" i="124"/>
  <c r="AN226" i="124" s="1"/>
  <c r="AK226" i="124"/>
  <c r="AL226" i="124" s="1"/>
  <c r="W227" i="124"/>
  <c r="X227" i="124" s="1"/>
  <c r="U227" i="124"/>
  <c r="V227" i="124" s="1"/>
  <c r="S227" i="124"/>
  <c r="T227" i="124" s="1"/>
  <c r="Q227" i="124"/>
  <c r="AQ227" i="124"/>
  <c r="AR227" i="124" s="1"/>
  <c r="AO227" i="124"/>
  <c r="AP227" i="124" s="1"/>
  <c r="AM227" i="124"/>
  <c r="AN227" i="124" s="1"/>
  <c r="AK227" i="124"/>
  <c r="AL227" i="124" s="1"/>
  <c r="W228" i="124"/>
  <c r="X228" i="124" s="1"/>
  <c r="U228" i="124"/>
  <c r="V228" i="124" s="1"/>
  <c r="S228" i="124"/>
  <c r="T228" i="124" s="1"/>
  <c r="Q228" i="124"/>
  <c r="AQ228" i="124"/>
  <c r="AR228" i="124" s="1"/>
  <c r="AO228" i="124"/>
  <c r="AP228" i="124" s="1"/>
  <c r="AM228" i="124"/>
  <c r="AN228" i="124" s="1"/>
  <c r="AK228" i="124"/>
  <c r="AL228" i="124" s="1"/>
  <c r="W229" i="124"/>
  <c r="X229" i="124" s="1"/>
  <c r="U229" i="124"/>
  <c r="V229" i="124" s="1"/>
  <c r="S229" i="124"/>
  <c r="T229" i="124" s="1"/>
  <c r="Q229" i="124"/>
  <c r="AQ229" i="124"/>
  <c r="AR229" i="124" s="1"/>
  <c r="AO229" i="124"/>
  <c r="AP229" i="124" s="1"/>
  <c r="AM229" i="124"/>
  <c r="AN229" i="124" s="1"/>
  <c r="AK229" i="124"/>
  <c r="AL229" i="124" s="1"/>
  <c r="W230" i="124"/>
  <c r="X230" i="124" s="1"/>
  <c r="U230" i="124"/>
  <c r="V230" i="124" s="1"/>
  <c r="S230" i="124"/>
  <c r="T230" i="124" s="1"/>
  <c r="Q230" i="124"/>
  <c r="AQ230" i="124"/>
  <c r="AR230" i="124" s="1"/>
  <c r="AO230" i="124"/>
  <c r="AP230" i="124" s="1"/>
  <c r="AM230" i="124"/>
  <c r="AN230" i="124" s="1"/>
  <c r="AK230" i="124"/>
  <c r="AL230" i="124" s="1"/>
  <c r="W231" i="124"/>
  <c r="X231" i="124" s="1"/>
  <c r="U231" i="124"/>
  <c r="V231" i="124" s="1"/>
  <c r="S231" i="124"/>
  <c r="T231" i="124" s="1"/>
  <c r="Q231" i="124"/>
  <c r="AQ231" i="124"/>
  <c r="AR231" i="124" s="1"/>
  <c r="AO231" i="124"/>
  <c r="AP231" i="124" s="1"/>
  <c r="AM231" i="124"/>
  <c r="AN231" i="124" s="1"/>
  <c r="AK231" i="124"/>
  <c r="AL231" i="124" s="1"/>
  <c r="W232" i="124"/>
  <c r="X232" i="124" s="1"/>
  <c r="U232" i="124"/>
  <c r="V232" i="124" s="1"/>
  <c r="S232" i="124"/>
  <c r="T232" i="124" s="1"/>
  <c r="Q232" i="124"/>
  <c r="AQ232" i="124"/>
  <c r="AR232" i="124" s="1"/>
  <c r="AO232" i="124"/>
  <c r="AP232" i="124" s="1"/>
  <c r="AM232" i="124"/>
  <c r="AN232" i="124" s="1"/>
  <c r="AK232" i="124"/>
  <c r="AL232" i="124" s="1"/>
  <c r="W233" i="124"/>
  <c r="X233" i="124" s="1"/>
  <c r="U233" i="124"/>
  <c r="V233" i="124" s="1"/>
  <c r="S233" i="124"/>
  <c r="T233" i="124" s="1"/>
  <c r="Q233" i="124"/>
  <c r="AQ233" i="124"/>
  <c r="AR233" i="124" s="1"/>
  <c r="AO233" i="124"/>
  <c r="AP233" i="124" s="1"/>
  <c r="AM233" i="124"/>
  <c r="AN233" i="124" s="1"/>
  <c r="AK233" i="124"/>
  <c r="AL233" i="124" s="1"/>
  <c r="W234" i="124"/>
  <c r="X234" i="124" s="1"/>
  <c r="U234" i="124"/>
  <c r="V234" i="124" s="1"/>
  <c r="S234" i="124"/>
  <c r="T234" i="124" s="1"/>
  <c r="Q234" i="124"/>
  <c r="AQ234" i="124"/>
  <c r="AR234" i="124" s="1"/>
  <c r="AO234" i="124"/>
  <c r="AP234" i="124" s="1"/>
  <c r="AM234" i="124"/>
  <c r="AN234" i="124" s="1"/>
  <c r="AK234" i="124"/>
  <c r="AL234" i="124" s="1"/>
  <c r="W235" i="124"/>
  <c r="X235" i="124" s="1"/>
  <c r="U235" i="124"/>
  <c r="V235" i="124" s="1"/>
  <c r="S235" i="124"/>
  <c r="T235" i="124" s="1"/>
  <c r="Q235" i="124"/>
  <c r="AQ235" i="124"/>
  <c r="AR235" i="124" s="1"/>
  <c r="AO235" i="124"/>
  <c r="AP235" i="124" s="1"/>
  <c r="AM235" i="124"/>
  <c r="AN235" i="124" s="1"/>
  <c r="AK235" i="124"/>
  <c r="AL235" i="124" s="1"/>
  <c r="W236" i="124"/>
  <c r="X236" i="124" s="1"/>
  <c r="U236" i="124"/>
  <c r="V236" i="124" s="1"/>
  <c r="S236" i="124"/>
  <c r="T236" i="124" s="1"/>
  <c r="Q236" i="124"/>
  <c r="AQ236" i="124"/>
  <c r="AR236" i="124" s="1"/>
  <c r="AO236" i="124"/>
  <c r="AP236" i="124" s="1"/>
  <c r="AM236" i="124"/>
  <c r="AN236" i="124" s="1"/>
  <c r="AK236" i="124"/>
  <c r="AL236" i="124" s="1"/>
  <c r="W237" i="124"/>
  <c r="X237" i="124" s="1"/>
  <c r="U237" i="124"/>
  <c r="V237" i="124" s="1"/>
  <c r="S237" i="124"/>
  <c r="T237" i="124" s="1"/>
  <c r="Q237" i="124"/>
  <c r="AQ237" i="124"/>
  <c r="AR237" i="124" s="1"/>
  <c r="AO237" i="124"/>
  <c r="AP237" i="124" s="1"/>
  <c r="AM237" i="124"/>
  <c r="AN237" i="124" s="1"/>
  <c r="AK237" i="124"/>
  <c r="AL237" i="124" s="1"/>
  <c r="W238" i="124"/>
  <c r="X238" i="124" s="1"/>
  <c r="U238" i="124"/>
  <c r="V238" i="124" s="1"/>
  <c r="S238" i="124"/>
  <c r="T238" i="124" s="1"/>
  <c r="Q238" i="124"/>
  <c r="AQ238" i="124"/>
  <c r="AR238" i="124" s="1"/>
  <c r="AO238" i="124"/>
  <c r="AP238" i="124" s="1"/>
  <c r="AM238" i="124"/>
  <c r="AN238" i="124" s="1"/>
  <c r="AK238" i="124"/>
  <c r="AL238" i="124" s="1"/>
  <c r="W239" i="124"/>
  <c r="X239" i="124" s="1"/>
  <c r="U239" i="124"/>
  <c r="V239" i="124" s="1"/>
  <c r="S239" i="124"/>
  <c r="T239" i="124" s="1"/>
  <c r="Q239" i="124"/>
  <c r="AQ239" i="124"/>
  <c r="AR239" i="124" s="1"/>
  <c r="AO239" i="124"/>
  <c r="AP239" i="124" s="1"/>
  <c r="AM239" i="124"/>
  <c r="AN239" i="124" s="1"/>
  <c r="AK239" i="124"/>
  <c r="AL239" i="124" s="1"/>
  <c r="W240" i="124"/>
  <c r="X240" i="124" s="1"/>
  <c r="U240" i="124"/>
  <c r="V240" i="124" s="1"/>
  <c r="S240" i="124"/>
  <c r="T240" i="124" s="1"/>
  <c r="Q240" i="124"/>
  <c r="AQ240" i="124"/>
  <c r="AR240" i="124" s="1"/>
  <c r="AO240" i="124"/>
  <c r="AP240" i="124" s="1"/>
  <c r="AM240" i="124"/>
  <c r="AN240" i="124" s="1"/>
  <c r="AK240" i="124"/>
  <c r="AL240" i="124" s="1"/>
  <c r="W241" i="124"/>
  <c r="X241" i="124" s="1"/>
  <c r="U241" i="124"/>
  <c r="V241" i="124" s="1"/>
  <c r="S241" i="124"/>
  <c r="T241" i="124" s="1"/>
  <c r="Q241" i="124"/>
  <c r="AQ241" i="124"/>
  <c r="AR241" i="124" s="1"/>
  <c r="AO241" i="124"/>
  <c r="AP241" i="124" s="1"/>
  <c r="AM241" i="124"/>
  <c r="AN241" i="124" s="1"/>
  <c r="AK241" i="124"/>
  <c r="AL241" i="124" s="1"/>
  <c r="W242" i="124"/>
  <c r="X242" i="124" s="1"/>
  <c r="U242" i="124"/>
  <c r="V242" i="124" s="1"/>
  <c r="S242" i="124"/>
  <c r="T242" i="124" s="1"/>
  <c r="Q242" i="124"/>
  <c r="AQ242" i="124"/>
  <c r="AR242" i="124" s="1"/>
  <c r="AO242" i="124"/>
  <c r="AP242" i="124" s="1"/>
  <c r="AM242" i="124"/>
  <c r="AN242" i="124" s="1"/>
  <c r="AK242" i="124"/>
  <c r="AL242" i="124" s="1"/>
  <c r="W243" i="124"/>
  <c r="X243" i="124" s="1"/>
  <c r="U243" i="124"/>
  <c r="V243" i="124" s="1"/>
  <c r="S243" i="124"/>
  <c r="T243" i="124" s="1"/>
  <c r="Q243" i="124"/>
  <c r="AQ243" i="124"/>
  <c r="AR243" i="124" s="1"/>
  <c r="AO243" i="124"/>
  <c r="AP243" i="124" s="1"/>
  <c r="AM243" i="124"/>
  <c r="AN243" i="124" s="1"/>
  <c r="AK243" i="124"/>
  <c r="AL243" i="124" s="1"/>
  <c r="W244" i="124"/>
  <c r="X244" i="124" s="1"/>
  <c r="U244" i="124"/>
  <c r="V244" i="124" s="1"/>
  <c r="S244" i="124"/>
  <c r="T244" i="124" s="1"/>
  <c r="Q244" i="124"/>
  <c r="AQ244" i="124"/>
  <c r="AR244" i="124" s="1"/>
  <c r="AO244" i="124"/>
  <c r="AP244" i="124" s="1"/>
  <c r="AM244" i="124"/>
  <c r="AN244" i="124" s="1"/>
  <c r="AK244" i="124"/>
  <c r="AL244" i="124" s="1"/>
  <c r="W245" i="124"/>
  <c r="X245" i="124" s="1"/>
  <c r="U245" i="124"/>
  <c r="V245" i="124" s="1"/>
  <c r="S245" i="124"/>
  <c r="T245" i="124" s="1"/>
  <c r="Q245" i="124"/>
  <c r="AQ245" i="124"/>
  <c r="AR245" i="124" s="1"/>
  <c r="AO245" i="124"/>
  <c r="AP245" i="124" s="1"/>
  <c r="AM245" i="124"/>
  <c r="AN245" i="124" s="1"/>
  <c r="AK245" i="124"/>
  <c r="AL245" i="124" s="1"/>
  <c r="W246" i="124"/>
  <c r="X246" i="124" s="1"/>
  <c r="U246" i="124"/>
  <c r="V246" i="124" s="1"/>
  <c r="S246" i="124"/>
  <c r="T246" i="124" s="1"/>
  <c r="Q246" i="124"/>
  <c r="AQ246" i="124"/>
  <c r="AR246" i="124" s="1"/>
  <c r="AO246" i="124"/>
  <c r="AP246" i="124" s="1"/>
  <c r="AM246" i="124"/>
  <c r="AN246" i="124" s="1"/>
  <c r="AK246" i="124"/>
  <c r="AL246" i="124" s="1"/>
  <c r="W247" i="124"/>
  <c r="X247" i="124" s="1"/>
  <c r="U247" i="124"/>
  <c r="V247" i="124" s="1"/>
  <c r="S247" i="124"/>
  <c r="T247" i="124" s="1"/>
  <c r="Q247" i="124"/>
  <c r="AQ247" i="124"/>
  <c r="AR247" i="124" s="1"/>
  <c r="AO247" i="124"/>
  <c r="AP247" i="124" s="1"/>
  <c r="AM247" i="124"/>
  <c r="AN247" i="124" s="1"/>
  <c r="AK247" i="124"/>
  <c r="AL247" i="124" s="1"/>
  <c r="W248" i="124"/>
  <c r="X248" i="124" s="1"/>
  <c r="U248" i="124"/>
  <c r="V248" i="124" s="1"/>
  <c r="S248" i="124"/>
  <c r="T248" i="124" s="1"/>
  <c r="Q248" i="124"/>
  <c r="AQ248" i="124"/>
  <c r="AR248" i="124" s="1"/>
  <c r="AO248" i="124"/>
  <c r="AP248" i="124" s="1"/>
  <c r="AM248" i="124"/>
  <c r="AN248" i="124" s="1"/>
  <c r="AK248" i="124"/>
  <c r="AL248" i="124" s="1"/>
  <c r="W249" i="124"/>
  <c r="X249" i="124" s="1"/>
  <c r="U249" i="124"/>
  <c r="V249" i="124" s="1"/>
  <c r="S249" i="124"/>
  <c r="T249" i="124" s="1"/>
  <c r="Q249" i="124"/>
  <c r="AQ249" i="124"/>
  <c r="AR249" i="124" s="1"/>
  <c r="AO249" i="124"/>
  <c r="AP249" i="124" s="1"/>
  <c r="AM249" i="124"/>
  <c r="AN249" i="124" s="1"/>
  <c r="AK249" i="124"/>
  <c r="AL249" i="124" s="1"/>
  <c r="W250" i="124"/>
  <c r="X250" i="124" s="1"/>
  <c r="U250" i="124"/>
  <c r="V250" i="124" s="1"/>
  <c r="S250" i="124"/>
  <c r="T250" i="124" s="1"/>
  <c r="Q250" i="124"/>
  <c r="AQ250" i="124"/>
  <c r="AR250" i="124" s="1"/>
  <c r="AO250" i="124"/>
  <c r="AP250" i="124" s="1"/>
  <c r="AM250" i="124"/>
  <c r="AN250" i="124" s="1"/>
  <c r="AK250" i="124"/>
  <c r="AL250" i="124" s="1"/>
  <c r="W251" i="124"/>
  <c r="X251" i="124" s="1"/>
  <c r="U251" i="124"/>
  <c r="V251" i="124" s="1"/>
  <c r="S251" i="124"/>
  <c r="T251" i="124" s="1"/>
  <c r="Q251" i="124"/>
  <c r="AQ251" i="124"/>
  <c r="AR251" i="124" s="1"/>
  <c r="AO251" i="124"/>
  <c r="AP251" i="124" s="1"/>
  <c r="AM251" i="124"/>
  <c r="AN251" i="124" s="1"/>
  <c r="AK251" i="124"/>
  <c r="AL251" i="124" s="1"/>
  <c r="W252" i="124"/>
  <c r="X252" i="124" s="1"/>
  <c r="U252" i="124"/>
  <c r="V252" i="124" s="1"/>
  <c r="S252" i="124"/>
  <c r="T252" i="124" s="1"/>
  <c r="Q252" i="124"/>
  <c r="Z209" i="124"/>
  <c r="Z210" i="124"/>
  <c r="Z211" i="124"/>
  <c r="Z212" i="124"/>
  <c r="Z213" i="124"/>
  <c r="Z214" i="124"/>
  <c r="Z215" i="124"/>
  <c r="Z216" i="124"/>
  <c r="Z217" i="124"/>
  <c r="Z218" i="124"/>
  <c r="Z306" i="124"/>
  <c r="AJ253" i="124"/>
  <c r="P253" i="124"/>
  <c r="AG254" i="124"/>
  <c r="AH254" i="124" s="1"/>
  <c r="AE254" i="124"/>
  <c r="AF254" i="124" s="1"/>
  <c r="AC254" i="124"/>
  <c r="AD254" i="124" s="1"/>
  <c r="AA254" i="124"/>
  <c r="AB254" i="124" s="1"/>
  <c r="AJ255" i="124"/>
  <c r="P255" i="124"/>
  <c r="AG256" i="124"/>
  <c r="AH256" i="124" s="1"/>
  <c r="AE256" i="124"/>
  <c r="AF256" i="124" s="1"/>
  <c r="AC256" i="124"/>
  <c r="AD256" i="124" s="1"/>
  <c r="AA256" i="124"/>
  <c r="AB256" i="124" s="1"/>
  <c r="AJ257" i="124"/>
  <c r="P257" i="124"/>
  <c r="AG258" i="124"/>
  <c r="AH258" i="124" s="1"/>
  <c r="AE258" i="124"/>
  <c r="AF258" i="124" s="1"/>
  <c r="AC258" i="124"/>
  <c r="AD258" i="124" s="1"/>
  <c r="AA258" i="124"/>
  <c r="AB258" i="124" s="1"/>
  <c r="AJ259" i="124"/>
  <c r="P259" i="124"/>
  <c r="AG260" i="124"/>
  <c r="AH260" i="124" s="1"/>
  <c r="AE260" i="124"/>
  <c r="AF260" i="124" s="1"/>
  <c r="AC260" i="124"/>
  <c r="AD260" i="124" s="1"/>
  <c r="AA260" i="124"/>
  <c r="AB260" i="124" s="1"/>
  <c r="AJ261" i="124"/>
  <c r="P261" i="124"/>
  <c r="AG262" i="124"/>
  <c r="AH262" i="124" s="1"/>
  <c r="AE262" i="124"/>
  <c r="AF262" i="124" s="1"/>
  <c r="AC262" i="124"/>
  <c r="AD262" i="124" s="1"/>
  <c r="AA262" i="124"/>
  <c r="AB262" i="124" s="1"/>
  <c r="AJ263" i="124"/>
  <c r="P263" i="124"/>
  <c r="AG264" i="124"/>
  <c r="AH264" i="124" s="1"/>
  <c r="AE264" i="124"/>
  <c r="AF264" i="124" s="1"/>
  <c r="AC264" i="124"/>
  <c r="AD264" i="124" s="1"/>
  <c r="AA264" i="124"/>
  <c r="AB264" i="124" s="1"/>
  <c r="AJ265" i="124"/>
  <c r="P265" i="124"/>
  <c r="AG266" i="124"/>
  <c r="AH266" i="124" s="1"/>
  <c r="AE266" i="124"/>
  <c r="AF266" i="124" s="1"/>
  <c r="AC266" i="124"/>
  <c r="AD266" i="124" s="1"/>
  <c r="AA266" i="124"/>
  <c r="AB266" i="124" s="1"/>
  <c r="AJ267" i="124"/>
  <c r="P267" i="124"/>
  <c r="AG268" i="124"/>
  <c r="AH268" i="124" s="1"/>
  <c r="AE268" i="124"/>
  <c r="AF268" i="124" s="1"/>
  <c r="AC268" i="124"/>
  <c r="AD268" i="124" s="1"/>
  <c r="AA268" i="124"/>
  <c r="AB268" i="124" s="1"/>
  <c r="AJ269" i="124"/>
  <c r="P269" i="124"/>
  <c r="AG270" i="124"/>
  <c r="AH270" i="124" s="1"/>
  <c r="AE270" i="124"/>
  <c r="AF270" i="124" s="1"/>
  <c r="AC270" i="124"/>
  <c r="AD270" i="124" s="1"/>
  <c r="AA270" i="124"/>
  <c r="AB270" i="124" s="1"/>
  <c r="AJ271" i="124"/>
  <c r="P271" i="124"/>
  <c r="AG272" i="124"/>
  <c r="AH272" i="124" s="1"/>
  <c r="AE272" i="124"/>
  <c r="AF272" i="124" s="1"/>
  <c r="AC272" i="124"/>
  <c r="AD272" i="124" s="1"/>
  <c r="AA272" i="124"/>
  <c r="AB272" i="124" s="1"/>
  <c r="AJ273" i="124"/>
  <c r="P273" i="124"/>
  <c r="AG274" i="124"/>
  <c r="AH274" i="124" s="1"/>
  <c r="AE274" i="124"/>
  <c r="AF274" i="124" s="1"/>
  <c r="AC274" i="124"/>
  <c r="AD274" i="124" s="1"/>
  <c r="AA274" i="124"/>
  <c r="AB274" i="124" s="1"/>
  <c r="AJ275" i="124"/>
  <c r="P275" i="124"/>
  <c r="AG276" i="124"/>
  <c r="AH276" i="124" s="1"/>
  <c r="AE276" i="124"/>
  <c r="AF276" i="124" s="1"/>
  <c r="AC276" i="124"/>
  <c r="AD276" i="124" s="1"/>
  <c r="AA276" i="124"/>
  <c r="AB276" i="124" s="1"/>
  <c r="AJ277" i="124"/>
  <c r="P277" i="124"/>
  <c r="AG278" i="124"/>
  <c r="AH278" i="124" s="1"/>
  <c r="AE278" i="124"/>
  <c r="AF278" i="124" s="1"/>
  <c r="AC278" i="124"/>
  <c r="AD278" i="124" s="1"/>
  <c r="AA278" i="124"/>
  <c r="AB278" i="124" s="1"/>
  <c r="AJ279" i="124"/>
  <c r="P279" i="124"/>
  <c r="AG280" i="124"/>
  <c r="AH280" i="124" s="1"/>
  <c r="AE280" i="124"/>
  <c r="AF280" i="124" s="1"/>
  <c r="AC280" i="124"/>
  <c r="AD280" i="124" s="1"/>
  <c r="AA280" i="124"/>
  <c r="AB280" i="124" s="1"/>
  <c r="Z281" i="124"/>
  <c r="AJ281" i="124"/>
  <c r="P281" i="124"/>
  <c r="AG282" i="124"/>
  <c r="AH282" i="124" s="1"/>
  <c r="AE282" i="124"/>
  <c r="AF282" i="124" s="1"/>
  <c r="AC282" i="124"/>
  <c r="AD282" i="124" s="1"/>
  <c r="AA282" i="124"/>
  <c r="AB282" i="124" s="1"/>
  <c r="AG283" i="124"/>
  <c r="AH283" i="124" s="1"/>
  <c r="AE283" i="124"/>
  <c r="AF283" i="124" s="1"/>
  <c r="AC283" i="124"/>
  <c r="AD283" i="124" s="1"/>
  <c r="AA283" i="124"/>
  <c r="AB283" i="124" s="1"/>
  <c r="AG284" i="124"/>
  <c r="AH284" i="124" s="1"/>
  <c r="AE284" i="124"/>
  <c r="AF284" i="124" s="1"/>
  <c r="AC284" i="124"/>
  <c r="AD284" i="124" s="1"/>
  <c r="AA284" i="124"/>
  <c r="AB284" i="124" s="1"/>
  <c r="AG285" i="124"/>
  <c r="AH285" i="124" s="1"/>
  <c r="AE285" i="124"/>
  <c r="AF285" i="124" s="1"/>
  <c r="AC285" i="124"/>
  <c r="AD285" i="124" s="1"/>
  <c r="AA285" i="124"/>
  <c r="AB285" i="124" s="1"/>
  <c r="AG286" i="124"/>
  <c r="AH286" i="124" s="1"/>
  <c r="AE286" i="124"/>
  <c r="AF286" i="124" s="1"/>
  <c r="AC286" i="124"/>
  <c r="AD286" i="124" s="1"/>
  <c r="AA286" i="124"/>
  <c r="AB286" i="124" s="1"/>
  <c r="AG287" i="124"/>
  <c r="AH287" i="124" s="1"/>
  <c r="AE287" i="124"/>
  <c r="AF287" i="124" s="1"/>
  <c r="AC287" i="124"/>
  <c r="AD287" i="124" s="1"/>
  <c r="AA287" i="124"/>
  <c r="AB287" i="124" s="1"/>
  <c r="AG288" i="124"/>
  <c r="AH288" i="124" s="1"/>
  <c r="AE288" i="124"/>
  <c r="AF288" i="124" s="1"/>
  <c r="AC288" i="124"/>
  <c r="AD288" i="124" s="1"/>
  <c r="AA288" i="124"/>
  <c r="AB288" i="124" s="1"/>
  <c r="AG289" i="124"/>
  <c r="AH289" i="124" s="1"/>
  <c r="AE289" i="124"/>
  <c r="AF289" i="124" s="1"/>
  <c r="AC289" i="124"/>
  <c r="AD289" i="124" s="1"/>
  <c r="AA289" i="124"/>
  <c r="AB289" i="124" s="1"/>
  <c r="AG309" i="124"/>
  <c r="AH309" i="124" s="1"/>
  <c r="AE309" i="124"/>
  <c r="AF309" i="124" s="1"/>
  <c r="AC309" i="124"/>
  <c r="AD309" i="124" s="1"/>
  <c r="AA309" i="124"/>
  <c r="AB309" i="124" s="1"/>
  <c r="AG402" i="124"/>
  <c r="AH402" i="124" s="1"/>
  <c r="AE402" i="124"/>
  <c r="AF402" i="124" s="1"/>
  <c r="AC402" i="124"/>
  <c r="AD402" i="124" s="1"/>
  <c r="AA402" i="124"/>
  <c r="AB402" i="124" s="1"/>
  <c r="AQ405" i="124"/>
  <c r="AR405" i="124" s="1"/>
  <c r="AO405" i="124"/>
  <c r="AP405" i="124" s="1"/>
  <c r="AM405" i="124"/>
  <c r="AK405" i="124"/>
  <c r="AL405" i="124" s="1"/>
  <c r="AQ293" i="124"/>
  <c r="AR293" i="124" s="1"/>
  <c r="AO293" i="124"/>
  <c r="AP293" i="124" s="1"/>
  <c r="AM293" i="124"/>
  <c r="AK293" i="124"/>
  <c r="AL293" i="124" s="1"/>
  <c r="AQ294" i="124"/>
  <c r="AR294" i="124" s="1"/>
  <c r="AO294" i="124"/>
  <c r="AP294" i="124" s="1"/>
  <c r="AM294" i="124"/>
  <c r="AK294" i="124"/>
  <c r="AL294" i="124" s="1"/>
  <c r="AG295" i="124"/>
  <c r="AH295" i="124" s="1"/>
  <c r="AE295" i="124"/>
  <c r="AF295" i="124" s="1"/>
  <c r="AC295" i="124"/>
  <c r="AD295" i="124" s="1"/>
  <c r="AA295" i="124"/>
  <c r="AB295" i="124" s="1"/>
  <c r="AG296" i="124"/>
  <c r="AH296" i="124" s="1"/>
  <c r="AE296" i="124"/>
  <c r="AF296" i="124" s="1"/>
  <c r="AC296" i="124"/>
  <c r="AD296" i="124" s="1"/>
  <c r="AA296" i="124"/>
  <c r="AB296" i="124" s="1"/>
  <c r="AG297" i="124"/>
  <c r="AH297" i="124" s="1"/>
  <c r="AE297" i="124"/>
  <c r="AF297" i="124" s="1"/>
  <c r="AC297" i="124"/>
  <c r="AD297" i="124" s="1"/>
  <c r="AA297" i="124"/>
  <c r="AB297" i="124" s="1"/>
  <c r="AG298" i="124"/>
  <c r="AH298" i="124" s="1"/>
  <c r="AE298" i="124"/>
  <c r="AF298" i="124" s="1"/>
  <c r="AC298" i="124"/>
  <c r="AD298" i="124" s="1"/>
  <c r="AA298" i="124"/>
  <c r="AB298" i="124" s="1"/>
  <c r="AG299" i="124"/>
  <c r="AH299" i="124" s="1"/>
  <c r="AE299" i="124"/>
  <c r="AF299" i="124" s="1"/>
  <c r="AC299" i="124"/>
  <c r="AD299" i="124" s="1"/>
  <c r="AA299" i="124"/>
  <c r="AB299" i="124" s="1"/>
  <c r="AG300" i="124"/>
  <c r="AH300" i="124" s="1"/>
  <c r="AE300" i="124"/>
  <c r="AF300" i="124" s="1"/>
  <c r="AC300" i="124"/>
  <c r="AD300" i="124" s="1"/>
  <c r="AA300" i="124"/>
  <c r="AB300" i="124" s="1"/>
  <c r="AG301" i="124"/>
  <c r="AH301" i="124" s="1"/>
  <c r="AE301" i="124"/>
  <c r="AF301" i="124" s="1"/>
  <c r="AC301" i="124"/>
  <c r="AD301" i="124" s="1"/>
  <c r="AA301" i="124"/>
  <c r="AB301" i="124" s="1"/>
  <c r="AG302" i="124"/>
  <c r="AH302" i="124" s="1"/>
  <c r="AE302" i="124"/>
  <c r="AF302" i="124" s="1"/>
  <c r="AC302" i="124"/>
  <c r="AD302" i="124" s="1"/>
  <c r="AA302" i="124"/>
  <c r="AB302" i="124" s="1"/>
  <c r="AG303" i="124"/>
  <c r="AH303" i="124" s="1"/>
  <c r="AE303" i="124"/>
  <c r="AF303" i="124" s="1"/>
  <c r="AC303" i="124"/>
  <c r="AD303" i="124" s="1"/>
  <c r="AA303" i="124"/>
  <c r="AB303" i="124" s="1"/>
  <c r="AG304" i="124"/>
  <c r="AH304" i="124" s="1"/>
  <c r="AE304" i="124"/>
  <c r="AF304" i="124" s="1"/>
  <c r="AC304" i="124"/>
  <c r="AD304" i="124" s="1"/>
  <c r="AA304" i="124"/>
  <c r="AB304" i="124" s="1"/>
  <c r="AG305" i="124"/>
  <c r="AH305" i="124" s="1"/>
  <c r="AE305" i="124"/>
  <c r="AF305" i="124" s="1"/>
  <c r="AC305" i="124"/>
  <c r="AD305" i="124" s="1"/>
  <c r="AA305" i="124"/>
  <c r="AB305" i="124" s="1"/>
  <c r="AG407" i="124"/>
  <c r="AH407" i="124" s="1"/>
  <c r="AE407" i="124"/>
  <c r="AF407" i="124" s="1"/>
  <c r="AC407" i="124"/>
  <c r="AD407" i="124" s="1"/>
  <c r="AA407" i="124"/>
  <c r="AB407" i="124" s="1"/>
  <c r="AG307" i="124"/>
  <c r="AH307" i="124" s="1"/>
  <c r="AE307" i="124"/>
  <c r="AF307" i="124" s="1"/>
  <c r="AC307" i="124"/>
  <c r="AD307" i="124" s="1"/>
  <c r="AA307" i="124"/>
  <c r="AB307" i="124" s="1"/>
  <c r="AG308" i="124"/>
  <c r="AH308" i="124" s="1"/>
  <c r="AE308" i="124"/>
  <c r="AF308" i="124" s="1"/>
  <c r="AC308" i="124"/>
  <c r="AD308" i="124" s="1"/>
  <c r="AA308" i="124"/>
  <c r="AB308" i="124" s="1"/>
  <c r="AG419" i="124"/>
  <c r="AH419" i="124" s="1"/>
  <c r="AE419" i="124"/>
  <c r="AF419" i="124" s="1"/>
  <c r="AC419" i="124"/>
  <c r="AD419" i="124" s="1"/>
  <c r="AA419" i="124"/>
  <c r="AB419" i="124" s="1"/>
  <c r="AG310" i="124"/>
  <c r="AH310" i="124" s="1"/>
  <c r="AE310" i="124"/>
  <c r="AF310" i="124" s="1"/>
  <c r="AC310" i="124"/>
  <c r="AD310" i="124" s="1"/>
  <c r="AA310" i="124"/>
  <c r="AB310" i="124" s="1"/>
  <c r="AG311" i="124"/>
  <c r="AH311" i="124" s="1"/>
  <c r="AE311" i="124"/>
  <c r="AF311" i="124" s="1"/>
  <c r="AC311" i="124"/>
  <c r="AD311" i="124" s="1"/>
  <c r="AA311" i="124"/>
  <c r="AB311" i="124" s="1"/>
  <c r="AG312" i="124"/>
  <c r="AH312" i="124" s="1"/>
  <c r="AE312" i="124"/>
  <c r="AF312" i="124" s="1"/>
  <c r="AC312" i="124"/>
  <c r="AD312" i="124" s="1"/>
  <c r="AA312" i="124"/>
  <c r="AB312" i="124" s="1"/>
  <c r="AG313" i="124"/>
  <c r="AH313" i="124" s="1"/>
  <c r="AE313" i="124"/>
  <c r="AF313" i="124" s="1"/>
  <c r="AC313" i="124"/>
  <c r="AD313" i="124" s="1"/>
  <c r="AA313" i="124"/>
  <c r="AB313" i="124" s="1"/>
  <c r="AG314" i="124"/>
  <c r="AH314" i="124" s="1"/>
  <c r="AE314" i="124"/>
  <c r="AF314" i="124" s="1"/>
  <c r="AC314" i="124"/>
  <c r="AD314" i="124" s="1"/>
  <c r="AA314" i="124"/>
  <c r="AB314" i="124" s="1"/>
  <c r="AG315" i="124"/>
  <c r="AH315" i="124" s="1"/>
  <c r="AE315" i="124"/>
  <c r="AF315" i="124" s="1"/>
  <c r="AC315" i="124"/>
  <c r="AD315" i="124" s="1"/>
  <c r="AA315" i="124"/>
  <c r="AB315" i="124" s="1"/>
  <c r="AG316" i="124"/>
  <c r="AH316" i="124" s="1"/>
  <c r="AE316" i="124"/>
  <c r="AF316" i="124" s="1"/>
  <c r="AC316" i="124"/>
  <c r="AD316" i="124" s="1"/>
  <c r="AA316" i="124"/>
  <c r="AB316" i="124" s="1"/>
  <c r="AG317" i="124"/>
  <c r="AH317" i="124" s="1"/>
  <c r="AE317" i="124"/>
  <c r="AF317" i="124" s="1"/>
  <c r="AC317" i="124"/>
  <c r="AD317" i="124" s="1"/>
  <c r="AA317" i="124"/>
  <c r="AB317" i="124" s="1"/>
  <c r="AG318" i="124"/>
  <c r="AH318" i="124" s="1"/>
  <c r="AE318" i="124"/>
  <c r="AF318" i="124" s="1"/>
  <c r="AC318" i="124"/>
  <c r="AD318" i="124" s="1"/>
  <c r="AA318" i="124"/>
  <c r="AB318" i="124" s="1"/>
  <c r="AG319" i="124"/>
  <c r="AH319" i="124" s="1"/>
  <c r="AE319" i="124"/>
  <c r="AF319" i="124" s="1"/>
  <c r="AC319" i="124"/>
  <c r="AD319" i="124" s="1"/>
  <c r="AA319" i="124"/>
  <c r="AB319" i="124" s="1"/>
  <c r="AG320" i="124"/>
  <c r="AH320" i="124" s="1"/>
  <c r="AE320" i="124"/>
  <c r="AF320" i="124" s="1"/>
  <c r="AC320" i="124"/>
  <c r="AD320" i="124" s="1"/>
  <c r="AA320" i="124"/>
  <c r="AB320" i="124" s="1"/>
  <c r="AG321" i="124"/>
  <c r="AH321" i="124" s="1"/>
  <c r="AE321" i="124"/>
  <c r="AF321" i="124" s="1"/>
  <c r="AC321" i="124"/>
  <c r="AD321" i="124" s="1"/>
  <c r="AA321" i="124"/>
  <c r="AB321" i="124" s="1"/>
  <c r="AG322" i="124"/>
  <c r="AH322" i="124" s="1"/>
  <c r="AE322" i="124"/>
  <c r="AF322" i="124" s="1"/>
  <c r="AC322" i="124"/>
  <c r="AD322" i="124" s="1"/>
  <c r="AA322" i="124"/>
  <c r="AB322" i="124" s="1"/>
  <c r="AG323" i="124"/>
  <c r="AH323" i="124" s="1"/>
  <c r="AE323" i="124"/>
  <c r="AF323" i="124" s="1"/>
  <c r="AC323" i="124"/>
  <c r="AD323" i="124" s="1"/>
  <c r="AA323" i="124"/>
  <c r="AB323" i="124" s="1"/>
  <c r="AG327" i="124"/>
  <c r="AH327" i="124" s="1"/>
  <c r="AE327" i="124"/>
  <c r="AF327" i="124" s="1"/>
  <c r="AC327" i="124"/>
  <c r="AD327" i="124" s="1"/>
  <c r="AA327" i="124"/>
  <c r="AB327" i="124" s="1"/>
  <c r="AG331" i="124"/>
  <c r="AH331" i="124" s="1"/>
  <c r="AE331" i="124"/>
  <c r="AF331" i="124" s="1"/>
  <c r="AC331" i="124"/>
  <c r="AD331" i="124" s="1"/>
  <c r="AA331" i="124"/>
  <c r="AB331" i="124" s="1"/>
  <c r="AG335" i="124"/>
  <c r="AH335" i="124" s="1"/>
  <c r="AE335" i="124"/>
  <c r="AF335" i="124" s="1"/>
  <c r="AC335" i="124"/>
  <c r="AD335" i="124" s="1"/>
  <c r="AA335" i="124"/>
  <c r="AB335" i="124" s="1"/>
  <c r="P209" i="124"/>
  <c r="P210" i="124"/>
  <c r="P211" i="124"/>
  <c r="P212" i="124"/>
  <c r="P213" i="124"/>
  <c r="P214" i="124"/>
  <c r="P215" i="124"/>
  <c r="P216" i="124"/>
  <c r="P217" i="124"/>
  <c r="P218" i="124"/>
  <c r="P306" i="124"/>
  <c r="AJ252" i="124"/>
  <c r="Z252" i="124"/>
  <c r="Z253" i="124"/>
  <c r="AJ254" i="124"/>
  <c r="P254" i="124"/>
  <c r="Z255" i="124"/>
  <c r="AJ256" i="124"/>
  <c r="P256" i="124"/>
  <c r="Z257" i="124"/>
  <c r="AJ258" i="124"/>
  <c r="P258" i="124"/>
  <c r="Z259" i="124"/>
  <c r="AJ260" i="124"/>
  <c r="P260" i="124"/>
  <c r="Z261" i="124"/>
  <c r="AJ262" i="124"/>
  <c r="P262" i="124"/>
  <c r="Z263" i="124"/>
  <c r="AJ264" i="124"/>
  <c r="P264" i="124"/>
  <c r="Z265" i="124"/>
  <c r="AJ266" i="124"/>
  <c r="P266" i="124"/>
  <c r="Z267" i="124"/>
  <c r="AJ268" i="124"/>
  <c r="P268" i="124"/>
  <c r="Z269" i="124"/>
  <c r="AJ270" i="124"/>
  <c r="P270" i="124"/>
  <c r="Z271" i="124"/>
  <c r="AJ272" i="124"/>
  <c r="P272" i="124"/>
  <c r="Z273" i="124"/>
  <c r="AJ274" i="124"/>
  <c r="P274" i="124"/>
  <c r="Z275" i="124"/>
  <c r="AJ276" i="124"/>
  <c r="P276" i="124"/>
  <c r="Z277" i="124"/>
  <c r="AJ278" i="124"/>
  <c r="P278" i="124"/>
  <c r="Z279" i="124"/>
  <c r="AJ280" i="124"/>
  <c r="P280" i="124"/>
  <c r="AG325" i="124"/>
  <c r="AH325" i="124" s="1"/>
  <c r="AE325" i="124"/>
  <c r="AF325" i="124" s="1"/>
  <c r="AC325" i="124"/>
  <c r="AD325" i="124" s="1"/>
  <c r="AA325" i="124"/>
  <c r="AB325" i="124" s="1"/>
  <c r="AG329" i="124"/>
  <c r="AH329" i="124" s="1"/>
  <c r="AE329" i="124"/>
  <c r="AF329" i="124" s="1"/>
  <c r="AC329" i="124"/>
  <c r="AD329" i="124" s="1"/>
  <c r="AA329" i="124"/>
  <c r="AB329" i="124" s="1"/>
  <c r="AG333" i="124"/>
  <c r="AH333" i="124" s="1"/>
  <c r="AE333" i="124"/>
  <c r="AF333" i="124" s="1"/>
  <c r="AC333" i="124"/>
  <c r="AD333" i="124" s="1"/>
  <c r="AA333" i="124"/>
  <c r="AB333" i="124" s="1"/>
  <c r="AG337" i="124"/>
  <c r="AH337" i="124" s="1"/>
  <c r="AE337" i="124"/>
  <c r="AF337" i="124" s="1"/>
  <c r="AC337" i="124"/>
  <c r="AD337" i="124" s="1"/>
  <c r="AA337" i="124"/>
  <c r="AB337" i="124" s="1"/>
  <c r="AG339" i="124"/>
  <c r="AH339" i="124" s="1"/>
  <c r="AE339" i="124"/>
  <c r="AF339" i="124" s="1"/>
  <c r="AC339" i="124"/>
  <c r="AD339" i="124" s="1"/>
  <c r="AA339" i="124"/>
  <c r="AB339" i="124" s="1"/>
  <c r="P282" i="124"/>
  <c r="AJ282" i="124"/>
  <c r="P283" i="124"/>
  <c r="AJ283" i="124"/>
  <c r="P284" i="124"/>
  <c r="AJ284" i="124"/>
  <c r="P285" i="124"/>
  <c r="AJ285" i="124"/>
  <c r="P286" i="124"/>
  <c r="AJ286" i="124"/>
  <c r="P287" i="124"/>
  <c r="AJ287" i="124"/>
  <c r="P288" i="124"/>
  <c r="AJ288" i="124"/>
  <c r="P289" i="124"/>
  <c r="AJ289" i="124"/>
  <c r="P309" i="124"/>
  <c r="AJ309" i="124"/>
  <c r="P402" i="124"/>
  <c r="AJ402" i="124"/>
  <c r="P405" i="124"/>
  <c r="Z405" i="124"/>
  <c r="P293" i="124"/>
  <c r="Z293" i="124"/>
  <c r="P294" i="124"/>
  <c r="Z294" i="124"/>
  <c r="P295" i="124"/>
  <c r="AJ295" i="124"/>
  <c r="P296" i="124"/>
  <c r="AJ296" i="124"/>
  <c r="P297" i="124"/>
  <c r="AJ297" i="124"/>
  <c r="P298" i="124"/>
  <c r="AJ298" i="124"/>
  <c r="P299" i="124"/>
  <c r="AJ299" i="124"/>
  <c r="P300" i="124"/>
  <c r="AJ300" i="124"/>
  <c r="P301" i="124"/>
  <c r="AJ301" i="124"/>
  <c r="P302" i="124"/>
  <c r="AJ302" i="124"/>
  <c r="P303" i="124"/>
  <c r="AJ303" i="124"/>
  <c r="P304" i="124"/>
  <c r="AJ304" i="124"/>
  <c r="P305" i="124"/>
  <c r="AJ305" i="124"/>
  <c r="P407" i="124"/>
  <c r="AJ407" i="124"/>
  <c r="P307" i="124"/>
  <c r="AJ307" i="124"/>
  <c r="P308" i="124"/>
  <c r="AJ308" i="124"/>
  <c r="P419" i="124"/>
  <c r="AJ419" i="124"/>
  <c r="P310" i="124"/>
  <c r="AJ310" i="124"/>
  <c r="P311" i="124"/>
  <c r="AJ311" i="124"/>
  <c r="P312" i="124"/>
  <c r="AJ312" i="124"/>
  <c r="P313" i="124"/>
  <c r="AJ313" i="124"/>
  <c r="P314" i="124"/>
  <c r="AJ314" i="124"/>
  <c r="P315" i="124"/>
  <c r="AJ315" i="124"/>
  <c r="P316" i="124"/>
  <c r="AJ316" i="124"/>
  <c r="P317" i="124"/>
  <c r="AJ317" i="124"/>
  <c r="P318" i="124"/>
  <c r="AJ318" i="124"/>
  <c r="P319" i="124"/>
  <c r="AJ319" i="124"/>
  <c r="P320" i="124"/>
  <c r="AJ320" i="124"/>
  <c r="P321" i="124"/>
  <c r="AJ321" i="124"/>
  <c r="P322" i="124"/>
  <c r="AJ322" i="124"/>
  <c r="P323" i="124"/>
  <c r="AJ323" i="124"/>
  <c r="AJ324" i="124"/>
  <c r="P324" i="124"/>
  <c r="AJ326" i="124"/>
  <c r="P326" i="124"/>
  <c r="AJ328" i="124"/>
  <c r="P328" i="124"/>
  <c r="AJ330" i="124"/>
  <c r="P330" i="124"/>
  <c r="AJ332" i="124"/>
  <c r="P332" i="124"/>
  <c r="AJ334" i="124"/>
  <c r="P334" i="124"/>
  <c r="AJ336" i="124"/>
  <c r="P336" i="124"/>
  <c r="AJ338" i="124"/>
  <c r="P338" i="124"/>
  <c r="AJ340" i="124"/>
  <c r="P340" i="124"/>
  <c r="W354" i="124"/>
  <c r="X354" i="124" s="1"/>
  <c r="U354" i="124"/>
  <c r="V354" i="124" s="1"/>
  <c r="S354" i="124"/>
  <c r="T354" i="124" s="1"/>
  <c r="Q354" i="124"/>
  <c r="AQ354" i="124"/>
  <c r="AR354" i="124" s="1"/>
  <c r="AO354" i="124"/>
  <c r="AP354" i="124" s="1"/>
  <c r="AM354" i="124"/>
  <c r="AN354" i="124" s="1"/>
  <c r="AK354" i="124"/>
  <c r="AL354" i="124" s="1"/>
  <c r="AQ355" i="124"/>
  <c r="AR355" i="124" s="1"/>
  <c r="AO355" i="124"/>
  <c r="AP355" i="124" s="1"/>
  <c r="AM355" i="124"/>
  <c r="AN355" i="124" s="1"/>
  <c r="AK355" i="124"/>
  <c r="AL355" i="124" s="1"/>
  <c r="W358" i="124"/>
  <c r="X358" i="124" s="1"/>
  <c r="U358" i="124"/>
  <c r="V358" i="124" s="1"/>
  <c r="S358" i="124"/>
  <c r="T358" i="124" s="1"/>
  <c r="Q358" i="124"/>
  <c r="AQ358" i="124"/>
  <c r="AR358" i="124" s="1"/>
  <c r="AO358" i="124"/>
  <c r="AP358" i="124" s="1"/>
  <c r="AM358" i="124"/>
  <c r="AN358" i="124" s="1"/>
  <c r="AK358" i="124"/>
  <c r="AL358" i="124" s="1"/>
  <c r="AQ359" i="124"/>
  <c r="AR359" i="124" s="1"/>
  <c r="AO359" i="124"/>
  <c r="AP359" i="124" s="1"/>
  <c r="AM359" i="124"/>
  <c r="AN359" i="124" s="1"/>
  <c r="AK359" i="124"/>
  <c r="AL359" i="124" s="1"/>
  <c r="W362" i="124"/>
  <c r="X362" i="124" s="1"/>
  <c r="U362" i="124"/>
  <c r="V362" i="124" s="1"/>
  <c r="S362" i="124"/>
  <c r="T362" i="124" s="1"/>
  <c r="Q362" i="124"/>
  <c r="AQ362" i="124"/>
  <c r="AR362" i="124" s="1"/>
  <c r="AO362" i="124"/>
  <c r="AP362" i="124" s="1"/>
  <c r="AM362" i="124"/>
  <c r="AN362" i="124" s="1"/>
  <c r="AK362" i="124"/>
  <c r="AL362" i="124" s="1"/>
  <c r="AQ363" i="124"/>
  <c r="AR363" i="124" s="1"/>
  <c r="AO363" i="124"/>
  <c r="AP363" i="124" s="1"/>
  <c r="AM363" i="124"/>
  <c r="AN363" i="124" s="1"/>
  <c r="AK363" i="124"/>
  <c r="AL363" i="124" s="1"/>
  <c r="W366" i="124"/>
  <c r="X366" i="124" s="1"/>
  <c r="U366" i="124"/>
  <c r="V366" i="124" s="1"/>
  <c r="S366" i="124"/>
  <c r="T366" i="124" s="1"/>
  <c r="Q366" i="124"/>
  <c r="AQ366" i="124"/>
  <c r="AR366" i="124" s="1"/>
  <c r="AO366" i="124"/>
  <c r="AP366" i="124" s="1"/>
  <c r="AM366" i="124"/>
  <c r="AN366" i="124" s="1"/>
  <c r="AK366" i="124"/>
  <c r="AL366" i="124" s="1"/>
  <c r="AQ367" i="124"/>
  <c r="AR367" i="124" s="1"/>
  <c r="AO367" i="124"/>
  <c r="AP367" i="124" s="1"/>
  <c r="AM367" i="124"/>
  <c r="AN367" i="124" s="1"/>
  <c r="AK367" i="124"/>
  <c r="AL367" i="124" s="1"/>
  <c r="W370" i="124"/>
  <c r="X370" i="124" s="1"/>
  <c r="U370" i="124"/>
  <c r="V370" i="124" s="1"/>
  <c r="S370" i="124"/>
  <c r="T370" i="124" s="1"/>
  <c r="Q370" i="124"/>
  <c r="AQ370" i="124"/>
  <c r="AR370" i="124" s="1"/>
  <c r="AO370" i="124"/>
  <c r="AP370" i="124" s="1"/>
  <c r="AM370" i="124"/>
  <c r="AN370" i="124" s="1"/>
  <c r="AK370" i="124"/>
  <c r="AL370" i="124" s="1"/>
  <c r="AQ371" i="124"/>
  <c r="AR371" i="124" s="1"/>
  <c r="AO371" i="124"/>
  <c r="AP371" i="124" s="1"/>
  <c r="AM371" i="124"/>
  <c r="AN371" i="124" s="1"/>
  <c r="AK371" i="124"/>
  <c r="AL371" i="124" s="1"/>
  <c r="AG324" i="124"/>
  <c r="AH324" i="124" s="1"/>
  <c r="AE324" i="124"/>
  <c r="AF324" i="124" s="1"/>
  <c r="AC324" i="124"/>
  <c r="AD324" i="124" s="1"/>
  <c r="AA324" i="124"/>
  <c r="AB324" i="124" s="1"/>
  <c r="AJ325" i="124"/>
  <c r="P325" i="124"/>
  <c r="AG326" i="124"/>
  <c r="AH326" i="124" s="1"/>
  <c r="AE326" i="124"/>
  <c r="AF326" i="124" s="1"/>
  <c r="AC326" i="124"/>
  <c r="AD326" i="124" s="1"/>
  <c r="AA326" i="124"/>
  <c r="AB326" i="124" s="1"/>
  <c r="AJ327" i="124"/>
  <c r="P327" i="124"/>
  <c r="AG328" i="124"/>
  <c r="AH328" i="124" s="1"/>
  <c r="AE328" i="124"/>
  <c r="AF328" i="124" s="1"/>
  <c r="AC328" i="124"/>
  <c r="AD328" i="124" s="1"/>
  <c r="AA328" i="124"/>
  <c r="AB328" i="124" s="1"/>
  <c r="AJ329" i="124"/>
  <c r="P329" i="124"/>
  <c r="AG330" i="124"/>
  <c r="AH330" i="124" s="1"/>
  <c r="AE330" i="124"/>
  <c r="AF330" i="124" s="1"/>
  <c r="AC330" i="124"/>
  <c r="AD330" i="124" s="1"/>
  <c r="AA330" i="124"/>
  <c r="AB330" i="124" s="1"/>
  <c r="AJ331" i="124"/>
  <c r="P331" i="124"/>
  <c r="AG332" i="124"/>
  <c r="AH332" i="124" s="1"/>
  <c r="AE332" i="124"/>
  <c r="AF332" i="124" s="1"/>
  <c r="AC332" i="124"/>
  <c r="AD332" i="124" s="1"/>
  <c r="AA332" i="124"/>
  <c r="AB332" i="124" s="1"/>
  <c r="AJ333" i="124"/>
  <c r="P333" i="124"/>
  <c r="AG334" i="124"/>
  <c r="AH334" i="124" s="1"/>
  <c r="AE334" i="124"/>
  <c r="AF334" i="124" s="1"/>
  <c r="AC334" i="124"/>
  <c r="AD334" i="124" s="1"/>
  <c r="AA334" i="124"/>
  <c r="AB334" i="124" s="1"/>
  <c r="AJ335" i="124"/>
  <c r="P335" i="124"/>
  <c r="AG336" i="124"/>
  <c r="AH336" i="124" s="1"/>
  <c r="AE336" i="124"/>
  <c r="AF336" i="124" s="1"/>
  <c r="AC336" i="124"/>
  <c r="AD336" i="124" s="1"/>
  <c r="AA336" i="124"/>
  <c r="AB336" i="124" s="1"/>
  <c r="AJ337" i="124"/>
  <c r="P337" i="124"/>
  <c r="Z338" i="124"/>
  <c r="AJ339" i="124"/>
  <c r="P339" i="124"/>
  <c r="Z340" i="124"/>
  <c r="AG341" i="124"/>
  <c r="AH341" i="124" s="1"/>
  <c r="AE341" i="124"/>
  <c r="AF341" i="124" s="1"/>
  <c r="AC341" i="124"/>
  <c r="AD341" i="124" s="1"/>
  <c r="AA341" i="124"/>
  <c r="AB341" i="124" s="1"/>
  <c r="AG342" i="124"/>
  <c r="AH342" i="124" s="1"/>
  <c r="AE342" i="124"/>
  <c r="AF342" i="124" s="1"/>
  <c r="AC342" i="124"/>
  <c r="AD342" i="124" s="1"/>
  <c r="AA342" i="124"/>
  <c r="AB342" i="124" s="1"/>
  <c r="AG343" i="124"/>
  <c r="AH343" i="124" s="1"/>
  <c r="AE343" i="124"/>
  <c r="AF343" i="124" s="1"/>
  <c r="AC343" i="124"/>
  <c r="AD343" i="124" s="1"/>
  <c r="AA343" i="124"/>
  <c r="AB343" i="124" s="1"/>
  <c r="AG344" i="124"/>
  <c r="AH344" i="124" s="1"/>
  <c r="AE344" i="124"/>
  <c r="AF344" i="124" s="1"/>
  <c r="AC344" i="124"/>
  <c r="AD344" i="124" s="1"/>
  <c r="AA344" i="124"/>
  <c r="AB344" i="124" s="1"/>
  <c r="AG345" i="124"/>
  <c r="AH345" i="124" s="1"/>
  <c r="AE345" i="124"/>
  <c r="AF345" i="124" s="1"/>
  <c r="AC345" i="124"/>
  <c r="AD345" i="124" s="1"/>
  <c r="AA345" i="124"/>
  <c r="AB345" i="124" s="1"/>
  <c r="AG346" i="124"/>
  <c r="AH346" i="124" s="1"/>
  <c r="AE346" i="124"/>
  <c r="AF346" i="124" s="1"/>
  <c r="AC346" i="124"/>
  <c r="AD346" i="124" s="1"/>
  <c r="AA346" i="124"/>
  <c r="AB346" i="124" s="1"/>
  <c r="AG347" i="124"/>
  <c r="AH347" i="124" s="1"/>
  <c r="AE347" i="124"/>
  <c r="AF347" i="124" s="1"/>
  <c r="AC347" i="124"/>
  <c r="AD347" i="124" s="1"/>
  <c r="AA347" i="124"/>
  <c r="AB347" i="124" s="1"/>
  <c r="AG348" i="124"/>
  <c r="AH348" i="124" s="1"/>
  <c r="AE348" i="124"/>
  <c r="AF348" i="124" s="1"/>
  <c r="AC348" i="124"/>
  <c r="AD348" i="124" s="1"/>
  <c r="AA348" i="124"/>
  <c r="AB348" i="124" s="1"/>
  <c r="AG349" i="124"/>
  <c r="AH349" i="124" s="1"/>
  <c r="AE349" i="124"/>
  <c r="AF349" i="124" s="1"/>
  <c r="AC349" i="124"/>
  <c r="AD349" i="124" s="1"/>
  <c r="AA349" i="124"/>
  <c r="AB349" i="124" s="1"/>
  <c r="AG350" i="124"/>
  <c r="AH350" i="124" s="1"/>
  <c r="AE350" i="124"/>
  <c r="AF350" i="124" s="1"/>
  <c r="AC350" i="124"/>
  <c r="AD350" i="124" s="1"/>
  <c r="AA350" i="124"/>
  <c r="AB350" i="124" s="1"/>
  <c r="AG351" i="124"/>
  <c r="AH351" i="124" s="1"/>
  <c r="AE351" i="124"/>
  <c r="AF351" i="124" s="1"/>
  <c r="AC351" i="124"/>
  <c r="AD351" i="124" s="1"/>
  <c r="AA351" i="124"/>
  <c r="AB351" i="124" s="1"/>
  <c r="AG352" i="124"/>
  <c r="AH352" i="124" s="1"/>
  <c r="AE352" i="124"/>
  <c r="AF352" i="124" s="1"/>
  <c r="AC352" i="124"/>
  <c r="AD352" i="124" s="1"/>
  <c r="AA352" i="124"/>
  <c r="AB352" i="124" s="1"/>
  <c r="AG353" i="124"/>
  <c r="AH353" i="124" s="1"/>
  <c r="AE353" i="124"/>
  <c r="AF353" i="124" s="1"/>
  <c r="AC353" i="124"/>
  <c r="AD353" i="124" s="1"/>
  <c r="AA353" i="124"/>
  <c r="AB353" i="124" s="1"/>
  <c r="W356" i="124"/>
  <c r="X356" i="124" s="1"/>
  <c r="U356" i="124"/>
  <c r="V356" i="124" s="1"/>
  <c r="S356" i="124"/>
  <c r="T356" i="124" s="1"/>
  <c r="Q356" i="124"/>
  <c r="AQ356" i="124"/>
  <c r="AR356" i="124" s="1"/>
  <c r="AO356" i="124"/>
  <c r="AP356" i="124" s="1"/>
  <c r="AM356" i="124"/>
  <c r="AN356" i="124" s="1"/>
  <c r="AK356" i="124"/>
  <c r="AL356" i="124" s="1"/>
  <c r="AQ357" i="124"/>
  <c r="AR357" i="124" s="1"/>
  <c r="AO357" i="124"/>
  <c r="AP357" i="124" s="1"/>
  <c r="AM357" i="124"/>
  <c r="AN357" i="124" s="1"/>
  <c r="AK357" i="124"/>
  <c r="AL357" i="124" s="1"/>
  <c r="W360" i="124"/>
  <c r="X360" i="124" s="1"/>
  <c r="U360" i="124"/>
  <c r="V360" i="124" s="1"/>
  <c r="S360" i="124"/>
  <c r="T360" i="124" s="1"/>
  <c r="Q360" i="124"/>
  <c r="AQ360" i="124"/>
  <c r="AR360" i="124" s="1"/>
  <c r="AO360" i="124"/>
  <c r="AP360" i="124" s="1"/>
  <c r="AM360" i="124"/>
  <c r="AN360" i="124" s="1"/>
  <c r="AK360" i="124"/>
  <c r="AL360" i="124" s="1"/>
  <c r="AQ361" i="124"/>
  <c r="AR361" i="124" s="1"/>
  <c r="AO361" i="124"/>
  <c r="AP361" i="124" s="1"/>
  <c r="AM361" i="124"/>
  <c r="AN361" i="124" s="1"/>
  <c r="AK361" i="124"/>
  <c r="AL361" i="124" s="1"/>
  <c r="W364" i="124"/>
  <c r="X364" i="124" s="1"/>
  <c r="U364" i="124"/>
  <c r="V364" i="124" s="1"/>
  <c r="S364" i="124"/>
  <c r="T364" i="124" s="1"/>
  <c r="Q364" i="124"/>
  <c r="AQ364" i="124"/>
  <c r="AR364" i="124" s="1"/>
  <c r="AO364" i="124"/>
  <c r="AP364" i="124" s="1"/>
  <c r="AM364" i="124"/>
  <c r="AN364" i="124" s="1"/>
  <c r="AK364" i="124"/>
  <c r="AL364" i="124" s="1"/>
  <c r="AQ365" i="124"/>
  <c r="AR365" i="124" s="1"/>
  <c r="AO365" i="124"/>
  <c r="AP365" i="124" s="1"/>
  <c r="AM365" i="124"/>
  <c r="AN365" i="124" s="1"/>
  <c r="AK365" i="124"/>
  <c r="AL365" i="124" s="1"/>
  <c r="W368" i="124"/>
  <c r="X368" i="124" s="1"/>
  <c r="U368" i="124"/>
  <c r="V368" i="124" s="1"/>
  <c r="S368" i="124"/>
  <c r="T368" i="124" s="1"/>
  <c r="Q368" i="124"/>
  <c r="AQ368" i="124"/>
  <c r="AR368" i="124" s="1"/>
  <c r="AO368" i="124"/>
  <c r="AP368" i="124" s="1"/>
  <c r="AM368" i="124"/>
  <c r="AN368" i="124" s="1"/>
  <c r="AK368" i="124"/>
  <c r="AL368" i="124" s="1"/>
  <c r="AQ369" i="124"/>
  <c r="AR369" i="124" s="1"/>
  <c r="AO369" i="124"/>
  <c r="AP369" i="124" s="1"/>
  <c r="AM369" i="124"/>
  <c r="AN369" i="124" s="1"/>
  <c r="AK369" i="124"/>
  <c r="AL369" i="124" s="1"/>
  <c r="P341" i="124"/>
  <c r="AJ341" i="124"/>
  <c r="P342" i="124"/>
  <c r="AJ342" i="124"/>
  <c r="P343" i="124"/>
  <c r="AJ343" i="124"/>
  <c r="P344" i="124"/>
  <c r="AJ344" i="124"/>
  <c r="P345" i="124"/>
  <c r="AJ345" i="124"/>
  <c r="P346" i="124"/>
  <c r="AJ346" i="124"/>
  <c r="P347" i="124"/>
  <c r="AJ347" i="124"/>
  <c r="P348" i="124"/>
  <c r="AJ348" i="124"/>
  <c r="P349" i="124"/>
  <c r="AJ349" i="124"/>
  <c r="P350" i="124"/>
  <c r="AJ350" i="124"/>
  <c r="P351" i="124"/>
  <c r="AJ351" i="124"/>
  <c r="P352" i="124"/>
  <c r="AJ352" i="124"/>
  <c r="P353" i="124"/>
  <c r="AJ353" i="124"/>
  <c r="O354" i="124"/>
  <c r="AC354" i="124"/>
  <c r="AD354" i="124" s="1"/>
  <c r="AA355" i="124"/>
  <c r="AB355" i="124" s="1"/>
  <c r="AE355" i="124"/>
  <c r="AF355" i="124" s="1"/>
  <c r="O356" i="124"/>
  <c r="AC356" i="124"/>
  <c r="AD356" i="124" s="1"/>
  <c r="AA357" i="124"/>
  <c r="AB357" i="124" s="1"/>
  <c r="AE357" i="124"/>
  <c r="AF357" i="124" s="1"/>
  <c r="O358" i="124"/>
  <c r="AC358" i="124"/>
  <c r="AD358" i="124" s="1"/>
  <c r="AA359" i="124"/>
  <c r="AB359" i="124" s="1"/>
  <c r="AE359" i="124"/>
  <c r="AF359" i="124" s="1"/>
  <c r="O360" i="124"/>
  <c r="AC360" i="124"/>
  <c r="AD360" i="124" s="1"/>
  <c r="AA361" i="124"/>
  <c r="AB361" i="124" s="1"/>
  <c r="AE361" i="124"/>
  <c r="AF361" i="124" s="1"/>
  <c r="O362" i="124"/>
  <c r="AC362" i="124"/>
  <c r="AD362" i="124" s="1"/>
  <c r="AA363" i="124"/>
  <c r="AB363" i="124" s="1"/>
  <c r="AE363" i="124"/>
  <c r="AF363" i="124" s="1"/>
  <c r="O364" i="124"/>
  <c r="AC364" i="124"/>
  <c r="AD364" i="124" s="1"/>
  <c r="AA365" i="124"/>
  <c r="AB365" i="124" s="1"/>
  <c r="AE365" i="124"/>
  <c r="AF365" i="124" s="1"/>
  <c r="O366" i="124"/>
  <c r="AC366" i="124"/>
  <c r="AD366" i="124" s="1"/>
  <c r="AA367" i="124"/>
  <c r="AB367" i="124" s="1"/>
  <c r="AE367" i="124"/>
  <c r="AF367" i="124" s="1"/>
  <c r="O368" i="124"/>
  <c r="AC368" i="124"/>
  <c r="AD368" i="124" s="1"/>
  <c r="AA369" i="124"/>
  <c r="AB369" i="124" s="1"/>
  <c r="AE369" i="124"/>
  <c r="AF369" i="124" s="1"/>
  <c r="O370" i="124"/>
  <c r="AC370" i="124"/>
  <c r="AD370" i="124" s="1"/>
  <c r="AG370" i="124"/>
  <c r="AH370" i="124" s="1"/>
  <c r="AA371" i="124"/>
  <c r="AB371" i="124" s="1"/>
  <c r="AE371" i="124"/>
  <c r="AF371" i="124" s="1"/>
  <c r="O372" i="124"/>
  <c r="AG372" i="124"/>
  <c r="AH372" i="124" s="1"/>
  <c r="AE372" i="124"/>
  <c r="AF372" i="124" s="1"/>
  <c r="AC372" i="124"/>
  <c r="AD372" i="124" s="1"/>
  <c r="AA372" i="124"/>
  <c r="AB372" i="124" s="1"/>
  <c r="AG373" i="124"/>
  <c r="AH373" i="124" s="1"/>
  <c r="AE373" i="124"/>
  <c r="AF373" i="124" s="1"/>
  <c r="AC373" i="124"/>
  <c r="AD373" i="124" s="1"/>
  <c r="AA373" i="124"/>
  <c r="AB373" i="124" s="1"/>
  <c r="AG374" i="124"/>
  <c r="AH374" i="124" s="1"/>
  <c r="AE374" i="124"/>
  <c r="AF374" i="124" s="1"/>
  <c r="AC374" i="124"/>
  <c r="AD374" i="124" s="1"/>
  <c r="AA374" i="124"/>
  <c r="AB374" i="124" s="1"/>
  <c r="AG375" i="124"/>
  <c r="AH375" i="124" s="1"/>
  <c r="AE375" i="124"/>
  <c r="AF375" i="124" s="1"/>
  <c r="AC375" i="124"/>
  <c r="AD375" i="124" s="1"/>
  <c r="AA375" i="124"/>
  <c r="AB375" i="124" s="1"/>
  <c r="AG376" i="124"/>
  <c r="AH376" i="124" s="1"/>
  <c r="AE376" i="124"/>
  <c r="AF376" i="124" s="1"/>
  <c r="AC376" i="124"/>
  <c r="AD376" i="124" s="1"/>
  <c r="AA376" i="124"/>
  <c r="AB376" i="124" s="1"/>
  <c r="AG377" i="124"/>
  <c r="AH377" i="124" s="1"/>
  <c r="AE377" i="124"/>
  <c r="AF377" i="124" s="1"/>
  <c r="AC377" i="124"/>
  <c r="AD377" i="124" s="1"/>
  <c r="AA377" i="124"/>
  <c r="AB377" i="124" s="1"/>
  <c r="AG378" i="124"/>
  <c r="AH378" i="124" s="1"/>
  <c r="AE378" i="124"/>
  <c r="AF378" i="124" s="1"/>
  <c r="AC378" i="124"/>
  <c r="AD378" i="124" s="1"/>
  <c r="AA378" i="124"/>
  <c r="AB378" i="124" s="1"/>
  <c r="AG379" i="124"/>
  <c r="AH379" i="124" s="1"/>
  <c r="AE379" i="124"/>
  <c r="AF379" i="124" s="1"/>
  <c r="AC379" i="124"/>
  <c r="AD379" i="124" s="1"/>
  <c r="AA379" i="124"/>
  <c r="AB379" i="124" s="1"/>
  <c r="AG380" i="124"/>
  <c r="AH380" i="124" s="1"/>
  <c r="AE380" i="124"/>
  <c r="AF380" i="124" s="1"/>
  <c r="AC380" i="124"/>
  <c r="AD380" i="124" s="1"/>
  <c r="AA380" i="124"/>
  <c r="AB380" i="124" s="1"/>
  <c r="AG381" i="124"/>
  <c r="AH381" i="124" s="1"/>
  <c r="AE381" i="124"/>
  <c r="AF381" i="124" s="1"/>
  <c r="AC381" i="124"/>
  <c r="AD381" i="124" s="1"/>
  <c r="AA381" i="124"/>
  <c r="AB381" i="124" s="1"/>
  <c r="AG382" i="124"/>
  <c r="AH382" i="124" s="1"/>
  <c r="AE382" i="124"/>
  <c r="AF382" i="124" s="1"/>
  <c r="AC382" i="124"/>
  <c r="AD382" i="124" s="1"/>
  <c r="AA382" i="124"/>
  <c r="AB382" i="124" s="1"/>
  <c r="AG383" i="124"/>
  <c r="AH383" i="124" s="1"/>
  <c r="AE383" i="124"/>
  <c r="AF383" i="124" s="1"/>
  <c r="AC383" i="124"/>
  <c r="AD383" i="124" s="1"/>
  <c r="AA383" i="124"/>
  <c r="AB383" i="124" s="1"/>
  <c r="AG384" i="124"/>
  <c r="AH384" i="124" s="1"/>
  <c r="AE384" i="124"/>
  <c r="AF384" i="124" s="1"/>
  <c r="AC384" i="124"/>
  <c r="AD384" i="124" s="1"/>
  <c r="AA384" i="124"/>
  <c r="AB384" i="124" s="1"/>
  <c r="AG385" i="124"/>
  <c r="AH385" i="124" s="1"/>
  <c r="AE385" i="124"/>
  <c r="AF385" i="124" s="1"/>
  <c r="AC385" i="124"/>
  <c r="AD385" i="124" s="1"/>
  <c r="AA385" i="124"/>
  <c r="AB385" i="124" s="1"/>
  <c r="AG386" i="124"/>
  <c r="AH386" i="124" s="1"/>
  <c r="AE386" i="124"/>
  <c r="AF386" i="124" s="1"/>
  <c r="AC386" i="124"/>
  <c r="AD386" i="124" s="1"/>
  <c r="AA386" i="124"/>
  <c r="AB386" i="124" s="1"/>
  <c r="AG387" i="124"/>
  <c r="AH387" i="124" s="1"/>
  <c r="AE387" i="124"/>
  <c r="AF387" i="124" s="1"/>
  <c r="AC387" i="124"/>
  <c r="AD387" i="124" s="1"/>
  <c r="AA387" i="124"/>
  <c r="AB387" i="124" s="1"/>
  <c r="W390" i="124"/>
  <c r="X390" i="124" s="1"/>
  <c r="U390" i="124"/>
  <c r="V390" i="124" s="1"/>
  <c r="S390" i="124"/>
  <c r="T390" i="124" s="1"/>
  <c r="Q390" i="124"/>
  <c r="AQ390" i="124"/>
  <c r="AR390" i="124" s="1"/>
  <c r="AO390" i="124"/>
  <c r="AP390" i="124" s="1"/>
  <c r="AM390" i="124"/>
  <c r="AN390" i="124" s="1"/>
  <c r="AK390" i="124"/>
  <c r="AL390" i="124" s="1"/>
  <c r="AQ391" i="124"/>
  <c r="AR391" i="124" s="1"/>
  <c r="AO391" i="124"/>
  <c r="AP391" i="124" s="1"/>
  <c r="AM391" i="124"/>
  <c r="AN391" i="124" s="1"/>
  <c r="AK391" i="124"/>
  <c r="AL391" i="124" s="1"/>
  <c r="W394" i="124"/>
  <c r="X394" i="124" s="1"/>
  <c r="U394" i="124"/>
  <c r="V394" i="124" s="1"/>
  <c r="S394" i="124"/>
  <c r="T394" i="124" s="1"/>
  <c r="Q394" i="124"/>
  <c r="AQ394" i="124"/>
  <c r="AR394" i="124" s="1"/>
  <c r="AO394" i="124"/>
  <c r="AP394" i="124" s="1"/>
  <c r="AM394" i="124"/>
  <c r="AN394" i="124" s="1"/>
  <c r="AK394" i="124"/>
  <c r="AL394" i="124" s="1"/>
  <c r="AQ395" i="124"/>
  <c r="AR395" i="124" s="1"/>
  <c r="AO395" i="124"/>
  <c r="AP395" i="124" s="1"/>
  <c r="AM395" i="124"/>
  <c r="AN395" i="124" s="1"/>
  <c r="AK395" i="124"/>
  <c r="AL395" i="124" s="1"/>
  <c r="W355" i="124"/>
  <c r="X355" i="124" s="1"/>
  <c r="AY355" i="124" s="1"/>
  <c r="U355" i="124"/>
  <c r="V355" i="124" s="1"/>
  <c r="AX355" i="124" s="1"/>
  <c r="S355" i="124"/>
  <c r="T355" i="124" s="1"/>
  <c r="Q355" i="124"/>
  <c r="AC355" i="124"/>
  <c r="AD355" i="124" s="1"/>
  <c r="W357" i="124"/>
  <c r="X357" i="124" s="1"/>
  <c r="AY357" i="124" s="1"/>
  <c r="U357" i="124"/>
  <c r="V357" i="124" s="1"/>
  <c r="S357" i="124"/>
  <c r="T357" i="124" s="1"/>
  <c r="Q357" i="124"/>
  <c r="AC357" i="124"/>
  <c r="AD357" i="124" s="1"/>
  <c r="W359" i="124"/>
  <c r="X359" i="124" s="1"/>
  <c r="AY359" i="124" s="1"/>
  <c r="U359" i="124"/>
  <c r="V359" i="124" s="1"/>
  <c r="AX359" i="124" s="1"/>
  <c r="S359" i="124"/>
  <c r="T359" i="124" s="1"/>
  <c r="Q359" i="124"/>
  <c r="AC359" i="124"/>
  <c r="AD359" i="124" s="1"/>
  <c r="W361" i="124"/>
  <c r="X361" i="124" s="1"/>
  <c r="AY361" i="124" s="1"/>
  <c r="U361" i="124"/>
  <c r="V361" i="124" s="1"/>
  <c r="S361" i="124"/>
  <c r="T361" i="124" s="1"/>
  <c r="Q361" i="124"/>
  <c r="AC361" i="124"/>
  <c r="AD361" i="124" s="1"/>
  <c r="W363" i="124"/>
  <c r="X363" i="124" s="1"/>
  <c r="AY363" i="124" s="1"/>
  <c r="U363" i="124"/>
  <c r="V363" i="124" s="1"/>
  <c r="AX363" i="124" s="1"/>
  <c r="S363" i="124"/>
  <c r="T363" i="124" s="1"/>
  <c r="Q363" i="124"/>
  <c r="AC363" i="124"/>
  <c r="AD363" i="124" s="1"/>
  <c r="W365" i="124"/>
  <c r="X365" i="124" s="1"/>
  <c r="AY365" i="124" s="1"/>
  <c r="U365" i="124"/>
  <c r="V365" i="124" s="1"/>
  <c r="S365" i="124"/>
  <c r="T365" i="124" s="1"/>
  <c r="Q365" i="124"/>
  <c r="AC365" i="124"/>
  <c r="AD365" i="124" s="1"/>
  <c r="W367" i="124"/>
  <c r="X367" i="124" s="1"/>
  <c r="AY367" i="124" s="1"/>
  <c r="U367" i="124"/>
  <c r="V367" i="124" s="1"/>
  <c r="AX367" i="124" s="1"/>
  <c r="S367" i="124"/>
  <c r="T367" i="124" s="1"/>
  <c r="Q367" i="124"/>
  <c r="AC367" i="124"/>
  <c r="AD367" i="124" s="1"/>
  <c r="W369" i="124"/>
  <c r="X369" i="124" s="1"/>
  <c r="AY369" i="124" s="1"/>
  <c r="U369" i="124"/>
  <c r="V369" i="124" s="1"/>
  <c r="S369" i="124"/>
  <c r="T369" i="124" s="1"/>
  <c r="Q369" i="124"/>
  <c r="AC369" i="124"/>
  <c r="AD369" i="124" s="1"/>
  <c r="AA370" i="124"/>
  <c r="AB370" i="124" s="1"/>
  <c r="O371" i="124"/>
  <c r="W371" i="124"/>
  <c r="X371" i="124" s="1"/>
  <c r="AY371" i="124" s="1"/>
  <c r="U371" i="124"/>
  <c r="V371" i="124" s="1"/>
  <c r="AX371" i="124" s="1"/>
  <c r="S371" i="124"/>
  <c r="T371" i="124" s="1"/>
  <c r="Q371" i="124"/>
  <c r="AC371" i="124"/>
  <c r="AD371" i="124" s="1"/>
  <c r="W372" i="124"/>
  <c r="X372" i="124" s="1"/>
  <c r="U372" i="124"/>
  <c r="V372" i="124" s="1"/>
  <c r="S372" i="124"/>
  <c r="T372" i="124" s="1"/>
  <c r="Q372" i="124"/>
  <c r="AQ372" i="124"/>
  <c r="AR372" i="124" s="1"/>
  <c r="AO372" i="124"/>
  <c r="AP372" i="124" s="1"/>
  <c r="AM372" i="124"/>
  <c r="AN372" i="124" s="1"/>
  <c r="AK372" i="124"/>
  <c r="AL372" i="124" s="1"/>
  <c r="W373" i="124"/>
  <c r="X373" i="124" s="1"/>
  <c r="U373" i="124"/>
  <c r="V373" i="124" s="1"/>
  <c r="S373" i="124"/>
  <c r="T373" i="124" s="1"/>
  <c r="Q373" i="124"/>
  <c r="AQ373" i="124"/>
  <c r="AR373" i="124" s="1"/>
  <c r="AO373" i="124"/>
  <c r="AP373" i="124" s="1"/>
  <c r="AM373" i="124"/>
  <c r="AN373" i="124" s="1"/>
  <c r="AK373" i="124"/>
  <c r="AL373" i="124" s="1"/>
  <c r="W374" i="124"/>
  <c r="X374" i="124" s="1"/>
  <c r="U374" i="124"/>
  <c r="V374" i="124" s="1"/>
  <c r="S374" i="124"/>
  <c r="T374" i="124" s="1"/>
  <c r="Q374" i="124"/>
  <c r="AQ374" i="124"/>
  <c r="AR374" i="124" s="1"/>
  <c r="AO374" i="124"/>
  <c r="AP374" i="124" s="1"/>
  <c r="AM374" i="124"/>
  <c r="AN374" i="124" s="1"/>
  <c r="AK374" i="124"/>
  <c r="AL374" i="124" s="1"/>
  <c r="W375" i="124"/>
  <c r="X375" i="124" s="1"/>
  <c r="U375" i="124"/>
  <c r="V375" i="124" s="1"/>
  <c r="S375" i="124"/>
  <c r="T375" i="124" s="1"/>
  <c r="Q375" i="124"/>
  <c r="AQ375" i="124"/>
  <c r="AR375" i="124" s="1"/>
  <c r="AO375" i="124"/>
  <c r="AP375" i="124" s="1"/>
  <c r="AM375" i="124"/>
  <c r="AN375" i="124" s="1"/>
  <c r="AK375" i="124"/>
  <c r="AL375" i="124" s="1"/>
  <c r="W376" i="124"/>
  <c r="X376" i="124" s="1"/>
  <c r="U376" i="124"/>
  <c r="V376" i="124" s="1"/>
  <c r="S376" i="124"/>
  <c r="T376" i="124" s="1"/>
  <c r="Q376" i="124"/>
  <c r="AQ376" i="124"/>
  <c r="AR376" i="124" s="1"/>
  <c r="AO376" i="124"/>
  <c r="AP376" i="124" s="1"/>
  <c r="AM376" i="124"/>
  <c r="AN376" i="124" s="1"/>
  <c r="AK376" i="124"/>
  <c r="AL376" i="124" s="1"/>
  <c r="W377" i="124"/>
  <c r="X377" i="124" s="1"/>
  <c r="U377" i="124"/>
  <c r="V377" i="124" s="1"/>
  <c r="S377" i="124"/>
  <c r="T377" i="124" s="1"/>
  <c r="Q377" i="124"/>
  <c r="AQ377" i="124"/>
  <c r="AR377" i="124" s="1"/>
  <c r="AO377" i="124"/>
  <c r="AP377" i="124" s="1"/>
  <c r="AM377" i="124"/>
  <c r="AN377" i="124" s="1"/>
  <c r="AK377" i="124"/>
  <c r="AL377" i="124" s="1"/>
  <c r="W378" i="124"/>
  <c r="X378" i="124" s="1"/>
  <c r="U378" i="124"/>
  <c r="V378" i="124" s="1"/>
  <c r="S378" i="124"/>
  <c r="T378" i="124" s="1"/>
  <c r="Q378" i="124"/>
  <c r="AQ378" i="124"/>
  <c r="AR378" i="124" s="1"/>
  <c r="AO378" i="124"/>
  <c r="AP378" i="124" s="1"/>
  <c r="AM378" i="124"/>
  <c r="AN378" i="124" s="1"/>
  <c r="AK378" i="124"/>
  <c r="AL378" i="124" s="1"/>
  <c r="W379" i="124"/>
  <c r="X379" i="124" s="1"/>
  <c r="U379" i="124"/>
  <c r="V379" i="124" s="1"/>
  <c r="S379" i="124"/>
  <c r="T379" i="124" s="1"/>
  <c r="Q379" i="124"/>
  <c r="AQ379" i="124"/>
  <c r="AR379" i="124" s="1"/>
  <c r="AO379" i="124"/>
  <c r="AP379" i="124" s="1"/>
  <c r="AM379" i="124"/>
  <c r="AN379" i="124" s="1"/>
  <c r="AK379" i="124"/>
  <c r="AL379" i="124" s="1"/>
  <c r="W380" i="124"/>
  <c r="X380" i="124" s="1"/>
  <c r="U380" i="124"/>
  <c r="V380" i="124" s="1"/>
  <c r="S380" i="124"/>
  <c r="T380" i="124" s="1"/>
  <c r="Q380" i="124"/>
  <c r="AQ380" i="124"/>
  <c r="AR380" i="124" s="1"/>
  <c r="AO380" i="124"/>
  <c r="AP380" i="124" s="1"/>
  <c r="AM380" i="124"/>
  <c r="AN380" i="124" s="1"/>
  <c r="AK380" i="124"/>
  <c r="AL380" i="124" s="1"/>
  <c r="W381" i="124"/>
  <c r="X381" i="124" s="1"/>
  <c r="U381" i="124"/>
  <c r="V381" i="124" s="1"/>
  <c r="S381" i="124"/>
  <c r="T381" i="124" s="1"/>
  <c r="Q381" i="124"/>
  <c r="AQ381" i="124"/>
  <c r="AR381" i="124" s="1"/>
  <c r="AO381" i="124"/>
  <c r="AP381" i="124" s="1"/>
  <c r="AM381" i="124"/>
  <c r="AN381" i="124" s="1"/>
  <c r="AK381" i="124"/>
  <c r="AL381" i="124" s="1"/>
  <c r="W382" i="124"/>
  <c r="X382" i="124" s="1"/>
  <c r="U382" i="124"/>
  <c r="V382" i="124" s="1"/>
  <c r="S382" i="124"/>
  <c r="T382" i="124" s="1"/>
  <c r="Q382" i="124"/>
  <c r="AQ382" i="124"/>
  <c r="AR382" i="124" s="1"/>
  <c r="AO382" i="124"/>
  <c r="AP382" i="124" s="1"/>
  <c r="AM382" i="124"/>
  <c r="AN382" i="124" s="1"/>
  <c r="AK382" i="124"/>
  <c r="AL382" i="124" s="1"/>
  <c r="W383" i="124"/>
  <c r="X383" i="124" s="1"/>
  <c r="U383" i="124"/>
  <c r="V383" i="124" s="1"/>
  <c r="S383" i="124"/>
  <c r="T383" i="124" s="1"/>
  <c r="Q383" i="124"/>
  <c r="AQ383" i="124"/>
  <c r="AR383" i="124" s="1"/>
  <c r="AO383" i="124"/>
  <c r="AP383" i="124" s="1"/>
  <c r="AM383" i="124"/>
  <c r="AN383" i="124" s="1"/>
  <c r="AK383" i="124"/>
  <c r="AL383" i="124" s="1"/>
  <c r="W384" i="124"/>
  <c r="X384" i="124" s="1"/>
  <c r="U384" i="124"/>
  <c r="V384" i="124" s="1"/>
  <c r="S384" i="124"/>
  <c r="T384" i="124" s="1"/>
  <c r="Q384" i="124"/>
  <c r="AQ384" i="124"/>
  <c r="AR384" i="124" s="1"/>
  <c r="AO384" i="124"/>
  <c r="AP384" i="124" s="1"/>
  <c r="AM384" i="124"/>
  <c r="AN384" i="124" s="1"/>
  <c r="AK384" i="124"/>
  <c r="AL384" i="124" s="1"/>
  <c r="W385" i="124"/>
  <c r="X385" i="124" s="1"/>
  <c r="U385" i="124"/>
  <c r="V385" i="124" s="1"/>
  <c r="S385" i="124"/>
  <c r="T385" i="124" s="1"/>
  <c r="Q385" i="124"/>
  <c r="AQ385" i="124"/>
  <c r="AR385" i="124" s="1"/>
  <c r="AO385" i="124"/>
  <c r="AP385" i="124" s="1"/>
  <c r="AM385" i="124"/>
  <c r="AN385" i="124" s="1"/>
  <c r="AK385" i="124"/>
  <c r="AL385" i="124" s="1"/>
  <c r="W386" i="124"/>
  <c r="X386" i="124" s="1"/>
  <c r="U386" i="124"/>
  <c r="V386" i="124" s="1"/>
  <c r="S386" i="124"/>
  <c r="T386" i="124" s="1"/>
  <c r="Q386" i="124"/>
  <c r="AQ386" i="124"/>
  <c r="AR386" i="124" s="1"/>
  <c r="AO386" i="124"/>
  <c r="AP386" i="124" s="1"/>
  <c r="AM386" i="124"/>
  <c r="AN386" i="124" s="1"/>
  <c r="AK386" i="124"/>
  <c r="AL386" i="124" s="1"/>
  <c r="W387" i="124"/>
  <c r="X387" i="124" s="1"/>
  <c r="U387" i="124"/>
  <c r="V387" i="124" s="1"/>
  <c r="S387" i="124"/>
  <c r="T387" i="124" s="1"/>
  <c r="Q387" i="124"/>
  <c r="AQ387" i="124"/>
  <c r="AR387" i="124" s="1"/>
  <c r="AO387" i="124"/>
  <c r="AP387" i="124" s="1"/>
  <c r="AM387" i="124"/>
  <c r="AN387" i="124" s="1"/>
  <c r="AK387" i="124"/>
  <c r="AL387" i="124" s="1"/>
  <c r="W388" i="124"/>
  <c r="X388" i="124" s="1"/>
  <c r="U388" i="124"/>
  <c r="V388" i="124" s="1"/>
  <c r="S388" i="124"/>
  <c r="T388" i="124" s="1"/>
  <c r="Q388" i="124"/>
  <c r="AQ388" i="124"/>
  <c r="AR388" i="124" s="1"/>
  <c r="AO388" i="124"/>
  <c r="AP388" i="124" s="1"/>
  <c r="AM388" i="124"/>
  <c r="AN388" i="124" s="1"/>
  <c r="AK388" i="124"/>
  <c r="AL388" i="124" s="1"/>
  <c r="AQ389" i="124"/>
  <c r="AR389" i="124" s="1"/>
  <c r="AO389" i="124"/>
  <c r="AP389" i="124" s="1"/>
  <c r="AM389" i="124"/>
  <c r="AN389" i="124" s="1"/>
  <c r="AK389" i="124"/>
  <c r="AL389" i="124" s="1"/>
  <c r="W392" i="124"/>
  <c r="X392" i="124" s="1"/>
  <c r="U392" i="124"/>
  <c r="V392" i="124" s="1"/>
  <c r="S392" i="124"/>
  <c r="T392" i="124" s="1"/>
  <c r="Q392" i="124"/>
  <c r="AQ392" i="124"/>
  <c r="AR392" i="124" s="1"/>
  <c r="AO392" i="124"/>
  <c r="AP392" i="124" s="1"/>
  <c r="AM392" i="124"/>
  <c r="AN392" i="124" s="1"/>
  <c r="AK392" i="124"/>
  <c r="AL392" i="124" s="1"/>
  <c r="AQ393" i="124"/>
  <c r="AR393" i="124" s="1"/>
  <c r="AO393" i="124"/>
  <c r="AP393" i="124" s="1"/>
  <c r="AM393" i="124"/>
  <c r="AN393" i="124" s="1"/>
  <c r="AK393" i="124"/>
  <c r="AL393" i="124" s="1"/>
  <c r="W396" i="124"/>
  <c r="X396" i="124" s="1"/>
  <c r="U396" i="124"/>
  <c r="V396" i="124" s="1"/>
  <c r="S396" i="124"/>
  <c r="T396" i="124" s="1"/>
  <c r="Q396" i="124"/>
  <c r="AQ396" i="124"/>
  <c r="AR396" i="124" s="1"/>
  <c r="AO396" i="124"/>
  <c r="AP396" i="124" s="1"/>
  <c r="AM396" i="124"/>
  <c r="AN396" i="124" s="1"/>
  <c r="AK396" i="124"/>
  <c r="AL396" i="124" s="1"/>
  <c r="AQ397" i="124"/>
  <c r="AR397" i="124" s="1"/>
  <c r="AO397" i="124"/>
  <c r="AP397" i="124" s="1"/>
  <c r="AM397" i="124"/>
  <c r="AN397" i="124" s="1"/>
  <c r="AK397" i="124"/>
  <c r="AL397" i="124" s="1"/>
  <c r="W389" i="124"/>
  <c r="X389" i="124" s="1"/>
  <c r="U389" i="124"/>
  <c r="V389" i="124" s="1"/>
  <c r="AX389" i="124" s="1"/>
  <c r="S389" i="124"/>
  <c r="T389" i="124" s="1"/>
  <c r="Q389" i="124"/>
  <c r="AC389" i="124"/>
  <c r="AD389" i="124" s="1"/>
  <c r="AG389" i="124"/>
  <c r="AH389" i="124" s="1"/>
  <c r="W391" i="124"/>
  <c r="X391" i="124" s="1"/>
  <c r="U391" i="124"/>
  <c r="V391" i="124" s="1"/>
  <c r="S391" i="124"/>
  <c r="T391" i="124" s="1"/>
  <c r="Q391" i="124"/>
  <c r="AC391" i="124"/>
  <c r="AD391" i="124" s="1"/>
  <c r="AG391" i="124"/>
  <c r="AH391" i="124" s="1"/>
  <c r="W393" i="124"/>
  <c r="X393" i="124" s="1"/>
  <c r="U393" i="124"/>
  <c r="V393" i="124" s="1"/>
  <c r="AX393" i="124" s="1"/>
  <c r="S393" i="124"/>
  <c r="T393" i="124" s="1"/>
  <c r="Q393" i="124"/>
  <c r="AC393" i="124"/>
  <c r="AD393" i="124" s="1"/>
  <c r="AG393" i="124"/>
  <c r="AH393" i="124" s="1"/>
  <c r="W395" i="124"/>
  <c r="X395" i="124" s="1"/>
  <c r="U395" i="124"/>
  <c r="V395" i="124" s="1"/>
  <c r="S395" i="124"/>
  <c r="T395" i="124" s="1"/>
  <c r="Q395" i="124"/>
  <c r="AC395" i="124"/>
  <c r="AD395" i="124" s="1"/>
  <c r="AG395" i="124"/>
  <c r="AH395" i="124" s="1"/>
  <c r="W397" i="124"/>
  <c r="X397" i="124" s="1"/>
  <c r="U397" i="124"/>
  <c r="V397" i="124" s="1"/>
  <c r="AX397" i="124" s="1"/>
  <c r="S397" i="124"/>
  <c r="T397" i="124" s="1"/>
  <c r="Q397" i="124"/>
  <c r="AC397" i="124"/>
  <c r="AD397" i="124" s="1"/>
  <c r="AG397" i="124"/>
  <c r="AH397" i="124" s="1"/>
  <c r="W398" i="124"/>
  <c r="X398" i="124" s="1"/>
  <c r="U398" i="124"/>
  <c r="V398" i="124" s="1"/>
  <c r="S398" i="124"/>
  <c r="T398" i="124" s="1"/>
  <c r="Q398" i="124"/>
  <c r="AQ398" i="124"/>
  <c r="AR398" i="124" s="1"/>
  <c r="AO398" i="124"/>
  <c r="AP398" i="124" s="1"/>
  <c r="AM398" i="124"/>
  <c r="AN398" i="124" s="1"/>
  <c r="AK398" i="124"/>
  <c r="AL398" i="124" s="1"/>
  <c r="W399" i="124"/>
  <c r="X399" i="124" s="1"/>
  <c r="U399" i="124"/>
  <c r="V399" i="124" s="1"/>
  <c r="S399" i="124"/>
  <c r="T399" i="124" s="1"/>
  <c r="Q399" i="124"/>
  <c r="AQ399" i="124"/>
  <c r="AR399" i="124" s="1"/>
  <c r="AO399" i="124"/>
  <c r="AP399" i="124" s="1"/>
  <c r="AM399" i="124"/>
  <c r="AN399" i="124" s="1"/>
  <c r="AK399" i="124"/>
  <c r="AL399" i="124" s="1"/>
  <c r="W400" i="124"/>
  <c r="X400" i="124" s="1"/>
  <c r="U400" i="124"/>
  <c r="V400" i="124" s="1"/>
  <c r="S400" i="124"/>
  <c r="T400" i="124" s="1"/>
  <c r="Q400" i="124"/>
  <c r="AQ400" i="124"/>
  <c r="AR400" i="124" s="1"/>
  <c r="AO400" i="124"/>
  <c r="AP400" i="124" s="1"/>
  <c r="AM400" i="124"/>
  <c r="AN400" i="124" s="1"/>
  <c r="AK400" i="124"/>
  <c r="AL400" i="124" s="1"/>
  <c r="W401" i="124"/>
  <c r="X401" i="124" s="1"/>
  <c r="U401" i="124"/>
  <c r="V401" i="124" s="1"/>
  <c r="S401" i="124"/>
  <c r="T401" i="124" s="1"/>
  <c r="Q401" i="124"/>
  <c r="AQ401" i="124"/>
  <c r="AR401" i="124" s="1"/>
  <c r="AO401" i="124"/>
  <c r="AP401" i="124" s="1"/>
  <c r="AM401" i="124"/>
  <c r="AN401" i="124" s="1"/>
  <c r="AK401" i="124"/>
  <c r="AL401" i="124" s="1"/>
  <c r="W130" i="124"/>
  <c r="X130" i="124" s="1"/>
  <c r="U130" i="124"/>
  <c r="V130" i="124" s="1"/>
  <c r="S130" i="124"/>
  <c r="T130" i="124" s="1"/>
  <c r="Q130" i="124"/>
  <c r="AQ130" i="124"/>
  <c r="AR130" i="124" s="1"/>
  <c r="AO130" i="124"/>
  <c r="AP130" i="124" s="1"/>
  <c r="AM130" i="124"/>
  <c r="AN130" i="124" s="1"/>
  <c r="AK130" i="124"/>
  <c r="AL130" i="124" s="1"/>
  <c r="W403" i="124"/>
  <c r="X403" i="124" s="1"/>
  <c r="U403" i="124"/>
  <c r="V403" i="124" s="1"/>
  <c r="S403" i="124"/>
  <c r="T403" i="124" s="1"/>
  <c r="Q403" i="124"/>
  <c r="AQ403" i="124"/>
  <c r="AR403" i="124" s="1"/>
  <c r="AO403" i="124"/>
  <c r="AP403" i="124" s="1"/>
  <c r="AM403" i="124"/>
  <c r="AN403" i="124" s="1"/>
  <c r="AK403" i="124"/>
  <c r="AL403" i="124" s="1"/>
  <c r="W404" i="124"/>
  <c r="X404" i="124" s="1"/>
  <c r="U404" i="124"/>
  <c r="V404" i="124" s="1"/>
  <c r="S404" i="124"/>
  <c r="T404" i="124" s="1"/>
  <c r="Q404" i="124"/>
  <c r="AQ404" i="124"/>
  <c r="AR404" i="124" s="1"/>
  <c r="AO404" i="124"/>
  <c r="AP404" i="124" s="1"/>
  <c r="AM404" i="124"/>
  <c r="AN404" i="124" s="1"/>
  <c r="AK404" i="124"/>
  <c r="AL404" i="124" s="1"/>
  <c r="W131" i="124"/>
  <c r="X131" i="124" s="1"/>
  <c r="U131" i="124"/>
  <c r="V131" i="124" s="1"/>
  <c r="S131" i="124"/>
  <c r="T131" i="124" s="1"/>
  <c r="Q131" i="124"/>
  <c r="AQ131" i="124"/>
  <c r="AR131" i="124" s="1"/>
  <c r="AO131" i="124"/>
  <c r="AP131" i="124" s="1"/>
  <c r="AM131" i="124"/>
  <c r="AN131" i="124" s="1"/>
  <c r="AK131" i="124"/>
  <c r="AL131" i="124" s="1"/>
  <c r="W406" i="124"/>
  <c r="X406" i="124" s="1"/>
  <c r="U406" i="124"/>
  <c r="V406" i="124" s="1"/>
  <c r="S406" i="124"/>
  <c r="T406" i="124" s="1"/>
  <c r="Q406" i="124"/>
  <c r="AQ406" i="124"/>
  <c r="AR406" i="124" s="1"/>
  <c r="AO406" i="124"/>
  <c r="AP406" i="124" s="1"/>
  <c r="AM406" i="124"/>
  <c r="AN406" i="124" s="1"/>
  <c r="AK406" i="124"/>
  <c r="AL406" i="124" s="1"/>
  <c r="W162" i="124"/>
  <c r="X162" i="124" s="1"/>
  <c r="U162" i="124"/>
  <c r="V162" i="124" s="1"/>
  <c r="S162" i="124"/>
  <c r="T162" i="124" s="1"/>
  <c r="Q162" i="124"/>
  <c r="AQ162" i="124"/>
  <c r="AR162" i="124" s="1"/>
  <c r="AO162" i="124"/>
  <c r="AP162" i="124" s="1"/>
  <c r="AM162" i="124"/>
  <c r="AN162" i="124" s="1"/>
  <c r="AK162" i="124"/>
  <c r="AL162" i="124" s="1"/>
  <c r="W408" i="124"/>
  <c r="X408" i="124" s="1"/>
  <c r="U408" i="124"/>
  <c r="V408" i="124" s="1"/>
  <c r="S408" i="124"/>
  <c r="T408" i="124" s="1"/>
  <c r="Q408" i="124"/>
  <c r="AQ408" i="124"/>
  <c r="AR408" i="124" s="1"/>
  <c r="AO408" i="124"/>
  <c r="AP408" i="124" s="1"/>
  <c r="AM408" i="124"/>
  <c r="AN408" i="124" s="1"/>
  <c r="AK408" i="124"/>
  <c r="AL408" i="124" s="1"/>
  <c r="W409" i="124"/>
  <c r="X409" i="124" s="1"/>
  <c r="U409" i="124"/>
  <c r="V409" i="124" s="1"/>
  <c r="S409" i="124"/>
  <c r="T409" i="124" s="1"/>
  <c r="Q409" i="124"/>
  <c r="AQ409" i="124"/>
  <c r="AR409" i="124" s="1"/>
  <c r="AO409" i="124"/>
  <c r="AP409" i="124" s="1"/>
  <c r="AM409" i="124"/>
  <c r="AN409" i="124" s="1"/>
  <c r="AK409" i="124"/>
  <c r="AL409" i="124" s="1"/>
  <c r="W410" i="124"/>
  <c r="X410" i="124" s="1"/>
  <c r="U410" i="124"/>
  <c r="V410" i="124" s="1"/>
  <c r="S410" i="124"/>
  <c r="T410" i="124" s="1"/>
  <c r="Q410" i="124"/>
  <c r="AQ410" i="124"/>
  <c r="AR410" i="124" s="1"/>
  <c r="AO410" i="124"/>
  <c r="AP410" i="124" s="1"/>
  <c r="AM410" i="124"/>
  <c r="AN410" i="124" s="1"/>
  <c r="AK410" i="124"/>
  <c r="AL410" i="124" s="1"/>
  <c r="W411" i="124"/>
  <c r="X411" i="124" s="1"/>
  <c r="U411" i="124"/>
  <c r="V411" i="124" s="1"/>
  <c r="S411" i="124"/>
  <c r="T411" i="124" s="1"/>
  <c r="Q411" i="124"/>
  <c r="AQ411" i="124"/>
  <c r="AR411" i="124" s="1"/>
  <c r="AO411" i="124"/>
  <c r="AP411" i="124" s="1"/>
  <c r="AM411" i="124"/>
  <c r="AN411" i="124" s="1"/>
  <c r="AK411" i="124"/>
  <c r="AL411" i="124" s="1"/>
  <c r="W412" i="124"/>
  <c r="X412" i="124" s="1"/>
  <c r="U412" i="124"/>
  <c r="V412" i="124" s="1"/>
  <c r="S412" i="124"/>
  <c r="T412" i="124" s="1"/>
  <c r="Q412" i="124"/>
  <c r="AQ412" i="124"/>
  <c r="AR412" i="124" s="1"/>
  <c r="AO412" i="124"/>
  <c r="AP412" i="124" s="1"/>
  <c r="AM412" i="124"/>
  <c r="AN412" i="124" s="1"/>
  <c r="AK412" i="124"/>
  <c r="AL412" i="124" s="1"/>
  <c r="W413" i="124"/>
  <c r="X413" i="124" s="1"/>
  <c r="U413" i="124"/>
  <c r="V413" i="124" s="1"/>
  <c r="S413" i="124"/>
  <c r="T413" i="124" s="1"/>
  <c r="Q413" i="124"/>
  <c r="AQ413" i="124"/>
  <c r="AR413" i="124" s="1"/>
  <c r="AO413" i="124"/>
  <c r="AP413" i="124" s="1"/>
  <c r="AM413" i="124"/>
  <c r="AN413" i="124" s="1"/>
  <c r="AK413" i="124"/>
  <c r="AL413" i="124" s="1"/>
  <c r="AG415" i="124"/>
  <c r="AH415" i="124" s="1"/>
  <c r="AE415" i="124"/>
  <c r="AF415" i="124" s="1"/>
  <c r="AC415" i="124"/>
  <c r="AD415" i="124" s="1"/>
  <c r="AA415" i="124"/>
  <c r="AB415" i="124" s="1"/>
  <c r="AG164" i="124"/>
  <c r="AH164" i="124" s="1"/>
  <c r="AE164" i="124"/>
  <c r="AF164" i="124" s="1"/>
  <c r="AC164" i="124"/>
  <c r="AD164" i="124" s="1"/>
  <c r="AA164" i="124"/>
  <c r="AB164" i="124" s="1"/>
  <c r="O388" i="124"/>
  <c r="AC388" i="124"/>
  <c r="AD388" i="124" s="1"/>
  <c r="AA389" i="124"/>
  <c r="AB389" i="124" s="1"/>
  <c r="O390" i="124"/>
  <c r="AC390" i="124"/>
  <c r="AD390" i="124" s="1"/>
  <c r="AA391" i="124"/>
  <c r="AB391" i="124" s="1"/>
  <c r="O392" i="124"/>
  <c r="AC392" i="124"/>
  <c r="AD392" i="124" s="1"/>
  <c r="AA393" i="124"/>
  <c r="AB393" i="124" s="1"/>
  <c r="O394" i="124"/>
  <c r="AC394" i="124"/>
  <c r="AD394" i="124" s="1"/>
  <c r="AA395" i="124"/>
  <c r="AB395" i="124" s="1"/>
  <c r="O396" i="124"/>
  <c r="AC396" i="124"/>
  <c r="AD396" i="124" s="1"/>
  <c r="AA397" i="124"/>
  <c r="AB397" i="124" s="1"/>
  <c r="O398" i="124"/>
  <c r="AG398" i="124"/>
  <c r="AH398" i="124" s="1"/>
  <c r="AE398" i="124"/>
  <c r="AF398" i="124" s="1"/>
  <c r="AC398" i="124"/>
  <c r="AD398" i="124" s="1"/>
  <c r="AA398" i="124"/>
  <c r="AB398" i="124" s="1"/>
  <c r="AG399" i="124"/>
  <c r="AH399" i="124" s="1"/>
  <c r="AE399" i="124"/>
  <c r="AF399" i="124" s="1"/>
  <c r="AC399" i="124"/>
  <c r="AD399" i="124" s="1"/>
  <c r="AA399" i="124"/>
  <c r="AB399" i="124" s="1"/>
  <c r="AG400" i="124"/>
  <c r="AH400" i="124" s="1"/>
  <c r="AE400" i="124"/>
  <c r="AF400" i="124" s="1"/>
  <c r="AC400" i="124"/>
  <c r="AD400" i="124" s="1"/>
  <c r="AA400" i="124"/>
  <c r="AB400" i="124" s="1"/>
  <c r="AG401" i="124"/>
  <c r="AH401" i="124" s="1"/>
  <c r="AE401" i="124"/>
  <c r="AF401" i="124" s="1"/>
  <c r="AC401" i="124"/>
  <c r="AD401" i="124" s="1"/>
  <c r="AA401" i="124"/>
  <c r="AB401" i="124" s="1"/>
  <c r="AG130" i="124"/>
  <c r="AH130" i="124" s="1"/>
  <c r="AE130" i="124"/>
  <c r="AF130" i="124" s="1"/>
  <c r="AC130" i="124"/>
  <c r="AD130" i="124" s="1"/>
  <c r="AA130" i="124"/>
  <c r="AB130" i="124" s="1"/>
  <c r="AG403" i="124"/>
  <c r="AH403" i="124" s="1"/>
  <c r="AE403" i="124"/>
  <c r="AF403" i="124" s="1"/>
  <c r="AC403" i="124"/>
  <c r="AD403" i="124" s="1"/>
  <c r="AA403" i="124"/>
  <c r="AB403" i="124" s="1"/>
  <c r="AG404" i="124"/>
  <c r="AH404" i="124" s="1"/>
  <c r="AE404" i="124"/>
  <c r="AF404" i="124" s="1"/>
  <c r="AC404" i="124"/>
  <c r="AD404" i="124" s="1"/>
  <c r="AA404" i="124"/>
  <c r="AB404" i="124" s="1"/>
  <c r="AG131" i="124"/>
  <c r="AH131" i="124" s="1"/>
  <c r="AE131" i="124"/>
  <c r="AF131" i="124" s="1"/>
  <c r="AC131" i="124"/>
  <c r="AD131" i="124" s="1"/>
  <c r="AA131" i="124"/>
  <c r="AB131" i="124" s="1"/>
  <c r="AG406" i="124"/>
  <c r="AH406" i="124" s="1"/>
  <c r="AE406" i="124"/>
  <c r="AF406" i="124" s="1"/>
  <c r="AC406" i="124"/>
  <c r="AD406" i="124" s="1"/>
  <c r="AA406" i="124"/>
  <c r="AB406" i="124" s="1"/>
  <c r="AG162" i="124"/>
  <c r="AH162" i="124" s="1"/>
  <c r="AE162" i="124"/>
  <c r="AF162" i="124" s="1"/>
  <c r="AC162" i="124"/>
  <c r="AD162" i="124" s="1"/>
  <c r="AA162" i="124"/>
  <c r="AB162" i="124" s="1"/>
  <c r="AG408" i="124"/>
  <c r="AH408" i="124" s="1"/>
  <c r="AE408" i="124"/>
  <c r="AF408" i="124" s="1"/>
  <c r="AC408" i="124"/>
  <c r="AD408" i="124" s="1"/>
  <c r="AA408" i="124"/>
  <c r="AB408" i="124" s="1"/>
  <c r="AG409" i="124"/>
  <c r="AH409" i="124" s="1"/>
  <c r="AE409" i="124"/>
  <c r="AF409" i="124" s="1"/>
  <c r="AC409" i="124"/>
  <c r="AD409" i="124" s="1"/>
  <c r="AA409" i="124"/>
  <c r="AB409" i="124" s="1"/>
  <c r="AG410" i="124"/>
  <c r="AH410" i="124" s="1"/>
  <c r="AE410" i="124"/>
  <c r="AF410" i="124" s="1"/>
  <c r="AC410" i="124"/>
  <c r="AD410" i="124" s="1"/>
  <c r="AA410" i="124"/>
  <c r="AB410" i="124" s="1"/>
  <c r="AG411" i="124"/>
  <c r="AH411" i="124" s="1"/>
  <c r="AE411" i="124"/>
  <c r="AF411" i="124" s="1"/>
  <c r="AC411" i="124"/>
  <c r="AD411" i="124" s="1"/>
  <c r="AA411" i="124"/>
  <c r="AB411" i="124" s="1"/>
  <c r="AG412" i="124"/>
  <c r="AH412" i="124" s="1"/>
  <c r="AE412" i="124"/>
  <c r="AF412" i="124" s="1"/>
  <c r="AC412" i="124"/>
  <c r="AD412" i="124" s="1"/>
  <c r="AA412" i="124"/>
  <c r="AB412" i="124" s="1"/>
  <c r="AG413" i="124"/>
  <c r="AH413" i="124" s="1"/>
  <c r="AE413" i="124"/>
  <c r="AF413" i="124" s="1"/>
  <c r="AC413" i="124"/>
  <c r="AD413" i="124" s="1"/>
  <c r="AA413" i="124"/>
  <c r="AB413" i="124" s="1"/>
  <c r="AG417" i="124"/>
  <c r="AH417" i="124" s="1"/>
  <c r="AE417" i="124"/>
  <c r="AF417" i="124" s="1"/>
  <c r="AC417" i="124"/>
  <c r="AD417" i="124" s="1"/>
  <c r="AA417" i="124"/>
  <c r="AB417" i="124" s="1"/>
  <c r="AG421" i="124"/>
  <c r="AH421" i="124" s="1"/>
  <c r="AE421" i="124"/>
  <c r="AF421" i="124" s="1"/>
  <c r="AC421" i="124"/>
  <c r="AD421" i="124" s="1"/>
  <c r="AA421" i="124"/>
  <c r="AB421" i="124" s="1"/>
  <c r="AJ414" i="124"/>
  <c r="P414" i="124"/>
  <c r="AJ416" i="124"/>
  <c r="P416" i="124"/>
  <c r="AJ418" i="124"/>
  <c r="P418" i="124"/>
  <c r="AJ420" i="124"/>
  <c r="P420" i="124"/>
  <c r="AG414" i="124"/>
  <c r="AH414" i="124" s="1"/>
  <c r="AE414" i="124"/>
  <c r="AF414" i="124" s="1"/>
  <c r="AC414" i="124"/>
  <c r="AD414" i="124" s="1"/>
  <c r="AA414" i="124"/>
  <c r="AB414" i="124" s="1"/>
  <c r="AJ415" i="124"/>
  <c r="P415" i="124"/>
  <c r="AG416" i="124"/>
  <c r="AH416" i="124" s="1"/>
  <c r="AE416" i="124"/>
  <c r="AF416" i="124" s="1"/>
  <c r="AC416" i="124"/>
  <c r="AD416" i="124" s="1"/>
  <c r="AA416" i="124"/>
  <c r="AB416" i="124" s="1"/>
  <c r="AJ417" i="124"/>
  <c r="P417" i="124"/>
  <c r="AG418" i="124"/>
  <c r="AH418" i="124" s="1"/>
  <c r="AE418" i="124"/>
  <c r="AF418" i="124" s="1"/>
  <c r="AC418" i="124"/>
  <c r="AD418" i="124" s="1"/>
  <c r="AA418" i="124"/>
  <c r="AB418" i="124" s="1"/>
  <c r="AJ164" i="124"/>
  <c r="P164" i="124"/>
  <c r="AG420" i="124"/>
  <c r="AH420" i="124" s="1"/>
  <c r="AE420" i="124"/>
  <c r="AF420" i="124" s="1"/>
  <c r="AC420" i="124"/>
  <c r="AD420" i="124" s="1"/>
  <c r="AA420" i="124"/>
  <c r="AB420" i="124" s="1"/>
  <c r="AJ421" i="124"/>
  <c r="P421" i="124"/>
  <c r="AG422" i="124"/>
  <c r="AH422" i="124" s="1"/>
  <c r="AE422" i="124"/>
  <c r="AF422" i="124" s="1"/>
  <c r="AC422" i="124"/>
  <c r="AD422" i="124" s="1"/>
  <c r="AA422" i="124"/>
  <c r="AB422" i="124" s="1"/>
  <c r="AG423" i="124"/>
  <c r="AH423" i="124" s="1"/>
  <c r="AE423" i="124"/>
  <c r="AF423" i="124" s="1"/>
  <c r="AC423" i="124"/>
  <c r="AD423" i="124" s="1"/>
  <c r="AA423" i="124"/>
  <c r="AB423" i="124" s="1"/>
  <c r="AG424" i="124"/>
  <c r="AH424" i="124" s="1"/>
  <c r="AE424" i="124"/>
  <c r="AF424" i="124" s="1"/>
  <c r="AC424" i="124"/>
  <c r="AD424" i="124" s="1"/>
  <c r="AA424" i="124"/>
  <c r="AB424" i="124" s="1"/>
  <c r="AG425" i="124"/>
  <c r="AH425" i="124" s="1"/>
  <c r="AE425" i="124"/>
  <c r="AF425" i="124" s="1"/>
  <c r="AC425" i="124"/>
  <c r="AD425" i="124" s="1"/>
  <c r="AA425" i="124"/>
  <c r="AB425" i="124" s="1"/>
  <c r="AG426" i="124"/>
  <c r="AH426" i="124" s="1"/>
  <c r="AE426" i="124"/>
  <c r="AF426" i="124" s="1"/>
  <c r="AC426" i="124"/>
  <c r="AD426" i="124" s="1"/>
  <c r="AA426" i="124"/>
  <c r="AB426" i="124" s="1"/>
  <c r="AG427" i="124"/>
  <c r="AH427" i="124" s="1"/>
  <c r="AE427" i="124"/>
  <c r="AF427" i="124" s="1"/>
  <c r="AC427" i="124"/>
  <c r="AD427" i="124" s="1"/>
  <c r="AA427" i="124"/>
  <c r="AB427" i="124" s="1"/>
  <c r="AG428" i="124"/>
  <c r="AH428" i="124" s="1"/>
  <c r="AE428" i="124"/>
  <c r="AF428" i="124" s="1"/>
  <c r="AC428" i="124"/>
  <c r="AD428" i="124" s="1"/>
  <c r="AA428" i="124"/>
  <c r="AB428" i="124" s="1"/>
  <c r="AG429" i="124"/>
  <c r="AH429" i="124" s="1"/>
  <c r="AE429" i="124"/>
  <c r="AF429" i="124" s="1"/>
  <c r="AC429" i="124"/>
  <c r="AD429" i="124" s="1"/>
  <c r="AA429" i="124"/>
  <c r="AB429" i="124" s="1"/>
  <c r="AG430" i="124"/>
  <c r="AH430" i="124" s="1"/>
  <c r="AE430" i="124"/>
  <c r="AF430" i="124" s="1"/>
  <c r="AC430" i="124"/>
  <c r="AD430" i="124" s="1"/>
  <c r="AA430" i="124"/>
  <c r="AB430" i="124" s="1"/>
  <c r="AG431" i="124"/>
  <c r="AH431" i="124" s="1"/>
  <c r="AE431" i="124"/>
  <c r="AF431" i="124" s="1"/>
  <c r="AC431" i="124"/>
  <c r="AD431" i="124" s="1"/>
  <c r="AA431" i="124"/>
  <c r="AB431" i="124" s="1"/>
  <c r="AG432" i="124"/>
  <c r="AH432" i="124" s="1"/>
  <c r="AE432" i="124"/>
  <c r="AF432" i="124" s="1"/>
  <c r="AC432" i="124"/>
  <c r="AD432" i="124" s="1"/>
  <c r="AA432" i="124"/>
  <c r="AB432" i="124" s="1"/>
  <c r="P422" i="124"/>
  <c r="AJ422" i="124"/>
  <c r="P423" i="124"/>
  <c r="AJ423" i="124"/>
  <c r="P424" i="124"/>
  <c r="AJ424" i="124"/>
  <c r="P425" i="124"/>
  <c r="AJ425" i="124"/>
  <c r="P426" i="124"/>
  <c r="AJ426" i="124"/>
  <c r="P427" i="124"/>
  <c r="AJ427" i="124"/>
  <c r="P428" i="124"/>
  <c r="AJ428" i="124"/>
  <c r="P429" i="124"/>
  <c r="AJ429" i="124"/>
  <c r="P430" i="124"/>
  <c r="AJ430" i="124"/>
  <c r="P431" i="124"/>
  <c r="AJ431" i="124"/>
  <c r="P432" i="124"/>
  <c r="AJ432" i="124"/>
  <c r="P433" i="124"/>
  <c r="AK433" i="124"/>
  <c r="AL433" i="124" s="1"/>
  <c r="AO433" i="124"/>
  <c r="AP433" i="124" s="1"/>
  <c r="AG434" i="124"/>
  <c r="AH434" i="124" s="1"/>
  <c r="AE434" i="124"/>
  <c r="AF434" i="124" s="1"/>
  <c r="AC434" i="124"/>
  <c r="AD434" i="124" s="1"/>
  <c r="AA434" i="124"/>
  <c r="AB434" i="124" s="1"/>
  <c r="Z435" i="124"/>
  <c r="AJ435" i="124"/>
  <c r="P435" i="124"/>
  <c r="AG436" i="124"/>
  <c r="AH436" i="124" s="1"/>
  <c r="AE436" i="124"/>
  <c r="AF436" i="124" s="1"/>
  <c r="AC436" i="124"/>
  <c r="AD436" i="124" s="1"/>
  <c r="AA436" i="124"/>
  <c r="AB436" i="124" s="1"/>
  <c r="AG437" i="124"/>
  <c r="AH437" i="124" s="1"/>
  <c r="AE437" i="124"/>
  <c r="AF437" i="124" s="1"/>
  <c r="AC437" i="124"/>
  <c r="AD437" i="124" s="1"/>
  <c r="AA437" i="124"/>
  <c r="AB437" i="124" s="1"/>
  <c r="AG438" i="124"/>
  <c r="AH438" i="124" s="1"/>
  <c r="AE438" i="124"/>
  <c r="AF438" i="124" s="1"/>
  <c r="AC438" i="124"/>
  <c r="AD438" i="124" s="1"/>
  <c r="AA438" i="124"/>
  <c r="AB438" i="124" s="1"/>
  <c r="AG439" i="124"/>
  <c r="AH439" i="124" s="1"/>
  <c r="AE439" i="124"/>
  <c r="AF439" i="124" s="1"/>
  <c r="AC439" i="124"/>
  <c r="AD439" i="124" s="1"/>
  <c r="AA439" i="124"/>
  <c r="AB439" i="124" s="1"/>
  <c r="AG440" i="124"/>
  <c r="AH440" i="124" s="1"/>
  <c r="AE440" i="124"/>
  <c r="AF440" i="124" s="1"/>
  <c r="AC440" i="124"/>
  <c r="AD440" i="124" s="1"/>
  <c r="AA440" i="124"/>
  <c r="AB440" i="124" s="1"/>
  <c r="Z433" i="124"/>
  <c r="AM433" i="124"/>
  <c r="AN433" i="124" s="1"/>
  <c r="AJ434" i="124"/>
  <c r="P434" i="124"/>
  <c r="W440" i="124"/>
  <c r="X440" i="124" s="1"/>
  <c r="U440" i="124"/>
  <c r="V440" i="124" s="1"/>
  <c r="S440" i="124"/>
  <c r="T440" i="124" s="1"/>
  <c r="Q440" i="124"/>
  <c r="AQ440" i="124"/>
  <c r="AR440" i="124" s="1"/>
  <c r="AO440" i="124"/>
  <c r="AP440" i="124" s="1"/>
  <c r="AM440" i="124"/>
  <c r="AN440" i="124" s="1"/>
  <c r="AK440" i="124"/>
  <c r="AL440" i="124" s="1"/>
  <c r="W441" i="124"/>
  <c r="X441" i="124" s="1"/>
  <c r="U441" i="124"/>
  <c r="V441" i="124" s="1"/>
  <c r="S441" i="124"/>
  <c r="T441" i="124" s="1"/>
  <c r="Q441" i="124"/>
  <c r="W442" i="124"/>
  <c r="X442" i="124" s="1"/>
  <c r="U442" i="124"/>
  <c r="V442" i="124" s="1"/>
  <c r="S442" i="124"/>
  <c r="T442" i="124" s="1"/>
  <c r="Q442" i="124"/>
  <c r="AQ442" i="124"/>
  <c r="AR442" i="124" s="1"/>
  <c r="AO442" i="124"/>
  <c r="AP442" i="124" s="1"/>
  <c r="AM442" i="124"/>
  <c r="AN442" i="124" s="1"/>
  <c r="AK442" i="124"/>
  <c r="AL442" i="124" s="1"/>
  <c r="W443" i="124"/>
  <c r="X443" i="124" s="1"/>
  <c r="U443" i="124"/>
  <c r="V443" i="124" s="1"/>
  <c r="S443" i="124"/>
  <c r="T443" i="124" s="1"/>
  <c r="Q443" i="124"/>
  <c r="AQ443" i="124"/>
  <c r="AR443" i="124" s="1"/>
  <c r="AO443" i="124"/>
  <c r="AP443" i="124" s="1"/>
  <c r="AM443" i="124"/>
  <c r="AN443" i="124" s="1"/>
  <c r="AK443" i="124"/>
  <c r="AL443" i="124" s="1"/>
  <c r="W444" i="124"/>
  <c r="X444" i="124" s="1"/>
  <c r="U444" i="124"/>
  <c r="V444" i="124" s="1"/>
  <c r="S444" i="124"/>
  <c r="T444" i="124" s="1"/>
  <c r="Q444" i="124"/>
  <c r="AQ444" i="124"/>
  <c r="AR444" i="124" s="1"/>
  <c r="AO444" i="124"/>
  <c r="AP444" i="124" s="1"/>
  <c r="AM444" i="124"/>
  <c r="AN444" i="124" s="1"/>
  <c r="AK444" i="124"/>
  <c r="AL444" i="124" s="1"/>
  <c r="P436" i="124"/>
  <c r="AJ436" i="124"/>
  <c r="P437" i="124"/>
  <c r="AJ437" i="124"/>
  <c r="P438" i="124"/>
  <c r="AJ438" i="124"/>
  <c r="P439" i="124"/>
  <c r="AJ439" i="124"/>
  <c r="AA442" i="124"/>
  <c r="AB442" i="124" s="1"/>
  <c r="AE442" i="124"/>
  <c r="AF442" i="124" s="1"/>
  <c r="O443" i="124"/>
  <c r="AC443" i="124"/>
  <c r="AD443" i="124" s="1"/>
  <c r="AG443" i="124"/>
  <c r="AH443" i="124" s="1"/>
  <c r="AA444" i="124"/>
  <c r="AB444" i="124" s="1"/>
  <c r="AE444" i="124"/>
  <c r="AF444" i="124" s="1"/>
  <c r="O445" i="124"/>
  <c r="AG445" i="124"/>
  <c r="AH445" i="124" s="1"/>
  <c r="AE445" i="124"/>
  <c r="AF445" i="124" s="1"/>
  <c r="AC445" i="124"/>
  <c r="AD445" i="124" s="1"/>
  <c r="AA445" i="124"/>
  <c r="AB445" i="124" s="1"/>
  <c r="AG446" i="124"/>
  <c r="AH446" i="124" s="1"/>
  <c r="AE446" i="124"/>
  <c r="AF446" i="124" s="1"/>
  <c r="AC446" i="124"/>
  <c r="AD446" i="124" s="1"/>
  <c r="AA446" i="124"/>
  <c r="AB446" i="124" s="1"/>
  <c r="AG447" i="124"/>
  <c r="AH447" i="124" s="1"/>
  <c r="AE447" i="124"/>
  <c r="AF447" i="124" s="1"/>
  <c r="AC447" i="124"/>
  <c r="AD447" i="124" s="1"/>
  <c r="AA447" i="124"/>
  <c r="AB447" i="124" s="1"/>
  <c r="AG448" i="124"/>
  <c r="AH448" i="124" s="1"/>
  <c r="AE448" i="124"/>
  <c r="AF448" i="124" s="1"/>
  <c r="AC448" i="124"/>
  <c r="AD448" i="124" s="1"/>
  <c r="AA448" i="124"/>
  <c r="AB448" i="124" s="1"/>
  <c r="AG449" i="124"/>
  <c r="AH449" i="124" s="1"/>
  <c r="AE449" i="124"/>
  <c r="AF449" i="124" s="1"/>
  <c r="AC449" i="124"/>
  <c r="AD449" i="124" s="1"/>
  <c r="AA449" i="124"/>
  <c r="AB449" i="124" s="1"/>
  <c r="AA441" i="124"/>
  <c r="AB441" i="124" s="1"/>
  <c r="AJ441" i="124"/>
  <c r="O442" i="124"/>
  <c r="AC442" i="124"/>
  <c r="AD442" i="124" s="1"/>
  <c r="AA443" i="124"/>
  <c r="AB443" i="124" s="1"/>
  <c r="O444" i="124"/>
  <c r="AC444" i="124"/>
  <c r="AD444" i="124" s="1"/>
  <c r="W445" i="124"/>
  <c r="X445" i="124" s="1"/>
  <c r="U445" i="124"/>
  <c r="V445" i="124" s="1"/>
  <c r="S445" i="124"/>
  <c r="T445" i="124" s="1"/>
  <c r="Q445" i="124"/>
  <c r="AQ445" i="124"/>
  <c r="AR445" i="124" s="1"/>
  <c r="AO445" i="124"/>
  <c r="AP445" i="124" s="1"/>
  <c r="AM445" i="124"/>
  <c r="AN445" i="124" s="1"/>
  <c r="AK445" i="124"/>
  <c r="AL445" i="124" s="1"/>
  <c r="W446" i="124"/>
  <c r="X446" i="124" s="1"/>
  <c r="U446" i="124"/>
  <c r="V446" i="124" s="1"/>
  <c r="S446" i="124"/>
  <c r="T446" i="124" s="1"/>
  <c r="Q446" i="124"/>
  <c r="AQ446" i="124"/>
  <c r="AR446" i="124" s="1"/>
  <c r="AO446" i="124"/>
  <c r="AP446" i="124" s="1"/>
  <c r="AM446" i="124"/>
  <c r="AN446" i="124" s="1"/>
  <c r="AK446" i="124"/>
  <c r="AL446" i="124" s="1"/>
  <c r="W447" i="124"/>
  <c r="X447" i="124" s="1"/>
  <c r="U447" i="124"/>
  <c r="V447" i="124" s="1"/>
  <c r="S447" i="124"/>
  <c r="T447" i="124" s="1"/>
  <c r="Q447" i="124"/>
  <c r="AQ447" i="124"/>
  <c r="AR447" i="124" s="1"/>
  <c r="AO447" i="124"/>
  <c r="AP447" i="124" s="1"/>
  <c r="AM447" i="124"/>
  <c r="AN447" i="124" s="1"/>
  <c r="AK447" i="124"/>
  <c r="AL447" i="124" s="1"/>
  <c r="W448" i="124"/>
  <c r="X448" i="124" s="1"/>
  <c r="U448" i="124"/>
  <c r="V448" i="124" s="1"/>
  <c r="S448" i="124"/>
  <c r="T448" i="124" s="1"/>
  <c r="Q448" i="124"/>
  <c r="AQ448" i="124"/>
  <c r="AR448" i="124" s="1"/>
  <c r="AO448" i="124"/>
  <c r="AP448" i="124" s="1"/>
  <c r="AM448" i="124"/>
  <c r="AN448" i="124" s="1"/>
  <c r="AK448" i="124"/>
  <c r="AL448" i="124" s="1"/>
  <c r="P449" i="124"/>
  <c r="AJ449" i="124"/>
  <c r="AG450" i="124"/>
  <c r="AH450" i="124" s="1"/>
  <c r="AE450" i="124"/>
  <c r="AF450" i="124" s="1"/>
  <c r="AC450" i="124"/>
  <c r="AD450" i="124" s="1"/>
  <c r="AA450" i="124"/>
  <c r="AB450" i="124" s="1"/>
  <c r="AJ451" i="124"/>
  <c r="P451" i="124"/>
  <c r="AJ450" i="124"/>
  <c r="P450" i="124"/>
  <c r="Z451" i="124"/>
  <c r="AQ452" i="124"/>
  <c r="AR452" i="124" s="1"/>
  <c r="AO452" i="124"/>
  <c r="AP452" i="124" s="1"/>
  <c r="AM452" i="124"/>
  <c r="AN452" i="124" s="1"/>
  <c r="AK452" i="124"/>
  <c r="AL452" i="124" s="1"/>
  <c r="AQ453" i="124"/>
  <c r="AR453" i="124" s="1"/>
  <c r="AO453" i="124"/>
  <c r="AP453" i="124" s="1"/>
  <c r="AM453" i="124"/>
  <c r="AN453" i="124" s="1"/>
  <c r="AK453" i="124"/>
  <c r="AL453" i="124" s="1"/>
  <c r="AQ454" i="124"/>
  <c r="AR454" i="124" s="1"/>
  <c r="AO454" i="124"/>
  <c r="AP454" i="124" s="1"/>
  <c r="AM454" i="124"/>
  <c r="AN454" i="124" s="1"/>
  <c r="AK454" i="124"/>
  <c r="AL454" i="124" s="1"/>
  <c r="AQ455" i="124"/>
  <c r="AR455" i="124" s="1"/>
  <c r="AO455" i="124"/>
  <c r="AP455" i="124" s="1"/>
  <c r="AM455" i="124"/>
  <c r="AN455" i="124" s="1"/>
  <c r="AK455" i="124"/>
  <c r="AL455" i="124" s="1"/>
  <c r="AQ456" i="124"/>
  <c r="AR456" i="124" s="1"/>
  <c r="AO456" i="124"/>
  <c r="AP456" i="124" s="1"/>
  <c r="AM456" i="124"/>
  <c r="AN456" i="124" s="1"/>
  <c r="AK456" i="124"/>
  <c r="AL456" i="124" s="1"/>
  <c r="Z452" i="124"/>
  <c r="Z453" i="124"/>
  <c r="Z454" i="124"/>
  <c r="Z455" i="124"/>
  <c r="Z456" i="124"/>
  <c r="P452" i="124"/>
  <c r="P453" i="124"/>
  <c r="P454" i="124"/>
  <c r="P455" i="124"/>
  <c r="P456" i="124"/>
  <c r="AJ457" i="124"/>
  <c r="P457" i="124"/>
  <c r="Z457" i="124"/>
  <c r="AQ458" i="124"/>
  <c r="AR458" i="124" s="1"/>
  <c r="AO458" i="124"/>
  <c r="AP458" i="124" s="1"/>
  <c r="AM458" i="124"/>
  <c r="AN458" i="124" s="1"/>
  <c r="AK458" i="124"/>
  <c r="AL458" i="124" s="1"/>
  <c r="AQ459" i="124"/>
  <c r="AR459" i="124" s="1"/>
  <c r="AO459" i="124"/>
  <c r="AP459" i="124" s="1"/>
  <c r="AM459" i="124"/>
  <c r="AN459" i="124" s="1"/>
  <c r="AK459" i="124"/>
  <c r="AL459" i="124" s="1"/>
  <c r="AQ460" i="124"/>
  <c r="AR460" i="124" s="1"/>
  <c r="AO460" i="124"/>
  <c r="AP460" i="124" s="1"/>
  <c r="AM460" i="124"/>
  <c r="AN460" i="124" s="1"/>
  <c r="AK460" i="124"/>
  <c r="AL460" i="124" s="1"/>
  <c r="Z458" i="124"/>
  <c r="Z459" i="124"/>
  <c r="Z460" i="124"/>
  <c r="P458" i="124"/>
  <c r="P459" i="124"/>
  <c r="P460" i="124"/>
  <c r="R12" i="121" l="1"/>
  <c r="AQ26" i="121"/>
  <c r="AR26" i="121" s="1"/>
  <c r="AO26" i="121"/>
  <c r="AP26" i="121" s="1"/>
  <c r="AM26" i="121"/>
  <c r="AK26" i="121"/>
  <c r="AL26" i="121" s="1"/>
  <c r="AA24" i="121"/>
  <c r="AB24" i="121" s="1"/>
  <c r="AE24" i="121"/>
  <c r="AF24" i="121" s="1"/>
  <c r="AU28" i="121"/>
  <c r="R28" i="121"/>
  <c r="R27" i="121"/>
  <c r="AY26" i="121"/>
  <c r="R26" i="121"/>
  <c r="AG24" i="121"/>
  <c r="AH24" i="121" s="1"/>
  <c r="R22" i="121"/>
  <c r="AU22" i="121"/>
  <c r="AU25" i="121"/>
  <c r="R25" i="121"/>
  <c r="AX25" i="121"/>
  <c r="U23" i="121"/>
  <c r="V23" i="121" s="1"/>
  <c r="Q23" i="121"/>
  <c r="S23" i="121"/>
  <c r="T23" i="121" s="1"/>
  <c r="W23" i="121"/>
  <c r="X23" i="121" s="1"/>
  <c r="AY23" i="121" s="1"/>
  <c r="AW21" i="121"/>
  <c r="AW19" i="121"/>
  <c r="AW17" i="121"/>
  <c r="AW18" i="121"/>
  <c r="Q14" i="121"/>
  <c r="W14" i="121"/>
  <c r="X14" i="121" s="1"/>
  <c r="AE8" i="121"/>
  <c r="AF8" i="121" s="1"/>
  <c r="AX8" i="121" s="1"/>
  <c r="AA8" i="121"/>
  <c r="AB8" i="121" s="1"/>
  <c r="AE7" i="121"/>
  <c r="AF7" i="121" s="1"/>
  <c r="AA7" i="121"/>
  <c r="AB7" i="121" s="1"/>
  <c r="AE6" i="121"/>
  <c r="AF6" i="121" s="1"/>
  <c r="AA6" i="121"/>
  <c r="AB6" i="121" s="1"/>
  <c r="AM20" i="121"/>
  <c r="AN20" i="121" s="1"/>
  <c r="AQ20" i="121"/>
  <c r="AR20" i="121" s="1"/>
  <c r="AW20" i="121"/>
  <c r="AY20" i="121"/>
  <c r="AK16" i="121"/>
  <c r="AL16" i="121" s="1"/>
  <c r="AO16" i="121"/>
  <c r="AP16" i="121" s="1"/>
  <c r="R16" i="121"/>
  <c r="AX16" i="121"/>
  <c r="AY15" i="121"/>
  <c r="AW11" i="121"/>
  <c r="AW9" i="121"/>
  <c r="AU5" i="121"/>
  <c r="R5" i="121"/>
  <c r="AU3" i="121"/>
  <c r="R3" i="121"/>
  <c r="W13" i="121"/>
  <c r="X13" i="121" s="1"/>
  <c r="Q13" i="121"/>
  <c r="R10" i="121"/>
  <c r="AG8" i="121"/>
  <c r="AH8" i="121" s="1"/>
  <c r="AG6" i="121"/>
  <c r="AH6" i="121" s="1"/>
  <c r="AY6" i="121" s="1"/>
  <c r="AW4" i="121"/>
  <c r="AY4" i="121"/>
  <c r="U12" i="121"/>
  <c r="V12" i="121" s="1"/>
  <c r="S12" i="121"/>
  <c r="AU12" i="121" s="1"/>
  <c r="R8" i="121"/>
  <c r="AM7" i="121"/>
  <c r="AO7" i="121"/>
  <c r="AP7" i="121" s="1"/>
  <c r="Q7" i="121"/>
  <c r="U7" i="121"/>
  <c r="V7" i="121" s="1"/>
  <c r="AM6" i="121"/>
  <c r="AO6" i="121"/>
  <c r="AP6" i="121" s="1"/>
  <c r="R6" i="121"/>
  <c r="AX6" i="121"/>
  <c r="AE27" i="121"/>
  <c r="AF27" i="121" s="1"/>
  <c r="AX27" i="121" s="1"/>
  <c r="AA27" i="121"/>
  <c r="AB27" i="121" s="1"/>
  <c r="W24" i="121"/>
  <c r="X24" i="121" s="1"/>
  <c r="AY24" i="121" s="1"/>
  <c r="U24" i="121"/>
  <c r="V24" i="121" s="1"/>
  <c r="AX24" i="121" s="1"/>
  <c r="S24" i="121"/>
  <c r="T24" i="121" s="1"/>
  <c r="AW24" i="121" s="1"/>
  <c r="Q24" i="121"/>
  <c r="AY28" i="121"/>
  <c r="AW27" i="121"/>
  <c r="AY27" i="121"/>
  <c r="AX26" i="121"/>
  <c r="AG14" i="121"/>
  <c r="AH14" i="121" s="1"/>
  <c r="AE14" i="121"/>
  <c r="AF14" i="121" s="1"/>
  <c r="AC14" i="121"/>
  <c r="AD14" i="121" s="1"/>
  <c r="AW14" i="121" s="1"/>
  <c r="AA14" i="121"/>
  <c r="AY22" i="121"/>
  <c r="AE18" i="121"/>
  <c r="AF18" i="121" s="1"/>
  <c r="AA18" i="121"/>
  <c r="AB18" i="121" s="1"/>
  <c r="AQ14" i="121"/>
  <c r="AR14" i="121" s="1"/>
  <c r="AO14" i="121"/>
  <c r="AP14" i="121" s="1"/>
  <c r="AK14" i="121"/>
  <c r="AL14" i="121" s="1"/>
  <c r="AV14" i="121" s="1"/>
  <c r="AM14" i="121"/>
  <c r="N1" i="121"/>
  <c r="L1" i="121"/>
  <c r="M1" i="121"/>
  <c r="AW25" i="121"/>
  <c r="AY25" i="121"/>
  <c r="AG23" i="121"/>
  <c r="AH23" i="121" s="1"/>
  <c r="AE23" i="121"/>
  <c r="AF23" i="121" s="1"/>
  <c r="AC23" i="121"/>
  <c r="AD23" i="121" s="1"/>
  <c r="AA23" i="121"/>
  <c r="AB23" i="121" s="1"/>
  <c r="AQ23" i="121"/>
  <c r="AR23" i="121" s="1"/>
  <c r="AO23" i="121"/>
  <c r="AP23" i="121" s="1"/>
  <c r="AM23" i="121"/>
  <c r="AN23" i="121" s="1"/>
  <c r="AK23" i="121"/>
  <c r="AU21" i="121"/>
  <c r="R21" i="121"/>
  <c r="AU19" i="121"/>
  <c r="R19" i="121"/>
  <c r="AU17" i="121"/>
  <c r="R17" i="121"/>
  <c r="AX17" i="121"/>
  <c r="AU18" i="121"/>
  <c r="R18" i="121"/>
  <c r="AX18" i="121"/>
  <c r="U14" i="121"/>
  <c r="V14" i="121" s="1"/>
  <c r="AA13" i="121"/>
  <c r="AB13" i="121" s="1"/>
  <c r="AE13" i="121"/>
  <c r="AF13" i="121" s="1"/>
  <c r="AQ13" i="121"/>
  <c r="AR13" i="121" s="1"/>
  <c r="AO13" i="121"/>
  <c r="AP13" i="121" s="1"/>
  <c r="AM13" i="121"/>
  <c r="AK13" i="121"/>
  <c r="AL13" i="121" s="1"/>
  <c r="AA12" i="121"/>
  <c r="AB12" i="121" s="1"/>
  <c r="AE12" i="121"/>
  <c r="AF12" i="121" s="1"/>
  <c r="AQ12" i="121"/>
  <c r="AR12" i="121" s="1"/>
  <c r="AO12" i="121"/>
  <c r="AP12" i="121" s="1"/>
  <c r="AM12" i="121"/>
  <c r="AK12" i="121"/>
  <c r="AL12" i="121" s="1"/>
  <c r="AE10" i="121"/>
  <c r="AF10" i="121" s="1"/>
  <c r="AX10" i="121" s="1"/>
  <c r="AA10" i="121"/>
  <c r="AB10" i="121" s="1"/>
  <c r="AC8" i="121"/>
  <c r="AD8" i="121" s="1"/>
  <c r="AC7" i="121"/>
  <c r="AD7" i="121" s="1"/>
  <c r="AC6" i="121"/>
  <c r="AD6" i="121" s="1"/>
  <c r="AK20" i="121"/>
  <c r="AL20" i="121" s="1"/>
  <c r="AU20" i="121"/>
  <c r="R20" i="121"/>
  <c r="AX20" i="121"/>
  <c r="AG18" i="121"/>
  <c r="AH18" i="121" s="1"/>
  <c r="AY18" i="121" s="1"/>
  <c r="AM16" i="121"/>
  <c r="AN16" i="121" s="1"/>
  <c r="AW16" i="121" s="1"/>
  <c r="AY16" i="121"/>
  <c r="AU15" i="121"/>
  <c r="R15" i="121"/>
  <c r="AX15" i="121"/>
  <c r="AU11" i="121"/>
  <c r="R11" i="121"/>
  <c r="AX11" i="121"/>
  <c r="AU9" i="121"/>
  <c r="R9" i="121"/>
  <c r="AX9" i="121"/>
  <c r="AQ8" i="121"/>
  <c r="AR8" i="121" s="1"/>
  <c r="AY8" i="121" s="1"/>
  <c r="AO8" i="121"/>
  <c r="AP8" i="121" s="1"/>
  <c r="AM8" i="121"/>
  <c r="AN8" i="121" s="1"/>
  <c r="AK8" i="121"/>
  <c r="AL8" i="121" s="1"/>
  <c r="AW5" i="121"/>
  <c r="AY5" i="121"/>
  <c r="AW3" i="121"/>
  <c r="AY3" i="121"/>
  <c r="U13" i="121"/>
  <c r="V13" i="121" s="1"/>
  <c r="AX13" i="121" s="1"/>
  <c r="AW10" i="121"/>
  <c r="AY10" i="121"/>
  <c r="AG7" i="121"/>
  <c r="AH7" i="121" s="1"/>
  <c r="AK4" i="121"/>
  <c r="AL4" i="121" s="1"/>
  <c r="R4" i="121"/>
  <c r="AX4" i="121"/>
  <c r="W12" i="121"/>
  <c r="X12" i="121" s="1"/>
  <c r="AY12" i="121" s="1"/>
  <c r="AG10" i="121"/>
  <c r="AH10" i="121" s="1"/>
  <c r="AW8" i="121"/>
  <c r="AK7" i="121"/>
  <c r="AQ7" i="121"/>
  <c r="AR7" i="121" s="1"/>
  <c r="S7" i="121"/>
  <c r="T7" i="121" s="1"/>
  <c r="AW7" i="121" s="1"/>
  <c r="W7" i="121"/>
  <c r="X7" i="121" s="1"/>
  <c r="AY7" i="121" s="1"/>
  <c r="AK6" i="121"/>
  <c r="AQ6" i="121"/>
  <c r="AR6" i="121" s="1"/>
  <c r="AW6" i="121"/>
  <c r="AY397" i="124"/>
  <c r="AY395" i="124"/>
  <c r="AY393" i="124"/>
  <c r="AY391" i="124"/>
  <c r="AY389" i="124"/>
  <c r="AM202" i="124"/>
  <c r="AN202" i="124" s="1"/>
  <c r="AM201" i="124"/>
  <c r="AN201" i="124" s="1"/>
  <c r="S197" i="124"/>
  <c r="T197" i="124" s="1"/>
  <c r="AM194" i="124"/>
  <c r="AN194" i="124" s="1"/>
  <c r="AM193" i="124"/>
  <c r="AN193" i="124" s="1"/>
  <c r="S189" i="124"/>
  <c r="T189" i="124" s="1"/>
  <c r="AC219" i="124"/>
  <c r="AD219" i="124" s="1"/>
  <c r="AC181" i="124"/>
  <c r="AD181" i="124" s="1"/>
  <c r="AM167" i="124"/>
  <c r="AC68" i="124"/>
  <c r="AD68" i="124" s="1"/>
  <c r="AC60" i="124"/>
  <c r="AD60" i="124" s="1"/>
  <c r="AK35" i="124"/>
  <c r="AL35" i="124" s="1"/>
  <c r="AM33" i="124"/>
  <c r="AN33" i="124" s="1"/>
  <c r="AK31" i="124"/>
  <c r="AL31" i="124" s="1"/>
  <c r="AM29" i="124"/>
  <c r="AN29" i="124" s="1"/>
  <c r="AK27" i="124"/>
  <c r="AL27" i="124" s="1"/>
  <c r="AM25" i="124"/>
  <c r="AN25" i="124" s="1"/>
  <c r="AK23" i="124"/>
  <c r="AL23" i="124" s="1"/>
  <c r="AM21" i="124"/>
  <c r="AN21" i="124" s="1"/>
  <c r="AK19" i="124"/>
  <c r="AL19" i="124" s="1"/>
  <c r="AM17" i="124"/>
  <c r="AN17" i="124" s="1"/>
  <c r="AK15" i="124"/>
  <c r="AL15" i="124" s="1"/>
  <c r="AM13" i="124"/>
  <c r="AN13" i="124" s="1"/>
  <c r="AK11" i="124"/>
  <c r="AL11" i="124" s="1"/>
  <c r="AM9" i="124"/>
  <c r="AN9" i="124" s="1"/>
  <c r="AK7" i="124"/>
  <c r="AL7" i="124" s="1"/>
  <c r="AM5" i="124"/>
  <c r="AN5" i="124" s="1"/>
  <c r="AM3" i="124"/>
  <c r="AN3" i="124" s="1"/>
  <c r="AX395" i="124"/>
  <c r="AX391" i="124"/>
  <c r="AX365" i="124"/>
  <c r="AX361" i="124"/>
  <c r="AX357" i="124"/>
  <c r="AY202" i="124"/>
  <c r="AY194" i="124"/>
  <c r="AR18" i="124"/>
  <c r="X10" i="124"/>
  <c r="W460" i="124"/>
  <c r="X460" i="124" s="1"/>
  <c r="U460" i="124"/>
  <c r="V460" i="124" s="1"/>
  <c r="S460" i="124"/>
  <c r="T460" i="124" s="1"/>
  <c r="Q460" i="124"/>
  <c r="W458" i="124"/>
  <c r="X458" i="124" s="1"/>
  <c r="U458" i="124"/>
  <c r="V458" i="124" s="1"/>
  <c r="S458" i="124"/>
  <c r="T458" i="124" s="1"/>
  <c r="Q458" i="124"/>
  <c r="AG459" i="124"/>
  <c r="AH459" i="124" s="1"/>
  <c r="AE459" i="124"/>
  <c r="AF459" i="124" s="1"/>
  <c r="AC459" i="124"/>
  <c r="AD459" i="124" s="1"/>
  <c r="AA459" i="124"/>
  <c r="AB459" i="124" s="1"/>
  <c r="AG457" i="124"/>
  <c r="AH457" i="124" s="1"/>
  <c r="AE457" i="124"/>
  <c r="AF457" i="124" s="1"/>
  <c r="AC457" i="124"/>
  <c r="AD457" i="124" s="1"/>
  <c r="AA457" i="124"/>
  <c r="AB457" i="124" s="1"/>
  <c r="AQ457" i="124"/>
  <c r="AR457" i="124" s="1"/>
  <c r="AO457" i="124"/>
  <c r="AP457" i="124" s="1"/>
  <c r="AM457" i="124"/>
  <c r="AN457" i="124" s="1"/>
  <c r="AK457" i="124"/>
  <c r="AL457" i="124" s="1"/>
  <c r="W455" i="124"/>
  <c r="X455" i="124" s="1"/>
  <c r="U455" i="124"/>
  <c r="V455" i="124" s="1"/>
  <c r="S455" i="124"/>
  <c r="T455" i="124" s="1"/>
  <c r="Q455" i="124"/>
  <c r="W453" i="124"/>
  <c r="X453" i="124" s="1"/>
  <c r="U453" i="124"/>
  <c r="V453" i="124" s="1"/>
  <c r="S453" i="124"/>
  <c r="T453" i="124" s="1"/>
  <c r="Q453" i="124"/>
  <c r="AG456" i="124"/>
  <c r="AH456" i="124" s="1"/>
  <c r="AE456" i="124"/>
  <c r="AF456" i="124" s="1"/>
  <c r="AC456" i="124"/>
  <c r="AD456" i="124" s="1"/>
  <c r="AA456" i="124"/>
  <c r="AB456" i="124" s="1"/>
  <c r="AG454" i="124"/>
  <c r="AH454" i="124" s="1"/>
  <c r="AE454" i="124"/>
  <c r="AF454" i="124" s="1"/>
  <c r="AC454" i="124"/>
  <c r="AD454" i="124" s="1"/>
  <c r="AA454" i="124"/>
  <c r="AB454" i="124" s="1"/>
  <c r="AG452" i="124"/>
  <c r="AH452" i="124" s="1"/>
  <c r="AE452" i="124"/>
  <c r="AF452" i="124" s="1"/>
  <c r="AC452" i="124"/>
  <c r="AD452" i="124" s="1"/>
  <c r="AA452" i="124"/>
  <c r="AB452" i="124" s="1"/>
  <c r="W450" i="124"/>
  <c r="X450" i="124" s="1"/>
  <c r="S450" i="124"/>
  <c r="T450" i="124" s="1"/>
  <c r="U450" i="124"/>
  <c r="V450" i="124" s="1"/>
  <c r="Q450" i="124"/>
  <c r="U451" i="124"/>
  <c r="V451" i="124" s="1"/>
  <c r="Q451" i="124"/>
  <c r="W451" i="124"/>
  <c r="X451" i="124" s="1"/>
  <c r="S451" i="124"/>
  <c r="T451" i="124" s="1"/>
  <c r="AQ449" i="124"/>
  <c r="AR449" i="124" s="1"/>
  <c r="AO449" i="124"/>
  <c r="AP449" i="124" s="1"/>
  <c r="AM449" i="124"/>
  <c r="AN449" i="124" s="1"/>
  <c r="AK449" i="124"/>
  <c r="AL449" i="124" s="1"/>
  <c r="AX448" i="124"/>
  <c r="AU447" i="124"/>
  <c r="R447" i="124"/>
  <c r="AX446" i="124"/>
  <c r="AU445" i="124"/>
  <c r="R445" i="124"/>
  <c r="AY444" i="124"/>
  <c r="AY443" i="124"/>
  <c r="AY442" i="124"/>
  <c r="AW440" i="124"/>
  <c r="AY440" i="124"/>
  <c r="AO434" i="124"/>
  <c r="AP434" i="124" s="1"/>
  <c r="AK434" i="124"/>
  <c r="AL434" i="124" s="1"/>
  <c r="AQ434" i="124"/>
  <c r="AR434" i="124" s="1"/>
  <c r="AM434" i="124"/>
  <c r="AN434" i="124" s="1"/>
  <c r="AG433" i="124"/>
  <c r="AH433" i="124" s="1"/>
  <c r="AE433" i="124"/>
  <c r="AF433" i="124" s="1"/>
  <c r="AC433" i="124"/>
  <c r="AD433" i="124" s="1"/>
  <c r="AA433" i="124"/>
  <c r="AB433" i="124" s="1"/>
  <c r="AQ435" i="124"/>
  <c r="AR435" i="124" s="1"/>
  <c r="AO435" i="124"/>
  <c r="AP435" i="124" s="1"/>
  <c r="AM435" i="124"/>
  <c r="AN435" i="124" s="1"/>
  <c r="AK435" i="124"/>
  <c r="AL435" i="124" s="1"/>
  <c r="U433" i="124"/>
  <c r="V433" i="124" s="1"/>
  <c r="AX433" i="124" s="1"/>
  <c r="Q433" i="124"/>
  <c r="W433" i="124"/>
  <c r="X433" i="124" s="1"/>
  <c r="AY433" i="124" s="1"/>
  <c r="S433" i="124"/>
  <c r="T433" i="124" s="1"/>
  <c r="W431" i="124"/>
  <c r="X431" i="124" s="1"/>
  <c r="U431" i="124"/>
  <c r="V431" i="124" s="1"/>
  <c r="S431" i="124"/>
  <c r="T431" i="124" s="1"/>
  <c r="Q431" i="124"/>
  <c r="W429" i="124"/>
  <c r="X429" i="124" s="1"/>
  <c r="U429" i="124"/>
  <c r="V429" i="124" s="1"/>
  <c r="S429" i="124"/>
  <c r="T429" i="124" s="1"/>
  <c r="Q429" i="124"/>
  <c r="AO421" i="124"/>
  <c r="AP421" i="124" s="1"/>
  <c r="AK421" i="124"/>
  <c r="AL421" i="124" s="1"/>
  <c r="AQ421" i="124"/>
  <c r="AR421" i="124" s="1"/>
  <c r="AM421" i="124"/>
  <c r="AN421" i="124" s="1"/>
  <c r="AO415" i="124"/>
  <c r="AP415" i="124" s="1"/>
  <c r="AK415" i="124"/>
  <c r="AL415" i="124" s="1"/>
  <c r="AQ415" i="124"/>
  <c r="AR415" i="124" s="1"/>
  <c r="AM415" i="124"/>
  <c r="AN415" i="124" s="1"/>
  <c r="AQ420" i="124"/>
  <c r="AR420" i="124" s="1"/>
  <c r="AM420" i="124"/>
  <c r="AN420" i="124" s="1"/>
  <c r="AO420" i="124"/>
  <c r="AP420" i="124" s="1"/>
  <c r="AK420" i="124"/>
  <c r="AL420" i="124" s="1"/>
  <c r="AQ418" i="124"/>
  <c r="AR418" i="124" s="1"/>
  <c r="AM418" i="124"/>
  <c r="AN418" i="124" s="1"/>
  <c r="AO418" i="124"/>
  <c r="AP418" i="124" s="1"/>
  <c r="AK418" i="124"/>
  <c r="AL418" i="124" s="1"/>
  <c r="AQ416" i="124"/>
  <c r="AR416" i="124" s="1"/>
  <c r="AM416" i="124"/>
  <c r="AN416" i="124" s="1"/>
  <c r="AO416" i="124"/>
  <c r="AP416" i="124" s="1"/>
  <c r="AK416" i="124"/>
  <c r="AL416" i="124" s="1"/>
  <c r="AQ414" i="124"/>
  <c r="AR414" i="124" s="1"/>
  <c r="AM414" i="124"/>
  <c r="AN414" i="124" s="1"/>
  <c r="AO414" i="124"/>
  <c r="AP414" i="124" s="1"/>
  <c r="AK414" i="124"/>
  <c r="AL414" i="124" s="1"/>
  <c r="AW413" i="124"/>
  <c r="AY413" i="124"/>
  <c r="AW412" i="124"/>
  <c r="AY412" i="124"/>
  <c r="AW411" i="124"/>
  <c r="AY411" i="124"/>
  <c r="AW410" i="124"/>
  <c r="AY410" i="124"/>
  <c r="AW409" i="124"/>
  <c r="AY409" i="124"/>
  <c r="AW408" i="124"/>
  <c r="AY408" i="124"/>
  <c r="AW162" i="124"/>
  <c r="AY162" i="124"/>
  <c r="AW406" i="124"/>
  <c r="AY406" i="124"/>
  <c r="AW131" i="124"/>
  <c r="AY131" i="124"/>
  <c r="AW404" i="124"/>
  <c r="AY404" i="124"/>
  <c r="AW403" i="124"/>
  <c r="AY403" i="124"/>
  <c r="AW130" i="124"/>
  <c r="AY130" i="124"/>
  <c r="AW401" i="124"/>
  <c r="AY401" i="124"/>
  <c r="AW400" i="124"/>
  <c r="AY400" i="124"/>
  <c r="AW399" i="124"/>
  <c r="AY399" i="124"/>
  <c r="AW398" i="124"/>
  <c r="AY398" i="124"/>
  <c r="AW397" i="124"/>
  <c r="AW395" i="124"/>
  <c r="AW393" i="124"/>
  <c r="AW391" i="124"/>
  <c r="AW389" i="124"/>
  <c r="AW396" i="124"/>
  <c r="AY396" i="124"/>
  <c r="AW392" i="124"/>
  <c r="AY392" i="124"/>
  <c r="AW388" i="124"/>
  <c r="AY388" i="124"/>
  <c r="AW387" i="124"/>
  <c r="AY387" i="124"/>
  <c r="AW386" i="124"/>
  <c r="AY386" i="124"/>
  <c r="AW385" i="124"/>
  <c r="AY385" i="124"/>
  <c r="AW384" i="124"/>
  <c r="AY384" i="124"/>
  <c r="AW383" i="124"/>
  <c r="AY383" i="124"/>
  <c r="AW382" i="124"/>
  <c r="AY382" i="124"/>
  <c r="AW381" i="124"/>
  <c r="AY381" i="124"/>
  <c r="AW380" i="124"/>
  <c r="AY380" i="124"/>
  <c r="AW379" i="124"/>
  <c r="AY379" i="124"/>
  <c r="AW378" i="124"/>
  <c r="AY378" i="124"/>
  <c r="AW377" i="124"/>
  <c r="AY377" i="124"/>
  <c r="AW376" i="124"/>
  <c r="AY376" i="124"/>
  <c r="AW375" i="124"/>
  <c r="AY375" i="124"/>
  <c r="AW374" i="124"/>
  <c r="AY374" i="124"/>
  <c r="AW373" i="124"/>
  <c r="AY373" i="124"/>
  <c r="AW372" i="124"/>
  <c r="AY372" i="124"/>
  <c r="AU371" i="124"/>
  <c r="R371" i="124"/>
  <c r="AW369" i="124"/>
  <c r="AU367" i="124"/>
  <c r="R367" i="124"/>
  <c r="AW365" i="124"/>
  <c r="AU363" i="124"/>
  <c r="R363" i="124"/>
  <c r="AW361" i="124"/>
  <c r="AU359" i="124"/>
  <c r="R359" i="124"/>
  <c r="AW357" i="124"/>
  <c r="AU355" i="124"/>
  <c r="R355" i="124"/>
  <c r="AU394" i="124"/>
  <c r="R394" i="124"/>
  <c r="AX394" i="124"/>
  <c r="AU390" i="124"/>
  <c r="R390" i="124"/>
  <c r="AX390" i="124"/>
  <c r="AQ353" i="124"/>
  <c r="AR353" i="124" s="1"/>
  <c r="AO353" i="124"/>
  <c r="AP353" i="124" s="1"/>
  <c r="AM353" i="124"/>
  <c r="AN353" i="124" s="1"/>
  <c r="AK353" i="124"/>
  <c r="AL353" i="124" s="1"/>
  <c r="AQ352" i="124"/>
  <c r="AR352" i="124" s="1"/>
  <c r="AO352" i="124"/>
  <c r="AP352" i="124" s="1"/>
  <c r="AM352" i="124"/>
  <c r="AN352" i="124" s="1"/>
  <c r="AK352" i="124"/>
  <c r="AL352" i="124" s="1"/>
  <c r="AQ351" i="124"/>
  <c r="AR351" i="124" s="1"/>
  <c r="AO351" i="124"/>
  <c r="AP351" i="124" s="1"/>
  <c r="AM351" i="124"/>
  <c r="AN351" i="124" s="1"/>
  <c r="AK351" i="124"/>
  <c r="AL351" i="124" s="1"/>
  <c r="AQ350" i="124"/>
  <c r="AR350" i="124" s="1"/>
  <c r="AO350" i="124"/>
  <c r="AP350" i="124" s="1"/>
  <c r="AM350" i="124"/>
  <c r="AN350" i="124" s="1"/>
  <c r="AK350" i="124"/>
  <c r="AL350" i="124" s="1"/>
  <c r="AQ349" i="124"/>
  <c r="AR349" i="124" s="1"/>
  <c r="AO349" i="124"/>
  <c r="AP349" i="124" s="1"/>
  <c r="AM349" i="124"/>
  <c r="AN349" i="124" s="1"/>
  <c r="AK349" i="124"/>
  <c r="AL349" i="124" s="1"/>
  <c r="AQ348" i="124"/>
  <c r="AR348" i="124" s="1"/>
  <c r="AO348" i="124"/>
  <c r="AP348" i="124" s="1"/>
  <c r="AM348" i="124"/>
  <c r="AN348" i="124" s="1"/>
  <c r="AK348" i="124"/>
  <c r="AL348" i="124" s="1"/>
  <c r="AQ347" i="124"/>
  <c r="AR347" i="124" s="1"/>
  <c r="AO347" i="124"/>
  <c r="AP347" i="124" s="1"/>
  <c r="AM347" i="124"/>
  <c r="AN347" i="124" s="1"/>
  <c r="AK347" i="124"/>
  <c r="AL347" i="124" s="1"/>
  <c r="AQ346" i="124"/>
  <c r="AR346" i="124" s="1"/>
  <c r="AO346" i="124"/>
  <c r="AP346" i="124" s="1"/>
  <c r="AM346" i="124"/>
  <c r="AN346" i="124" s="1"/>
  <c r="AK346" i="124"/>
  <c r="AL346" i="124" s="1"/>
  <c r="AQ345" i="124"/>
  <c r="AR345" i="124" s="1"/>
  <c r="AO345" i="124"/>
  <c r="AP345" i="124" s="1"/>
  <c r="AM345" i="124"/>
  <c r="AN345" i="124" s="1"/>
  <c r="AK345" i="124"/>
  <c r="AL345" i="124" s="1"/>
  <c r="AQ344" i="124"/>
  <c r="AR344" i="124" s="1"/>
  <c r="AO344" i="124"/>
  <c r="AP344" i="124" s="1"/>
  <c r="AM344" i="124"/>
  <c r="AN344" i="124" s="1"/>
  <c r="AK344" i="124"/>
  <c r="AL344" i="124" s="1"/>
  <c r="AQ343" i="124"/>
  <c r="AR343" i="124" s="1"/>
  <c r="AO343" i="124"/>
  <c r="AP343" i="124" s="1"/>
  <c r="AM343" i="124"/>
  <c r="AN343" i="124" s="1"/>
  <c r="AK343" i="124"/>
  <c r="AL343" i="124" s="1"/>
  <c r="AQ342" i="124"/>
  <c r="AR342" i="124" s="1"/>
  <c r="AO342" i="124"/>
  <c r="AP342" i="124" s="1"/>
  <c r="AM342" i="124"/>
  <c r="AN342" i="124" s="1"/>
  <c r="AK342" i="124"/>
  <c r="AL342" i="124" s="1"/>
  <c r="AQ341" i="124"/>
  <c r="AR341" i="124" s="1"/>
  <c r="AO341" i="124"/>
  <c r="AP341" i="124" s="1"/>
  <c r="AM341" i="124"/>
  <c r="AN341" i="124" s="1"/>
  <c r="AK341" i="124"/>
  <c r="AL341" i="124" s="1"/>
  <c r="AU368" i="124"/>
  <c r="R368" i="124"/>
  <c r="AX368" i="124"/>
  <c r="AU364" i="124"/>
  <c r="R364" i="124"/>
  <c r="AX364" i="124"/>
  <c r="AU360" i="124"/>
  <c r="R360" i="124"/>
  <c r="AX360" i="124"/>
  <c r="AU356" i="124"/>
  <c r="R356" i="124"/>
  <c r="AX356" i="124"/>
  <c r="AG340" i="124"/>
  <c r="AH340" i="124" s="1"/>
  <c r="AE340" i="124"/>
  <c r="AF340" i="124" s="1"/>
  <c r="AC340" i="124"/>
  <c r="AD340" i="124" s="1"/>
  <c r="AA340" i="124"/>
  <c r="AB340" i="124" s="1"/>
  <c r="AO339" i="124"/>
  <c r="AP339" i="124" s="1"/>
  <c r="AK339" i="124"/>
  <c r="AL339" i="124" s="1"/>
  <c r="AQ339" i="124"/>
  <c r="AR339" i="124" s="1"/>
  <c r="AM339" i="124"/>
  <c r="AN339" i="124" s="1"/>
  <c r="W337" i="124"/>
  <c r="X337" i="124" s="1"/>
  <c r="S337" i="124"/>
  <c r="T337" i="124" s="1"/>
  <c r="U337" i="124"/>
  <c r="V337" i="124" s="1"/>
  <c r="Q337" i="124"/>
  <c r="W335" i="124"/>
  <c r="X335" i="124" s="1"/>
  <c r="S335" i="124"/>
  <c r="T335" i="124" s="1"/>
  <c r="U335" i="124"/>
  <c r="V335" i="124" s="1"/>
  <c r="Q335" i="124"/>
  <c r="W333" i="124"/>
  <c r="X333" i="124" s="1"/>
  <c r="S333" i="124"/>
  <c r="T333" i="124" s="1"/>
  <c r="U333" i="124"/>
  <c r="V333" i="124" s="1"/>
  <c r="Q333" i="124"/>
  <c r="W331" i="124"/>
  <c r="X331" i="124" s="1"/>
  <c r="S331" i="124"/>
  <c r="T331" i="124" s="1"/>
  <c r="U331" i="124"/>
  <c r="V331" i="124" s="1"/>
  <c r="Q331" i="124"/>
  <c r="W329" i="124"/>
  <c r="X329" i="124" s="1"/>
  <c r="S329" i="124"/>
  <c r="T329" i="124" s="1"/>
  <c r="U329" i="124"/>
  <c r="V329" i="124" s="1"/>
  <c r="Q329" i="124"/>
  <c r="W327" i="124"/>
  <c r="X327" i="124" s="1"/>
  <c r="S327" i="124"/>
  <c r="T327" i="124" s="1"/>
  <c r="U327" i="124"/>
  <c r="V327" i="124" s="1"/>
  <c r="Q327" i="124"/>
  <c r="W325" i="124"/>
  <c r="X325" i="124" s="1"/>
  <c r="S325" i="124"/>
  <c r="T325" i="124" s="1"/>
  <c r="U325" i="124"/>
  <c r="V325" i="124" s="1"/>
  <c r="Q325" i="124"/>
  <c r="AU370" i="124"/>
  <c r="R370" i="124"/>
  <c r="AX370" i="124"/>
  <c r="AU366" i="124"/>
  <c r="R366" i="124"/>
  <c r="AX366" i="124"/>
  <c r="AU362" i="124"/>
  <c r="R362" i="124"/>
  <c r="AX362" i="124"/>
  <c r="AU358" i="124"/>
  <c r="R358" i="124"/>
  <c r="AX358" i="124"/>
  <c r="AU354" i="124"/>
  <c r="R354" i="124"/>
  <c r="AX354" i="124"/>
  <c r="U340" i="124"/>
  <c r="V340" i="124" s="1"/>
  <c r="Q340" i="124"/>
  <c r="W340" i="124"/>
  <c r="X340" i="124" s="1"/>
  <c r="S340" i="124"/>
  <c r="T340" i="124" s="1"/>
  <c r="U338" i="124"/>
  <c r="V338" i="124" s="1"/>
  <c r="Q338" i="124"/>
  <c r="W338" i="124"/>
  <c r="X338" i="124" s="1"/>
  <c r="S338" i="124"/>
  <c r="T338" i="124" s="1"/>
  <c r="U336" i="124"/>
  <c r="V336" i="124" s="1"/>
  <c r="Q336" i="124"/>
  <c r="W336" i="124"/>
  <c r="X336" i="124" s="1"/>
  <c r="S336" i="124"/>
  <c r="T336" i="124" s="1"/>
  <c r="U334" i="124"/>
  <c r="V334" i="124" s="1"/>
  <c r="Q334" i="124"/>
  <c r="W334" i="124"/>
  <c r="X334" i="124" s="1"/>
  <c r="S334" i="124"/>
  <c r="T334" i="124" s="1"/>
  <c r="U332" i="124"/>
  <c r="V332" i="124" s="1"/>
  <c r="Q332" i="124"/>
  <c r="W332" i="124"/>
  <c r="X332" i="124" s="1"/>
  <c r="S332" i="124"/>
  <c r="T332" i="124" s="1"/>
  <c r="U330" i="124"/>
  <c r="V330" i="124" s="1"/>
  <c r="Q330" i="124"/>
  <c r="W330" i="124"/>
  <c r="X330" i="124" s="1"/>
  <c r="S330" i="124"/>
  <c r="T330" i="124" s="1"/>
  <c r="U328" i="124"/>
  <c r="V328" i="124" s="1"/>
  <c r="Q328" i="124"/>
  <c r="W328" i="124"/>
  <c r="X328" i="124" s="1"/>
  <c r="S328" i="124"/>
  <c r="T328" i="124" s="1"/>
  <c r="U326" i="124"/>
  <c r="V326" i="124" s="1"/>
  <c r="Q326" i="124"/>
  <c r="W326" i="124"/>
  <c r="X326" i="124" s="1"/>
  <c r="S326" i="124"/>
  <c r="T326" i="124" s="1"/>
  <c r="U324" i="124"/>
  <c r="V324" i="124" s="1"/>
  <c r="Q324" i="124"/>
  <c r="W324" i="124"/>
  <c r="X324" i="124" s="1"/>
  <c r="S324" i="124"/>
  <c r="T324" i="124" s="1"/>
  <c r="AO323" i="124"/>
  <c r="AP323" i="124" s="1"/>
  <c r="AM323" i="124"/>
  <c r="AN323" i="124" s="1"/>
  <c r="AK323" i="124"/>
  <c r="AL323" i="124" s="1"/>
  <c r="AQ323" i="124"/>
  <c r="AR323" i="124" s="1"/>
  <c r="AQ322" i="124"/>
  <c r="AR322" i="124" s="1"/>
  <c r="AO322" i="124"/>
  <c r="AP322" i="124" s="1"/>
  <c r="AM322" i="124"/>
  <c r="AN322" i="124" s="1"/>
  <c r="AK322" i="124"/>
  <c r="AL322" i="124" s="1"/>
  <c r="AQ321" i="124"/>
  <c r="AR321" i="124" s="1"/>
  <c r="AO321" i="124"/>
  <c r="AP321" i="124" s="1"/>
  <c r="AM321" i="124"/>
  <c r="AN321" i="124" s="1"/>
  <c r="AK321" i="124"/>
  <c r="AL321" i="124" s="1"/>
  <c r="AQ320" i="124"/>
  <c r="AR320" i="124" s="1"/>
  <c r="AO320" i="124"/>
  <c r="AP320" i="124" s="1"/>
  <c r="AM320" i="124"/>
  <c r="AN320" i="124" s="1"/>
  <c r="AK320" i="124"/>
  <c r="AL320" i="124" s="1"/>
  <c r="AQ319" i="124"/>
  <c r="AR319" i="124" s="1"/>
  <c r="AO319" i="124"/>
  <c r="AP319" i="124" s="1"/>
  <c r="AM319" i="124"/>
  <c r="AN319" i="124" s="1"/>
  <c r="AK319" i="124"/>
  <c r="AL319" i="124" s="1"/>
  <c r="AQ318" i="124"/>
  <c r="AR318" i="124" s="1"/>
  <c r="AO318" i="124"/>
  <c r="AP318" i="124" s="1"/>
  <c r="AM318" i="124"/>
  <c r="AN318" i="124" s="1"/>
  <c r="AK318" i="124"/>
  <c r="AL318" i="124" s="1"/>
  <c r="AQ317" i="124"/>
  <c r="AR317" i="124" s="1"/>
  <c r="AO317" i="124"/>
  <c r="AP317" i="124" s="1"/>
  <c r="AM317" i="124"/>
  <c r="AN317" i="124" s="1"/>
  <c r="AK317" i="124"/>
  <c r="AL317" i="124" s="1"/>
  <c r="AQ316" i="124"/>
  <c r="AR316" i="124" s="1"/>
  <c r="AO316" i="124"/>
  <c r="AP316" i="124" s="1"/>
  <c r="AM316" i="124"/>
  <c r="AN316" i="124" s="1"/>
  <c r="AK316" i="124"/>
  <c r="AL316" i="124" s="1"/>
  <c r="AQ315" i="124"/>
  <c r="AR315" i="124" s="1"/>
  <c r="AO315" i="124"/>
  <c r="AP315" i="124" s="1"/>
  <c r="AM315" i="124"/>
  <c r="AN315" i="124" s="1"/>
  <c r="AK315" i="124"/>
  <c r="AL315" i="124" s="1"/>
  <c r="AQ314" i="124"/>
  <c r="AR314" i="124" s="1"/>
  <c r="AO314" i="124"/>
  <c r="AP314" i="124" s="1"/>
  <c r="AM314" i="124"/>
  <c r="AN314" i="124" s="1"/>
  <c r="AK314" i="124"/>
  <c r="AL314" i="124" s="1"/>
  <c r="AQ313" i="124"/>
  <c r="AR313" i="124" s="1"/>
  <c r="AO313" i="124"/>
  <c r="AP313" i="124" s="1"/>
  <c r="AM313" i="124"/>
  <c r="AN313" i="124" s="1"/>
  <c r="AK313" i="124"/>
  <c r="AL313" i="124" s="1"/>
  <c r="AQ312" i="124"/>
  <c r="AR312" i="124" s="1"/>
  <c r="AO312" i="124"/>
  <c r="AP312" i="124" s="1"/>
  <c r="AM312" i="124"/>
  <c r="AN312" i="124" s="1"/>
  <c r="AK312" i="124"/>
  <c r="AL312" i="124" s="1"/>
  <c r="AQ311" i="124"/>
  <c r="AR311" i="124" s="1"/>
  <c r="AO311" i="124"/>
  <c r="AP311" i="124" s="1"/>
  <c r="AM311" i="124"/>
  <c r="AN311" i="124" s="1"/>
  <c r="AK311" i="124"/>
  <c r="AL311" i="124" s="1"/>
  <c r="AQ310" i="124"/>
  <c r="AR310" i="124" s="1"/>
  <c r="AO310" i="124"/>
  <c r="AP310" i="124" s="1"/>
  <c r="AM310" i="124"/>
  <c r="AN310" i="124" s="1"/>
  <c r="AK310" i="124"/>
  <c r="AL310" i="124" s="1"/>
  <c r="AQ419" i="124"/>
  <c r="AR419" i="124" s="1"/>
  <c r="AO419" i="124"/>
  <c r="AP419" i="124" s="1"/>
  <c r="AM419" i="124"/>
  <c r="AN419" i="124" s="1"/>
  <c r="AK419" i="124"/>
  <c r="AL419" i="124" s="1"/>
  <c r="AQ308" i="124"/>
  <c r="AR308" i="124" s="1"/>
  <c r="AO308" i="124"/>
  <c r="AP308" i="124" s="1"/>
  <c r="AM308" i="124"/>
  <c r="AN308" i="124" s="1"/>
  <c r="AK308" i="124"/>
  <c r="AL308" i="124" s="1"/>
  <c r="AQ307" i="124"/>
  <c r="AR307" i="124" s="1"/>
  <c r="AO307" i="124"/>
  <c r="AP307" i="124" s="1"/>
  <c r="AM307" i="124"/>
  <c r="AN307" i="124" s="1"/>
  <c r="AK307" i="124"/>
  <c r="AL307" i="124" s="1"/>
  <c r="AQ407" i="124"/>
  <c r="AR407" i="124" s="1"/>
  <c r="AO407" i="124"/>
  <c r="AP407" i="124" s="1"/>
  <c r="AM407" i="124"/>
  <c r="AN407" i="124" s="1"/>
  <c r="AK407" i="124"/>
  <c r="AL407" i="124" s="1"/>
  <c r="AQ305" i="124"/>
  <c r="AR305" i="124" s="1"/>
  <c r="AO305" i="124"/>
  <c r="AP305" i="124" s="1"/>
  <c r="AM305" i="124"/>
  <c r="AN305" i="124" s="1"/>
  <c r="AK305" i="124"/>
  <c r="AL305" i="124" s="1"/>
  <c r="AQ304" i="124"/>
  <c r="AR304" i="124" s="1"/>
  <c r="AO304" i="124"/>
  <c r="AP304" i="124" s="1"/>
  <c r="AM304" i="124"/>
  <c r="AN304" i="124" s="1"/>
  <c r="AK304" i="124"/>
  <c r="AL304" i="124" s="1"/>
  <c r="AQ303" i="124"/>
  <c r="AR303" i="124" s="1"/>
  <c r="AO303" i="124"/>
  <c r="AP303" i="124" s="1"/>
  <c r="AM303" i="124"/>
  <c r="AN303" i="124" s="1"/>
  <c r="AK303" i="124"/>
  <c r="AL303" i="124" s="1"/>
  <c r="AQ302" i="124"/>
  <c r="AR302" i="124" s="1"/>
  <c r="AO302" i="124"/>
  <c r="AP302" i="124" s="1"/>
  <c r="AM302" i="124"/>
  <c r="AN302" i="124" s="1"/>
  <c r="AK302" i="124"/>
  <c r="AL302" i="124" s="1"/>
  <c r="AQ301" i="124"/>
  <c r="AR301" i="124" s="1"/>
  <c r="AO301" i="124"/>
  <c r="AP301" i="124" s="1"/>
  <c r="AM301" i="124"/>
  <c r="AN301" i="124" s="1"/>
  <c r="AK301" i="124"/>
  <c r="AL301" i="124" s="1"/>
  <c r="AQ300" i="124"/>
  <c r="AR300" i="124" s="1"/>
  <c r="AO300" i="124"/>
  <c r="AP300" i="124" s="1"/>
  <c r="AM300" i="124"/>
  <c r="AN300" i="124" s="1"/>
  <c r="AK300" i="124"/>
  <c r="AL300" i="124" s="1"/>
  <c r="AQ299" i="124"/>
  <c r="AR299" i="124" s="1"/>
  <c r="AO299" i="124"/>
  <c r="AP299" i="124" s="1"/>
  <c r="AM299" i="124"/>
  <c r="AN299" i="124" s="1"/>
  <c r="AK299" i="124"/>
  <c r="AL299" i="124" s="1"/>
  <c r="AQ298" i="124"/>
  <c r="AR298" i="124" s="1"/>
  <c r="AO298" i="124"/>
  <c r="AP298" i="124" s="1"/>
  <c r="AM298" i="124"/>
  <c r="AN298" i="124" s="1"/>
  <c r="AK298" i="124"/>
  <c r="AL298" i="124" s="1"/>
  <c r="AQ297" i="124"/>
  <c r="AR297" i="124" s="1"/>
  <c r="AO297" i="124"/>
  <c r="AP297" i="124" s="1"/>
  <c r="AM297" i="124"/>
  <c r="AN297" i="124" s="1"/>
  <c r="AK297" i="124"/>
  <c r="AL297" i="124" s="1"/>
  <c r="AQ296" i="124"/>
  <c r="AR296" i="124" s="1"/>
  <c r="AO296" i="124"/>
  <c r="AP296" i="124" s="1"/>
  <c r="AM296" i="124"/>
  <c r="AN296" i="124" s="1"/>
  <c r="AK296" i="124"/>
  <c r="AL296" i="124" s="1"/>
  <c r="AQ295" i="124"/>
  <c r="AR295" i="124" s="1"/>
  <c r="AO295" i="124"/>
  <c r="AP295" i="124" s="1"/>
  <c r="AM295" i="124"/>
  <c r="AN295" i="124" s="1"/>
  <c r="AK295" i="124"/>
  <c r="AL295" i="124" s="1"/>
  <c r="AG294" i="124"/>
  <c r="AH294" i="124" s="1"/>
  <c r="AE294" i="124"/>
  <c r="AF294" i="124" s="1"/>
  <c r="AC294" i="124"/>
  <c r="AD294" i="124" s="1"/>
  <c r="AW294" i="124" s="1"/>
  <c r="AA294" i="124"/>
  <c r="AB294" i="124" s="1"/>
  <c r="AG293" i="124"/>
  <c r="AH293" i="124" s="1"/>
  <c r="AE293" i="124"/>
  <c r="AF293" i="124" s="1"/>
  <c r="AC293" i="124"/>
  <c r="AD293" i="124" s="1"/>
  <c r="AW293" i="124" s="1"/>
  <c r="AA293" i="124"/>
  <c r="AB293" i="124" s="1"/>
  <c r="AG405" i="124"/>
  <c r="AH405" i="124" s="1"/>
  <c r="AE405" i="124"/>
  <c r="AF405" i="124" s="1"/>
  <c r="AC405" i="124"/>
  <c r="AD405" i="124" s="1"/>
  <c r="AW405" i="124" s="1"/>
  <c r="AA405" i="124"/>
  <c r="AB405" i="124" s="1"/>
  <c r="AQ402" i="124"/>
  <c r="AR402" i="124" s="1"/>
  <c r="AO402" i="124"/>
  <c r="AP402" i="124" s="1"/>
  <c r="AM402" i="124"/>
  <c r="AN402" i="124" s="1"/>
  <c r="AK402" i="124"/>
  <c r="AL402" i="124" s="1"/>
  <c r="AQ309" i="124"/>
  <c r="AR309" i="124" s="1"/>
  <c r="AO309" i="124"/>
  <c r="AP309" i="124" s="1"/>
  <c r="AM309" i="124"/>
  <c r="AN309" i="124" s="1"/>
  <c r="AK309" i="124"/>
  <c r="AL309" i="124" s="1"/>
  <c r="AQ289" i="124"/>
  <c r="AR289" i="124" s="1"/>
  <c r="AO289" i="124"/>
  <c r="AP289" i="124" s="1"/>
  <c r="AM289" i="124"/>
  <c r="AN289" i="124" s="1"/>
  <c r="AK289" i="124"/>
  <c r="AL289" i="124" s="1"/>
  <c r="AQ288" i="124"/>
  <c r="AR288" i="124" s="1"/>
  <c r="AO288" i="124"/>
  <c r="AP288" i="124" s="1"/>
  <c r="AM288" i="124"/>
  <c r="AN288" i="124" s="1"/>
  <c r="AK288" i="124"/>
  <c r="AL288" i="124" s="1"/>
  <c r="AQ287" i="124"/>
  <c r="AR287" i="124" s="1"/>
  <c r="AO287" i="124"/>
  <c r="AP287" i="124" s="1"/>
  <c r="AM287" i="124"/>
  <c r="AN287" i="124" s="1"/>
  <c r="AK287" i="124"/>
  <c r="AL287" i="124" s="1"/>
  <c r="AQ286" i="124"/>
  <c r="AR286" i="124" s="1"/>
  <c r="AO286" i="124"/>
  <c r="AP286" i="124" s="1"/>
  <c r="AM286" i="124"/>
  <c r="AN286" i="124" s="1"/>
  <c r="AK286" i="124"/>
  <c r="AL286" i="124" s="1"/>
  <c r="AQ285" i="124"/>
  <c r="AR285" i="124" s="1"/>
  <c r="AO285" i="124"/>
  <c r="AP285" i="124" s="1"/>
  <c r="AM285" i="124"/>
  <c r="AN285" i="124" s="1"/>
  <c r="AK285" i="124"/>
  <c r="AL285" i="124" s="1"/>
  <c r="AQ284" i="124"/>
  <c r="AR284" i="124" s="1"/>
  <c r="AO284" i="124"/>
  <c r="AP284" i="124" s="1"/>
  <c r="AM284" i="124"/>
  <c r="AN284" i="124" s="1"/>
  <c r="AK284" i="124"/>
  <c r="AL284" i="124" s="1"/>
  <c r="AQ283" i="124"/>
  <c r="AR283" i="124" s="1"/>
  <c r="AO283" i="124"/>
  <c r="AP283" i="124" s="1"/>
  <c r="AM283" i="124"/>
  <c r="AN283" i="124" s="1"/>
  <c r="AK283" i="124"/>
  <c r="AL283" i="124" s="1"/>
  <c r="AQ282" i="124"/>
  <c r="AR282" i="124" s="1"/>
  <c r="AO282" i="124"/>
  <c r="AP282" i="124" s="1"/>
  <c r="AM282" i="124"/>
  <c r="AN282" i="124" s="1"/>
  <c r="AK282" i="124"/>
  <c r="AL282" i="124" s="1"/>
  <c r="W280" i="124"/>
  <c r="X280" i="124" s="1"/>
  <c r="S280" i="124"/>
  <c r="T280" i="124" s="1"/>
  <c r="U280" i="124"/>
  <c r="V280" i="124" s="1"/>
  <c r="Q280" i="124"/>
  <c r="AG279" i="124"/>
  <c r="AH279" i="124" s="1"/>
  <c r="AE279" i="124"/>
  <c r="AF279" i="124" s="1"/>
  <c r="AC279" i="124"/>
  <c r="AD279" i="124" s="1"/>
  <c r="AA279" i="124"/>
  <c r="AB279" i="124" s="1"/>
  <c r="AO278" i="124"/>
  <c r="AP278" i="124" s="1"/>
  <c r="AK278" i="124"/>
  <c r="AL278" i="124" s="1"/>
  <c r="AQ278" i="124"/>
  <c r="AR278" i="124" s="1"/>
  <c r="AM278" i="124"/>
  <c r="AN278" i="124" s="1"/>
  <c r="W276" i="124"/>
  <c r="X276" i="124" s="1"/>
  <c r="S276" i="124"/>
  <c r="T276" i="124" s="1"/>
  <c r="U276" i="124"/>
  <c r="V276" i="124" s="1"/>
  <c r="Q276" i="124"/>
  <c r="AG275" i="124"/>
  <c r="AH275" i="124" s="1"/>
  <c r="AE275" i="124"/>
  <c r="AF275" i="124" s="1"/>
  <c r="AC275" i="124"/>
  <c r="AD275" i="124" s="1"/>
  <c r="AA275" i="124"/>
  <c r="AB275" i="124" s="1"/>
  <c r="AO274" i="124"/>
  <c r="AP274" i="124" s="1"/>
  <c r="AK274" i="124"/>
  <c r="AL274" i="124" s="1"/>
  <c r="AQ274" i="124"/>
  <c r="AR274" i="124" s="1"/>
  <c r="AM274" i="124"/>
  <c r="AN274" i="124" s="1"/>
  <c r="W272" i="124"/>
  <c r="X272" i="124" s="1"/>
  <c r="S272" i="124"/>
  <c r="T272" i="124" s="1"/>
  <c r="U272" i="124"/>
  <c r="V272" i="124" s="1"/>
  <c r="Q272" i="124"/>
  <c r="AG271" i="124"/>
  <c r="AH271" i="124" s="1"/>
  <c r="AE271" i="124"/>
  <c r="AF271" i="124" s="1"/>
  <c r="AC271" i="124"/>
  <c r="AD271" i="124" s="1"/>
  <c r="AA271" i="124"/>
  <c r="AB271" i="124" s="1"/>
  <c r="AO270" i="124"/>
  <c r="AP270" i="124" s="1"/>
  <c r="AK270" i="124"/>
  <c r="AL270" i="124" s="1"/>
  <c r="AQ270" i="124"/>
  <c r="AR270" i="124" s="1"/>
  <c r="AM270" i="124"/>
  <c r="AN270" i="124" s="1"/>
  <c r="W268" i="124"/>
  <c r="X268" i="124" s="1"/>
  <c r="S268" i="124"/>
  <c r="T268" i="124" s="1"/>
  <c r="U268" i="124"/>
  <c r="V268" i="124" s="1"/>
  <c r="Q268" i="124"/>
  <c r="AG267" i="124"/>
  <c r="AH267" i="124" s="1"/>
  <c r="AE267" i="124"/>
  <c r="AF267" i="124" s="1"/>
  <c r="AC267" i="124"/>
  <c r="AD267" i="124" s="1"/>
  <c r="AA267" i="124"/>
  <c r="AB267" i="124" s="1"/>
  <c r="AO266" i="124"/>
  <c r="AP266" i="124" s="1"/>
  <c r="AK266" i="124"/>
  <c r="AL266" i="124" s="1"/>
  <c r="AQ266" i="124"/>
  <c r="AR266" i="124" s="1"/>
  <c r="AM266" i="124"/>
  <c r="AN266" i="124" s="1"/>
  <c r="W264" i="124"/>
  <c r="X264" i="124" s="1"/>
  <c r="S264" i="124"/>
  <c r="T264" i="124" s="1"/>
  <c r="U264" i="124"/>
  <c r="V264" i="124" s="1"/>
  <c r="Q264" i="124"/>
  <c r="AG263" i="124"/>
  <c r="AH263" i="124" s="1"/>
  <c r="AE263" i="124"/>
  <c r="AF263" i="124" s="1"/>
  <c r="AC263" i="124"/>
  <c r="AD263" i="124" s="1"/>
  <c r="AA263" i="124"/>
  <c r="AB263" i="124" s="1"/>
  <c r="AO262" i="124"/>
  <c r="AP262" i="124" s="1"/>
  <c r="AK262" i="124"/>
  <c r="AL262" i="124" s="1"/>
  <c r="AQ262" i="124"/>
  <c r="AR262" i="124" s="1"/>
  <c r="AM262" i="124"/>
  <c r="AN262" i="124" s="1"/>
  <c r="W260" i="124"/>
  <c r="X260" i="124" s="1"/>
  <c r="S260" i="124"/>
  <c r="T260" i="124" s="1"/>
  <c r="U260" i="124"/>
  <c r="V260" i="124" s="1"/>
  <c r="Q260" i="124"/>
  <c r="AG259" i="124"/>
  <c r="AH259" i="124" s="1"/>
  <c r="AE259" i="124"/>
  <c r="AF259" i="124" s="1"/>
  <c r="AC259" i="124"/>
  <c r="AD259" i="124" s="1"/>
  <c r="AA259" i="124"/>
  <c r="AB259" i="124" s="1"/>
  <c r="AO258" i="124"/>
  <c r="AP258" i="124" s="1"/>
  <c r="AK258" i="124"/>
  <c r="AL258" i="124" s="1"/>
  <c r="AQ258" i="124"/>
  <c r="AR258" i="124" s="1"/>
  <c r="AM258" i="124"/>
  <c r="AN258" i="124" s="1"/>
  <c r="W256" i="124"/>
  <c r="X256" i="124" s="1"/>
  <c r="S256" i="124"/>
  <c r="T256" i="124" s="1"/>
  <c r="U256" i="124"/>
  <c r="V256" i="124" s="1"/>
  <c r="Q256" i="124"/>
  <c r="AG255" i="124"/>
  <c r="AH255" i="124" s="1"/>
  <c r="AE255" i="124"/>
  <c r="AF255" i="124" s="1"/>
  <c r="AC255" i="124"/>
  <c r="AD255" i="124" s="1"/>
  <c r="AA255" i="124"/>
  <c r="AB255" i="124" s="1"/>
  <c r="AO254" i="124"/>
  <c r="AP254" i="124" s="1"/>
  <c r="AK254" i="124"/>
  <c r="AL254" i="124" s="1"/>
  <c r="AQ254" i="124"/>
  <c r="AR254" i="124" s="1"/>
  <c r="AM254" i="124"/>
  <c r="AN254" i="124" s="1"/>
  <c r="AG252" i="124"/>
  <c r="AH252" i="124" s="1"/>
  <c r="AE252" i="124"/>
  <c r="AF252" i="124" s="1"/>
  <c r="AC252" i="124"/>
  <c r="AD252" i="124" s="1"/>
  <c r="AA252" i="124"/>
  <c r="AB252" i="124" s="1"/>
  <c r="W306" i="124"/>
  <c r="X306" i="124" s="1"/>
  <c r="U306" i="124"/>
  <c r="V306" i="124" s="1"/>
  <c r="S306" i="124"/>
  <c r="T306" i="124" s="1"/>
  <c r="Q306" i="124"/>
  <c r="W217" i="124"/>
  <c r="X217" i="124" s="1"/>
  <c r="U217" i="124"/>
  <c r="V217" i="124" s="1"/>
  <c r="S217" i="124"/>
  <c r="T217" i="124" s="1"/>
  <c r="Q217" i="124"/>
  <c r="W215" i="124"/>
  <c r="X215" i="124" s="1"/>
  <c r="U215" i="124"/>
  <c r="V215" i="124" s="1"/>
  <c r="S215" i="124"/>
  <c r="T215" i="124" s="1"/>
  <c r="Q215" i="124"/>
  <c r="W213" i="124"/>
  <c r="X213" i="124" s="1"/>
  <c r="U213" i="124"/>
  <c r="V213" i="124" s="1"/>
  <c r="S213" i="124"/>
  <c r="T213" i="124" s="1"/>
  <c r="Q213" i="124"/>
  <c r="W211" i="124"/>
  <c r="X211" i="124" s="1"/>
  <c r="U211" i="124"/>
  <c r="V211" i="124" s="1"/>
  <c r="S211" i="124"/>
  <c r="T211" i="124" s="1"/>
  <c r="Q211" i="124"/>
  <c r="W209" i="124"/>
  <c r="X209" i="124" s="1"/>
  <c r="U209" i="124"/>
  <c r="V209" i="124" s="1"/>
  <c r="S209" i="124"/>
  <c r="T209" i="124" s="1"/>
  <c r="Q209" i="124"/>
  <c r="AQ281" i="124"/>
  <c r="AR281" i="124" s="1"/>
  <c r="AO281" i="124"/>
  <c r="AP281" i="124" s="1"/>
  <c r="AM281" i="124"/>
  <c r="AN281" i="124" s="1"/>
  <c r="AK281" i="124"/>
  <c r="AL281" i="124" s="1"/>
  <c r="U279" i="124"/>
  <c r="V279" i="124" s="1"/>
  <c r="Q279" i="124"/>
  <c r="W279" i="124"/>
  <c r="X279" i="124" s="1"/>
  <c r="S279" i="124"/>
  <c r="T279" i="124" s="1"/>
  <c r="U277" i="124"/>
  <c r="V277" i="124" s="1"/>
  <c r="Q277" i="124"/>
  <c r="W277" i="124"/>
  <c r="X277" i="124" s="1"/>
  <c r="S277" i="124"/>
  <c r="T277" i="124" s="1"/>
  <c r="U275" i="124"/>
  <c r="V275" i="124" s="1"/>
  <c r="Q275" i="124"/>
  <c r="W275" i="124"/>
  <c r="X275" i="124" s="1"/>
  <c r="S275" i="124"/>
  <c r="T275" i="124" s="1"/>
  <c r="U273" i="124"/>
  <c r="V273" i="124" s="1"/>
  <c r="Q273" i="124"/>
  <c r="W273" i="124"/>
  <c r="X273" i="124" s="1"/>
  <c r="S273" i="124"/>
  <c r="T273" i="124" s="1"/>
  <c r="U271" i="124"/>
  <c r="V271" i="124" s="1"/>
  <c r="Q271" i="124"/>
  <c r="W271" i="124"/>
  <c r="X271" i="124" s="1"/>
  <c r="S271" i="124"/>
  <c r="T271" i="124" s="1"/>
  <c r="U269" i="124"/>
  <c r="V269" i="124" s="1"/>
  <c r="Q269" i="124"/>
  <c r="W269" i="124"/>
  <c r="X269" i="124" s="1"/>
  <c r="S269" i="124"/>
  <c r="T269" i="124" s="1"/>
  <c r="U267" i="124"/>
  <c r="V267" i="124" s="1"/>
  <c r="Q267" i="124"/>
  <c r="W267" i="124"/>
  <c r="X267" i="124" s="1"/>
  <c r="S267" i="124"/>
  <c r="T267" i="124" s="1"/>
  <c r="U265" i="124"/>
  <c r="V265" i="124" s="1"/>
  <c r="Q265" i="124"/>
  <c r="W265" i="124"/>
  <c r="X265" i="124" s="1"/>
  <c r="S265" i="124"/>
  <c r="T265" i="124" s="1"/>
  <c r="U263" i="124"/>
  <c r="V263" i="124" s="1"/>
  <c r="Q263" i="124"/>
  <c r="W263" i="124"/>
  <c r="X263" i="124" s="1"/>
  <c r="S263" i="124"/>
  <c r="T263" i="124" s="1"/>
  <c r="U261" i="124"/>
  <c r="V261" i="124" s="1"/>
  <c r="Q261" i="124"/>
  <c r="W261" i="124"/>
  <c r="X261" i="124" s="1"/>
  <c r="S261" i="124"/>
  <c r="T261" i="124" s="1"/>
  <c r="U259" i="124"/>
  <c r="V259" i="124" s="1"/>
  <c r="Q259" i="124"/>
  <c r="W259" i="124"/>
  <c r="X259" i="124" s="1"/>
  <c r="S259" i="124"/>
  <c r="T259" i="124" s="1"/>
  <c r="U257" i="124"/>
  <c r="V257" i="124" s="1"/>
  <c r="Q257" i="124"/>
  <c r="W257" i="124"/>
  <c r="X257" i="124" s="1"/>
  <c r="S257" i="124"/>
  <c r="T257" i="124" s="1"/>
  <c r="U255" i="124"/>
  <c r="V255" i="124" s="1"/>
  <c r="Q255" i="124"/>
  <c r="W255" i="124"/>
  <c r="X255" i="124" s="1"/>
  <c r="S255" i="124"/>
  <c r="T255" i="124" s="1"/>
  <c r="U253" i="124"/>
  <c r="V253" i="124" s="1"/>
  <c r="Q253" i="124"/>
  <c r="W253" i="124"/>
  <c r="X253" i="124" s="1"/>
  <c r="S253" i="124"/>
  <c r="T253" i="124" s="1"/>
  <c r="AG306" i="124"/>
  <c r="AH306" i="124" s="1"/>
  <c r="AE306" i="124"/>
  <c r="AF306" i="124" s="1"/>
  <c r="AC306" i="124"/>
  <c r="AD306" i="124" s="1"/>
  <c r="AA306" i="124"/>
  <c r="AB306" i="124" s="1"/>
  <c r="AG217" i="124"/>
  <c r="AH217" i="124" s="1"/>
  <c r="AE217" i="124"/>
  <c r="AF217" i="124" s="1"/>
  <c r="AC217" i="124"/>
  <c r="AD217" i="124" s="1"/>
  <c r="AA217" i="124"/>
  <c r="AB217" i="124" s="1"/>
  <c r="AG215" i="124"/>
  <c r="AH215" i="124" s="1"/>
  <c r="AE215" i="124"/>
  <c r="AF215" i="124" s="1"/>
  <c r="AC215" i="124"/>
  <c r="AD215" i="124" s="1"/>
  <c r="AA215" i="124"/>
  <c r="AB215" i="124" s="1"/>
  <c r="AG213" i="124"/>
  <c r="AH213" i="124" s="1"/>
  <c r="AE213" i="124"/>
  <c r="AF213" i="124" s="1"/>
  <c r="AC213" i="124"/>
  <c r="AD213" i="124" s="1"/>
  <c r="AA213" i="124"/>
  <c r="AB213" i="124" s="1"/>
  <c r="AG211" i="124"/>
  <c r="AH211" i="124" s="1"/>
  <c r="AE211" i="124"/>
  <c r="AF211" i="124" s="1"/>
  <c r="AC211" i="124"/>
  <c r="AD211" i="124" s="1"/>
  <c r="AA211" i="124"/>
  <c r="AB211" i="124" s="1"/>
  <c r="AG209" i="124"/>
  <c r="AH209" i="124" s="1"/>
  <c r="AE209" i="124"/>
  <c r="AF209" i="124" s="1"/>
  <c r="AC209" i="124"/>
  <c r="AD209" i="124" s="1"/>
  <c r="AA209" i="124"/>
  <c r="AB209" i="124" s="1"/>
  <c r="AW251" i="124"/>
  <c r="AY251" i="124"/>
  <c r="AW250" i="124"/>
  <c r="AY250" i="124"/>
  <c r="AW249" i="124"/>
  <c r="AY249" i="124"/>
  <c r="AW248" i="124"/>
  <c r="AY248" i="124"/>
  <c r="AW247" i="124"/>
  <c r="AY247" i="124"/>
  <c r="AW246" i="124"/>
  <c r="AY246" i="124"/>
  <c r="AW245" i="124"/>
  <c r="AY245" i="124"/>
  <c r="AW244" i="124"/>
  <c r="AY244" i="124"/>
  <c r="AW243" i="124"/>
  <c r="AY243" i="124"/>
  <c r="AW242" i="124"/>
  <c r="AY242" i="124"/>
  <c r="AW241" i="124"/>
  <c r="AY241" i="124"/>
  <c r="AW240" i="124"/>
  <c r="AY240" i="124"/>
  <c r="AW239" i="124"/>
  <c r="AY239" i="124"/>
  <c r="AW238" i="124"/>
  <c r="AY238" i="124"/>
  <c r="AW237" i="124"/>
  <c r="AY237" i="124"/>
  <c r="AW236" i="124"/>
  <c r="AY236" i="124"/>
  <c r="AW235" i="124"/>
  <c r="AY235" i="124"/>
  <c r="AW234" i="124"/>
  <c r="AY234" i="124"/>
  <c r="AW233" i="124"/>
  <c r="AY233" i="124"/>
  <c r="AW232" i="124"/>
  <c r="AY232" i="124"/>
  <c r="AW231" i="124"/>
  <c r="AY231" i="124"/>
  <c r="AW230" i="124"/>
  <c r="AY230" i="124"/>
  <c r="AW229" i="124"/>
  <c r="AY229" i="124"/>
  <c r="AW228" i="124"/>
  <c r="AY228" i="124"/>
  <c r="AW227" i="124"/>
  <c r="AY227" i="124"/>
  <c r="AW226" i="124"/>
  <c r="AY226" i="124"/>
  <c r="AW225" i="124"/>
  <c r="AY225" i="124"/>
  <c r="AW224" i="124"/>
  <c r="AY224" i="124"/>
  <c r="AW223" i="124"/>
  <c r="AY223" i="124"/>
  <c r="AW222" i="124"/>
  <c r="AY222" i="124"/>
  <c r="AW221" i="124"/>
  <c r="AY221" i="124"/>
  <c r="AW220" i="124"/>
  <c r="AY220" i="124"/>
  <c r="AO207" i="124"/>
  <c r="AP207" i="124" s="1"/>
  <c r="AK207" i="124"/>
  <c r="AL207" i="124" s="1"/>
  <c r="AQ207" i="124"/>
  <c r="AR207" i="124" s="1"/>
  <c r="AM207" i="124"/>
  <c r="AN207" i="124" s="1"/>
  <c r="W205" i="124"/>
  <c r="X205" i="124" s="1"/>
  <c r="S205" i="124"/>
  <c r="T205" i="124" s="1"/>
  <c r="U205" i="124"/>
  <c r="V205" i="124" s="1"/>
  <c r="Q205" i="124"/>
  <c r="AG204" i="124"/>
  <c r="AH204" i="124" s="1"/>
  <c r="AE204" i="124"/>
  <c r="AF204" i="124" s="1"/>
  <c r="AC204" i="124"/>
  <c r="AD204" i="124" s="1"/>
  <c r="AA204" i="124"/>
  <c r="AB204" i="124" s="1"/>
  <c r="AU202" i="124"/>
  <c r="R202" i="124"/>
  <c r="AW200" i="124"/>
  <c r="AU198" i="124"/>
  <c r="R198" i="124"/>
  <c r="AW196" i="124"/>
  <c r="AU194" i="124"/>
  <c r="R194" i="124"/>
  <c r="AW192" i="124"/>
  <c r="AU190" i="124"/>
  <c r="R190" i="124"/>
  <c r="AW188" i="124"/>
  <c r="AG146" i="124"/>
  <c r="AH146" i="124" s="1"/>
  <c r="AE146" i="124"/>
  <c r="AF146" i="124" s="1"/>
  <c r="AC146" i="124"/>
  <c r="AA146" i="124"/>
  <c r="AB146" i="124" s="1"/>
  <c r="W145" i="124"/>
  <c r="X145" i="124" s="1"/>
  <c r="U145" i="124"/>
  <c r="V145" i="124" s="1"/>
  <c r="S145" i="124"/>
  <c r="T145" i="124" s="1"/>
  <c r="Q145" i="124"/>
  <c r="W143" i="124"/>
  <c r="X143" i="124" s="1"/>
  <c r="U143" i="124"/>
  <c r="V143" i="124" s="1"/>
  <c r="S143" i="124"/>
  <c r="T143" i="124" s="1"/>
  <c r="Q143" i="124"/>
  <c r="W141" i="124"/>
  <c r="X141" i="124" s="1"/>
  <c r="U141" i="124"/>
  <c r="V141" i="124" s="1"/>
  <c r="S141" i="124"/>
  <c r="T141" i="124" s="1"/>
  <c r="Q141" i="124"/>
  <c r="W139" i="124"/>
  <c r="X139" i="124" s="1"/>
  <c r="U139" i="124"/>
  <c r="V139" i="124" s="1"/>
  <c r="S139" i="124"/>
  <c r="T139" i="124" s="1"/>
  <c r="Q139" i="124"/>
  <c r="W137" i="124"/>
  <c r="X137" i="124" s="1"/>
  <c r="U137" i="124"/>
  <c r="V137" i="124" s="1"/>
  <c r="S137" i="124"/>
  <c r="T137" i="124" s="1"/>
  <c r="Q137" i="124"/>
  <c r="W135" i="124"/>
  <c r="X135" i="124" s="1"/>
  <c r="U135" i="124"/>
  <c r="V135" i="124" s="1"/>
  <c r="S135" i="124"/>
  <c r="T135" i="124" s="1"/>
  <c r="Q135" i="124"/>
  <c r="W133" i="124"/>
  <c r="X133" i="124" s="1"/>
  <c r="U133" i="124"/>
  <c r="V133" i="124" s="1"/>
  <c r="S133" i="124"/>
  <c r="T133" i="124" s="1"/>
  <c r="Q133" i="124"/>
  <c r="W166" i="124"/>
  <c r="X166" i="124" s="1"/>
  <c r="U166" i="124"/>
  <c r="V166" i="124" s="1"/>
  <c r="S166" i="124"/>
  <c r="Q166" i="124"/>
  <c r="W129" i="124"/>
  <c r="X129" i="124" s="1"/>
  <c r="U129" i="124"/>
  <c r="V129" i="124" s="1"/>
  <c r="S129" i="124"/>
  <c r="T129" i="124" s="1"/>
  <c r="Q129" i="124"/>
  <c r="W127" i="124"/>
  <c r="X127" i="124" s="1"/>
  <c r="U127" i="124"/>
  <c r="V127" i="124" s="1"/>
  <c r="S127" i="124"/>
  <c r="T127" i="124" s="1"/>
  <c r="Q127" i="124"/>
  <c r="W125" i="124"/>
  <c r="X125" i="124" s="1"/>
  <c r="U125" i="124"/>
  <c r="V125" i="124" s="1"/>
  <c r="S125" i="124"/>
  <c r="T125" i="124" s="1"/>
  <c r="Q125" i="124"/>
  <c r="W123" i="124"/>
  <c r="X123" i="124" s="1"/>
  <c r="U123" i="124"/>
  <c r="V123" i="124" s="1"/>
  <c r="S123" i="124"/>
  <c r="T123" i="124" s="1"/>
  <c r="Q123" i="124"/>
  <c r="W121" i="124"/>
  <c r="X121" i="124" s="1"/>
  <c r="U121" i="124"/>
  <c r="V121" i="124" s="1"/>
  <c r="S121" i="124"/>
  <c r="T121" i="124" s="1"/>
  <c r="Q121" i="124"/>
  <c r="W119" i="124"/>
  <c r="X119" i="124" s="1"/>
  <c r="U119" i="124"/>
  <c r="V119" i="124" s="1"/>
  <c r="S119" i="124"/>
  <c r="T119" i="124" s="1"/>
  <c r="Q119" i="124"/>
  <c r="W117" i="124"/>
  <c r="X117" i="124" s="1"/>
  <c r="U117" i="124"/>
  <c r="V117" i="124" s="1"/>
  <c r="S117" i="124"/>
  <c r="T117" i="124" s="1"/>
  <c r="Q117" i="124"/>
  <c r="W115" i="124"/>
  <c r="X115" i="124" s="1"/>
  <c r="U115" i="124"/>
  <c r="V115" i="124" s="1"/>
  <c r="S115" i="124"/>
  <c r="T115" i="124" s="1"/>
  <c r="Q115" i="124"/>
  <c r="W113" i="124"/>
  <c r="X113" i="124" s="1"/>
  <c r="U113" i="124"/>
  <c r="V113" i="124" s="1"/>
  <c r="S113" i="124"/>
  <c r="T113" i="124" s="1"/>
  <c r="Q113" i="124"/>
  <c r="W111" i="124"/>
  <c r="X111" i="124" s="1"/>
  <c r="U111" i="124"/>
  <c r="V111" i="124" s="1"/>
  <c r="S111" i="124"/>
  <c r="T111" i="124" s="1"/>
  <c r="Q111" i="124"/>
  <c r="W109" i="124"/>
  <c r="X109" i="124" s="1"/>
  <c r="U109" i="124"/>
  <c r="V109" i="124" s="1"/>
  <c r="S109" i="124"/>
  <c r="T109" i="124" s="1"/>
  <c r="Q109" i="124"/>
  <c r="W107" i="124"/>
  <c r="X107" i="124" s="1"/>
  <c r="U107" i="124"/>
  <c r="V107" i="124" s="1"/>
  <c r="S107" i="124"/>
  <c r="T107" i="124" s="1"/>
  <c r="Q107" i="124"/>
  <c r="W105" i="124"/>
  <c r="X105" i="124" s="1"/>
  <c r="U105" i="124"/>
  <c r="V105" i="124" s="1"/>
  <c r="S105" i="124"/>
  <c r="T105" i="124" s="1"/>
  <c r="Q105" i="124"/>
  <c r="W103" i="124"/>
  <c r="X103" i="124" s="1"/>
  <c r="U103" i="124"/>
  <c r="V103" i="124" s="1"/>
  <c r="S103" i="124"/>
  <c r="T103" i="124" s="1"/>
  <c r="Q103" i="124"/>
  <c r="W101" i="124"/>
  <c r="X101" i="124" s="1"/>
  <c r="U101" i="124"/>
  <c r="V101" i="124" s="1"/>
  <c r="S101" i="124"/>
  <c r="T101" i="124" s="1"/>
  <c r="Q101" i="124"/>
  <c r="W99" i="124"/>
  <c r="X99" i="124" s="1"/>
  <c r="U99" i="124"/>
  <c r="V99" i="124" s="1"/>
  <c r="S99" i="124"/>
  <c r="T99" i="124" s="1"/>
  <c r="Q99" i="124"/>
  <c r="W97" i="124"/>
  <c r="X97" i="124" s="1"/>
  <c r="U97" i="124"/>
  <c r="V97" i="124" s="1"/>
  <c r="S97" i="124"/>
  <c r="T97" i="124" s="1"/>
  <c r="Q97" i="124"/>
  <c r="W95" i="124"/>
  <c r="X95" i="124" s="1"/>
  <c r="U95" i="124"/>
  <c r="V95" i="124" s="1"/>
  <c r="S95" i="124"/>
  <c r="T95" i="124" s="1"/>
  <c r="Q95" i="124"/>
  <c r="W93" i="124"/>
  <c r="X93" i="124" s="1"/>
  <c r="U93" i="124"/>
  <c r="V93" i="124" s="1"/>
  <c r="S93" i="124"/>
  <c r="T93" i="124" s="1"/>
  <c r="Q93" i="124"/>
  <c r="W91" i="124"/>
  <c r="X91" i="124" s="1"/>
  <c r="U91" i="124"/>
  <c r="V91" i="124" s="1"/>
  <c r="S91" i="124"/>
  <c r="T91" i="124" s="1"/>
  <c r="Q91" i="124"/>
  <c r="W89" i="124"/>
  <c r="X89" i="124" s="1"/>
  <c r="U89" i="124"/>
  <c r="V89" i="124" s="1"/>
  <c r="S89" i="124"/>
  <c r="T89" i="124" s="1"/>
  <c r="Q89" i="124"/>
  <c r="W87" i="124"/>
  <c r="X87" i="124" s="1"/>
  <c r="U87" i="124"/>
  <c r="V87" i="124" s="1"/>
  <c r="S87" i="124"/>
  <c r="T87" i="124" s="1"/>
  <c r="Q87" i="124"/>
  <c r="W85" i="124"/>
  <c r="X85" i="124" s="1"/>
  <c r="U85" i="124"/>
  <c r="V85" i="124" s="1"/>
  <c r="S85" i="124"/>
  <c r="T85" i="124" s="1"/>
  <c r="Q85" i="124"/>
  <c r="AG83" i="124"/>
  <c r="AH83" i="124" s="1"/>
  <c r="AE83" i="124"/>
  <c r="AF83" i="124" s="1"/>
  <c r="AC83" i="124"/>
  <c r="AD83" i="124" s="1"/>
  <c r="AA83" i="124"/>
  <c r="W82" i="124"/>
  <c r="X82" i="124" s="1"/>
  <c r="U82" i="124"/>
  <c r="V82" i="124" s="1"/>
  <c r="S82" i="124"/>
  <c r="T82" i="124" s="1"/>
  <c r="Q82" i="124"/>
  <c r="W80" i="124"/>
  <c r="X80" i="124" s="1"/>
  <c r="U80" i="124"/>
  <c r="V80" i="124" s="1"/>
  <c r="S80" i="124"/>
  <c r="T80" i="124" s="1"/>
  <c r="Q80" i="124"/>
  <c r="W208" i="124"/>
  <c r="X208" i="124" s="1"/>
  <c r="U208" i="124"/>
  <c r="V208" i="124" s="1"/>
  <c r="S208" i="124"/>
  <c r="T208" i="124" s="1"/>
  <c r="Q208" i="124"/>
  <c r="U206" i="124"/>
  <c r="V206" i="124" s="1"/>
  <c r="Q206" i="124"/>
  <c r="W206" i="124"/>
  <c r="X206" i="124" s="1"/>
  <c r="S206" i="124"/>
  <c r="T206" i="124" s="1"/>
  <c r="U204" i="124"/>
  <c r="V204" i="124" s="1"/>
  <c r="Q204" i="124"/>
  <c r="W204" i="124"/>
  <c r="X204" i="124" s="1"/>
  <c r="S204" i="124"/>
  <c r="T204" i="124" s="1"/>
  <c r="AC292" i="124"/>
  <c r="AD292" i="124" s="1"/>
  <c r="AQ186" i="124"/>
  <c r="AR186" i="124" s="1"/>
  <c r="AO186" i="124"/>
  <c r="AP186" i="124" s="1"/>
  <c r="AM186" i="124"/>
  <c r="AN186" i="124" s="1"/>
  <c r="AK186" i="124"/>
  <c r="AL186" i="124" s="1"/>
  <c r="AQ185" i="124"/>
  <c r="AR185" i="124" s="1"/>
  <c r="AO185" i="124"/>
  <c r="AP185" i="124" s="1"/>
  <c r="AM185" i="124"/>
  <c r="AN185" i="124" s="1"/>
  <c r="AK185" i="124"/>
  <c r="AL185" i="124" s="1"/>
  <c r="AQ184" i="124"/>
  <c r="AR184" i="124" s="1"/>
  <c r="AO184" i="124"/>
  <c r="AP184" i="124" s="1"/>
  <c r="AM184" i="124"/>
  <c r="AN184" i="124" s="1"/>
  <c r="AK184" i="124"/>
  <c r="AL184" i="124" s="1"/>
  <c r="AQ183" i="124"/>
  <c r="AR183" i="124" s="1"/>
  <c r="AO183" i="124"/>
  <c r="AP183" i="124" s="1"/>
  <c r="AM183" i="124"/>
  <c r="AN183" i="124" s="1"/>
  <c r="AK183" i="124"/>
  <c r="AL183" i="124" s="1"/>
  <c r="AQ182" i="124"/>
  <c r="AR182" i="124" s="1"/>
  <c r="AO182" i="124"/>
  <c r="AP182" i="124" s="1"/>
  <c r="AM182" i="124"/>
  <c r="AN182" i="124" s="1"/>
  <c r="AK182" i="124"/>
  <c r="AL182" i="124" s="1"/>
  <c r="AQ291" i="124"/>
  <c r="AR291" i="124" s="1"/>
  <c r="AO291" i="124"/>
  <c r="AP291" i="124" s="1"/>
  <c r="AM291" i="124"/>
  <c r="AN291" i="124" s="1"/>
  <c r="AK291" i="124"/>
  <c r="AL291" i="124" s="1"/>
  <c r="AQ180" i="124"/>
  <c r="AR180" i="124" s="1"/>
  <c r="AO180" i="124"/>
  <c r="AP180" i="124" s="1"/>
  <c r="AM180" i="124"/>
  <c r="AN180" i="124" s="1"/>
  <c r="AK180" i="124"/>
  <c r="AL180" i="124" s="1"/>
  <c r="AQ179" i="124"/>
  <c r="AR179" i="124" s="1"/>
  <c r="AO179" i="124"/>
  <c r="AP179" i="124" s="1"/>
  <c r="AM179" i="124"/>
  <c r="AN179" i="124" s="1"/>
  <c r="AK179" i="124"/>
  <c r="AL179" i="124" s="1"/>
  <c r="AQ178" i="124"/>
  <c r="AR178" i="124" s="1"/>
  <c r="AO178" i="124"/>
  <c r="AP178" i="124" s="1"/>
  <c r="AM178" i="124"/>
  <c r="AN178" i="124" s="1"/>
  <c r="AK178" i="124"/>
  <c r="AL178" i="124" s="1"/>
  <c r="AQ177" i="124"/>
  <c r="AR177" i="124" s="1"/>
  <c r="AO177" i="124"/>
  <c r="AP177" i="124" s="1"/>
  <c r="AM177" i="124"/>
  <c r="AN177" i="124" s="1"/>
  <c r="AK177" i="124"/>
  <c r="AL177" i="124" s="1"/>
  <c r="AQ176" i="124"/>
  <c r="AR176" i="124" s="1"/>
  <c r="AO176" i="124"/>
  <c r="AP176" i="124" s="1"/>
  <c r="AM176" i="124"/>
  <c r="AN176" i="124" s="1"/>
  <c r="AK176" i="124"/>
  <c r="AL176" i="124" s="1"/>
  <c r="AQ175" i="124"/>
  <c r="AR175" i="124" s="1"/>
  <c r="AO175" i="124"/>
  <c r="AP175" i="124" s="1"/>
  <c r="AM175" i="124"/>
  <c r="AN175" i="124" s="1"/>
  <c r="AK175" i="124"/>
  <c r="AL175" i="124" s="1"/>
  <c r="AQ174" i="124"/>
  <c r="AR174" i="124" s="1"/>
  <c r="AO174" i="124"/>
  <c r="AP174" i="124" s="1"/>
  <c r="AM174" i="124"/>
  <c r="AN174" i="124" s="1"/>
  <c r="AK174" i="124"/>
  <c r="AL174" i="124" s="1"/>
  <c r="AQ173" i="124"/>
  <c r="AR173" i="124" s="1"/>
  <c r="AO173" i="124"/>
  <c r="AP173" i="124" s="1"/>
  <c r="AM173" i="124"/>
  <c r="AN173" i="124" s="1"/>
  <c r="AK173" i="124"/>
  <c r="AL173" i="124" s="1"/>
  <c r="AQ172" i="124"/>
  <c r="AR172" i="124" s="1"/>
  <c r="AO172" i="124"/>
  <c r="AP172" i="124" s="1"/>
  <c r="AM172" i="124"/>
  <c r="AN172" i="124" s="1"/>
  <c r="AK172" i="124"/>
  <c r="AL172" i="124" s="1"/>
  <c r="AQ171" i="124"/>
  <c r="AR171" i="124" s="1"/>
  <c r="AO171" i="124"/>
  <c r="AP171" i="124" s="1"/>
  <c r="AM171" i="124"/>
  <c r="AN171" i="124" s="1"/>
  <c r="AK171" i="124"/>
  <c r="AL171" i="124" s="1"/>
  <c r="AQ170" i="124"/>
  <c r="AR170" i="124" s="1"/>
  <c r="AO170" i="124"/>
  <c r="AP170" i="124" s="1"/>
  <c r="AM170" i="124"/>
  <c r="AN170" i="124" s="1"/>
  <c r="AK170" i="124"/>
  <c r="AL170" i="124" s="1"/>
  <c r="AQ169" i="124"/>
  <c r="AR169" i="124" s="1"/>
  <c r="AO169" i="124"/>
  <c r="AP169" i="124" s="1"/>
  <c r="AM169" i="124"/>
  <c r="AN169" i="124" s="1"/>
  <c r="AK169" i="124"/>
  <c r="AL169" i="124" s="1"/>
  <c r="AQ168" i="124"/>
  <c r="AR168" i="124" s="1"/>
  <c r="AO168" i="124"/>
  <c r="AP168" i="124" s="1"/>
  <c r="AM168" i="124"/>
  <c r="AN168" i="124" s="1"/>
  <c r="AK168" i="124"/>
  <c r="AL168" i="124" s="1"/>
  <c r="AQ290" i="124"/>
  <c r="AR290" i="124" s="1"/>
  <c r="AO290" i="124"/>
  <c r="AP290" i="124" s="1"/>
  <c r="AM290" i="124"/>
  <c r="AN290" i="124" s="1"/>
  <c r="AK290" i="124"/>
  <c r="AL290" i="124" s="1"/>
  <c r="AQ219" i="124"/>
  <c r="AR219" i="124" s="1"/>
  <c r="AO219" i="124"/>
  <c r="AP219" i="124" s="1"/>
  <c r="AM219" i="124"/>
  <c r="AN219" i="124" s="1"/>
  <c r="AK219" i="124"/>
  <c r="AL219" i="124" s="1"/>
  <c r="AQ203" i="124"/>
  <c r="AR203" i="124" s="1"/>
  <c r="AO203" i="124"/>
  <c r="AP203" i="124" s="1"/>
  <c r="AM203" i="124"/>
  <c r="AN203" i="124" s="1"/>
  <c r="AK203" i="124"/>
  <c r="AL203" i="124" s="1"/>
  <c r="AQ181" i="124"/>
  <c r="AR181" i="124" s="1"/>
  <c r="AO181" i="124"/>
  <c r="AP181" i="124" s="1"/>
  <c r="AM181" i="124"/>
  <c r="AN181" i="124" s="1"/>
  <c r="AK181" i="124"/>
  <c r="AL181" i="124" s="1"/>
  <c r="AQ163" i="124"/>
  <c r="AR163" i="124" s="1"/>
  <c r="AO163" i="124"/>
  <c r="AP163" i="124" s="1"/>
  <c r="AM163" i="124"/>
  <c r="AN163" i="124" s="1"/>
  <c r="AK163" i="124"/>
  <c r="AL163" i="124" s="1"/>
  <c r="W167" i="124"/>
  <c r="X167" i="124" s="1"/>
  <c r="U167" i="124"/>
  <c r="V167" i="124" s="1"/>
  <c r="Q167" i="124"/>
  <c r="S167" i="124"/>
  <c r="W161" i="124"/>
  <c r="X161" i="124" s="1"/>
  <c r="U161" i="124"/>
  <c r="V161" i="124" s="1"/>
  <c r="S161" i="124"/>
  <c r="T161" i="124" s="1"/>
  <c r="Q161" i="124"/>
  <c r="W160" i="124"/>
  <c r="X160" i="124" s="1"/>
  <c r="U160" i="124"/>
  <c r="V160" i="124" s="1"/>
  <c r="S160" i="124"/>
  <c r="T160" i="124" s="1"/>
  <c r="Q160" i="124"/>
  <c r="W159" i="124"/>
  <c r="X159" i="124" s="1"/>
  <c r="U159" i="124"/>
  <c r="V159" i="124" s="1"/>
  <c r="S159" i="124"/>
  <c r="T159" i="124" s="1"/>
  <c r="Q159" i="124"/>
  <c r="W158" i="124"/>
  <c r="X158" i="124" s="1"/>
  <c r="U158" i="124"/>
  <c r="V158" i="124" s="1"/>
  <c r="S158" i="124"/>
  <c r="T158" i="124" s="1"/>
  <c r="Q158" i="124"/>
  <c r="W157" i="124"/>
  <c r="X157" i="124" s="1"/>
  <c r="U157" i="124"/>
  <c r="V157" i="124" s="1"/>
  <c r="S157" i="124"/>
  <c r="T157" i="124" s="1"/>
  <c r="Q157" i="124"/>
  <c r="W156" i="124"/>
  <c r="X156" i="124" s="1"/>
  <c r="U156" i="124"/>
  <c r="V156" i="124" s="1"/>
  <c r="S156" i="124"/>
  <c r="T156" i="124" s="1"/>
  <c r="Q156" i="124"/>
  <c r="W155" i="124"/>
  <c r="X155" i="124" s="1"/>
  <c r="U155" i="124"/>
  <c r="V155" i="124" s="1"/>
  <c r="S155" i="124"/>
  <c r="T155" i="124" s="1"/>
  <c r="Q155" i="124"/>
  <c r="W154" i="124"/>
  <c r="X154" i="124" s="1"/>
  <c r="U154" i="124"/>
  <c r="V154" i="124" s="1"/>
  <c r="S154" i="124"/>
  <c r="T154" i="124" s="1"/>
  <c r="Q154" i="124"/>
  <c r="W153" i="124"/>
  <c r="X153" i="124" s="1"/>
  <c r="U153" i="124"/>
  <c r="V153" i="124" s="1"/>
  <c r="S153" i="124"/>
  <c r="T153" i="124" s="1"/>
  <c r="Q153" i="124"/>
  <c r="W152" i="124"/>
  <c r="X152" i="124" s="1"/>
  <c r="U152" i="124"/>
  <c r="V152" i="124" s="1"/>
  <c r="S152" i="124"/>
  <c r="T152" i="124" s="1"/>
  <c r="Q152" i="124"/>
  <c r="W151" i="124"/>
  <c r="X151" i="124" s="1"/>
  <c r="U151" i="124"/>
  <c r="V151" i="124" s="1"/>
  <c r="S151" i="124"/>
  <c r="T151" i="124" s="1"/>
  <c r="Q151" i="124"/>
  <c r="W150" i="124"/>
  <c r="X150" i="124" s="1"/>
  <c r="U150" i="124"/>
  <c r="V150" i="124" s="1"/>
  <c r="S150" i="124"/>
  <c r="T150" i="124" s="1"/>
  <c r="Q150" i="124"/>
  <c r="W149" i="124"/>
  <c r="X149" i="124" s="1"/>
  <c r="U149" i="124"/>
  <c r="V149" i="124" s="1"/>
  <c r="S149" i="124"/>
  <c r="T149" i="124" s="1"/>
  <c r="Q149" i="124"/>
  <c r="W148" i="124"/>
  <c r="X148" i="124" s="1"/>
  <c r="U148" i="124"/>
  <c r="V148" i="124" s="1"/>
  <c r="S148" i="124"/>
  <c r="T148" i="124" s="1"/>
  <c r="Q148" i="124"/>
  <c r="AG144" i="124"/>
  <c r="AH144" i="124" s="1"/>
  <c r="AE144" i="124"/>
  <c r="AF144" i="124" s="1"/>
  <c r="AC144" i="124"/>
  <c r="AD144" i="124" s="1"/>
  <c r="AA144" i="124"/>
  <c r="AB144" i="124" s="1"/>
  <c r="AG142" i="124"/>
  <c r="AH142" i="124" s="1"/>
  <c r="AE142" i="124"/>
  <c r="AF142" i="124" s="1"/>
  <c r="AC142" i="124"/>
  <c r="AD142" i="124" s="1"/>
  <c r="AA142" i="124"/>
  <c r="AB142" i="124" s="1"/>
  <c r="AG140" i="124"/>
  <c r="AH140" i="124" s="1"/>
  <c r="AE140" i="124"/>
  <c r="AF140" i="124" s="1"/>
  <c r="AC140" i="124"/>
  <c r="AD140" i="124" s="1"/>
  <c r="AA140" i="124"/>
  <c r="AB140" i="124" s="1"/>
  <c r="AG138" i="124"/>
  <c r="AH138" i="124" s="1"/>
  <c r="AE138" i="124"/>
  <c r="AF138" i="124" s="1"/>
  <c r="AC138" i="124"/>
  <c r="AD138" i="124" s="1"/>
  <c r="AA138" i="124"/>
  <c r="AB138" i="124" s="1"/>
  <c r="AG136" i="124"/>
  <c r="AH136" i="124" s="1"/>
  <c r="AE136" i="124"/>
  <c r="AF136" i="124" s="1"/>
  <c r="AC136" i="124"/>
  <c r="AD136" i="124" s="1"/>
  <c r="AA136" i="124"/>
  <c r="AB136" i="124" s="1"/>
  <c r="AG134" i="124"/>
  <c r="AH134" i="124" s="1"/>
  <c r="AE134" i="124"/>
  <c r="AF134" i="124" s="1"/>
  <c r="AC134" i="124"/>
  <c r="AD134" i="124" s="1"/>
  <c r="AA134" i="124"/>
  <c r="AB134" i="124" s="1"/>
  <c r="AG132" i="124"/>
  <c r="AH132" i="124" s="1"/>
  <c r="AE132" i="124"/>
  <c r="AF132" i="124" s="1"/>
  <c r="AC132" i="124"/>
  <c r="AD132" i="124" s="1"/>
  <c r="AA132" i="124"/>
  <c r="AB132" i="124" s="1"/>
  <c r="AM165" i="124"/>
  <c r="AK165" i="124"/>
  <c r="AL165" i="124" s="1"/>
  <c r="AQ165" i="124"/>
  <c r="AR165" i="124" s="1"/>
  <c r="AO165" i="124"/>
  <c r="AP165" i="124" s="1"/>
  <c r="AG128" i="124"/>
  <c r="AH128" i="124" s="1"/>
  <c r="AE128" i="124"/>
  <c r="AF128" i="124" s="1"/>
  <c r="AC128" i="124"/>
  <c r="AD128" i="124" s="1"/>
  <c r="AA128" i="124"/>
  <c r="AB128" i="124" s="1"/>
  <c r="AG126" i="124"/>
  <c r="AH126" i="124" s="1"/>
  <c r="AE126" i="124"/>
  <c r="AF126" i="124" s="1"/>
  <c r="AC126" i="124"/>
  <c r="AD126" i="124" s="1"/>
  <c r="AA126" i="124"/>
  <c r="AB126" i="124" s="1"/>
  <c r="AG124" i="124"/>
  <c r="AH124" i="124" s="1"/>
  <c r="AE124" i="124"/>
  <c r="AF124" i="124" s="1"/>
  <c r="AC124" i="124"/>
  <c r="AD124" i="124" s="1"/>
  <c r="AA124" i="124"/>
  <c r="AB124" i="124" s="1"/>
  <c r="AG122" i="124"/>
  <c r="AH122" i="124" s="1"/>
  <c r="AE122" i="124"/>
  <c r="AF122" i="124" s="1"/>
  <c r="AC122" i="124"/>
  <c r="AD122" i="124" s="1"/>
  <c r="AA122" i="124"/>
  <c r="AB122" i="124" s="1"/>
  <c r="AG120" i="124"/>
  <c r="AH120" i="124" s="1"/>
  <c r="AE120" i="124"/>
  <c r="AF120" i="124" s="1"/>
  <c r="AC120" i="124"/>
  <c r="AD120" i="124" s="1"/>
  <c r="AA120" i="124"/>
  <c r="AB120" i="124" s="1"/>
  <c r="AG118" i="124"/>
  <c r="AH118" i="124" s="1"/>
  <c r="AE118" i="124"/>
  <c r="AF118" i="124" s="1"/>
  <c r="AC118" i="124"/>
  <c r="AD118" i="124" s="1"/>
  <c r="AA118" i="124"/>
  <c r="AB118" i="124" s="1"/>
  <c r="AG116" i="124"/>
  <c r="AH116" i="124" s="1"/>
  <c r="AE116" i="124"/>
  <c r="AF116" i="124" s="1"/>
  <c r="AC116" i="124"/>
  <c r="AD116" i="124" s="1"/>
  <c r="AA116" i="124"/>
  <c r="AB116" i="124" s="1"/>
  <c r="AG114" i="124"/>
  <c r="AH114" i="124" s="1"/>
  <c r="AE114" i="124"/>
  <c r="AF114" i="124" s="1"/>
  <c r="AC114" i="124"/>
  <c r="AD114" i="124" s="1"/>
  <c r="AA114" i="124"/>
  <c r="AB114" i="124" s="1"/>
  <c r="AG112" i="124"/>
  <c r="AH112" i="124" s="1"/>
  <c r="AE112" i="124"/>
  <c r="AF112" i="124" s="1"/>
  <c r="AC112" i="124"/>
  <c r="AD112" i="124" s="1"/>
  <c r="AA112" i="124"/>
  <c r="AB112" i="124" s="1"/>
  <c r="AG110" i="124"/>
  <c r="AH110" i="124" s="1"/>
  <c r="AE110" i="124"/>
  <c r="AF110" i="124" s="1"/>
  <c r="AC110" i="124"/>
  <c r="AD110" i="124" s="1"/>
  <c r="AA110" i="124"/>
  <c r="AB110" i="124" s="1"/>
  <c r="AG108" i="124"/>
  <c r="AH108" i="124" s="1"/>
  <c r="AE108" i="124"/>
  <c r="AF108" i="124" s="1"/>
  <c r="AC108" i="124"/>
  <c r="AD108" i="124" s="1"/>
  <c r="AA108" i="124"/>
  <c r="AB108" i="124" s="1"/>
  <c r="AG106" i="124"/>
  <c r="AH106" i="124" s="1"/>
  <c r="AE106" i="124"/>
  <c r="AF106" i="124" s="1"/>
  <c r="AC106" i="124"/>
  <c r="AD106" i="124" s="1"/>
  <c r="AA106" i="124"/>
  <c r="AB106" i="124" s="1"/>
  <c r="AG104" i="124"/>
  <c r="AH104" i="124" s="1"/>
  <c r="AE104" i="124"/>
  <c r="AF104" i="124" s="1"/>
  <c r="AC104" i="124"/>
  <c r="AD104" i="124" s="1"/>
  <c r="AA104" i="124"/>
  <c r="AB104" i="124" s="1"/>
  <c r="AG102" i="124"/>
  <c r="AH102" i="124" s="1"/>
  <c r="AE102" i="124"/>
  <c r="AF102" i="124" s="1"/>
  <c r="AC102" i="124"/>
  <c r="AD102" i="124" s="1"/>
  <c r="AA102" i="124"/>
  <c r="AB102" i="124" s="1"/>
  <c r="AG100" i="124"/>
  <c r="AH100" i="124" s="1"/>
  <c r="AE100" i="124"/>
  <c r="AF100" i="124" s="1"/>
  <c r="AC100" i="124"/>
  <c r="AD100" i="124" s="1"/>
  <c r="AA100" i="124"/>
  <c r="AB100" i="124" s="1"/>
  <c r="AG98" i="124"/>
  <c r="AH98" i="124" s="1"/>
  <c r="AE98" i="124"/>
  <c r="AF98" i="124" s="1"/>
  <c r="AC98" i="124"/>
  <c r="AD98" i="124" s="1"/>
  <c r="AA98" i="124"/>
  <c r="AB98" i="124" s="1"/>
  <c r="AG96" i="124"/>
  <c r="AH96" i="124" s="1"/>
  <c r="AE96" i="124"/>
  <c r="AF96" i="124" s="1"/>
  <c r="AC96" i="124"/>
  <c r="AD96" i="124" s="1"/>
  <c r="AA96" i="124"/>
  <c r="AB96" i="124" s="1"/>
  <c r="AG94" i="124"/>
  <c r="AH94" i="124" s="1"/>
  <c r="AE94" i="124"/>
  <c r="AF94" i="124" s="1"/>
  <c r="AC94" i="124"/>
  <c r="AD94" i="124" s="1"/>
  <c r="AA94" i="124"/>
  <c r="AB94" i="124" s="1"/>
  <c r="AG92" i="124"/>
  <c r="AH92" i="124" s="1"/>
  <c r="AE92" i="124"/>
  <c r="AF92" i="124" s="1"/>
  <c r="AC92" i="124"/>
  <c r="AD92" i="124" s="1"/>
  <c r="AA92" i="124"/>
  <c r="AB92" i="124" s="1"/>
  <c r="AG90" i="124"/>
  <c r="AH90" i="124" s="1"/>
  <c r="AE90" i="124"/>
  <c r="AF90" i="124" s="1"/>
  <c r="AC90" i="124"/>
  <c r="AD90" i="124" s="1"/>
  <c r="AA90" i="124"/>
  <c r="AB90" i="124" s="1"/>
  <c r="AG88" i="124"/>
  <c r="AH88" i="124" s="1"/>
  <c r="AE88" i="124"/>
  <c r="AF88" i="124" s="1"/>
  <c r="AC88" i="124"/>
  <c r="AD88" i="124" s="1"/>
  <c r="AA88" i="124"/>
  <c r="AB88" i="124" s="1"/>
  <c r="AG86" i="124"/>
  <c r="AH86" i="124" s="1"/>
  <c r="AE86" i="124"/>
  <c r="AF86" i="124" s="1"/>
  <c r="AC86" i="124"/>
  <c r="AD86" i="124" s="1"/>
  <c r="AA86" i="124"/>
  <c r="AB86" i="124" s="1"/>
  <c r="AG84" i="124"/>
  <c r="AH84" i="124" s="1"/>
  <c r="AE84" i="124"/>
  <c r="AF84" i="124" s="1"/>
  <c r="AC84" i="124"/>
  <c r="AD84" i="124" s="1"/>
  <c r="AA84" i="124"/>
  <c r="AB84" i="124" s="1"/>
  <c r="AG81" i="124"/>
  <c r="AH81" i="124" s="1"/>
  <c r="AE81" i="124"/>
  <c r="AF81" i="124" s="1"/>
  <c r="AC81" i="124"/>
  <c r="AD81" i="124" s="1"/>
  <c r="AA81" i="124"/>
  <c r="AB81" i="124" s="1"/>
  <c r="AQ292" i="124"/>
  <c r="AR292" i="124" s="1"/>
  <c r="AK292" i="124"/>
  <c r="AL292" i="124" s="1"/>
  <c r="R292" i="124"/>
  <c r="AU199" i="124"/>
  <c r="R199" i="124"/>
  <c r="AX199" i="124"/>
  <c r="AU195" i="124"/>
  <c r="R195" i="124"/>
  <c r="AX195" i="124"/>
  <c r="AU191" i="124"/>
  <c r="R191" i="124"/>
  <c r="AX191" i="124"/>
  <c r="AU187" i="124"/>
  <c r="R187" i="124"/>
  <c r="AX187" i="124"/>
  <c r="AU147" i="124"/>
  <c r="R147" i="124"/>
  <c r="AX147" i="124"/>
  <c r="AG79" i="124"/>
  <c r="AH79" i="124" s="1"/>
  <c r="AE79" i="124"/>
  <c r="AF79" i="124" s="1"/>
  <c r="AC79" i="124"/>
  <c r="AD79" i="124" s="1"/>
  <c r="AA79" i="124"/>
  <c r="AB79" i="124" s="1"/>
  <c r="AO78" i="124"/>
  <c r="AP78" i="124" s="1"/>
  <c r="AK78" i="124"/>
  <c r="AL78" i="124" s="1"/>
  <c r="AQ78" i="124"/>
  <c r="AR78" i="124" s="1"/>
  <c r="AM78" i="124"/>
  <c r="AN78" i="124" s="1"/>
  <c r="W76" i="124"/>
  <c r="X76" i="124" s="1"/>
  <c r="S76" i="124"/>
  <c r="T76" i="124" s="1"/>
  <c r="U76" i="124"/>
  <c r="V76" i="124" s="1"/>
  <c r="Q76" i="124"/>
  <c r="AG75" i="124"/>
  <c r="AH75" i="124" s="1"/>
  <c r="AE75" i="124"/>
  <c r="AF75" i="124" s="1"/>
  <c r="AC75" i="124"/>
  <c r="AD75" i="124" s="1"/>
  <c r="AA75" i="124"/>
  <c r="AB75" i="124" s="1"/>
  <c r="AO74" i="124"/>
  <c r="AP74" i="124" s="1"/>
  <c r="AK74" i="124"/>
  <c r="AL74" i="124" s="1"/>
  <c r="AQ74" i="124"/>
  <c r="AR74" i="124" s="1"/>
  <c r="AM74" i="124"/>
  <c r="AN74" i="124" s="1"/>
  <c r="AG72" i="124"/>
  <c r="AH72" i="124" s="1"/>
  <c r="AE72" i="124"/>
  <c r="AF72" i="124" s="1"/>
  <c r="AC72" i="124"/>
  <c r="AD72" i="124" s="1"/>
  <c r="AA72" i="124"/>
  <c r="AB72" i="124" s="1"/>
  <c r="AO71" i="124"/>
  <c r="AP71" i="124" s="1"/>
  <c r="AK71" i="124"/>
  <c r="AL71" i="124" s="1"/>
  <c r="AQ71" i="124"/>
  <c r="AR71" i="124" s="1"/>
  <c r="AM71" i="124"/>
  <c r="AN71" i="124" s="1"/>
  <c r="W69" i="124"/>
  <c r="X69" i="124" s="1"/>
  <c r="S69" i="124"/>
  <c r="T69" i="124" s="1"/>
  <c r="U69" i="124"/>
  <c r="V69" i="124" s="1"/>
  <c r="Q69" i="124"/>
  <c r="W68" i="124"/>
  <c r="X68" i="124" s="1"/>
  <c r="S68" i="124"/>
  <c r="T68" i="124" s="1"/>
  <c r="AW68" i="124" s="1"/>
  <c r="U68" i="124"/>
  <c r="V68" i="124" s="1"/>
  <c r="Q68" i="124"/>
  <c r="AG67" i="124"/>
  <c r="AH67" i="124" s="1"/>
  <c r="AE67" i="124"/>
  <c r="AF67" i="124" s="1"/>
  <c r="AC67" i="124"/>
  <c r="AD67" i="124" s="1"/>
  <c r="AA67" i="124"/>
  <c r="AB67" i="124" s="1"/>
  <c r="AO66" i="124"/>
  <c r="AP66" i="124" s="1"/>
  <c r="AK66" i="124"/>
  <c r="AL66" i="124" s="1"/>
  <c r="AQ66" i="124"/>
  <c r="AR66" i="124" s="1"/>
  <c r="AM66" i="124"/>
  <c r="AN66" i="124" s="1"/>
  <c r="W64" i="124"/>
  <c r="X64" i="124" s="1"/>
  <c r="S64" i="124"/>
  <c r="T64" i="124" s="1"/>
  <c r="U64" i="124"/>
  <c r="V64" i="124" s="1"/>
  <c r="Q64" i="124"/>
  <c r="AG63" i="124"/>
  <c r="AH63" i="124" s="1"/>
  <c r="AE63" i="124"/>
  <c r="AF63" i="124" s="1"/>
  <c r="AC63" i="124"/>
  <c r="AD63" i="124" s="1"/>
  <c r="AA63" i="124"/>
  <c r="AB63" i="124" s="1"/>
  <c r="AO62" i="124"/>
  <c r="AP62" i="124" s="1"/>
  <c r="AK62" i="124"/>
  <c r="AL62" i="124" s="1"/>
  <c r="AQ62" i="124"/>
  <c r="AR62" i="124" s="1"/>
  <c r="AM62" i="124"/>
  <c r="AN62" i="124" s="1"/>
  <c r="W60" i="124"/>
  <c r="X60" i="124" s="1"/>
  <c r="S60" i="124"/>
  <c r="T60" i="124" s="1"/>
  <c r="U60" i="124"/>
  <c r="V60" i="124" s="1"/>
  <c r="Q60" i="124"/>
  <c r="AG59" i="124"/>
  <c r="AH59" i="124" s="1"/>
  <c r="AE59" i="124"/>
  <c r="AF59" i="124" s="1"/>
  <c r="AC59" i="124"/>
  <c r="AD59" i="124" s="1"/>
  <c r="AA59" i="124"/>
  <c r="AB59" i="124" s="1"/>
  <c r="AO58" i="124"/>
  <c r="AP58" i="124" s="1"/>
  <c r="AK58" i="124"/>
  <c r="AL58" i="124" s="1"/>
  <c r="AQ58" i="124"/>
  <c r="AR58" i="124" s="1"/>
  <c r="AM58" i="124"/>
  <c r="AN58" i="124" s="1"/>
  <c r="W56" i="124"/>
  <c r="X56" i="124" s="1"/>
  <c r="S56" i="124"/>
  <c r="T56" i="124" s="1"/>
  <c r="U56" i="124"/>
  <c r="V56" i="124" s="1"/>
  <c r="Q56" i="124"/>
  <c r="AG55" i="124"/>
  <c r="AH55" i="124" s="1"/>
  <c r="AE55" i="124"/>
  <c r="AF55" i="124" s="1"/>
  <c r="AC55" i="124"/>
  <c r="AD55" i="124" s="1"/>
  <c r="AA55" i="124"/>
  <c r="AB55" i="124" s="1"/>
  <c r="AO54" i="124"/>
  <c r="AP54" i="124" s="1"/>
  <c r="AK54" i="124"/>
  <c r="AL54" i="124" s="1"/>
  <c r="AM54" i="124"/>
  <c r="AN54" i="124" s="1"/>
  <c r="AQ54" i="124"/>
  <c r="AR54" i="124" s="1"/>
  <c r="W52" i="124"/>
  <c r="X52" i="124" s="1"/>
  <c r="S52" i="124"/>
  <c r="T52" i="124" s="1"/>
  <c r="U52" i="124"/>
  <c r="V52" i="124" s="1"/>
  <c r="Q52" i="124"/>
  <c r="AG51" i="124"/>
  <c r="AH51" i="124" s="1"/>
  <c r="AE51" i="124"/>
  <c r="AF51" i="124" s="1"/>
  <c r="AC51" i="124"/>
  <c r="AD51" i="124" s="1"/>
  <c r="AA51" i="124"/>
  <c r="AB51" i="124" s="1"/>
  <c r="AO50" i="124"/>
  <c r="AP50" i="124" s="1"/>
  <c r="AK50" i="124"/>
  <c r="AL50" i="124" s="1"/>
  <c r="AM50" i="124"/>
  <c r="AN50" i="124" s="1"/>
  <c r="AQ50" i="124"/>
  <c r="AR50" i="124" s="1"/>
  <c r="W48" i="124"/>
  <c r="X48" i="124" s="1"/>
  <c r="S48" i="124"/>
  <c r="T48" i="124" s="1"/>
  <c r="U48" i="124"/>
  <c r="V48" i="124" s="1"/>
  <c r="Q48" i="124"/>
  <c r="AG47" i="124"/>
  <c r="AH47" i="124" s="1"/>
  <c r="AE47" i="124"/>
  <c r="AF47" i="124" s="1"/>
  <c r="AC47" i="124"/>
  <c r="AD47" i="124" s="1"/>
  <c r="AA47" i="124"/>
  <c r="AB47" i="124" s="1"/>
  <c r="AO46" i="124"/>
  <c r="AP46" i="124" s="1"/>
  <c r="AK46" i="124"/>
  <c r="AL46" i="124" s="1"/>
  <c r="AQ46" i="124"/>
  <c r="AR46" i="124" s="1"/>
  <c r="AM46" i="124"/>
  <c r="AN46" i="124" s="1"/>
  <c r="W44" i="124"/>
  <c r="X44" i="124" s="1"/>
  <c r="S44" i="124"/>
  <c r="T44" i="124" s="1"/>
  <c r="U44" i="124"/>
  <c r="V44" i="124" s="1"/>
  <c r="Q44" i="124"/>
  <c r="AG43" i="124"/>
  <c r="AH43" i="124" s="1"/>
  <c r="AE43" i="124"/>
  <c r="AF43" i="124" s="1"/>
  <c r="AC43" i="124"/>
  <c r="AD43" i="124" s="1"/>
  <c r="AA43" i="124"/>
  <c r="AB43" i="124" s="1"/>
  <c r="AO42" i="124"/>
  <c r="AP42" i="124" s="1"/>
  <c r="AK42" i="124"/>
  <c r="AL42" i="124" s="1"/>
  <c r="AQ42" i="124"/>
  <c r="AR42" i="124" s="1"/>
  <c r="AM42" i="124"/>
  <c r="AN42" i="124" s="1"/>
  <c r="W40" i="124"/>
  <c r="X40" i="124" s="1"/>
  <c r="S40" i="124"/>
  <c r="T40" i="124" s="1"/>
  <c r="U40" i="124"/>
  <c r="V40" i="124" s="1"/>
  <c r="Q40" i="124"/>
  <c r="AG39" i="124"/>
  <c r="AH39" i="124" s="1"/>
  <c r="AE39" i="124"/>
  <c r="AF39" i="124" s="1"/>
  <c r="AC39" i="124"/>
  <c r="AD39" i="124" s="1"/>
  <c r="AA39" i="124"/>
  <c r="AB39" i="124" s="1"/>
  <c r="AO38" i="124"/>
  <c r="AP38" i="124" s="1"/>
  <c r="AK38" i="124"/>
  <c r="AL38" i="124" s="1"/>
  <c r="AQ38" i="124"/>
  <c r="AR38" i="124" s="1"/>
  <c r="AM38" i="124"/>
  <c r="AN38" i="124" s="1"/>
  <c r="W36" i="124"/>
  <c r="X36" i="124" s="1"/>
  <c r="S36" i="124"/>
  <c r="T36" i="124" s="1"/>
  <c r="U36" i="124"/>
  <c r="V36" i="124" s="1"/>
  <c r="Q36" i="124"/>
  <c r="N1" i="124"/>
  <c r="L1" i="124"/>
  <c r="M1" i="124"/>
  <c r="AQ57" i="124"/>
  <c r="AR57" i="124" s="1"/>
  <c r="AM57" i="124"/>
  <c r="AN57" i="124" s="1"/>
  <c r="AO57" i="124"/>
  <c r="AP57" i="124" s="1"/>
  <c r="AK57" i="124"/>
  <c r="AL57" i="124" s="1"/>
  <c r="AQ55" i="124"/>
  <c r="AR55" i="124" s="1"/>
  <c r="AM55" i="124"/>
  <c r="AN55" i="124" s="1"/>
  <c r="AO55" i="124"/>
  <c r="AP55" i="124" s="1"/>
  <c r="AK55" i="124"/>
  <c r="AL55" i="124" s="1"/>
  <c r="AQ47" i="124"/>
  <c r="AR47" i="124" s="1"/>
  <c r="AM47" i="124"/>
  <c r="AN47" i="124" s="1"/>
  <c r="AO47" i="124"/>
  <c r="AP47" i="124" s="1"/>
  <c r="AK47" i="124"/>
  <c r="AL47" i="124" s="1"/>
  <c r="AQ41" i="124"/>
  <c r="AR41" i="124" s="1"/>
  <c r="AM41" i="124"/>
  <c r="AN41" i="124" s="1"/>
  <c r="AO41" i="124"/>
  <c r="AP41" i="124" s="1"/>
  <c r="AK41" i="124"/>
  <c r="AL41" i="124" s="1"/>
  <c r="AQ37" i="124"/>
  <c r="AR37" i="124" s="1"/>
  <c r="AM37" i="124"/>
  <c r="AN37" i="124" s="1"/>
  <c r="AO37" i="124"/>
  <c r="AP37" i="124" s="1"/>
  <c r="AK37" i="124"/>
  <c r="AL37" i="124" s="1"/>
  <c r="AW201" i="124"/>
  <c r="AY201" i="124"/>
  <c r="AW197" i="124"/>
  <c r="AY197" i="124"/>
  <c r="AW193" i="124"/>
  <c r="AY193" i="124"/>
  <c r="AW189" i="124"/>
  <c r="AY189" i="124"/>
  <c r="AQ79" i="124"/>
  <c r="AR79" i="124" s="1"/>
  <c r="AM79" i="124"/>
  <c r="AN79" i="124" s="1"/>
  <c r="AO79" i="124"/>
  <c r="AP79" i="124" s="1"/>
  <c r="AK79" i="124"/>
  <c r="AL79" i="124" s="1"/>
  <c r="AQ77" i="124"/>
  <c r="AR77" i="124" s="1"/>
  <c r="AM77" i="124"/>
  <c r="AN77" i="124" s="1"/>
  <c r="AO77" i="124"/>
  <c r="AP77" i="124" s="1"/>
  <c r="AK77" i="124"/>
  <c r="AL77" i="124" s="1"/>
  <c r="AQ75" i="124"/>
  <c r="AR75" i="124" s="1"/>
  <c r="AM75" i="124"/>
  <c r="AN75" i="124" s="1"/>
  <c r="AO75" i="124"/>
  <c r="AP75" i="124" s="1"/>
  <c r="AK75" i="124"/>
  <c r="AL75" i="124" s="1"/>
  <c r="AQ73" i="124"/>
  <c r="AR73" i="124" s="1"/>
  <c r="AM73" i="124"/>
  <c r="AN73" i="124" s="1"/>
  <c r="AO73" i="124"/>
  <c r="AP73" i="124" s="1"/>
  <c r="AK73" i="124"/>
  <c r="AL73" i="124" s="1"/>
  <c r="AM72" i="124"/>
  <c r="AO72" i="124"/>
  <c r="AP72" i="124" s="1"/>
  <c r="AQ72" i="124"/>
  <c r="AR72" i="124" s="1"/>
  <c r="AK72" i="124"/>
  <c r="AQ70" i="124"/>
  <c r="AR70" i="124" s="1"/>
  <c r="AM70" i="124"/>
  <c r="AN70" i="124" s="1"/>
  <c r="AO70" i="124"/>
  <c r="AP70" i="124" s="1"/>
  <c r="AK70" i="124"/>
  <c r="AL70" i="124" s="1"/>
  <c r="AQ67" i="124"/>
  <c r="AR67" i="124" s="1"/>
  <c r="AM67" i="124"/>
  <c r="AN67" i="124" s="1"/>
  <c r="AO67" i="124"/>
  <c r="AP67" i="124" s="1"/>
  <c r="AK67" i="124"/>
  <c r="AL67" i="124" s="1"/>
  <c r="AQ65" i="124"/>
  <c r="AR65" i="124" s="1"/>
  <c r="AM65" i="124"/>
  <c r="AN65" i="124" s="1"/>
  <c r="AO65" i="124"/>
  <c r="AP65" i="124" s="1"/>
  <c r="AK65" i="124"/>
  <c r="AL65" i="124" s="1"/>
  <c r="AQ63" i="124"/>
  <c r="AR63" i="124" s="1"/>
  <c r="AM63" i="124"/>
  <c r="AN63" i="124" s="1"/>
  <c r="AO63" i="124"/>
  <c r="AP63" i="124" s="1"/>
  <c r="AK63" i="124"/>
  <c r="AL63" i="124" s="1"/>
  <c r="AQ61" i="124"/>
  <c r="AR61" i="124" s="1"/>
  <c r="AM61" i="124"/>
  <c r="AN61" i="124" s="1"/>
  <c r="AO61" i="124"/>
  <c r="AP61" i="124" s="1"/>
  <c r="AK61" i="124"/>
  <c r="AL61" i="124" s="1"/>
  <c r="AQ59" i="124"/>
  <c r="AR59" i="124" s="1"/>
  <c r="AM59" i="124"/>
  <c r="AN59" i="124" s="1"/>
  <c r="AO59" i="124"/>
  <c r="AP59" i="124" s="1"/>
  <c r="AK59" i="124"/>
  <c r="AL59" i="124" s="1"/>
  <c r="AQ53" i="124"/>
  <c r="AR53" i="124" s="1"/>
  <c r="AM53" i="124"/>
  <c r="AN53" i="124" s="1"/>
  <c r="AO53" i="124"/>
  <c r="AP53" i="124" s="1"/>
  <c r="AK53" i="124"/>
  <c r="AL53" i="124" s="1"/>
  <c r="AQ51" i="124"/>
  <c r="AR51" i="124" s="1"/>
  <c r="AM51" i="124"/>
  <c r="AN51" i="124" s="1"/>
  <c r="AO51" i="124"/>
  <c r="AP51" i="124" s="1"/>
  <c r="AK51" i="124"/>
  <c r="AL51" i="124" s="1"/>
  <c r="AQ49" i="124"/>
  <c r="AR49" i="124" s="1"/>
  <c r="AM49" i="124"/>
  <c r="AN49" i="124" s="1"/>
  <c r="AO49" i="124"/>
  <c r="AP49" i="124" s="1"/>
  <c r="AK49" i="124"/>
  <c r="AL49" i="124" s="1"/>
  <c r="AQ45" i="124"/>
  <c r="AR45" i="124" s="1"/>
  <c r="AM45" i="124"/>
  <c r="AN45" i="124" s="1"/>
  <c r="AO45" i="124"/>
  <c r="AP45" i="124" s="1"/>
  <c r="AK45" i="124"/>
  <c r="AL45" i="124" s="1"/>
  <c r="AQ43" i="124"/>
  <c r="AR43" i="124" s="1"/>
  <c r="AM43" i="124"/>
  <c r="AN43" i="124" s="1"/>
  <c r="AO43" i="124"/>
  <c r="AP43" i="124" s="1"/>
  <c r="AK43" i="124"/>
  <c r="AL43" i="124" s="1"/>
  <c r="AQ39" i="124"/>
  <c r="AR39" i="124" s="1"/>
  <c r="AM39" i="124"/>
  <c r="AN39" i="124" s="1"/>
  <c r="AO39" i="124"/>
  <c r="AP39" i="124" s="1"/>
  <c r="AK39" i="124"/>
  <c r="AL39" i="124" s="1"/>
  <c r="AW34" i="124"/>
  <c r="AY34" i="124"/>
  <c r="AW32" i="124"/>
  <c r="AY32" i="124"/>
  <c r="AW30" i="124"/>
  <c r="AY30" i="124"/>
  <c r="AW28" i="124"/>
  <c r="AY28" i="124"/>
  <c r="AU35" i="124"/>
  <c r="R35" i="124"/>
  <c r="AX35" i="124"/>
  <c r="AW33" i="124"/>
  <c r="AY33" i="124"/>
  <c r="AU31" i="124"/>
  <c r="R31" i="124"/>
  <c r="AX31" i="124"/>
  <c r="AW29" i="124"/>
  <c r="AY29" i="124"/>
  <c r="AU27" i="124"/>
  <c r="R27" i="124"/>
  <c r="AX27" i="124"/>
  <c r="AW25" i="124"/>
  <c r="AY25" i="124"/>
  <c r="AU23" i="124"/>
  <c r="R23" i="124"/>
  <c r="AX23" i="124"/>
  <c r="AW21" i="124"/>
  <c r="AY21" i="124"/>
  <c r="AU19" i="124"/>
  <c r="R19" i="124"/>
  <c r="AX19" i="124"/>
  <c r="AW17" i="124"/>
  <c r="AY17" i="124"/>
  <c r="AU15" i="124"/>
  <c r="R15" i="124"/>
  <c r="AX15" i="124"/>
  <c r="AW13" i="124"/>
  <c r="AY13" i="124"/>
  <c r="AU11" i="124"/>
  <c r="R11" i="124"/>
  <c r="AX11" i="124"/>
  <c r="AW9" i="124"/>
  <c r="AY9" i="124"/>
  <c r="AU7" i="124"/>
  <c r="R7" i="124"/>
  <c r="AX7" i="124"/>
  <c r="AW5" i="124"/>
  <c r="AY5" i="124"/>
  <c r="AU3" i="124"/>
  <c r="R3" i="124"/>
  <c r="AX3" i="124"/>
  <c r="AU26" i="124"/>
  <c r="R26" i="124"/>
  <c r="AX26" i="124"/>
  <c r="AU24" i="124"/>
  <c r="R24" i="124"/>
  <c r="AX24" i="124"/>
  <c r="AU22" i="124"/>
  <c r="R22" i="124"/>
  <c r="AX22" i="124"/>
  <c r="AK18" i="124"/>
  <c r="AO18" i="124"/>
  <c r="R18" i="124"/>
  <c r="AU16" i="124"/>
  <c r="R16" i="124"/>
  <c r="AX16" i="124"/>
  <c r="AU14" i="124"/>
  <c r="R14" i="124"/>
  <c r="AX14" i="124"/>
  <c r="AU12" i="124"/>
  <c r="R12" i="124"/>
  <c r="AX12" i="124"/>
  <c r="Q10" i="124"/>
  <c r="U10" i="124"/>
  <c r="AU6" i="124"/>
  <c r="R6" i="124"/>
  <c r="AX6" i="124"/>
  <c r="R4" i="124"/>
  <c r="AU448" i="124"/>
  <c r="R448" i="124"/>
  <c r="AX447" i="124"/>
  <c r="AU446" i="124"/>
  <c r="R446" i="124"/>
  <c r="AX445" i="124"/>
  <c r="W439" i="124"/>
  <c r="X439" i="124" s="1"/>
  <c r="U439" i="124"/>
  <c r="V439" i="124" s="1"/>
  <c r="S439" i="124"/>
  <c r="T439" i="124" s="1"/>
  <c r="Q439" i="124"/>
  <c r="W438" i="124"/>
  <c r="X438" i="124" s="1"/>
  <c r="U438" i="124"/>
  <c r="V438" i="124" s="1"/>
  <c r="S438" i="124"/>
  <c r="T438" i="124" s="1"/>
  <c r="Q438" i="124"/>
  <c r="W437" i="124"/>
  <c r="X437" i="124" s="1"/>
  <c r="U437" i="124"/>
  <c r="V437" i="124" s="1"/>
  <c r="S437" i="124"/>
  <c r="T437" i="124" s="1"/>
  <c r="Q437" i="124"/>
  <c r="W436" i="124"/>
  <c r="X436" i="124" s="1"/>
  <c r="U436" i="124"/>
  <c r="V436" i="124" s="1"/>
  <c r="S436" i="124"/>
  <c r="T436" i="124" s="1"/>
  <c r="Q436" i="124"/>
  <c r="AW444" i="124"/>
  <c r="AW443" i="124"/>
  <c r="AW442" i="124"/>
  <c r="W432" i="124"/>
  <c r="X432" i="124" s="1"/>
  <c r="U432" i="124"/>
  <c r="V432" i="124" s="1"/>
  <c r="S432" i="124"/>
  <c r="T432" i="124" s="1"/>
  <c r="Q432" i="124"/>
  <c r="W430" i="124"/>
  <c r="X430" i="124" s="1"/>
  <c r="U430" i="124"/>
  <c r="V430" i="124" s="1"/>
  <c r="S430" i="124"/>
  <c r="T430" i="124" s="1"/>
  <c r="Q430" i="124"/>
  <c r="W428" i="124"/>
  <c r="X428" i="124" s="1"/>
  <c r="U428" i="124"/>
  <c r="V428" i="124" s="1"/>
  <c r="S428" i="124"/>
  <c r="T428" i="124" s="1"/>
  <c r="Q428" i="124"/>
  <c r="W427" i="124"/>
  <c r="X427" i="124" s="1"/>
  <c r="U427" i="124"/>
  <c r="V427" i="124" s="1"/>
  <c r="S427" i="124"/>
  <c r="T427" i="124" s="1"/>
  <c r="Q427" i="124"/>
  <c r="W426" i="124"/>
  <c r="X426" i="124" s="1"/>
  <c r="U426" i="124"/>
  <c r="V426" i="124" s="1"/>
  <c r="S426" i="124"/>
  <c r="T426" i="124" s="1"/>
  <c r="Q426" i="124"/>
  <c r="W425" i="124"/>
  <c r="X425" i="124" s="1"/>
  <c r="U425" i="124"/>
  <c r="V425" i="124" s="1"/>
  <c r="S425" i="124"/>
  <c r="T425" i="124" s="1"/>
  <c r="Q425" i="124"/>
  <c r="W424" i="124"/>
  <c r="X424" i="124" s="1"/>
  <c r="U424" i="124"/>
  <c r="V424" i="124" s="1"/>
  <c r="S424" i="124"/>
  <c r="T424" i="124" s="1"/>
  <c r="Q424" i="124"/>
  <c r="W423" i="124"/>
  <c r="X423" i="124" s="1"/>
  <c r="U423" i="124"/>
  <c r="V423" i="124" s="1"/>
  <c r="S423" i="124"/>
  <c r="T423" i="124" s="1"/>
  <c r="Q423" i="124"/>
  <c r="W422" i="124"/>
  <c r="X422" i="124" s="1"/>
  <c r="U422" i="124"/>
  <c r="V422" i="124" s="1"/>
  <c r="S422" i="124"/>
  <c r="T422" i="124" s="1"/>
  <c r="Q422" i="124"/>
  <c r="AO164" i="124"/>
  <c r="AP164" i="124" s="1"/>
  <c r="AK164" i="124"/>
  <c r="AL164" i="124" s="1"/>
  <c r="AQ164" i="124"/>
  <c r="AR164" i="124" s="1"/>
  <c r="AM164" i="124"/>
  <c r="AN164" i="124" s="1"/>
  <c r="AO417" i="124"/>
  <c r="AP417" i="124" s="1"/>
  <c r="AK417" i="124"/>
  <c r="AL417" i="124" s="1"/>
  <c r="AQ417" i="124"/>
  <c r="AR417" i="124" s="1"/>
  <c r="AM417" i="124"/>
  <c r="AN417" i="124" s="1"/>
  <c r="W459" i="124"/>
  <c r="X459" i="124" s="1"/>
  <c r="AY459" i="124" s="1"/>
  <c r="U459" i="124"/>
  <c r="V459" i="124" s="1"/>
  <c r="AX459" i="124" s="1"/>
  <c r="S459" i="124"/>
  <c r="T459" i="124" s="1"/>
  <c r="AW459" i="124" s="1"/>
  <c r="Q459" i="124"/>
  <c r="AG460" i="124"/>
  <c r="AH460" i="124" s="1"/>
  <c r="AE460" i="124"/>
  <c r="AF460" i="124" s="1"/>
  <c r="AC460" i="124"/>
  <c r="AD460" i="124" s="1"/>
  <c r="AA460" i="124"/>
  <c r="AB460" i="124" s="1"/>
  <c r="AG458" i="124"/>
  <c r="AH458" i="124" s="1"/>
  <c r="AE458" i="124"/>
  <c r="AF458" i="124" s="1"/>
  <c r="AC458" i="124"/>
  <c r="AD458" i="124" s="1"/>
  <c r="AA458" i="124"/>
  <c r="AB458" i="124" s="1"/>
  <c r="W457" i="124"/>
  <c r="X457" i="124" s="1"/>
  <c r="AY457" i="124" s="1"/>
  <c r="U457" i="124"/>
  <c r="V457" i="124" s="1"/>
  <c r="AX457" i="124" s="1"/>
  <c r="S457" i="124"/>
  <c r="T457" i="124" s="1"/>
  <c r="AW457" i="124" s="1"/>
  <c r="Q457" i="124"/>
  <c r="W456" i="124"/>
  <c r="X456" i="124" s="1"/>
  <c r="AY456" i="124" s="1"/>
  <c r="U456" i="124"/>
  <c r="V456" i="124" s="1"/>
  <c r="AX456" i="124" s="1"/>
  <c r="S456" i="124"/>
  <c r="T456" i="124" s="1"/>
  <c r="AW456" i="124" s="1"/>
  <c r="Q456" i="124"/>
  <c r="W454" i="124"/>
  <c r="X454" i="124" s="1"/>
  <c r="AY454" i="124" s="1"/>
  <c r="U454" i="124"/>
  <c r="V454" i="124" s="1"/>
  <c r="AX454" i="124" s="1"/>
  <c r="S454" i="124"/>
  <c r="T454" i="124" s="1"/>
  <c r="AW454" i="124" s="1"/>
  <c r="Q454" i="124"/>
  <c r="W452" i="124"/>
  <c r="X452" i="124" s="1"/>
  <c r="AY452" i="124" s="1"/>
  <c r="U452" i="124"/>
  <c r="V452" i="124" s="1"/>
  <c r="AX452" i="124" s="1"/>
  <c r="S452" i="124"/>
  <c r="T452" i="124" s="1"/>
  <c r="AW452" i="124" s="1"/>
  <c r="Q452" i="124"/>
  <c r="AG455" i="124"/>
  <c r="AH455" i="124" s="1"/>
  <c r="AE455" i="124"/>
  <c r="AF455" i="124" s="1"/>
  <c r="AC455" i="124"/>
  <c r="AD455" i="124" s="1"/>
  <c r="AA455" i="124"/>
  <c r="AB455" i="124" s="1"/>
  <c r="AG453" i="124"/>
  <c r="AH453" i="124" s="1"/>
  <c r="AE453" i="124"/>
  <c r="AF453" i="124" s="1"/>
  <c r="AC453" i="124"/>
  <c r="AD453" i="124" s="1"/>
  <c r="AA453" i="124"/>
  <c r="AB453" i="124" s="1"/>
  <c r="AG451" i="124"/>
  <c r="AH451" i="124" s="1"/>
  <c r="AE451" i="124"/>
  <c r="AF451" i="124" s="1"/>
  <c r="AC451" i="124"/>
  <c r="AD451" i="124" s="1"/>
  <c r="AA451" i="124"/>
  <c r="AB451" i="124" s="1"/>
  <c r="AO450" i="124"/>
  <c r="AP450" i="124" s="1"/>
  <c r="AK450" i="124"/>
  <c r="AL450" i="124" s="1"/>
  <c r="AQ450" i="124"/>
  <c r="AR450" i="124" s="1"/>
  <c r="AM450" i="124"/>
  <c r="AN450" i="124" s="1"/>
  <c r="AQ451" i="124"/>
  <c r="AR451" i="124" s="1"/>
  <c r="AM451" i="124"/>
  <c r="AN451" i="124" s="1"/>
  <c r="AO451" i="124"/>
  <c r="AP451" i="124" s="1"/>
  <c r="AK451" i="124"/>
  <c r="AL451" i="124" s="1"/>
  <c r="W449" i="124"/>
  <c r="X449" i="124" s="1"/>
  <c r="AY449" i="124" s="1"/>
  <c r="U449" i="124"/>
  <c r="V449" i="124" s="1"/>
  <c r="AX449" i="124" s="1"/>
  <c r="S449" i="124"/>
  <c r="T449" i="124" s="1"/>
  <c r="AW449" i="124" s="1"/>
  <c r="Q449" i="124"/>
  <c r="AW448" i="124"/>
  <c r="AY448" i="124"/>
  <c r="AW447" i="124"/>
  <c r="AY447" i="124"/>
  <c r="AW446" i="124"/>
  <c r="AY446" i="124"/>
  <c r="AW445" i="124"/>
  <c r="AY445" i="124"/>
  <c r="AQ441" i="124"/>
  <c r="AR441" i="124" s="1"/>
  <c r="AY441" i="124" s="1"/>
  <c r="AO441" i="124"/>
  <c r="AP441" i="124" s="1"/>
  <c r="AX441" i="124" s="1"/>
  <c r="AM441" i="124"/>
  <c r="AN441" i="124" s="1"/>
  <c r="AW441" i="124" s="1"/>
  <c r="AK441" i="124"/>
  <c r="AL441" i="124" s="1"/>
  <c r="AQ439" i="124"/>
  <c r="AR439" i="124" s="1"/>
  <c r="AO439" i="124"/>
  <c r="AP439" i="124" s="1"/>
  <c r="AM439" i="124"/>
  <c r="AN439" i="124" s="1"/>
  <c r="AK439" i="124"/>
  <c r="AL439" i="124" s="1"/>
  <c r="AQ438" i="124"/>
  <c r="AR438" i="124" s="1"/>
  <c r="AO438" i="124"/>
  <c r="AP438" i="124" s="1"/>
  <c r="AM438" i="124"/>
  <c r="AN438" i="124" s="1"/>
  <c r="AK438" i="124"/>
  <c r="AL438" i="124" s="1"/>
  <c r="AQ437" i="124"/>
  <c r="AR437" i="124" s="1"/>
  <c r="AO437" i="124"/>
  <c r="AP437" i="124" s="1"/>
  <c r="AM437" i="124"/>
  <c r="AN437" i="124" s="1"/>
  <c r="AK437" i="124"/>
  <c r="AL437" i="124" s="1"/>
  <c r="AQ436" i="124"/>
  <c r="AR436" i="124" s="1"/>
  <c r="AO436" i="124"/>
  <c r="AP436" i="124" s="1"/>
  <c r="AM436" i="124"/>
  <c r="AN436" i="124" s="1"/>
  <c r="AK436" i="124"/>
  <c r="AL436" i="124" s="1"/>
  <c r="AU444" i="124"/>
  <c r="R444" i="124"/>
  <c r="AX444" i="124"/>
  <c r="AU443" i="124"/>
  <c r="R443" i="124"/>
  <c r="AX443" i="124"/>
  <c r="AU442" i="124"/>
  <c r="R442" i="124"/>
  <c r="AX442" i="124"/>
  <c r="R441" i="124"/>
  <c r="AU440" i="124"/>
  <c r="R440" i="124"/>
  <c r="AX440" i="124"/>
  <c r="W434" i="124"/>
  <c r="X434" i="124" s="1"/>
  <c r="AY434" i="124" s="1"/>
  <c r="S434" i="124"/>
  <c r="T434" i="124" s="1"/>
  <c r="AW434" i="124" s="1"/>
  <c r="U434" i="124"/>
  <c r="V434" i="124" s="1"/>
  <c r="AX434" i="124" s="1"/>
  <c r="Q434" i="124"/>
  <c r="W435" i="124"/>
  <c r="X435" i="124" s="1"/>
  <c r="U435" i="124"/>
  <c r="V435" i="124" s="1"/>
  <c r="S435" i="124"/>
  <c r="T435" i="124" s="1"/>
  <c r="Q435" i="124"/>
  <c r="AG435" i="124"/>
  <c r="AH435" i="124" s="1"/>
  <c r="AE435" i="124"/>
  <c r="AF435" i="124" s="1"/>
  <c r="AC435" i="124"/>
  <c r="AD435" i="124" s="1"/>
  <c r="AA435" i="124"/>
  <c r="AB435" i="124" s="1"/>
  <c r="AQ432" i="124"/>
  <c r="AR432" i="124" s="1"/>
  <c r="AO432" i="124"/>
  <c r="AP432" i="124" s="1"/>
  <c r="AM432" i="124"/>
  <c r="AN432" i="124" s="1"/>
  <c r="AK432" i="124"/>
  <c r="AL432" i="124" s="1"/>
  <c r="AQ431" i="124"/>
  <c r="AR431" i="124" s="1"/>
  <c r="AO431" i="124"/>
  <c r="AP431" i="124" s="1"/>
  <c r="AM431" i="124"/>
  <c r="AN431" i="124" s="1"/>
  <c r="AK431" i="124"/>
  <c r="AL431" i="124" s="1"/>
  <c r="AQ430" i="124"/>
  <c r="AR430" i="124" s="1"/>
  <c r="AO430" i="124"/>
  <c r="AP430" i="124" s="1"/>
  <c r="AM430" i="124"/>
  <c r="AN430" i="124" s="1"/>
  <c r="AK430" i="124"/>
  <c r="AL430" i="124" s="1"/>
  <c r="AQ429" i="124"/>
  <c r="AR429" i="124" s="1"/>
  <c r="AO429" i="124"/>
  <c r="AP429" i="124" s="1"/>
  <c r="AM429" i="124"/>
  <c r="AN429" i="124" s="1"/>
  <c r="AK429" i="124"/>
  <c r="AL429" i="124" s="1"/>
  <c r="AQ428" i="124"/>
  <c r="AR428" i="124" s="1"/>
  <c r="AO428" i="124"/>
  <c r="AP428" i="124" s="1"/>
  <c r="AM428" i="124"/>
  <c r="AN428" i="124" s="1"/>
  <c r="AK428" i="124"/>
  <c r="AL428" i="124" s="1"/>
  <c r="AQ427" i="124"/>
  <c r="AR427" i="124" s="1"/>
  <c r="AO427" i="124"/>
  <c r="AP427" i="124" s="1"/>
  <c r="AM427" i="124"/>
  <c r="AN427" i="124" s="1"/>
  <c r="AK427" i="124"/>
  <c r="AL427" i="124" s="1"/>
  <c r="AQ426" i="124"/>
  <c r="AR426" i="124" s="1"/>
  <c r="AO426" i="124"/>
  <c r="AP426" i="124" s="1"/>
  <c r="AM426" i="124"/>
  <c r="AN426" i="124" s="1"/>
  <c r="AK426" i="124"/>
  <c r="AL426" i="124" s="1"/>
  <c r="AQ425" i="124"/>
  <c r="AR425" i="124" s="1"/>
  <c r="AO425" i="124"/>
  <c r="AP425" i="124" s="1"/>
  <c r="AM425" i="124"/>
  <c r="AN425" i="124" s="1"/>
  <c r="AK425" i="124"/>
  <c r="AL425" i="124" s="1"/>
  <c r="AQ424" i="124"/>
  <c r="AR424" i="124" s="1"/>
  <c r="AO424" i="124"/>
  <c r="AP424" i="124" s="1"/>
  <c r="AM424" i="124"/>
  <c r="AN424" i="124" s="1"/>
  <c r="AK424" i="124"/>
  <c r="AL424" i="124" s="1"/>
  <c r="AQ423" i="124"/>
  <c r="AR423" i="124" s="1"/>
  <c r="AO423" i="124"/>
  <c r="AP423" i="124" s="1"/>
  <c r="AM423" i="124"/>
  <c r="AN423" i="124" s="1"/>
  <c r="AK423" i="124"/>
  <c r="AL423" i="124" s="1"/>
  <c r="AQ422" i="124"/>
  <c r="AR422" i="124" s="1"/>
  <c r="AO422" i="124"/>
  <c r="AP422" i="124" s="1"/>
  <c r="AM422" i="124"/>
  <c r="AN422" i="124" s="1"/>
  <c r="AK422" i="124"/>
  <c r="AL422" i="124" s="1"/>
  <c r="W421" i="124"/>
  <c r="X421" i="124" s="1"/>
  <c r="AY421" i="124" s="1"/>
  <c r="S421" i="124"/>
  <c r="T421" i="124" s="1"/>
  <c r="AW421" i="124" s="1"/>
  <c r="U421" i="124"/>
  <c r="V421" i="124" s="1"/>
  <c r="AX421" i="124" s="1"/>
  <c r="Q421" i="124"/>
  <c r="W164" i="124"/>
  <c r="X164" i="124" s="1"/>
  <c r="S164" i="124"/>
  <c r="T164" i="124" s="1"/>
  <c r="AW164" i="124" s="1"/>
  <c r="U164" i="124"/>
  <c r="V164" i="124" s="1"/>
  <c r="Q164" i="124"/>
  <c r="W417" i="124"/>
  <c r="X417" i="124" s="1"/>
  <c r="S417" i="124"/>
  <c r="T417" i="124" s="1"/>
  <c r="AW417" i="124" s="1"/>
  <c r="U417" i="124"/>
  <c r="V417" i="124" s="1"/>
  <c r="Q417" i="124"/>
  <c r="W415" i="124"/>
  <c r="X415" i="124" s="1"/>
  <c r="AY415" i="124" s="1"/>
  <c r="S415" i="124"/>
  <c r="T415" i="124" s="1"/>
  <c r="AW415" i="124" s="1"/>
  <c r="U415" i="124"/>
  <c r="V415" i="124" s="1"/>
  <c r="AX415" i="124" s="1"/>
  <c r="Q415" i="124"/>
  <c r="U420" i="124"/>
  <c r="V420" i="124" s="1"/>
  <c r="AX420" i="124" s="1"/>
  <c r="Q420" i="124"/>
  <c r="W420" i="124"/>
  <c r="X420" i="124" s="1"/>
  <c r="AY420" i="124" s="1"/>
  <c r="S420" i="124"/>
  <c r="T420" i="124" s="1"/>
  <c r="AW420" i="124" s="1"/>
  <c r="U418" i="124"/>
  <c r="V418" i="124" s="1"/>
  <c r="AX418" i="124" s="1"/>
  <c r="Q418" i="124"/>
  <c r="W418" i="124"/>
  <c r="X418" i="124" s="1"/>
  <c r="AY418" i="124" s="1"/>
  <c r="S418" i="124"/>
  <c r="T418" i="124" s="1"/>
  <c r="AW418" i="124" s="1"/>
  <c r="U416" i="124"/>
  <c r="V416" i="124" s="1"/>
  <c r="AX416" i="124" s="1"/>
  <c r="Q416" i="124"/>
  <c r="W416" i="124"/>
  <c r="X416" i="124" s="1"/>
  <c r="AY416" i="124" s="1"/>
  <c r="S416" i="124"/>
  <c r="T416" i="124" s="1"/>
  <c r="AW416" i="124" s="1"/>
  <c r="U414" i="124"/>
  <c r="V414" i="124" s="1"/>
  <c r="AX414" i="124" s="1"/>
  <c r="Q414" i="124"/>
  <c r="W414" i="124"/>
  <c r="X414" i="124" s="1"/>
  <c r="AY414" i="124" s="1"/>
  <c r="S414" i="124"/>
  <c r="T414" i="124" s="1"/>
  <c r="AW414" i="124" s="1"/>
  <c r="R413" i="124"/>
  <c r="AU413" i="124"/>
  <c r="AX413" i="124"/>
  <c r="R412" i="124"/>
  <c r="AU412" i="124"/>
  <c r="AX412" i="124"/>
  <c r="R411" i="124"/>
  <c r="AU411" i="124"/>
  <c r="AX411" i="124"/>
  <c r="R410" i="124"/>
  <c r="AU410" i="124"/>
  <c r="AX410" i="124"/>
  <c r="R409" i="124"/>
  <c r="AU409" i="124"/>
  <c r="AX409" i="124"/>
  <c r="R408" i="124"/>
  <c r="AU408" i="124"/>
  <c r="AX408" i="124"/>
  <c r="R162" i="124"/>
  <c r="AU162" i="124"/>
  <c r="AX162" i="124"/>
  <c r="R406" i="124"/>
  <c r="AU406" i="124"/>
  <c r="AX406" i="124"/>
  <c r="R131" i="124"/>
  <c r="AU131" i="124"/>
  <c r="AX131" i="124"/>
  <c r="R404" i="124"/>
  <c r="AU404" i="124"/>
  <c r="AX404" i="124"/>
  <c r="R403" i="124"/>
  <c r="AU403" i="124"/>
  <c r="AX403" i="124"/>
  <c r="R130" i="124"/>
  <c r="AU130" i="124"/>
  <c r="AX130" i="124"/>
  <c r="R401" i="124"/>
  <c r="AU401" i="124"/>
  <c r="AX401" i="124"/>
  <c r="R400" i="124"/>
  <c r="AU400" i="124"/>
  <c r="AX400" i="124"/>
  <c r="R399" i="124"/>
  <c r="AU399" i="124"/>
  <c r="AX399" i="124"/>
  <c r="R398" i="124"/>
  <c r="AU398" i="124"/>
  <c r="AX398" i="124"/>
  <c r="AU397" i="124"/>
  <c r="R397" i="124"/>
  <c r="AU395" i="124"/>
  <c r="R395" i="124"/>
  <c r="AU393" i="124"/>
  <c r="R393" i="124"/>
  <c r="AU391" i="124"/>
  <c r="R391" i="124"/>
  <c r="AU389" i="124"/>
  <c r="R389" i="124"/>
  <c r="AU396" i="124"/>
  <c r="R396" i="124"/>
  <c r="AX396" i="124"/>
  <c r="AU392" i="124"/>
  <c r="R392" i="124"/>
  <c r="AX392" i="124"/>
  <c r="AU388" i="124"/>
  <c r="R388" i="124"/>
  <c r="AX388" i="124"/>
  <c r="AU387" i="124"/>
  <c r="R387" i="124"/>
  <c r="AX387" i="124"/>
  <c r="AU386" i="124"/>
  <c r="R386" i="124"/>
  <c r="AX386" i="124"/>
  <c r="AU385" i="124"/>
  <c r="R385" i="124"/>
  <c r="AX385" i="124"/>
  <c r="AU384" i="124"/>
  <c r="R384" i="124"/>
  <c r="AX384" i="124"/>
  <c r="AU383" i="124"/>
  <c r="R383" i="124"/>
  <c r="AX383" i="124"/>
  <c r="AU382" i="124"/>
  <c r="R382" i="124"/>
  <c r="AX382" i="124"/>
  <c r="AU381" i="124"/>
  <c r="R381" i="124"/>
  <c r="AX381" i="124"/>
  <c r="AU380" i="124"/>
  <c r="R380" i="124"/>
  <c r="AX380" i="124"/>
  <c r="AU379" i="124"/>
  <c r="R379" i="124"/>
  <c r="AX379" i="124"/>
  <c r="AU378" i="124"/>
  <c r="R378" i="124"/>
  <c r="AX378" i="124"/>
  <c r="AU377" i="124"/>
  <c r="R377" i="124"/>
  <c r="AX377" i="124"/>
  <c r="AU376" i="124"/>
  <c r="R376" i="124"/>
  <c r="AX376" i="124"/>
  <c r="AU375" i="124"/>
  <c r="R375" i="124"/>
  <c r="AX375" i="124"/>
  <c r="AU374" i="124"/>
  <c r="R374" i="124"/>
  <c r="AX374" i="124"/>
  <c r="AU373" i="124"/>
  <c r="R373" i="124"/>
  <c r="AX373" i="124"/>
  <c r="AU372" i="124"/>
  <c r="R372" i="124"/>
  <c r="AX372" i="124"/>
  <c r="AW371" i="124"/>
  <c r="AU369" i="124"/>
  <c r="R369" i="124"/>
  <c r="AX369" i="124"/>
  <c r="AW367" i="124"/>
  <c r="AU365" i="124"/>
  <c r="R365" i="124"/>
  <c r="AW363" i="124"/>
  <c r="AU361" i="124"/>
  <c r="R361" i="124"/>
  <c r="AW359" i="124"/>
  <c r="AU357" i="124"/>
  <c r="R357" i="124"/>
  <c r="AW355" i="124"/>
  <c r="AW394" i="124"/>
  <c r="AY394" i="124"/>
  <c r="AW390" i="124"/>
  <c r="AY390" i="124"/>
  <c r="W353" i="124"/>
  <c r="X353" i="124" s="1"/>
  <c r="AY353" i="124" s="1"/>
  <c r="U353" i="124"/>
  <c r="V353" i="124" s="1"/>
  <c r="AX353" i="124" s="1"/>
  <c r="S353" i="124"/>
  <c r="T353" i="124" s="1"/>
  <c r="AW353" i="124" s="1"/>
  <c r="Q353" i="124"/>
  <c r="W352" i="124"/>
  <c r="X352" i="124" s="1"/>
  <c r="AY352" i="124" s="1"/>
  <c r="U352" i="124"/>
  <c r="V352" i="124" s="1"/>
  <c r="AX352" i="124" s="1"/>
  <c r="S352" i="124"/>
  <c r="T352" i="124" s="1"/>
  <c r="AW352" i="124" s="1"/>
  <c r="Q352" i="124"/>
  <c r="W351" i="124"/>
  <c r="X351" i="124" s="1"/>
  <c r="AY351" i="124" s="1"/>
  <c r="U351" i="124"/>
  <c r="V351" i="124" s="1"/>
  <c r="AX351" i="124" s="1"/>
  <c r="S351" i="124"/>
  <c r="T351" i="124" s="1"/>
  <c r="AW351" i="124" s="1"/>
  <c r="Q351" i="124"/>
  <c r="W350" i="124"/>
  <c r="X350" i="124" s="1"/>
  <c r="AY350" i="124" s="1"/>
  <c r="U350" i="124"/>
  <c r="V350" i="124" s="1"/>
  <c r="AX350" i="124" s="1"/>
  <c r="S350" i="124"/>
  <c r="T350" i="124" s="1"/>
  <c r="AW350" i="124" s="1"/>
  <c r="Q350" i="124"/>
  <c r="W349" i="124"/>
  <c r="X349" i="124" s="1"/>
  <c r="AY349" i="124" s="1"/>
  <c r="U349" i="124"/>
  <c r="V349" i="124" s="1"/>
  <c r="AX349" i="124" s="1"/>
  <c r="S349" i="124"/>
  <c r="T349" i="124" s="1"/>
  <c r="AW349" i="124" s="1"/>
  <c r="Q349" i="124"/>
  <c r="W348" i="124"/>
  <c r="X348" i="124" s="1"/>
  <c r="AY348" i="124" s="1"/>
  <c r="U348" i="124"/>
  <c r="V348" i="124" s="1"/>
  <c r="AX348" i="124" s="1"/>
  <c r="S348" i="124"/>
  <c r="T348" i="124" s="1"/>
  <c r="AW348" i="124" s="1"/>
  <c r="Q348" i="124"/>
  <c r="W347" i="124"/>
  <c r="X347" i="124" s="1"/>
  <c r="AY347" i="124" s="1"/>
  <c r="U347" i="124"/>
  <c r="V347" i="124" s="1"/>
  <c r="AX347" i="124" s="1"/>
  <c r="S347" i="124"/>
  <c r="T347" i="124" s="1"/>
  <c r="AW347" i="124" s="1"/>
  <c r="Q347" i="124"/>
  <c r="W346" i="124"/>
  <c r="X346" i="124" s="1"/>
  <c r="AY346" i="124" s="1"/>
  <c r="U346" i="124"/>
  <c r="V346" i="124" s="1"/>
  <c r="AX346" i="124" s="1"/>
  <c r="S346" i="124"/>
  <c r="T346" i="124" s="1"/>
  <c r="AW346" i="124" s="1"/>
  <c r="Q346" i="124"/>
  <c r="W345" i="124"/>
  <c r="X345" i="124" s="1"/>
  <c r="AY345" i="124" s="1"/>
  <c r="U345" i="124"/>
  <c r="V345" i="124" s="1"/>
  <c r="AX345" i="124" s="1"/>
  <c r="S345" i="124"/>
  <c r="T345" i="124" s="1"/>
  <c r="AW345" i="124" s="1"/>
  <c r="Q345" i="124"/>
  <c r="W344" i="124"/>
  <c r="X344" i="124" s="1"/>
  <c r="AY344" i="124" s="1"/>
  <c r="U344" i="124"/>
  <c r="V344" i="124" s="1"/>
  <c r="AX344" i="124" s="1"/>
  <c r="S344" i="124"/>
  <c r="T344" i="124" s="1"/>
  <c r="AW344" i="124" s="1"/>
  <c r="Q344" i="124"/>
  <c r="W343" i="124"/>
  <c r="X343" i="124" s="1"/>
  <c r="AY343" i="124" s="1"/>
  <c r="U343" i="124"/>
  <c r="V343" i="124" s="1"/>
  <c r="AX343" i="124" s="1"/>
  <c r="S343" i="124"/>
  <c r="T343" i="124" s="1"/>
  <c r="AW343" i="124" s="1"/>
  <c r="Q343" i="124"/>
  <c r="W342" i="124"/>
  <c r="X342" i="124" s="1"/>
  <c r="AY342" i="124" s="1"/>
  <c r="U342" i="124"/>
  <c r="V342" i="124" s="1"/>
  <c r="AX342" i="124" s="1"/>
  <c r="S342" i="124"/>
  <c r="T342" i="124" s="1"/>
  <c r="AW342" i="124" s="1"/>
  <c r="Q342" i="124"/>
  <c r="W341" i="124"/>
  <c r="X341" i="124" s="1"/>
  <c r="AY341" i="124" s="1"/>
  <c r="U341" i="124"/>
  <c r="V341" i="124" s="1"/>
  <c r="AX341" i="124" s="1"/>
  <c r="S341" i="124"/>
  <c r="T341" i="124" s="1"/>
  <c r="AW341" i="124" s="1"/>
  <c r="Q341" i="124"/>
  <c r="AW368" i="124"/>
  <c r="AY368" i="124"/>
  <c r="AW364" i="124"/>
  <c r="AY364" i="124"/>
  <c r="AW360" i="124"/>
  <c r="AY360" i="124"/>
  <c r="AW356" i="124"/>
  <c r="AY356" i="124"/>
  <c r="W339" i="124"/>
  <c r="X339" i="124" s="1"/>
  <c r="AY339" i="124" s="1"/>
  <c r="S339" i="124"/>
  <c r="T339" i="124" s="1"/>
  <c r="AW339" i="124" s="1"/>
  <c r="U339" i="124"/>
  <c r="V339" i="124" s="1"/>
  <c r="AX339" i="124" s="1"/>
  <c r="Q339" i="124"/>
  <c r="AG338" i="124"/>
  <c r="AH338" i="124" s="1"/>
  <c r="AE338" i="124"/>
  <c r="AF338" i="124" s="1"/>
  <c r="AC338" i="124"/>
  <c r="AD338" i="124" s="1"/>
  <c r="AA338" i="124"/>
  <c r="AB338" i="124" s="1"/>
  <c r="AO337" i="124"/>
  <c r="AP337" i="124" s="1"/>
  <c r="AK337" i="124"/>
  <c r="AL337" i="124" s="1"/>
  <c r="AQ337" i="124"/>
  <c r="AR337" i="124" s="1"/>
  <c r="AM337" i="124"/>
  <c r="AN337" i="124" s="1"/>
  <c r="AO335" i="124"/>
  <c r="AP335" i="124" s="1"/>
  <c r="AK335" i="124"/>
  <c r="AL335" i="124" s="1"/>
  <c r="AQ335" i="124"/>
  <c r="AR335" i="124" s="1"/>
  <c r="AM335" i="124"/>
  <c r="AN335" i="124" s="1"/>
  <c r="AO333" i="124"/>
  <c r="AP333" i="124" s="1"/>
  <c r="AK333" i="124"/>
  <c r="AL333" i="124" s="1"/>
  <c r="AQ333" i="124"/>
  <c r="AR333" i="124" s="1"/>
  <c r="AM333" i="124"/>
  <c r="AN333" i="124" s="1"/>
  <c r="AO331" i="124"/>
  <c r="AP331" i="124" s="1"/>
  <c r="AK331" i="124"/>
  <c r="AL331" i="124" s="1"/>
  <c r="AQ331" i="124"/>
  <c r="AR331" i="124" s="1"/>
  <c r="AM331" i="124"/>
  <c r="AN331" i="124" s="1"/>
  <c r="AO329" i="124"/>
  <c r="AP329" i="124" s="1"/>
  <c r="AK329" i="124"/>
  <c r="AL329" i="124" s="1"/>
  <c r="AQ329" i="124"/>
  <c r="AR329" i="124" s="1"/>
  <c r="AM329" i="124"/>
  <c r="AN329" i="124" s="1"/>
  <c r="AO327" i="124"/>
  <c r="AP327" i="124" s="1"/>
  <c r="AK327" i="124"/>
  <c r="AL327" i="124" s="1"/>
  <c r="AQ327" i="124"/>
  <c r="AR327" i="124" s="1"/>
  <c r="AM327" i="124"/>
  <c r="AN327" i="124" s="1"/>
  <c r="AO325" i="124"/>
  <c r="AP325" i="124" s="1"/>
  <c r="AK325" i="124"/>
  <c r="AL325" i="124" s="1"/>
  <c r="AQ325" i="124"/>
  <c r="AR325" i="124" s="1"/>
  <c r="AM325" i="124"/>
  <c r="AN325" i="124" s="1"/>
  <c r="AW370" i="124"/>
  <c r="AY370" i="124"/>
  <c r="AW366" i="124"/>
  <c r="AY366" i="124"/>
  <c r="AW362" i="124"/>
  <c r="AY362" i="124"/>
  <c r="AW358" i="124"/>
  <c r="AY358" i="124"/>
  <c r="AW354" i="124"/>
  <c r="AY354" i="124"/>
  <c r="AQ340" i="124"/>
  <c r="AR340" i="124" s="1"/>
  <c r="AM340" i="124"/>
  <c r="AN340" i="124" s="1"/>
  <c r="AO340" i="124"/>
  <c r="AP340" i="124" s="1"/>
  <c r="AK340" i="124"/>
  <c r="AL340" i="124" s="1"/>
  <c r="AQ338" i="124"/>
  <c r="AR338" i="124" s="1"/>
  <c r="AM338" i="124"/>
  <c r="AN338" i="124" s="1"/>
  <c r="AO338" i="124"/>
  <c r="AP338" i="124" s="1"/>
  <c r="AK338" i="124"/>
  <c r="AL338" i="124" s="1"/>
  <c r="AQ336" i="124"/>
  <c r="AR336" i="124" s="1"/>
  <c r="AM336" i="124"/>
  <c r="AN336" i="124" s="1"/>
  <c r="AO336" i="124"/>
  <c r="AP336" i="124" s="1"/>
  <c r="AK336" i="124"/>
  <c r="AL336" i="124" s="1"/>
  <c r="AQ334" i="124"/>
  <c r="AR334" i="124" s="1"/>
  <c r="AM334" i="124"/>
  <c r="AN334" i="124" s="1"/>
  <c r="AO334" i="124"/>
  <c r="AP334" i="124" s="1"/>
  <c r="AK334" i="124"/>
  <c r="AL334" i="124" s="1"/>
  <c r="AQ332" i="124"/>
  <c r="AR332" i="124" s="1"/>
  <c r="AM332" i="124"/>
  <c r="AN332" i="124" s="1"/>
  <c r="AO332" i="124"/>
  <c r="AP332" i="124" s="1"/>
  <c r="AK332" i="124"/>
  <c r="AL332" i="124" s="1"/>
  <c r="AQ330" i="124"/>
  <c r="AR330" i="124" s="1"/>
  <c r="AM330" i="124"/>
  <c r="AN330" i="124" s="1"/>
  <c r="AO330" i="124"/>
  <c r="AP330" i="124" s="1"/>
  <c r="AK330" i="124"/>
  <c r="AL330" i="124" s="1"/>
  <c r="AQ328" i="124"/>
  <c r="AR328" i="124" s="1"/>
  <c r="AM328" i="124"/>
  <c r="AN328" i="124" s="1"/>
  <c r="AO328" i="124"/>
  <c r="AP328" i="124" s="1"/>
  <c r="AK328" i="124"/>
  <c r="AL328" i="124" s="1"/>
  <c r="AQ326" i="124"/>
  <c r="AR326" i="124" s="1"/>
  <c r="AM326" i="124"/>
  <c r="AN326" i="124" s="1"/>
  <c r="AO326" i="124"/>
  <c r="AP326" i="124" s="1"/>
  <c r="AK326" i="124"/>
  <c r="AL326" i="124" s="1"/>
  <c r="AQ324" i="124"/>
  <c r="AR324" i="124" s="1"/>
  <c r="AM324" i="124"/>
  <c r="AN324" i="124" s="1"/>
  <c r="AO324" i="124"/>
  <c r="AP324" i="124" s="1"/>
  <c r="AK324" i="124"/>
  <c r="AL324" i="124" s="1"/>
  <c r="W323" i="124"/>
  <c r="X323" i="124" s="1"/>
  <c r="AY323" i="124" s="1"/>
  <c r="U323" i="124"/>
  <c r="V323" i="124" s="1"/>
  <c r="AX323" i="124" s="1"/>
  <c r="S323" i="124"/>
  <c r="T323" i="124" s="1"/>
  <c r="AW323" i="124" s="1"/>
  <c r="Q323" i="124"/>
  <c r="W322" i="124"/>
  <c r="X322" i="124" s="1"/>
  <c r="AY322" i="124" s="1"/>
  <c r="U322" i="124"/>
  <c r="V322" i="124" s="1"/>
  <c r="AX322" i="124" s="1"/>
  <c r="S322" i="124"/>
  <c r="T322" i="124" s="1"/>
  <c r="AW322" i="124" s="1"/>
  <c r="Q322" i="124"/>
  <c r="W321" i="124"/>
  <c r="X321" i="124" s="1"/>
  <c r="AY321" i="124" s="1"/>
  <c r="U321" i="124"/>
  <c r="V321" i="124" s="1"/>
  <c r="AX321" i="124" s="1"/>
  <c r="S321" i="124"/>
  <c r="T321" i="124" s="1"/>
  <c r="AW321" i="124" s="1"/>
  <c r="Q321" i="124"/>
  <c r="W320" i="124"/>
  <c r="X320" i="124" s="1"/>
  <c r="AY320" i="124" s="1"/>
  <c r="U320" i="124"/>
  <c r="V320" i="124" s="1"/>
  <c r="AX320" i="124" s="1"/>
  <c r="S320" i="124"/>
  <c r="T320" i="124" s="1"/>
  <c r="AW320" i="124" s="1"/>
  <c r="Q320" i="124"/>
  <c r="W319" i="124"/>
  <c r="X319" i="124" s="1"/>
  <c r="AY319" i="124" s="1"/>
  <c r="U319" i="124"/>
  <c r="V319" i="124" s="1"/>
  <c r="AX319" i="124" s="1"/>
  <c r="S319" i="124"/>
  <c r="T319" i="124" s="1"/>
  <c r="AW319" i="124" s="1"/>
  <c r="Q319" i="124"/>
  <c r="W318" i="124"/>
  <c r="X318" i="124" s="1"/>
  <c r="AY318" i="124" s="1"/>
  <c r="U318" i="124"/>
  <c r="V318" i="124" s="1"/>
  <c r="AX318" i="124" s="1"/>
  <c r="S318" i="124"/>
  <c r="T318" i="124" s="1"/>
  <c r="AW318" i="124" s="1"/>
  <c r="Q318" i="124"/>
  <c r="W317" i="124"/>
  <c r="X317" i="124" s="1"/>
  <c r="AY317" i="124" s="1"/>
  <c r="U317" i="124"/>
  <c r="V317" i="124" s="1"/>
  <c r="AX317" i="124" s="1"/>
  <c r="S317" i="124"/>
  <c r="T317" i="124" s="1"/>
  <c r="AW317" i="124" s="1"/>
  <c r="Q317" i="124"/>
  <c r="W316" i="124"/>
  <c r="X316" i="124" s="1"/>
  <c r="AY316" i="124" s="1"/>
  <c r="U316" i="124"/>
  <c r="V316" i="124" s="1"/>
  <c r="AX316" i="124" s="1"/>
  <c r="S316" i="124"/>
  <c r="T316" i="124" s="1"/>
  <c r="AW316" i="124" s="1"/>
  <c r="Q316" i="124"/>
  <c r="W315" i="124"/>
  <c r="X315" i="124" s="1"/>
  <c r="AY315" i="124" s="1"/>
  <c r="U315" i="124"/>
  <c r="V315" i="124" s="1"/>
  <c r="AX315" i="124" s="1"/>
  <c r="S315" i="124"/>
  <c r="T315" i="124" s="1"/>
  <c r="AW315" i="124" s="1"/>
  <c r="Q315" i="124"/>
  <c r="W314" i="124"/>
  <c r="X314" i="124" s="1"/>
  <c r="AY314" i="124" s="1"/>
  <c r="U314" i="124"/>
  <c r="V314" i="124" s="1"/>
  <c r="AX314" i="124" s="1"/>
  <c r="S314" i="124"/>
  <c r="T314" i="124" s="1"/>
  <c r="AW314" i="124" s="1"/>
  <c r="Q314" i="124"/>
  <c r="W313" i="124"/>
  <c r="X313" i="124" s="1"/>
  <c r="AY313" i="124" s="1"/>
  <c r="U313" i="124"/>
  <c r="V313" i="124" s="1"/>
  <c r="AX313" i="124" s="1"/>
  <c r="S313" i="124"/>
  <c r="T313" i="124" s="1"/>
  <c r="AW313" i="124" s="1"/>
  <c r="Q313" i="124"/>
  <c r="W312" i="124"/>
  <c r="X312" i="124" s="1"/>
  <c r="AY312" i="124" s="1"/>
  <c r="U312" i="124"/>
  <c r="V312" i="124" s="1"/>
  <c r="AX312" i="124" s="1"/>
  <c r="S312" i="124"/>
  <c r="T312" i="124" s="1"/>
  <c r="AW312" i="124" s="1"/>
  <c r="Q312" i="124"/>
  <c r="W311" i="124"/>
  <c r="X311" i="124" s="1"/>
  <c r="AY311" i="124" s="1"/>
  <c r="U311" i="124"/>
  <c r="V311" i="124" s="1"/>
  <c r="AX311" i="124" s="1"/>
  <c r="S311" i="124"/>
  <c r="T311" i="124" s="1"/>
  <c r="AW311" i="124" s="1"/>
  <c r="Q311" i="124"/>
  <c r="W310" i="124"/>
  <c r="X310" i="124" s="1"/>
  <c r="AY310" i="124" s="1"/>
  <c r="U310" i="124"/>
  <c r="V310" i="124" s="1"/>
  <c r="AX310" i="124" s="1"/>
  <c r="S310" i="124"/>
  <c r="T310" i="124" s="1"/>
  <c r="AW310" i="124" s="1"/>
  <c r="Q310" i="124"/>
  <c r="W419" i="124"/>
  <c r="X419" i="124" s="1"/>
  <c r="AY419" i="124" s="1"/>
  <c r="U419" i="124"/>
  <c r="V419" i="124" s="1"/>
  <c r="AX419" i="124" s="1"/>
  <c r="S419" i="124"/>
  <c r="T419" i="124" s="1"/>
  <c r="AW419" i="124" s="1"/>
  <c r="Q419" i="124"/>
  <c r="W308" i="124"/>
  <c r="X308" i="124" s="1"/>
  <c r="AY308" i="124" s="1"/>
  <c r="U308" i="124"/>
  <c r="V308" i="124" s="1"/>
  <c r="AX308" i="124" s="1"/>
  <c r="S308" i="124"/>
  <c r="T308" i="124" s="1"/>
  <c r="AW308" i="124" s="1"/>
  <c r="Q308" i="124"/>
  <c r="W307" i="124"/>
  <c r="X307" i="124" s="1"/>
  <c r="AY307" i="124" s="1"/>
  <c r="U307" i="124"/>
  <c r="V307" i="124" s="1"/>
  <c r="AX307" i="124" s="1"/>
  <c r="S307" i="124"/>
  <c r="T307" i="124" s="1"/>
  <c r="AW307" i="124" s="1"/>
  <c r="Q307" i="124"/>
  <c r="W407" i="124"/>
  <c r="X407" i="124" s="1"/>
  <c r="AY407" i="124" s="1"/>
  <c r="U407" i="124"/>
  <c r="V407" i="124" s="1"/>
  <c r="AX407" i="124" s="1"/>
  <c r="S407" i="124"/>
  <c r="T407" i="124" s="1"/>
  <c r="AW407" i="124" s="1"/>
  <c r="Q407" i="124"/>
  <c r="W305" i="124"/>
  <c r="X305" i="124" s="1"/>
  <c r="AY305" i="124" s="1"/>
  <c r="U305" i="124"/>
  <c r="V305" i="124" s="1"/>
  <c r="AX305" i="124" s="1"/>
  <c r="S305" i="124"/>
  <c r="T305" i="124" s="1"/>
  <c r="AW305" i="124" s="1"/>
  <c r="Q305" i="124"/>
  <c r="W304" i="124"/>
  <c r="X304" i="124" s="1"/>
  <c r="AY304" i="124" s="1"/>
  <c r="U304" i="124"/>
  <c r="V304" i="124" s="1"/>
  <c r="AX304" i="124" s="1"/>
  <c r="S304" i="124"/>
  <c r="T304" i="124" s="1"/>
  <c r="AW304" i="124" s="1"/>
  <c r="Q304" i="124"/>
  <c r="W303" i="124"/>
  <c r="X303" i="124" s="1"/>
  <c r="AY303" i="124" s="1"/>
  <c r="U303" i="124"/>
  <c r="V303" i="124" s="1"/>
  <c r="AX303" i="124" s="1"/>
  <c r="S303" i="124"/>
  <c r="T303" i="124" s="1"/>
  <c r="AW303" i="124" s="1"/>
  <c r="Q303" i="124"/>
  <c r="W302" i="124"/>
  <c r="X302" i="124" s="1"/>
  <c r="AY302" i="124" s="1"/>
  <c r="U302" i="124"/>
  <c r="V302" i="124" s="1"/>
  <c r="AX302" i="124" s="1"/>
  <c r="S302" i="124"/>
  <c r="T302" i="124" s="1"/>
  <c r="AW302" i="124" s="1"/>
  <c r="Q302" i="124"/>
  <c r="W301" i="124"/>
  <c r="X301" i="124" s="1"/>
  <c r="AY301" i="124" s="1"/>
  <c r="U301" i="124"/>
  <c r="V301" i="124" s="1"/>
  <c r="AX301" i="124" s="1"/>
  <c r="S301" i="124"/>
  <c r="T301" i="124" s="1"/>
  <c r="AW301" i="124" s="1"/>
  <c r="Q301" i="124"/>
  <c r="W300" i="124"/>
  <c r="X300" i="124" s="1"/>
  <c r="AY300" i="124" s="1"/>
  <c r="U300" i="124"/>
  <c r="V300" i="124" s="1"/>
  <c r="AX300" i="124" s="1"/>
  <c r="S300" i="124"/>
  <c r="T300" i="124" s="1"/>
  <c r="AW300" i="124" s="1"/>
  <c r="Q300" i="124"/>
  <c r="W299" i="124"/>
  <c r="X299" i="124" s="1"/>
  <c r="AY299" i="124" s="1"/>
  <c r="U299" i="124"/>
  <c r="V299" i="124" s="1"/>
  <c r="AX299" i="124" s="1"/>
  <c r="S299" i="124"/>
  <c r="T299" i="124" s="1"/>
  <c r="AW299" i="124" s="1"/>
  <c r="Q299" i="124"/>
  <c r="W298" i="124"/>
  <c r="X298" i="124" s="1"/>
  <c r="AY298" i="124" s="1"/>
  <c r="U298" i="124"/>
  <c r="V298" i="124" s="1"/>
  <c r="AX298" i="124" s="1"/>
  <c r="S298" i="124"/>
  <c r="T298" i="124" s="1"/>
  <c r="AW298" i="124" s="1"/>
  <c r="Q298" i="124"/>
  <c r="W297" i="124"/>
  <c r="X297" i="124" s="1"/>
  <c r="AY297" i="124" s="1"/>
  <c r="U297" i="124"/>
  <c r="V297" i="124" s="1"/>
  <c r="AX297" i="124" s="1"/>
  <c r="S297" i="124"/>
  <c r="T297" i="124" s="1"/>
  <c r="AW297" i="124" s="1"/>
  <c r="Q297" i="124"/>
  <c r="W296" i="124"/>
  <c r="X296" i="124" s="1"/>
  <c r="AY296" i="124" s="1"/>
  <c r="U296" i="124"/>
  <c r="V296" i="124" s="1"/>
  <c r="AX296" i="124" s="1"/>
  <c r="S296" i="124"/>
  <c r="T296" i="124" s="1"/>
  <c r="AW296" i="124" s="1"/>
  <c r="Q296" i="124"/>
  <c r="W295" i="124"/>
  <c r="X295" i="124" s="1"/>
  <c r="AY295" i="124" s="1"/>
  <c r="U295" i="124"/>
  <c r="V295" i="124" s="1"/>
  <c r="AX295" i="124" s="1"/>
  <c r="S295" i="124"/>
  <c r="T295" i="124" s="1"/>
  <c r="AW295" i="124" s="1"/>
  <c r="Q295" i="124"/>
  <c r="S294" i="124"/>
  <c r="Q294" i="124"/>
  <c r="W294" i="124"/>
  <c r="X294" i="124" s="1"/>
  <c r="AY294" i="124" s="1"/>
  <c r="U294" i="124"/>
  <c r="V294" i="124" s="1"/>
  <c r="AX294" i="124" s="1"/>
  <c r="S293" i="124"/>
  <c r="Q293" i="124"/>
  <c r="W293" i="124"/>
  <c r="X293" i="124" s="1"/>
  <c r="AY293" i="124" s="1"/>
  <c r="U293" i="124"/>
  <c r="V293" i="124" s="1"/>
  <c r="AX293" i="124" s="1"/>
  <c r="S405" i="124"/>
  <c r="Q405" i="124"/>
  <c r="W405" i="124"/>
  <c r="X405" i="124" s="1"/>
  <c r="AY405" i="124" s="1"/>
  <c r="U405" i="124"/>
  <c r="V405" i="124" s="1"/>
  <c r="AX405" i="124" s="1"/>
  <c r="W402" i="124"/>
  <c r="X402" i="124" s="1"/>
  <c r="AY402" i="124" s="1"/>
  <c r="U402" i="124"/>
  <c r="V402" i="124" s="1"/>
  <c r="AX402" i="124" s="1"/>
  <c r="S402" i="124"/>
  <c r="T402" i="124" s="1"/>
  <c r="AW402" i="124" s="1"/>
  <c r="Q402" i="124"/>
  <c r="W309" i="124"/>
  <c r="X309" i="124" s="1"/>
  <c r="AY309" i="124" s="1"/>
  <c r="U309" i="124"/>
  <c r="V309" i="124" s="1"/>
  <c r="AX309" i="124" s="1"/>
  <c r="S309" i="124"/>
  <c r="T309" i="124" s="1"/>
  <c r="AW309" i="124" s="1"/>
  <c r="Q309" i="124"/>
  <c r="W289" i="124"/>
  <c r="X289" i="124" s="1"/>
  <c r="AY289" i="124" s="1"/>
  <c r="U289" i="124"/>
  <c r="V289" i="124" s="1"/>
  <c r="AX289" i="124" s="1"/>
  <c r="S289" i="124"/>
  <c r="T289" i="124" s="1"/>
  <c r="AW289" i="124" s="1"/>
  <c r="Q289" i="124"/>
  <c r="W288" i="124"/>
  <c r="X288" i="124" s="1"/>
  <c r="AY288" i="124" s="1"/>
  <c r="U288" i="124"/>
  <c r="V288" i="124" s="1"/>
  <c r="AX288" i="124" s="1"/>
  <c r="S288" i="124"/>
  <c r="T288" i="124" s="1"/>
  <c r="AW288" i="124" s="1"/>
  <c r="Q288" i="124"/>
  <c r="W287" i="124"/>
  <c r="X287" i="124" s="1"/>
  <c r="AY287" i="124" s="1"/>
  <c r="U287" i="124"/>
  <c r="V287" i="124" s="1"/>
  <c r="AX287" i="124" s="1"/>
  <c r="S287" i="124"/>
  <c r="T287" i="124" s="1"/>
  <c r="AW287" i="124" s="1"/>
  <c r="Q287" i="124"/>
  <c r="W286" i="124"/>
  <c r="X286" i="124" s="1"/>
  <c r="AY286" i="124" s="1"/>
  <c r="U286" i="124"/>
  <c r="V286" i="124" s="1"/>
  <c r="AX286" i="124" s="1"/>
  <c r="S286" i="124"/>
  <c r="T286" i="124" s="1"/>
  <c r="AW286" i="124" s="1"/>
  <c r="Q286" i="124"/>
  <c r="W285" i="124"/>
  <c r="X285" i="124" s="1"/>
  <c r="AY285" i="124" s="1"/>
  <c r="U285" i="124"/>
  <c r="V285" i="124" s="1"/>
  <c r="AX285" i="124" s="1"/>
  <c r="S285" i="124"/>
  <c r="T285" i="124" s="1"/>
  <c r="AW285" i="124" s="1"/>
  <c r="Q285" i="124"/>
  <c r="W284" i="124"/>
  <c r="X284" i="124" s="1"/>
  <c r="AY284" i="124" s="1"/>
  <c r="U284" i="124"/>
  <c r="V284" i="124" s="1"/>
  <c r="AX284" i="124" s="1"/>
  <c r="S284" i="124"/>
  <c r="T284" i="124" s="1"/>
  <c r="AW284" i="124" s="1"/>
  <c r="Q284" i="124"/>
  <c r="W283" i="124"/>
  <c r="X283" i="124" s="1"/>
  <c r="AY283" i="124" s="1"/>
  <c r="U283" i="124"/>
  <c r="V283" i="124" s="1"/>
  <c r="AX283" i="124" s="1"/>
  <c r="S283" i="124"/>
  <c r="T283" i="124" s="1"/>
  <c r="AW283" i="124" s="1"/>
  <c r="Q283" i="124"/>
  <c r="W282" i="124"/>
  <c r="X282" i="124" s="1"/>
  <c r="AY282" i="124" s="1"/>
  <c r="U282" i="124"/>
  <c r="V282" i="124" s="1"/>
  <c r="AX282" i="124" s="1"/>
  <c r="S282" i="124"/>
  <c r="T282" i="124" s="1"/>
  <c r="AW282" i="124" s="1"/>
  <c r="Q282" i="124"/>
  <c r="AO280" i="124"/>
  <c r="AP280" i="124" s="1"/>
  <c r="AK280" i="124"/>
  <c r="AL280" i="124" s="1"/>
  <c r="AQ280" i="124"/>
  <c r="AR280" i="124" s="1"/>
  <c r="AM280" i="124"/>
  <c r="AN280" i="124" s="1"/>
  <c r="W278" i="124"/>
  <c r="X278" i="124" s="1"/>
  <c r="AY278" i="124" s="1"/>
  <c r="S278" i="124"/>
  <c r="T278" i="124" s="1"/>
  <c r="AW278" i="124" s="1"/>
  <c r="U278" i="124"/>
  <c r="V278" i="124" s="1"/>
  <c r="AX278" i="124" s="1"/>
  <c r="Q278" i="124"/>
  <c r="AG277" i="124"/>
  <c r="AH277" i="124" s="1"/>
  <c r="AE277" i="124"/>
  <c r="AF277" i="124" s="1"/>
  <c r="AC277" i="124"/>
  <c r="AD277" i="124" s="1"/>
  <c r="AA277" i="124"/>
  <c r="AB277" i="124" s="1"/>
  <c r="AO276" i="124"/>
  <c r="AP276" i="124" s="1"/>
  <c r="AK276" i="124"/>
  <c r="AL276" i="124" s="1"/>
  <c r="AQ276" i="124"/>
  <c r="AR276" i="124" s="1"/>
  <c r="AM276" i="124"/>
  <c r="AN276" i="124" s="1"/>
  <c r="W274" i="124"/>
  <c r="X274" i="124" s="1"/>
  <c r="AY274" i="124" s="1"/>
  <c r="S274" i="124"/>
  <c r="T274" i="124" s="1"/>
  <c r="AW274" i="124" s="1"/>
  <c r="U274" i="124"/>
  <c r="V274" i="124" s="1"/>
  <c r="AX274" i="124" s="1"/>
  <c r="Q274" i="124"/>
  <c r="AG273" i="124"/>
  <c r="AH273" i="124" s="1"/>
  <c r="AE273" i="124"/>
  <c r="AF273" i="124" s="1"/>
  <c r="AC273" i="124"/>
  <c r="AD273" i="124" s="1"/>
  <c r="AA273" i="124"/>
  <c r="AB273" i="124" s="1"/>
  <c r="AO272" i="124"/>
  <c r="AP272" i="124" s="1"/>
  <c r="AK272" i="124"/>
  <c r="AL272" i="124" s="1"/>
  <c r="AQ272" i="124"/>
  <c r="AR272" i="124" s="1"/>
  <c r="AM272" i="124"/>
  <c r="AN272" i="124" s="1"/>
  <c r="W270" i="124"/>
  <c r="X270" i="124" s="1"/>
  <c r="AY270" i="124" s="1"/>
  <c r="S270" i="124"/>
  <c r="T270" i="124" s="1"/>
  <c r="AW270" i="124" s="1"/>
  <c r="U270" i="124"/>
  <c r="V270" i="124" s="1"/>
  <c r="AX270" i="124" s="1"/>
  <c r="Q270" i="124"/>
  <c r="AG269" i="124"/>
  <c r="AH269" i="124" s="1"/>
  <c r="AE269" i="124"/>
  <c r="AF269" i="124" s="1"/>
  <c r="AC269" i="124"/>
  <c r="AD269" i="124" s="1"/>
  <c r="AA269" i="124"/>
  <c r="AB269" i="124" s="1"/>
  <c r="AO268" i="124"/>
  <c r="AP268" i="124" s="1"/>
  <c r="AK268" i="124"/>
  <c r="AL268" i="124" s="1"/>
  <c r="AQ268" i="124"/>
  <c r="AR268" i="124" s="1"/>
  <c r="AM268" i="124"/>
  <c r="AN268" i="124" s="1"/>
  <c r="W266" i="124"/>
  <c r="X266" i="124" s="1"/>
  <c r="AY266" i="124" s="1"/>
  <c r="S266" i="124"/>
  <c r="T266" i="124" s="1"/>
  <c r="AW266" i="124" s="1"/>
  <c r="U266" i="124"/>
  <c r="V266" i="124" s="1"/>
  <c r="AX266" i="124" s="1"/>
  <c r="Q266" i="124"/>
  <c r="AG265" i="124"/>
  <c r="AH265" i="124" s="1"/>
  <c r="AE265" i="124"/>
  <c r="AF265" i="124" s="1"/>
  <c r="AC265" i="124"/>
  <c r="AD265" i="124" s="1"/>
  <c r="AA265" i="124"/>
  <c r="AB265" i="124" s="1"/>
  <c r="AO264" i="124"/>
  <c r="AP264" i="124" s="1"/>
  <c r="AK264" i="124"/>
  <c r="AL264" i="124" s="1"/>
  <c r="AQ264" i="124"/>
  <c r="AR264" i="124" s="1"/>
  <c r="AM264" i="124"/>
  <c r="AN264" i="124" s="1"/>
  <c r="W262" i="124"/>
  <c r="X262" i="124" s="1"/>
  <c r="AY262" i="124" s="1"/>
  <c r="S262" i="124"/>
  <c r="T262" i="124" s="1"/>
  <c r="AW262" i="124" s="1"/>
  <c r="U262" i="124"/>
  <c r="V262" i="124" s="1"/>
  <c r="AX262" i="124" s="1"/>
  <c r="Q262" i="124"/>
  <c r="AG261" i="124"/>
  <c r="AH261" i="124" s="1"/>
  <c r="AE261" i="124"/>
  <c r="AF261" i="124" s="1"/>
  <c r="AC261" i="124"/>
  <c r="AD261" i="124" s="1"/>
  <c r="AA261" i="124"/>
  <c r="AB261" i="124" s="1"/>
  <c r="AO260" i="124"/>
  <c r="AP260" i="124" s="1"/>
  <c r="AK260" i="124"/>
  <c r="AL260" i="124" s="1"/>
  <c r="AQ260" i="124"/>
  <c r="AR260" i="124" s="1"/>
  <c r="AM260" i="124"/>
  <c r="AN260" i="124" s="1"/>
  <c r="W258" i="124"/>
  <c r="X258" i="124" s="1"/>
  <c r="AY258" i="124" s="1"/>
  <c r="S258" i="124"/>
  <c r="T258" i="124" s="1"/>
  <c r="AW258" i="124" s="1"/>
  <c r="U258" i="124"/>
  <c r="V258" i="124" s="1"/>
  <c r="AX258" i="124" s="1"/>
  <c r="Q258" i="124"/>
  <c r="AG257" i="124"/>
  <c r="AH257" i="124" s="1"/>
  <c r="AE257" i="124"/>
  <c r="AF257" i="124" s="1"/>
  <c r="AC257" i="124"/>
  <c r="AD257" i="124" s="1"/>
  <c r="AA257" i="124"/>
  <c r="AB257" i="124" s="1"/>
  <c r="AO256" i="124"/>
  <c r="AP256" i="124" s="1"/>
  <c r="AK256" i="124"/>
  <c r="AL256" i="124" s="1"/>
  <c r="AQ256" i="124"/>
  <c r="AR256" i="124" s="1"/>
  <c r="AM256" i="124"/>
  <c r="AN256" i="124" s="1"/>
  <c r="W254" i="124"/>
  <c r="X254" i="124" s="1"/>
  <c r="AY254" i="124" s="1"/>
  <c r="S254" i="124"/>
  <c r="T254" i="124" s="1"/>
  <c r="AW254" i="124" s="1"/>
  <c r="U254" i="124"/>
  <c r="V254" i="124" s="1"/>
  <c r="AX254" i="124" s="1"/>
  <c r="Q254" i="124"/>
  <c r="AG253" i="124"/>
  <c r="AH253" i="124" s="1"/>
  <c r="AE253" i="124"/>
  <c r="AF253" i="124" s="1"/>
  <c r="AC253" i="124"/>
  <c r="AD253" i="124" s="1"/>
  <c r="AA253" i="124"/>
  <c r="AB253" i="124" s="1"/>
  <c r="AO252" i="124"/>
  <c r="AP252" i="124" s="1"/>
  <c r="AK252" i="124"/>
  <c r="AL252" i="124" s="1"/>
  <c r="AQ252" i="124"/>
  <c r="AR252" i="124" s="1"/>
  <c r="AM252" i="124"/>
  <c r="AN252" i="124" s="1"/>
  <c r="AW252" i="124" s="1"/>
  <c r="W218" i="124"/>
  <c r="X218" i="124" s="1"/>
  <c r="U218" i="124"/>
  <c r="V218" i="124" s="1"/>
  <c r="S218" i="124"/>
  <c r="T218" i="124" s="1"/>
  <c r="Q218" i="124"/>
  <c r="W216" i="124"/>
  <c r="X216" i="124" s="1"/>
  <c r="U216" i="124"/>
  <c r="V216" i="124" s="1"/>
  <c r="S216" i="124"/>
  <c r="T216" i="124" s="1"/>
  <c r="Q216" i="124"/>
  <c r="W214" i="124"/>
  <c r="X214" i="124" s="1"/>
  <c r="U214" i="124"/>
  <c r="V214" i="124" s="1"/>
  <c r="S214" i="124"/>
  <c r="T214" i="124" s="1"/>
  <c r="Q214" i="124"/>
  <c r="W212" i="124"/>
  <c r="X212" i="124" s="1"/>
  <c r="U212" i="124"/>
  <c r="V212" i="124" s="1"/>
  <c r="S212" i="124"/>
  <c r="T212" i="124" s="1"/>
  <c r="Q212" i="124"/>
  <c r="W210" i="124"/>
  <c r="X210" i="124" s="1"/>
  <c r="U210" i="124"/>
  <c r="V210" i="124" s="1"/>
  <c r="S210" i="124"/>
  <c r="T210" i="124" s="1"/>
  <c r="Q210" i="124"/>
  <c r="W281" i="124"/>
  <c r="X281" i="124" s="1"/>
  <c r="U281" i="124"/>
  <c r="V281" i="124" s="1"/>
  <c r="S281" i="124"/>
  <c r="T281" i="124" s="1"/>
  <c r="Q281" i="124"/>
  <c r="AG281" i="124"/>
  <c r="AH281" i="124" s="1"/>
  <c r="AE281" i="124"/>
  <c r="AF281" i="124" s="1"/>
  <c r="AC281" i="124"/>
  <c r="AD281" i="124" s="1"/>
  <c r="AA281" i="124"/>
  <c r="AB281" i="124" s="1"/>
  <c r="AQ279" i="124"/>
  <c r="AR279" i="124" s="1"/>
  <c r="AM279" i="124"/>
  <c r="AN279" i="124" s="1"/>
  <c r="AO279" i="124"/>
  <c r="AP279" i="124" s="1"/>
  <c r="AK279" i="124"/>
  <c r="AL279" i="124" s="1"/>
  <c r="AQ277" i="124"/>
  <c r="AR277" i="124" s="1"/>
  <c r="AM277" i="124"/>
  <c r="AN277" i="124" s="1"/>
  <c r="AO277" i="124"/>
  <c r="AP277" i="124" s="1"/>
  <c r="AK277" i="124"/>
  <c r="AL277" i="124" s="1"/>
  <c r="AQ275" i="124"/>
  <c r="AR275" i="124" s="1"/>
  <c r="AM275" i="124"/>
  <c r="AN275" i="124" s="1"/>
  <c r="AO275" i="124"/>
  <c r="AP275" i="124" s="1"/>
  <c r="AK275" i="124"/>
  <c r="AL275" i="124" s="1"/>
  <c r="AQ273" i="124"/>
  <c r="AR273" i="124" s="1"/>
  <c r="AM273" i="124"/>
  <c r="AN273" i="124" s="1"/>
  <c r="AO273" i="124"/>
  <c r="AP273" i="124" s="1"/>
  <c r="AK273" i="124"/>
  <c r="AL273" i="124" s="1"/>
  <c r="AQ271" i="124"/>
  <c r="AR271" i="124" s="1"/>
  <c r="AM271" i="124"/>
  <c r="AN271" i="124" s="1"/>
  <c r="AO271" i="124"/>
  <c r="AP271" i="124" s="1"/>
  <c r="AK271" i="124"/>
  <c r="AL271" i="124" s="1"/>
  <c r="AQ269" i="124"/>
  <c r="AR269" i="124" s="1"/>
  <c r="AM269" i="124"/>
  <c r="AN269" i="124" s="1"/>
  <c r="AO269" i="124"/>
  <c r="AP269" i="124" s="1"/>
  <c r="AK269" i="124"/>
  <c r="AL269" i="124" s="1"/>
  <c r="AQ267" i="124"/>
  <c r="AR267" i="124" s="1"/>
  <c r="AM267" i="124"/>
  <c r="AN267" i="124" s="1"/>
  <c r="AO267" i="124"/>
  <c r="AP267" i="124" s="1"/>
  <c r="AK267" i="124"/>
  <c r="AL267" i="124" s="1"/>
  <c r="AQ265" i="124"/>
  <c r="AR265" i="124" s="1"/>
  <c r="AM265" i="124"/>
  <c r="AN265" i="124" s="1"/>
  <c r="AO265" i="124"/>
  <c r="AP265" i="124" s="1"/>
  <c r="AK265" i="124"/>
  <c r="AL265" i="124" s="1"/>
  <c r="AQ263" i="124"/>
  <c r="AR263" i="124" s="1"/>
  <c r="AM263" i="124"/>
  <c r="AN263" i="124" s="1"/>
  <c r="AO263" i="124"/>
  <c r="AP263" i="124" s="1"/>
  <c r="AK263" i="124"/>
  <c r="AL263" i="124" s="1"/>
  <c r="AQ261" i="124"/>
  <c r="AR261" i="124" s="1"/>
  <c r="AM261" i="124"/>
  <c r="AN261" i="124" s="1"/>
  <c r="AO261" i="124"/>
  <c r="AP261" i="124" s="1"/>
  <c r="AK261" i="124"/>
  <c r="AL261" i="124" s="1"/>
  <c r="AQ259" i="124"/>
  <c r="AR259" i="124" s="1"/>
  <c r="AM259" i="124"/>
  <c r="AN259" i="124" s="1"/>
  <c r="AO259" i="124"/>
  <c r="AP259" i="124" s="1"/>
  <c r="AK259" i="124"/>
  <c r="AL259" i="124" s="1"/>
  <c r="AQ257" i="124"/>
  <c r="AR257" i="124" s="1"/>
  <c r="AM257" i="124"/>
  <c r="AN257" i="124" s="1"/>
  <c r="AO257" i="124"/>
  <c r="AP257" i="124" s="1"/>
  <c r="AK257" i="124"/>
  <c r="AL257" i="124" s="1"/>
  <c r="AQ255" i="124"/>
  <c r="AR255" i="124" s="1"/>
  <c r="AM255" i="124"/>
  <c r="AN255" i="124" s="1"/>
  <c r="AO255" i="124"/>
  <c r="AP255" i="124" s="1"/>
  <c r="AK255" i="124"/>
  <c r="AL255" i="124" s="1"/>
  <c r="AQ253" i="124"/>
  <c r="AR253" i="124" s="1"/>
  <c r="AM253" i="124"/>
  <c r="AN253" i="124" s="1"/>
  <c r="AO253" i="124"/>
  <c r="AP253" i="124" s="1"/>
  <c r="AK253" i="124"/>
  <c r="AL253" i="124" s="1"/>
  <c r="AG218" i="124"/>
  <c r="AH218" i="124" s="1"/>
  <c r="AE218" i="124"/>
  <c r="AF218" i="124" s="1"/>
  <c r="AC218" i="124"/>
  <c r="AD218" i="124" s="1"/>
  <c r="AA218" i="124"/>
  <c r="AB218" i="124" s="1"/>
  <c r="AG216" i="124"/>
  <c r="AH216" i="124" s="1"/>
  <c r="AE216" i="124"/>
  <c r="AF216" i="124" s="1"/>
  <c r="AC216" i="124"/>
  <c r="AD216" i="124" s="1"/>
  <c r="AA216" i="124"/>
  <c r="AB216" i="124" s="1"/>
  <c r="AG214" i="124"/>
  <c r="AH214" i="124" s="1"/>
  <c r="AE214" i="124"/>
  <c r="AF214" i="124" s="1"/>
  <c r="AC214" i="124"/>
  <c r="AD214" i="124" s="1"/>
  <c r="AA214" i="124"/>
  <c r="AB214" i="124" s="1"/>
  <c r="AG212" i="124"/>
  <c r="AH212" i="124" s="1"/>
  <c r="AE212" i="124"/>
  <c r="AF212" i="124" s="1"/>
  <c r="AC212" i="124"/>
  <c r="AD212" i="124" s="1"/>
  <c r="AA212" i="124"/>
  <c r="AB212" i="124" s="1"/>
  <c r="AG210" i="124"/>
  <c r="AH210" i="124" s="1"/>
  <c r="AE210" i="124"/>
  <c r="AF210" i="124" s="1"/>
  <c r="AC210" i="124"/>
  <c r="AD210" i="124" s="1"/>
  <c r="AA210" i="124"/>
  <c r="AB210" i="124" s="1"/>
  <c r="R252" i="124"/>
  <c r="AX252" i="124"/>
  <c r="AU251" i="124"/>
  <c r="R251" i="124"/>
  <c r="AX251" i="124"/>
  <c r="AU250" i="124"/>
  <c r="R250" i="124"/>
  <c r="AX250" i="124"/>
  <c r="AU249" i="124"/>
  <c r="R249" i="124"/>
  <c r="AX249" i="124"/>
  <c r="AU248" i="124"/>
  <c r="R248" i="124"/>
  <c r="AX248" i="124"/>
  <c r="AU247" i="124"/>
  <c r="R247" i="124"/>
  <c r="AX247" i="124"/>
  <c r="AU246" i="124"/>
  <c r="R246" i="124"/>
  <c r="AX246" i="124"/>
  <c r="AU245" i="124"/>
  <c r="R245" i="124"/>
  <c r="AX245" i="124"/>
  <c r="AU244" i="124"/>
  <c r="R244" i="124"/>
  <c r="AX244" i="124"/>
  <c r="AU243" i="124"/>
  <c r="R243" i="124"/>
  <c r="AX243" i="124"/>
  <c r="AU242" i="124"/>
  <c r="R242" i="124"/>
  <c r="AX242" i="124"/>
  <c r="AU241" i="124"/>
  <c r="R241" i="124"/>
  <c r="AX241" i="124"/>
  <c r="AU240" i="124"/>
  <c r="R240" i="124"/>
  <c r="AX240" i="124"/>
  <c r="AU239" i="124"/>
  <c r="R239" i="124"/>
  <c r="AX239" i="124"/>
  <c r="AU238" i="124"/>
  <c r="R238" i="124"/>
  <c r="AX238" i="124"/>
  <c r="AU237" i="124"/>
  <c r="R237" i="124"/>
  <c r="AX237" i="124"/>
  <c r="AU236" i="124"/>
  <c r="R236" i="124"/>
  <c r="AX236" i="124"/>
  <c r="AU235" i="124"/>
  <c r="R235" i="124"/>
  <c r="AX235" i="124"/>
  <c r="AU234" i="124"/>
  <c r="R234" i="124"/>
  <c r="AX234" i="124"/>
  <c r="AU233" i="124"/>
  <c r="R233" i="124"/>
  <c r="AX233" i="124"/>
  <c r="AU232" i="124"/>
  <c r="R232" i="124"/>
  <c r="AX232" i="124"/>
  <c r="AU231" i="124"/>
  <c r="R231" i="124"/>
  <c r="AX231" i="124"/>
  <c r="AU230" i="124"/>
  <c r="R230" i="124"/>
  <c r="AX230" i="124"/>
  <c r="AU229" i="124"/>
  <c r="R229" i="124"/>
  <c r="AX229" i="124"/>
  <c r="AU228" i="124"/>
  <c r="R228" i="124"/>
  <c r="AX228" i="124"/>
  <c r="AU227" i="124"/>
  <c r="R227" i="124"/>
  <c r="AX227" i="124"/>
  <c r="AU226" i="124"/>
  <c r="R226" i="124"/>
  <c r="AX226" i="124"/>
  <c r="AU225" i="124"/>
  <c r="R225" i="124"/>
  <c r="AX225" i="124"/>
  <c r="AU224" i="124"/>
  <c r="R224" i="124"/>
  <c r="AX224" i="124"/>
  <c r="AU223" i="124"/>
  <c r="R223" i="124"/>
  <c r="AX223" i="124"/>
  <c r="AU222" i="124"/>
  <c r="R222" i="124"/>
  <c r="AX222" i="124"/>
  <c r="AU221" i="124"/>
  <c r="R221" i="124"/>
  <c r="AX221" i="124"/>
  <c r="AU220" i="124"/>
  <c r="R220" i="124"/>
  <c r="AX220" i="124"/>
  <c r="W207" i="124"/>
  <c r="X207" i="124" s="1"/>
  <c r="AY207" i="124" s="1"/>
  <c r="S207" i="124"/>
  <c r="T207" i="124" s="1"/>
  <c r="AW207" i="124" s="1"/>
  <c r="U207" i="124"/>
  <c r="V207" i="124" s="1"/>
  <c r="AX207" i="124" s="1"/>
  <c r="Q207" i="124"/>
  <c r="AG206" i="124"/>
  <c r="AH206" i="124" s="1"/>
  <c r="AE206" i="124"/>
  <c r="AF206" i="124" s="1"/>
  <c r="AC206" i="124"/>
  <c r="AD206" i="124" s="1"/>
  <c r="AA206" i="124"/>
  <c r="AB206" i="124" s="1"/>
  <c r="AO205" i="124"/>
  <c r="AP205" i="124" s="1"/>
  <c r="AK205" i="124"/>
  <c r="AL205" i="124" s="1"/>
  <c r="AQ205" i="124"/>
  <c r="AR205" i="124" s="1"/>
  <c r="AM205" i="124"/>
  <c r="AN205" i="124" s="1"/>
  <c r="AW202" i="124"/>
  <c r="AU200" i="124"/>
  <c r="R200" i="124"/>
  <c r="AW198" i="124"/>
  <c r="AU196" i="124"/>
  <c r="R196" i="124"/>
  <c r="AW194" i="124"/>
  <c r="AU192" i="124"/>
  <c r="R192" i="124"/>
  <c r="AW190" i="124"/>
  <c r="AU188" i="124"/>
  <c r="R188" i="124"/>
  <c r="AG167" i="124"/>
  <c r="AH167" i="124" s="1"/>
  <c r="AE167" i="124"/>
  <c r="AF167" i="124" s="1"/>
  <c r="AC167" i="124"/>
  <c r="AD167" i="124" s="1"/>
  <c r="AW167" i="124" s="1"/>
  <c r="AA167" i="124"/>
  <c r="W146" i="124"/>
  <c r="X146" i="124" s="1"/>
  <c r="AY146" i="124" s="1"/>
  <c r="U146" i="124"/>
  <c r="V146" i="124" s="1"/>
  <c r="AX146" i="124" s="1"/>
  <c r="S146" i="124"/>
  <c r="Q146" i="124"/>
  <c r="W144" i="124"/>
  <c r="X144" i="124" s="1"/>
  <c r="AY144" i="124" s="1"/>
  <c r="U144" i="124"/>
  <c r="V144" i="124" s="1"/>
  <c r="AX144" i="124" s="1"/>
  <c r="S144" i="124"/>
  <c r="T144" i="124" s="1"/>
  <c r="AW144" i="124" s="1"/>
  <c r="Q144" i="124"/>
  <c r="W142" i="124"/>
  <c r="X142" i="124" s="1"/>
  <c r="AY142" i="124" s="1"/>
  <c r="U142" i="124"/>
  <c r="V142" i="124" s="1"/>
  <c r="AX142" i="124" s="1"/>
  <c r="S142" i="124"/>
  <c r="T142" i="124" s="1"/>
  <c r="AW142" i="124" s="1"/>
  <c r="Q142" i="124"/>
  <c r="W140" i="124"/>
  <c r="X140" i="124" s="1"/>
  <c r="AY140" i="124" s="1"/>
  <c r="U140" i="124"/>
  <c r="V140" i="124" s="1"/>
  <c r="AX140" i="124" s="1"/>
  <c r="S140" i="124"/>
  <c r="T140" i="124" s="1"/>
  <c r="AW140" i="124" s="1"/>
  <c r="Q140" i="124"/>
  <c r="W138" i="124"/>
  <c r="X138" i="124" s="1"/>
  <c r="AY138" i="124" s="1"/>
  <c r="U138" i="124"/>
  <c r="V138" i="124" s="1"/>
  <c r="AX138" i="124" s="1"/>
  <c r="S138" i="124"/>
  <c r="T138" i="124" s="1"/>
  <c r="AW138" i="124" s="1"/>
  <c r="Q138" i="124"/>
  <c r="W136" i="124"/>
  <c r="X136" i="124" s="1"/>
  <c r="AY136" i="124" s="1"/>
  <c r="U136" i="124"/>
  <c r="V136" i="124" s="1"/>
  <c r="AX136" i="124" s="1"/>
  <c r="S136" i="124"/>
  <c r="T136" i="124" s="1"/>
  <c r="AW136" i="124" s="1"/>
  <c r="Q136" i="124"/>
  <c r="W134" i="124"/>
  <c r="X134" i="124" s="1"/>
  <c r="AY134" i="124" s="1"/>
  <c r="U134" i="124"/>
  <c r="V134" i="124" s="1"/>
  <c r="AX134" i="124" s="1"/>
  <c r="S134" i="124"/>
  <c r="T134" i="124" s="1"/>
  <c r="AW134" i="124" s="1"/>
  <c r="Q134" i="124"/>
  <c r="W132" i="124"/>
  <c r="X132" i="124" s="1"/>
  <c r="AY132" i="124" s="1"/>
  <c r="U132" i="124"/>
  <c r="V132" i="124" s="1"/>
  <c r="AX132" i="124" s="1"/>
  <c r="S132" i="124"/>
  <c r="T132" i="124" s="1"/>
  <c r="AW132" i="124" s="1"/>
  <c r="Q132" i="124"/>
  <c r="W165" i="124"/>
  <c r="X165" i="124" s="1"/>
  <c r="AY165" i="124" s="1"/>
  <c r="U165" i="124"/>
  <c r="V165" i="124" s="1"/>
  <c r="AX165" i="124" s="1"/>
  <c r="S165" i="124"/>
  <c r="Q165" i="124"/>
  <c r="W128" i="124"/>
  <c r="X128" i="124" s="1"/>
  <c r="AY128" i="124" s="1"/>
  <c r="U128" i="124"/>
  <c r="V128" i="124" s="1"/>
  <c r="AX128" i="124" s="1"/>
  <c r="S128" i="124"/>
  <c r="T128" i="124" s="1"/>
  <c r="AW128" i="124" s="1"/>
  <c r="Q128" i="124"/>
  <c r="W126" i="124"/>
  <c r="X126" i="124" s="1"/>
  <c r="AY126" i="124" s="1"/>
  <c r="U126" i="124"/>
  <c r="V126" i="124" s="1"/>
  <c r="AX126" i="124" s="1"/>
  <c r="S126" i="124"/>
  <c r="T126" i="124" s="1"/>
  <c r="AW126" i="124" s="1"/>
  <c r="Q126" i="124"/>
  <c r="W124" i="124"/>
  <c r="X124" i="124" s="1"/>
  <c r="AY124" i="124" s="1"/>
  <c r="U124" i="124"/>
  <c r="V124" i="124" s="1"/>
  <c r="AX124" i="124" s="1"/>
  <c r="S124" i="124"/>
  <c r="T124" i="124" s="1"/>
  <c r="AW124" i="124" s="1"/>
  <c r="Q124" i="124"/>
  <c r="W122" i="124"/>
  <c r="X122" i="124" s="1"/>
  <c r="AY122" i="124" s="1"/>
  <c r="U122" i="124"/>
  <c r="V122" i="124" s="1"/>
  <c r="AX122" i="124" s="1"/>
  <c r="S122" i="124"/>
  <c r="T122" i="124" s="1"/>
  <c r="AW122" i="124" s="1"/>
  <c r="Q122" i="124"/>
  <c r="W120" i="124"/>
  <c r="X120" i="124" s="1"/>
  <c r="AY120" i="124" s="1"/>
  <c r="U120" i="124"/>
  <c r="V120" i="124" s="1"/>
  <c r="AX120" i="124" s="1"/>
  <c r="S120" i="124"/>
  <c r="T120" i="124" s="1"/>
  <c r="AW120" i="124" s="1"/>
  <c r="Q120" i="124"/>
  <c r="W118" i="124"/>
  <c r="X118" i="124" s="1"/>
  <c r="AY118" i="124" s="1"/>
  <c r="U118" i="124"/>
  <c r="V118" i="124" s="1"/>
  <c r="AX118" i="124" s="1"/>
  <c r="S118" i="124"/>
  <c r="T118" i="124" s="1"/>
  <c r="AW118" i="124" s="1"/>
  <c r="Q118" i="124"/>
  <c r="W116" i="124"/>
  <c r="X116" i="124" s="1"/>
  <c r="AY116" i="124" s="1"/>
  <c r="U116" i="124"/>
  <c r="V116" i="124" s="1"/>
  <c r="AX116" i="124" s="1"/>
  <c r="S116" i="124"/>
  <c r="T116" i="124" s="1"/>
  <c r="AW116" i="124" s="1"/>
  <c r="Q116" i="124"/>
  <c r="W114" i="124"/>
  <c r="X114" i="124" s="1"/>
  <c r="AY114" i="124" s="1"/>
  <c r="U114" i="124"/>
  <c r="V114" i="124" s="1"/>
  <c r="AX114" i="124" s="1"/>
  <c r="S114" i="124"/>
  <c r="T114" i="124" s="1"/>
  <c r="AW114" i="124" s="1"/>
  <c r="Q114" i="124"/>
  <c r="W112" i="124"/>
  <c r="X112" i="124" s="1"/>
  <c r="AY112" i="124" s="1"/>
  <c r="U112" i="124"/>
  <c r="V112" i="124" s="1"/>
  <c r="AX112" i="124" s="1"/>
  <c r="S112" i="124"/>
  <c r="T112" i="124" s="1"/>
  <c r="AW112" i="124" s="1"/>
  <c r="Q112" i="124"/>
  <c r="W110" i="124"/>
  <c r="X110" i="124" s="1"/>
  <c r="AY110" i="124" s="1"/>
  <c r="U110" i="124"/>
  <c r="V110" i="124" s="1"/>
  <c r="AX110" i="124" s="1"/>
  <c r="S110" i="124"/>
  <c r="T110" i="124" s="1"/>
  <c r="AW110" i="124" s="1"/>
  <c r="Q110" i="124"/>
  <c r="W108" i="124"/>
  <c r="X108" i="124" s="1"/>
  <c r="AY108" i="124" s="1"/>
  <c r="U108" i="124"/>
  <c r="V108" i="124" s="1"/>
  <c r="AX108" i="124" s="1"/>
  <c r="S108" i="124"/>
  <c r="T108" i="124" s="1"/>
  <c r="AW108" i="124" s="1"/>
  <c r="Q108" i="124"/>
  <c r="W106" i="124"/>
  <c r="X106" i="124" s="1"/>
  <c r="AY106" i="124" s="1"/>
  <c r="U106" i="124"/>
  <c r="V106" i="124" s="1"/>
  <c r="AX106" i="124" s="1"/>
  <c r="S106" i="124"/>
  <c r="T106" i="124" s="1"/>
  <c r="AW106" i="124" s="1"/>
  <c r="Q106" i="124"/>
  <c r="W104" i="124"/>
  <c r="X104" i="124" s="1"/>
  <c r="AY104" i="124" s="1"/>
  <c r="U104" i="124"/>
  <c r="V104" i="124" s="1"/>
  <c r="AX104" i="124" s="1"/>
  <c r="S104" i="124"/>
  <c r="T104" i="124" s="1"/>
  <c r="AW104" i="124" s="1"/>
  <c r="Q104" i="124"/>
  <c r="W102" i="124"/>
  <c r="X102" i="124" s="1"/>
  <c r="AY102" i="124" s="1"/>
  <c r="U102" i="124"/>
  <c r="V102" i="124" s="1"/>
  <c r="AX102" i="124" s="1"/>
  <c r="S102" i="124"/>
  <c r="T102" i="124" s="1"/>
  <c r="AW102" i="124" s="1"/>
  <c r="Q102" i="124"/>
  <c r="W100" i="124"/>
  <c r="X100" i="124" s="1"/>
  <c r="AY100" i="124" s="1"/>
  <c r="U100" i="124"/>
  <c r="V100" i="124" s="1"/>
  <c r="AX100" i="124" s="1"/>
  <c r="S100" i="124"/>
  <c r="T100" i="124" s="1"/>
  <c r="AW100" i="124" s="1"/>
  <c r="Q100" i="124"/>
  <c r="W98" i="124"/>
  <c r="X98" i="124" s="1"/>
  <c r="AY98" i="124" s="1"/>
  <c r="U98" i="124"/>
  <c r="V98" i="124" s="1"/>
  <c r="AX98" i="124" s="1"/>
  <c r="S98" i="124"/>
  <c r="T98" i="124" s="1"/>
  <c r="AW98" i="124" s="1"/>
  <c r="Q98" i="124"/>
  <c r="W96" i="124"/>
  <c r="X96" i="124" s="1"/>
  <c r="AY96" i="124" s="1"/>
  <c r="U96" i="124"/>
  <c r="V96" i="124" s="1"/>
  <c r="AX96" i="124" s="1"/>
  <c r="S96" i="124"/>
  <c r="T96" i="124" s="1"/>
  <c r="AW96" i="124" s="1"/>
  <c r="Q96" i="124"/>
  <c r="W94" i="124"/>
  <c r="X94" i="124" s="1"/>
  <c r="AY94" i="124" s="1"/>
  <c r="U94" i="124"/>
  <c r="V94" i="124" s="1"/>
  <c r="AX94" i="124" s="1"/>
  <c r="S94" i="124"/>
  <c r="T94" i="124" s="1"/>
  <c r="AW94" i="124" s="1"/>
  <c r="Q94" i="124"/>
  <c r="W92" i="124"/>
  <c r="X92" i="124" s="1"/>
  <c r="AY92" i="124" s="1"/>
  <c r="U92" i="124"/>
  <c r="V92" i="124" s="1"/>
  <c r="AX92" i="124" s="1"/>
  <c r="S92" i="124"/>
  <c r="T92" i="124" s="1"/>
  <c r="AW92" i="124" s="1"/>
  <c r="Q92" i="124"/>
  <c r="W90" i="124"/>
  <c r="X90" i="124" s="1"/>
  <c r="AY90" i="124" s="1"/>
  <c r="U90" i="124"/>
  <c r="V90" i="124" s="1"/>
  <c r="AX90" i="124" s="1"/>
  <c r="S90" i="124"/>
  <c r="T90" i="124" s="1"/>
  <c r="AW90" i="124" s="1"/>
  <c r="Q90" i="124"/>
  <c r="W88" i="124"/>
  <c r="X88" i="124" s="1"/>
  <c r="AY88" i="124" s="1"/>
  <c r="U88" i="124"/>
  <c r="V88" i="124" s="1"/>
  <c r="AX88" i="124" s="1"/>
  <c r="S88" i="124"/>
  <c r="T88" i="124" s="1"/>
  <c r="AW88" i="124" s="1"/>
  <c r="Q88" i="124"/>
  <c r="W86" i="124"/>
  <c r="X86" i="124" s="1"/>
  <c r="AY86" i="124" s="1"/>
  <c r="U86" i="124"/>
  <c r="V86" i="124" s="1"/>
  <c r="AX86" i="124" s="1"/>
  <c r="S86" i="124"/>
  <c r="T86" i="124" s="1"/>
  <c r="AW86" i="124" s="1"/>
  <c r="Q86" i="124"/>
  <c r="W84" i="124"/>
  <c r="X84" i="124" s="1"/>
  <c r="AY84" i="124" s="1"/>
  <c r="U84" i="124"/>
  <c r="V84" i="124" s="1"/>
  <c r="AX84" i="124" s="1"/>
  <c r="S84" i="124"/>
  <c r="T84" i="124" s="1"/>
  <c r="AW84" i="124" s="1"/>
  <c r="Q84" i="124"/>
  <c r="W83" i="124"/>
  <c r="X83" i="124" s="1"/>
  <c r="AY83" i="124" s="1"/>
  <c r="U83" i="124"/>
  <c r="V83" i="124" s="1"/>
  <c r="AX83" i="124" s="1"/>
  <c r="S83" i="124"/>
  <c r="T83" i="124" s="1"/>
  <c r="Q83" i="124"/>
  <c r="W81" i="124"/>
  <c r="X81" i="124" s="1"/>
  <c r="AY81" i="124" s="1"/>
  <c r="U81" i="124"/>
  <c r="V81" i="124" s="1"/>
  <c r="AX81" i="124" s="1"/>
  <c r="S81" i="124"/>
  <c r="T81" i="124" s="1"/>
  <c r="AW81" i="124" s="1"/>
  <c r="Q81" i="124"/>
  <c r="AG208" i="124"/>
  <c r="AH208" i="124" s="1"/>
  <c r="AE208" i="124"/>
  <c r="AF208" i="124" s="1"/>
  <c r="AC208" i="124"/>
  <c r="AD208" i="124" s="1"/>
  <c r="AA208" i="124"/>
  <c r="AB208" i="124" s="1"/>
  <c r="AQ208" i="124"/>
  <c r="AR208" i="124" s="1"/>
  <c r="AO208" i="124"/>
  <c r="AP208" i="124" s="1"/>
  <c r="AM208" i="124"/>
  <c r="AN208" i="124" s="1"/>
  <c r="AK208" i="124"/>
  <c r="AL208" i="124" s="1"/>
  <c r="AQ206" i="124"/>
  <c r="AR206" i="124" s="1"/>
  <c r="AM206" i="124"/>
  <c r="AN206" i="124" s="1"/>
  <c r="AO206" i="124"/>
  <c r="AP206" i="124" s="1"/>
  <c r="AK206" i="124"/>
  <c r="AL206" i="124" s="1"/>
  <c r="AQ204" i="124"/>
  <c r="AR204" i="124" s="1"/>
  <c r="AM204" i="124"/>
  <c r="AN204" i="124" s="1"/>
  <c r="AO204" i="124"/>
  <c r="AP204" i="124" s="1"/>
  <c r="AK204" i="124"/>
  <c r="AL204" i="124" s="1"/>
  <c r="AE292" i="124"/>
  <c r="AF292" i="124" s="1"/>
  <c r="AA292" i="124"/>
  <c r="AB292" i="124" s="1"/>
  <c r="W186" i="124"/>
  <c r="X186" i="124" s="1"/>
  <c r="AY186" i="124" s="1"/>
  <c r="U186" i="124"/>
  <c r="V186" i="124" s="1"/>
  <c r="AX186" i="124" s="1"/>
  <c r="S186" i="124"/>
  <c r="T186" i="124" s="1"/>
  <c r="AW186" i="124" s="1"/>
  <c r="Q186" i="124"/>
  <c r="W185" i="124"/>
  <c r="X185" i="124" s="1"/>
  <c r="AY185" i="124" s="1"/>
  <c r="U185" i="124"/>
  <c r="V185" i="124" s="1"/>
  <c r="AX185" i="124" s="1"/>
  <c r="S185" i="124"/>
  <c r="T185" i="124" s="1"/>
  <c r="AW185" i="124" s="1"/>
  <c r="Q185" i="124"/>
  <c r="W184" i="124"/>
  <c r="X184" i="124" s="1"/>
  <c r="AY184" i="124" s="1"/>
  <c r="U184" i="124"/>
  <c r="V184" i="124" s="1"/>
  <c r="AX184" i="124" s="1"/>
  <c r="S184" i="124"/>
  <c r="T184" i="124" s="1"/>
  <c r="AW184" i="124" s="1"/>
  <c r="Q184" i="124"/>
  <c r="W183" i="124"/>
  <c r="X183" i="124" s="1"/>
  <c r="AY183" i="124" s="1"/>
  <c r="U183" i="124"/>
  <c r="V183" i="124" s="1"/>
  <c r="AX183" i="124" s="1"/>
  <c r="S183" i="124"/>
  <c r="T183" i="124" s="1"/>
  <c r="AW183" i="124" s="1"/>
  <c r="Q183" i="124"/>
  <c r="W182" i="124"/>
  <c r="X182" i="124" s="1"/>
  <c r="AY182" i="124" s="1"/>
  <c r="U182" i="124"/>
  <c r="V182" i="124" s="1"/>
  <c r="AX182" i="124" s="1"/>
  <c r="S182" i="124"/>
  <c r="T182" i="124" s="1"/>
  <c r="AW182" i="124" s="1"/>
  <c r="Q182" i="124"/>
  <c r="W291" i="124"/>
  <c r="X291" i="124" s="1"/>
  <c r="AY291" i="124" s="1"/>
  <c r="U291" i="124"/>
  <c r="V291" i="124" s="1"/>
  <c r="AX291" i="124" s="1"/>
  <c r="S291" i="124"/>
  <c r="T291" i="124" s="1"/>
  <c r="AW291" i="124" s="1"/>
  <c r="Q291" i="124"/>
  <c r="W180" i="124"/>
  <c r="X180" i="124" s="1"/>
  <c r="AY180" i="124" s="1"/>
  <c r="U180" i="124"/>
  <c r="V180" i="124" s="1"/>
  <c r="AX180" i="124" s="1"/>
  <c r="S180" i="124"/>
  <c r="T180" i="124" s="1"/>
  <c r="AW180" i="124" s="1"/>
  <c r="Q180" i="124"/>
  <c r="W179" i="124"/>
  <c r="X179" i="124" s="1"/>
  <c r="AY179" i="124" s="1"/>
  <c r="U179" i="124"/>
  <c r="V179" i="124" s="1"/>
  <c r="AX179" i="124" s="1"/>
  <c r="S179" i="124"/>
  <c r="T179" i="124" s="1"/>
  <c r="AW179" i="124" s="1"/>
  <c r="Q179" i="124"/>
  <c r="W178" i="124"/>
  <c r="X178" i="124" s="1"/>
  <c r="AY178" i="124" s="1"/>
  <c r="U178" i="124"/>
  <c r="V178" i="124" s="1"/>
  <c r="AX178" i="124" s="1"/>
  <c r="S178" i="124"/>
  <c r="T178" i="124" s="1"/>
  <c r="AW178" i="124" s="1"/>
  <c r="Q178" i="124"/>
  <c r="W177" i="124"/>
  <c r="X177" i="124" s="1"/>
  <c r="AY177" i="124" s="1"/>
  <c r="U177" i="124"/>
  <c r="V177" i="124" s="1"/>
  <c r="AX177" i="124" s="1"/>
  <c r="S177" i="124"/>
  <c r="T177" i="124" s="1"/>
  <c r="AW177" i="124" s="1"/>
  <c r="Q177" i="124"/>
  <c r="W176" i="124"/>
  <c r="X176" i="124" s="1"/>
  <c r="AY176" i="124" s="1"/>
  <c r="U176" i="124"/>
  <c r="V176" i="124" s="1"/>
  <c r="AX176" i="124" s="1"/>
  <c r="S176" i="124"/>
  <c r="T176" i="124" s="1"/>
  <c r="AW176" i="124" s="1"/>
  <c r="Q176" i="124"/>
  <c r="W175" i="124"/>
  <c r="X175" i="124" s="1"/>
  <c r="AY175" i="124" s="1"/>
  <c r="U175" i="124"/>
  <c r="V175" i="124" s="1"/>
  <c r="AX175" i="124" s="1"/>
  <c r="S175" i="124"/>
  <c r="T175" i="124" s="1"/>
  <c r="AW175" i="124" s="1"/>
  <c r="Q175" i="124"/>
  <c r="W174" i="124"/>
  <c r="X174" i="124" s="1"/>
  <c r="AY174" i="124" s="1"/>
  <c r="U174" i="124"/>
  <c r="V174" i="124" s="1"/>
  <c r="AX174" i="124" s="1"/>
  <c r="S174" i="124"/>
  <c r="T174" i="124" s="1"/>
  <c r="AW174" i="124" s="1"/>
  <c r="Q174" i="124"/>
  <c r="W173" i="124"/>
  <c r="X173" i="124" s="1"/>
  <c r="AY173" i="124" s="1"/>
  <c r="U173" i="124"/>
  <c r="V173" i="124" s="1"/>
  <c r="AX173" i="124" s="1"/>
  <c r="S173" i="124"/>
  <c r="T173" i="124" s="1"/>
  <c r="AW173" i="124" s="1"/>
  <c r="Q173" i="124"/>
  <c r="W172" i="124"/>
  <c r="X172" i="124" s="1"/>
  <c r="AY172" i="124" s="1"/>
  <c r="U172" i="124"/>
  <c r="V172" i="124" s="1"/>
  <c r="AX172" i="124" s="1"/>
  <c r="S172" i="124"/>
  <c r="T172" i="124" s="1"/>
  <c r="AW172" i="124" s="1"/>
  <c r="Q172" i="124"/>
  <c r="W171" i="124"/>
  <c r="X171" i="124" s="1"/>
  <c r="AY171" i="124" s="1"/>
  <c r="U171" i="124"/>
  <c r="V171" i="124" s="1"/>
  <c r="AX171" i="124" s="1"/>
  <c r="S171" i="124"/>
  <c r="T171" i="124" s="1"/>
  <c r="AW171" i="124" s="1"/>
  <c r="Q171" i="124"/>
  <c r="W170" i="124"/>
  <c r="X170" i="124" s="1"/>
  <c r="AY170" i="124" s="1"/>
  <c r="U170" i="124"/>
  <c r="V170" i="124" s="1"/>
  <c r="AX170" i="124" s="1"/>
  <c r="S170" i="124"/>
  <c r="T170" i="124" s="1"/>
  <c r="AW170" i="124" s="1"/>
  <c r="Q170" i="124"/>
  <c r="W169" i="124"/>
  <c r="X169" i="124" s="1"/>
  <c r="AY169" i="124" s="1"/>
  <c r="U169" i="124"/>
  <c r="V169" i="124" s="1"/>
  <c r="AX169" i="124" s="1"/>
  <c r="S169" i="124"/>
  <c r="T169" i="124" s="1"/>
  <c r="AW169" i="124" s="1"/>
  <c r="Q169" i="124"/>
  <c r="W168" i="124"/>
  <c r="X168" i="124" s="1"/>
  <c r="AY168" i="124" s="1"/>
  <c r="U168" i="124"/>
  <c r="V168" i="124" s="1"/>
  <c r="AX168" i="124" s="1"/>
  <c r="S168" i="124"/>
  <c r="T168" i="124" s="1"/>
  <c r="AW168" i="124" s="1"/>
  <c r="Q168" i="124"/>
  <c r="W290" i="124"/>
  <c r="X290" i="124" s="1"/>
  <c r="AY290" i="124" s="1"/>
  <c r="U290" i="124"/>
  <c r="V290" i="124" s="1"/>
  <c r="AX290" i="124" s="1"/>
  <c r="S290" i="124"/>
  <c r="T290" i="124" s="1"/>
  <c r="AW290" i="124" s="1"/>
  <c r="Q290" i="124"/>
  <c r="W219" i="124"/>
  <c r="X219" i="124" s="1"/>
  <c r="AY219" i="124" s="1"/>
  <c r="U219" i="124"/>
  <c r="V219" i="124" s="1"/>
  <c r="AX219" i="124" s="1"/>
  <c r="S219" i="124"/>
  <c r="T219" i="124" s="1"/>
  <c r="AW219" i="124" s="1"/>
  <c r="Q219" i="124"/>
  <c r="W203" i="124"/>
  <c r="X203" i="124" s="1"/>
  <c r="AY203" i="124" s="1"/>
  <c r="U203" i="124"/>
  <c r="V203" i="124" s="1"/>
  <c r="AX203" i="124" s="1"/>
  <c r="S203" i="124"/>
  <c r="T203" i="124" s="1"/>
  <c r="AW203" i="124" s="1"/>
  <c r="Q203" i="124"/>
  <c r="W181" i="124"/>
  <c r="X181" i="124" s="1"/>
  <c r="AY181" i="124" s="1"/>
  <c r="U181" i="124"/>
  <c r="V181" i="124" s="1"/>
  <c r="AX181" i="124" s="1"/>
  <c r="S181" i="124"/>
  <c r="T181" i="124" s="1"/>
  <c r="AW181" i="124" s="1"/>
  <c r="Q181" i="124"/>
  <c r="W163" i="124"/>
  <c r="X163" i="124" s="1"/>
  <c r="AY163" i="124" s="1"/>
  <c r="U163" i="124"/>
  <c r="V163" i="124" s="1"/>
  <c r="AX163" i="124" s="1"/>
  <c r="S163" i="124"/>
  <c r="T163" i="124" s="1"/>
  <c r="AW163" i="124" s="1"/>
  <c r="Q163" i="124"/>
  <c r="AQ161" i="124"/>
  <c r="AR161" i="124" s="1"/>
  <c r="AO161" i="124"/>
  <c r="AP161" i="124" s="1"/>
  <c r="AM161" i="124"/>
  <c r="AN161" i="124" s="1"/>
  <c r="AK161" i="124"/>
  <c r="AL161" i="124" s="1"/>
  <c r="AQ160" i="124"/>
  <c r="AR160" i="124" s="1"/>
  <c r="AO160" i="124"/>
  <c r="AP160" i="124" s="1"/>
  <c r="AM160" i="124"/>
  <c r="AN160" i="124" s="1"/>
  <c r="AK160" i="124"/>
  <c r="AL160" i="124" s="1"/>
  <c r="AQ159" i="124"/>
  <c r="AR159" i="124" s="1"/>
  <c r="AO159" i="124"/>
  <c r="AP159" i="124" s="1"/>
  <c r="AM159" i="124"/>
  <c r="AN159" i="124" s="1"/>
  <c r="AK159" i="124"/>
  <c r="AL159" i="124" s="1"/>
  <c r="AQ158" i="124"/>
  <c r="AR158" i="124" s="1"/>
  <c r="AO158" i="124"/>
  <c r="AP158" i="124" s="1"/>
  <c r="AM158" i="124"/>
  <c r="AN158" i="124" s="1"/>
  <c r="AK158" i="124"/>
  <c r="AL158" i="124" s="1"/>
  <c r="AQ157" i="124"/>
  <c r="AR157" i="124" s="1"/>
  <c r="AO157" i="124"/>
  <c r="AP157" i="124" s="1"/>
  <c r="AM157" i="124"/>
  <c r="AN157" i="124" s="1"/>
  <c r="AK157" i="124"/>
  <c r="AL157" i="124" s="1"/>
  <c r="AQ156" i="124"/>
  <c r="AR156" i="124" s="1"/>
  <c r="AO156" i="124"/>
  <c r="AP156" i="124" s="1"/>
  <c r="AM156" i="124"/>
  <c r="AN156" i="124" s="1"/>
  <c r="AK156" i="124"/>
  <c r="AL156" i="124" s="1"/>
  <c r="AQ155" i="124"/>
  <c r="AR155" i="124" s="1"/>
  <c r="AO155" i="124"/>
  <c r="AP155" i="124" s="1"/>
  <c r="AM155" i="124"/>
  <c r="AN155" i="124" s="1"/>
  <c r="AK155" i="124"/>
  <c r="AL155" i="124" s="1"/>
  <c r="AQ154" i="124"/>
  <c r="AR154" i="124" s="1"/>
  <c r="AO154" i="124"/>
  <c r="AP154" i="124" s="1"/>
  <c r="AM154" i="124"/>
  <c r="AN154" i="124" s="1"/>
  <c r="AK154" i="124"/>
  <c r="AL154" i="124" s="1"/>
  <c r="AQ153" i="124"/>
  <c r="AR153" i="124" s="1"/>
  <c r="AO153" i="124"/>
  <c r="AP153" i="124" s="1"/>
  <c r="AM153" i="124"/>
  <c r="AN153" i="124" s="1"/>
  <c r="AK153" i="124"/>
  <c r="AL153" i="124" s="1"/>
  <c r="AQ152" i="124"/>
  <c r="AR152" i="124" s="1"/>
  <c r="AO152" i="124"/>
  <c r="AP152" i="124" s="1"/>
  <c r="AM152" i="124"/>
  <c r="AN152" i="124" s="1"/>
  <c r="AK152" i="124"/>
  <c r="AL152" i="124" s="1"/>
  <c r="AQ151" i="124"/>
  <c r="AR151" i="124" s="1"/>
  <c r="AO151" i="124"/>
  <c r="AP151" i="124" s="1"/>
  <c r="AM151" i="124"/>
  <c r="AN151" i="124" s="1"/>
  <c r="AK151" i="124"/>
  <c r="AL151" i="124" s="1"/>
  <c r="AQ150" i="124"/>
  <c r="AR150" i="124" s="1"/>
  <c r="AO150" i="124"/>
  <c r="AP150" i="124" s="1"/>
  <c r="AM150" i="124"/>
  <c r="AN150" i="124" s="1"/>
  <c r="AK150" i="124"/>
  <c r="AL150" i="124" s="1"/>
  <c r="AQ149" i="124"/>
  <c r="AR149" i="124" s="1"/>
  <c r="AO149" i="124"/>
  <c r="AP149" i="124" s="1"/>
  <c r="AM149" i="124"/>
  <c r="AN149" i="124" s="1"/>
  <c r="AK149" i="124"/>
  <c r="AL149" i="124" s="1"/>
  <c r="AQ148" i="124"/>
  <c r="AR148" i="124" s="1"/>
  <c r="AO148" i="124"/>
  <c r="AP148" i="124" s="1"/>
  <c r="AM148" i="124"/>
  <c r="AN148" i="124" s="1"/>
  <c r="AK148" i="124"/>
  <c r="AL148" i="124" s="1"/>
  <c r="AG145" i="124"/>
  <c r="AH145" i="124" s="1"/>
  <c r="AE145" i="124"/>
  <c r="AF145" i="124" s="1"/>
  <c r="AC145" i="124"/>
  <c r="AD145" i="124" s="1"/>
  <c r="AA145" i="124"/>
  <c r="AB145" i="124" s="1"/>
  <c r="AG143" i="124"/>
  <c r="AH143" i="124" s="1"/>
  <c r="AE143" i="124"/>
  <c r="AF143" i="124" s="1"/>
  <c r="AC143" i="124"/>
  <c r="AD143" i="124" s="1"/>
  <c r="AA143" i="124"/>
  <c r="AB143" i="124" s="1"/>
  <c r="AG141" i="124"/>
  <c r="AH141" i="124" s="1"/>
  <c r="AE141" i="124"/>
  <c r="AF141" i="124" s="1"/>
  <c r="AC141" i="124"/>
  <c r="AD141" i="124" s="1"/>
  <c r="AA141" i="124"/>
  <c r="AB141" i="124" s="1"/>
  <c r="AG139" i="124"/>
  <c r="AH139" i="124" s="1"/>
  <c r="AE139" i="124"/>
  <c r="AF139" i="124" s="1"/>
  <c r="AC139" i="124"/>
  <c r="AD139" i="124" s="1"/>
  <c r="AA139" i="124"/>
  <c r="AB139" i="124" s="1"/>
  <c r="AG137" i="124"/>
  <c r="AH137" i="124" s="1"/>
  <c r="AE137" i="124"/>
  <c r="AF137" i="124" s="1"/>
  <c r="AC137" i="124"/>
  <c r="AD137" i="124" s="1"/>
  <c r="AA137" i="124"/>
  <c r="AB137" i="124" s="1"/>
  <c r="AG135" i="124"/>
  <c r="AH135" i="124" s="1"/>
  <c r="AE135" i="124"/>
  <c r="AF135" i="124" s="1"/>
  <c r="AC135" i="124"/>
  <c r="AD135" i="124" s="1"/>
  <c r="AA135" i="124"/>
  <c r="AB135" i="124" s="1"/>
  <c r="AG133" i="124"/>
  <c r="AH133" i="124" s="1"/>
  <c r="AE133" i="124"/>
  <c r="AF133" i="124" s="1"/>
  <c r="AC133" i="124"/>
  <c r="AD133" i="124" s="1"/>
  <c r="AA133" i="124"/>
  <c r="AB133" i="124" s="1"/>
  <c r="AM166" i="124"/>
  <c r="AK166" i="124"/>
  <c r="AL166" i="124" s="1"/>
  <c r="AQ166" i="124"/>
  <c r="AR166" i="124" s="1"/>
  <c r="AO166" i="124"/>
  <c r="AP166" i="124" s="1"/>
  <c r="AG129" i="124"/>
  <c r="AH129" i="124" s="1"/>
  <c r="AE129" i="124"/>
  <c r="AF129" i="124" s="1"/>
  <c r="AC129" i="124"/>
  <c r="AD129" i="124" s="1"/>
  <c r="AA129" i="124"/>
  <c r="AB129" i="124" s="1"/>
  <c r="AG127" i="124"/>
  <c r="AH127" i="124" s="1"/>
  <c r="AE127" i="124"/>
  <c r="AF127" i="124" s="1"/>
  <c r="AC127" i="124"/>
  <c r="AD127" i="124" s="1"/>
  <c r="AA127" i="124"/>
  <c r="AB127" i="124" s="1"/>
  <c r="AG125" i="124"/>
  <c r="AH125" i="124" s="1"/>
  <c r="AE125" i="124"/>
  <c r="AF125" i="124" s="1"/>
  <c r="AC125" i="124"/>
  <c r="AD125" i="124" s="1"/>
  <c r="AA125" i="124"/>
  <c r="AB125" i="124" s="1"/>
  <c r="AG123" i="124"/>
  <c r="AH123" i="124" s="1"/>
  <c r="AE123" i="124"/>
  <c r="AF123" i="124" s="1"/>
  <c r="AC123" i="124"/>
  <c r="AD123" i="124" s="1"/>
  <c r="AA123" i="124"/>
  <c r="AB123" i="124" s="1"/>
  <c r="AG121" i="124"/>
  <c r="AH121" i="124" s="1"/>
  <c r="AE121" i="124"/>
  <c r="AF121" i="124" s="1"/>
  <c r="AC121" i="124"/>
  <c r="AD121" i="124" s="1"/>
  <c r="AA121" i="124"/>
  <c r="AB121" i="124" s="1"/>
  <c r="AG119" i="124"/>
  <c r="AH119" i="124" s="1"/>
  <c r="AE119" i="124"/>
  <c r="AF119" i="124" s="1"/>
  <c r="AC119" i="124"/>
  <c r="AD119" i="124" s="1"/>
  <c r="AA119" i="124"/>
  <c r="AB119" i="124" s="1"/>
  <c r="AG117" i="124"/>
  <c r="AH117" i="124" s="1"/>
  <c r="AE117" i="124"/>
  <c r="AF117" i="124" s="1"/>
  <c r="AC117" i="124"/>
  <c r="AD117" i="124" s="1"/>
  <c r="AA117" i="124"/>
  <c r="AB117" i="124" s="1"/>
  <c r="AG115" i="124"/>
  <c r="AH115" i="124" s="1"/>
  <c r="AE115" i="124"/>
  <c r="AF115" i="124" s="1"/>
  <c r="AC115" i="124"/>
  <c r="AD115" i="124" s="1"/>
  <c r="AA115" i="124"/>
  <c r="AB115" i="124" s="1"/>
  <c r="AG113" i="124"/>
  <c r="AH113" i="124" s="1"/>
  <c r="AE113" i="124"/>
  <c r="AF113" i="124" s="1"/>
  <c r="AC113" i="124"/>
  <c r="AD113" i="124" s="1"/>
  <c r="AA113" i="124"/>
  <c r="AB113" i="124" s="1"/>
  <c r="AG111" i="124"/>
  <c r="AH111" i="124" s="1"/>
  <c r="AE111" i="124"/>
  <c r="AF111" i="124" s="1"/>
  <c r="AC111" i="124"/>
  <c r="AD111" i="124" s="1"/>
  <c r="AA111" i="124"/>
  <c r="AB111" i="124" s="1"/>
  <c r="AG109" i="124"/>
  <c r="AH109" i="124" s="1"/>
  <c r="AE109" i="124"/>
  <c r="AF109" i="124" s="1"/>
  <c r="AC109" i="124"/>
  <c r="AD109" i="124" s="1"/>
  <c r="AA109" i="124"/>
  <c r="AB109" i="124" s="1"/>
  <c r="AG107" i="124"/>
  <c r="AH107" i="124" s="1"/>
  <c r="AE107" i="124"/>
  <c r="AF107" i="124" s="1"/>
  <c r="AC107" i="124"/>
  <c r="AD107" i="124" s="1"/>
  <c r="AA107" i="124"/>
  <c r="AB107" i="124" s="1"/>
  <c r="AG105" i="124"/>
  <c r="AH105" i="124" s="1"/>
  <c r="AE105" i="124"/>
  <c r="AF105" i="124" s="1"/>
  <c r="AC105" i="124"/>
  <c r="AD105" i="124" s="1"/>
  <c r="AA105" i="124"/>
  <c r="AB105" i="124" s="1"/>
  <c r="AG103" i="124"/>
  <c r="AH103" i="124" s="1"/>
  <c r="AE103" i="124"/>
  <c r="AF103" i="124" s="1"/>
  <c r="AC103" i="124"/>
  <c r="AD103" i="124" s="1"/>
  <c r="AA103" i="124"/>
  <c r="AB103" i="124" s="1"/>
  <c r="AG101" i="124"/>
  <c r="AH101" i="124" s="1"/>
  <c r="AE101" i="124"/>
  <c r="AF101" i="124" s="1"/>
  <c r="AC101" i="124"/>
  <c r="AD101" i="124" s="1"/>
  <c r="AA101" i="124"/>
  <c r="AB101" i="124" s="1"/>
  <c r="AG99" i="124"/>
  <c r="AH99" i="124" s="1"/>
  <c r="AE99" i="124"/>
  <c r="AF99" i="124" s="1"/>
  <c r="AC99" i="124"/>
  <c r="AD99" i="124" s="1"/>
  <c r="AA99" i="124"/>
  <c r="AB99" i="124" s="1"/>
  <c r="AG97" i="124"/>
  <c r="AH97" i="124" s="1"/>
  <c r="AE97" i="124"/>
  <c r="AF97" i="124" s="1"/>
  <c r="AC97" i="124"/>
  <c r="AD97" i="124" s="1"/>
  <c r="AA97" i="124"/>
  <c r="AB97" i="124" s="1"/>
  <c r="AG95" i="124"/>
  <c r="AH95" i="124" s="1"/>
  <c r="AE95" i="124"/>
  <c r="AF95" i="124" s="1"/>
  <c r="AC95" i="124"/>
  <c r="AD95" i="124" s="1"/>
  <c r="AA95" i="124"/>
  <c r="AB95" i="124" s="1"/>
  <c r="AG93" i="124"/>
  <c r="AH93" i="124" s="1"/>
  <c r="AE93" i="124"/>
  <c r="AF93" i="124" s="1"/>
  <c r="AC93" i="124"/>
  <c r="AD93" i="124" s="1"/>
  <c r="AA93" i="124"/>
  <c r="AB93" i="124" s="1"/>
  <c r="AG91" i="124"/>
  <c r="AH91" i="124" s="1"/>
  <c r="AE91" i="124"/>
  <c r="AF91" i="124" s="1"/>
  <c r="AC91" i="124"/>
  <c r="AD91" i="124" s="1"/>
  <c r="AA91" i="124"/>
  <c r="AB91" i="124" s="1"/>
  <c r="AG89" i="124"/>
  <c r="AH89" i="124" s="1"/>
  <c r="AE89" i="124"/>
  <c r="AF89" i="124" s="1"/>
  <c r="AC89" i="124"/>
  <c r="AD89" i="124" s="1"/>
  <c r="AA89" i="124"/>
  <c r="AB89" i="124" s="1"/>
  <c r="AG87" i="124"/>
  <c r="AH87" i="124" s="1"/>
  <c r="AE87" i="124"/>
  <c r="AF87" i="124" s="1"/>
  <c r="AC87" i="124"/>
  <c r="AD87" i="124" s="1"/>
  <c r="AA87" i="124"/>
  <c r="AB87" i="124" s="1"/>
  <c r="AG85" i="124"/>
  <c r="AH85" i="124" s="1"/>
  <c r="AE85" i="124"/>
  <c r="AF85" i="124" s="1"/>
  <c r="AC85" i="124"/>
  <c r="AD85" i="124" s="1"/>
  <c r="AA85" i="124"/>
  <c r="AB85" i="124" s="1"/>
  <c r="AG82" i="124"/>
  <c r="AH82" i="124" s="1"/>
  <c r="AE82" i="124"/>
  <c r="AF82" i="124" s="1"/>
  <c r="AC82" i="124"/>
  <c r="AD82" i="124" s="1"/>
  <c r="AA82" i="124"/>
  <c r="AB82" i="124" s="1"/>
  <c r="AG80" i="124"/>
  <c r="AH80" i="124" s="1"/>
  <c r="AE80" i="124"/>
  <c r="AF80" i="124" s="1"/>
  <c r="AC80" i="124"/>
  <c r="AD80" i="124" s="1"/>
  <c r="AA80" i="124"/>
  <c r="AB80" i="124" s="1"/>
  <c r="AO292" i="124"/>
  <c r="AP292" i="124" s="1"/>
  <c r="AM292" i="124"/>
  <c r="AW292" i="124"/>
  <c r="AY292" i="124"/>
  <c r="AW199" i="124"/>
  <c r="AY199" i="124"/>
  <c r="AW195" i="124"/>
  <c r="AY195" i="124"/>
  <c r="AW191" i="124"/>
  <c r="AY191" i="124"/>
  <c r="AW187" i="124"/>
  <c r="AY187" i="124"/>
  <c r="AW147" i="124"/>
  <c r="AY147" i="124"/>
  <c r="W78" i="124"/>
  <c r="X78" i="124" s="1"/>
  <c r="AY78" i="124" s="1"/>
  <c r="S78" i="124"/>
  <c r="T78" i="124" s="1"/>
  <c r="AW78" i="124" s="1"/>
  <c r="U78" i="124"/>
  <c r="V78" i="124" s="1"/>
  <c r="AX78" i="124" s="1"/>
  <c r="Q78" i="124"/>
  <c r="AG77" i="124"/>
  <c r="AH77" i="124" s="1"/>
  <c r="AE77" i="124"/>
  <c r="AF77" i="124" s="1"/>
  <c r="AC77" i="124"/>
  <c r="AD77" i="124" s="1"/>
  <c r="AA77" i="124"/>
  <c r="AB77" i="124" s="1"/>
  <c r="AO76" i="124"/>
  <c r="AP76" i="124" s="1"/>
  <c r="AK76" i="124"/>
  <c r="AL76" i="124" s="1"/>
  <c r="AQ76" i="124"/>
  <c r="AR76" i="124" s="1"/>
  <c r="AM76" i="124"/>
  <c r="AN76" i="124" s="1"/>
  <c r="W74" i="124"/>
  <c r="X74" i="124" s="1"/>
  <c r="AY74" i="124" s="1"/>
  <c r="S74" i="124"/>
  <c r="T74" i="124" s="1"/>
  <c r="AW74" i="124" s="1"/>
  <c r="U74" i="124"/>
  <c r="V74" i="124" s="1"/>
  <c r="AX74" i="124" s="1"/>
  <c r="Q74" i="124"/>
  <c r="AG73" i="124"/>
  <c r="AH73" i="124" s="1"/>
  <c r="AE73" i="124"/>
  <c r="AF73" i="124" s="1"/>
  <c r="AC73" i="124"/>
  <c r="AD73" i="124" s="1"/>
  <c r="AA73" i="124"/>
  <c r="AB73" i="124" s="1"/>
  <c r="W71" i="124"/>
  <c r="X71" i="124" s="1"/>
  <c r="AY71" i="124" s="1"/>
  <c r="S71" i="124"/>
  <c r="T71" i="124" s="1"/>
  <c r="AW71" i="124" s="1"/>
  <c r="U71" i="124"/>
  <c r="V71" i="124" s="1"/>
  <c r="AX71" i="124" s="1"/>
  <c r="Q71" i="124"/>
  <c r="AG70" i="124"/>
  <c r="AH70" i="124" s="1"/>
  <c r="AE70" i="124"/>
  <c r="AF70" i="124" s="1"/>
  <c r="AC70" i="124"/>
  <c r="AD70" i="124" s="1"/>
  <c r="AA70" i="124"/>
  <c r="AB70" i="124" s="1"/>
  <c r="AO69" i="124"/>
  <c r="AP69" i="124" s="1"/>
  <c r="AK69" i="124"/>
  <c r="AL69" i="124" s="1"/>
  <c r="AQ69" i="124"/>
  <c r="AR69" i="124" s="1"/>
  <c r="AM69" i="124"/>
  <c r="AN69" i="124" s="1"/>
  <c r="AM68" i="124"/>
  <c r="AQ68" i="124"/>
  <c r="AR68" i="124" s="1"/>
  <c r="AK68" i="124"/>
  <c r="AO68" i="124"/>
  <c r="AP68" i="124" s="1"/>
  <c r="W66" i="124"/>
  <c r="X66" i="124" s="1"/>
  <c r="AY66" i="124" s="1"/>
  <c r="S66" i="124"/>
  <c r="T66" i="124" s="1"/>
  <c r="AW66" i="124" s="1"/>
  <c r="U66" i="124"/>
  <c r="V66" i="124" s="1"/>
  <c r="AX66" i="124" s="1"/>
  <c r="Q66" i="124"/>
  <c r="AG65" i="124"/>
  <c r="AH65" i="124" s="1"/>
  <c r="AE65" i="124"/>
  <c r="AF65" i="124" s="1"/>
  <c r="AC65" i="124"/>
  <c r="AD65" i="124" s="1"/>
  <c r="AA65" i="124"/>
  <c r="AB65" i="124" s="1"/>
  <c r="AO64" i="124"/>
  <c r="AP64" i="124" s="1"/>
  <c r="AK64" i="124"/>
  <c r="AL64" i="124" s="1"/>
  <c r="AQ64" i="124"/>
  <c r="AR64" i="124" s="1"/>
  <c r="AM64" i="124"/>
  <c r="AN64" i="124" s="1"/>
  <c r="W62" i="124"/>
  <c r="X62" i="124" s="1"/>
  <c r="AY62" i="124" s="1"/>
  <c r="S62" i="124"/>
  <c r="T62" i="124" s="1"/>
  <c r="AW62" i="124" s="1"/>
  <c r="U62" i="124"/>
  <c r="V62" i="124" s="1"/>
  <c r="AX62" i="124" s="1"/>
  <c r="Q62" i="124"/>
  <c r="AG61" i="124"/>
  <c r="AH61" i="124" s="1"/>
  <c r="AE61" i="124"/>
  <c r="AF61" i="124" s="1"/>
  <c r="AC61" i="124"/>
  <c r="AD61" i="124" s="1"/>
  <c r="AA61" i="124"/>
  <c r="AB61" i="124" s="1"/>
  <c r="AO60" i="124"/>
  <c r="AP60" i="124" s="1"/>
  <c r="AK60" i="124"/>
  <c r="AL60" i="124" s="1"/>
  <c r="AQ60" i="124"/>
  <c r="AR60" i="124" s="1"/>
  <c r="AM60" i="124"/>
  <c r="AN60" i="124" s="1"/>
  <c r="W58" i="124"/>
  <c r="X58" i="124" s="1"/>
  <c r="AY58" i="124" s="1"/>
  <c r="S58" i="124"/>
  <c r="T58" i="124" s="1"/>
  <c r="AW58" i="124" s="1"/>
  <c r="U58" i="124"/>
  <c r="V58" i="124" s="1"/>
  <c r="AX58" i="124" s="1"/>
  <c r="Q58" i="124"/>
  <c r="AG57" i="124"/>
  <c r="AH57" i="124" s="1"/>
  <c r="AE57" i="124"/>
  <c r="AF57" i="124" s="1"/>
  <c r="AC57" i="124"/>
  <c r="AD57" i="124" s="1"/>
  <c r="AA57" i="124"/>
  <c r="AB57" i="124" s="1"/>
  <c r="AO56" i="124"/>
  <c r="AP56" i="124" s="1"/>
  <c r="AK56" i="124"/>
  <c r="AL56" i="124" s="1"/>
  <c r="AM56" i="124"/>
  <c r="AN56" i="124" s="1"/>
  <c r="AQ56" i="124"/>
  <c r="AR56" i="124" s="1"/>
  <c r="W54" i="124"/>
  <c r="X54" i="124" s="1"/>
  <c r="AY54" i="124" s="1"/>
  <c r="S54" i="124"/>
  <c r="T54" i="124" s="1"/>
  <c r="AW54" i="124" s="1"/>
  <c r="U54" i="124"/>
  <c r="V54" i="124" s="1"/>
  <c r="AX54" i="124" s="1"/>
  <c r="Q54" i="124"/>
  <c r="AG53" i="124"/>
  <c r="AH53" i="124" s="1"/>
  <c r="AE53" i="124"/>
  <c r="AF53" i="124" s="1"/>
  <c r="AC53" i="124"/>
  <c r="AD53" i="124" s="1"/>
  <c r="AA53" i="124"/>
  <c r="AB53" i="124" s="1"/>
  <c r="AO52" i="124"/>
  <c r="AP52" i="124" s="1"/>
  <c r="AK52" i="124"/>
  <c r="AL52" i="124" s="1"/>
  <c r="AM52" i="124"/>
  <c r="AN52" i="124" s="1"/>
  <c r="AQ52" i="124"/>
  <c r="AR52" i="124" s="1"/>
  <c r="W50" i="124"/>
  <c r="X50" i="124" s="1"/>
  <c r="AY50" i="124" s="1"/>
  <c r="S50" i="124"/>
  <c r="T50" i="124" s="1"/>
  <c r="AW50" i="124" s="1"/>
  <c r="U50" i="124"/>
  <c r="V50" i="124" s="1"/>
  <c r="AX50" i="124" s="1"/>
  <c r="Q50" i="124"/>
  <c r="AG49" i="124"/>
  <c r="AH49" i="124" s="1"/>
  <c r="AE49" i="124"/>
  <c r="AF49" i="124" s="1"/>
  <c r="AC49" i="124"/>
  <c r="AD49" i="124" s="1"/>
  <c r="AA49" i="124"/>
  <c r="AB49" i="124" s="1"/>
  <c r="AO48" i="124"/>
  <c r="AP48" i="124" s="1"/>
  <c r="AK48" i="124"/>
  <c r="AL48" i="124" s="1"/>
  <c r="AQ48" i="124"/>
  <c r="AR48" i="124" s="1"/>
  <c r="AM48" i="124"/>
  <c r="AN48" i="124" s="1"/>
  <c r="W46" i="124"/>
  <c r="X46" i="124" s="1"/>
  <c r="AY46" i="124" s="1"/>
  <c r="S46" i="124"/>
  <c r="T46" i="124" s="1"/>
  <c r="AW46" i="124" s="1"/>
  <c r="U46" i="124"/>
  <c r="V46" i="124" s="1"/>
  <c r="AX46" i="124" s="1"/>
  <c r="Q46" i="124"/>
  <c r="AG45" i="124"/>
  <c r="AH45" i="124" s="1"/>
  <c r="AE45" i="124"/>
  <c r="AF45" i="124" s="1"/>
  <c r="AC45" i="124"/>
  <c r="AD45" i="124" s="1"/>
  <c r="AA45" i="124"/>
  <c r="AB45" i="124" s="1"/>
  <c r="AO44" i="124"/>
  <c r="AP44" i="124" s="1"/>
  <c r="AK44" i="124"/>
  <c r="AL44" i="124" s="1"/>
  <c r="AQ44" i="124"/>
  <c r="AR44" i="124" s="1"/>
  <c r="AM44" i="124"/>
  <c r="AN44" i="124" s="1"/>
  <c r="W42" i="124"/>
  <c r="X42" i="124" s="1"/>
  <c r="AY42" i="124" s="1"/>
  <c r="S42" i="124"/>
  <c r="T42" i="124" s="1"/>
  <c r="AW42" i="124" s="1"/>
  <c r="Q42" i="124"/>
  <c r="U42" i="124"/>
  <c r="V42" i="124" s="1"/>
  <c r="AX42" i="124" s="1"/>
  <c r="AG41" i="124"/>
  <c r="AH41" i="124" s="1"/>
  <c r="AE41" i="124"/>
  <c r="AF41" i="124" s="1"/>
  <c r="AC41" i="124"/>
  <c r="AD41" i="124" s="1"/>
  <c r="AA41" i="124"/>
  <c r="AB41" i="124" s="1"/>
  <c r="AO40" i="124"/>
  <c r="AP40" i="124" s="1"/>
  <c r="AK40" i="124"/>
  <c r="AL40" i="124" s="1"/>
  <c r="AQ40" i="124"/>
  <c r="AR40" i="124" s="1"/>
  <c r="AM40" i="124"/>
  <c r="AN40" i="124" s="1"/>
  <c r="W38" i="124"/>
  <c r="X38" i="124" s="1"/>
  <c r="AY38" i="124" s="1"/>
  <c r="S38" i="124"/>
  <c r="T38" i="124" s="1"/>
  <c r="AW38" i="124" s="1"/>
  <c r="U38" i="124"/>
  <c r="V38" i="124" s="1"/>
  <c r="AX38" i="124" s="1"/>
  <c r="Q38" i="124"/>
  <c r="AG37" i="124"/>
  <c r="AH37" i="124" s="1"/>
  <c r="AE37" i="124"/>
  <c r="AF37" i="124" s="1"/>
  <c r="AC37" i="124"/>
  <c r="AD37" i="124" s="1"/>
  <c r="AA37" i="124"/>
  <c r="AB37" i="124" s="1"/>
  <c r="AO36" i="124"/>
  <c r="AP36" i="124" s="1"/>
  <c r="AK36" i="124"/>
  <c r="AL36" i="124" s="1"/>
  <c r="AQ36" i="124"/>
  <c r="AR36" i="124" s="1"/>
  <c r="AM36" i="124"/>
  <c r="AN36" i="124" s="1"/>
  <c r="U57" i="124"/>
  <c r="V57" i="124" s="1"/>
  <c r="Q57" i="124"/>
  <c r="W57" i="124"/>
  <c r="X57" i="124" s="1"/>
  <c r="AY57" i="124" s="1"/>
  <c r="S57" i="124"/>
  <c r="T57" i="124" s="1"/>
  <c r="U55" i="124"/>
  <c r="V55" i="124" s="1"/>
  <c r="AX55" i="124" s="1"/>
  <c r="Q55" i="124"/>
  <c r="W55" i="124"/>
  <c r="X55" i="124" s="1"/>
  <c r="AY55" i="124" s="1"/>
  <c r="S55" i="124"/>
  <c r="T55" i="124" s="1"/>
  <c r="AW55" i="124" s="1"/>
  <c r="U47" i="124"/>
  <c r="V47" i="124" s="1"/>
  <c r="AX47" i="124" s="1"/>
  <c r="Q47" i="124"/>
  <c r="W47" i="124"/>
  <c r="X47" i="124" s="1"/>
  <c r="AY47" i="124" s="1"/>
  <c r="S47" i="124"/>
  <c r="T47" i="124" s="1"/>
  <c r="AW47" i="124" s="1"/>
  <c r="U41" i="124"/>
  <c r="V41" i="124" s="1"/>
  <c r="Q41" i="124"/>
  <c r="W41" i="124"/>
  <c r="X41" i="124" s="1"/>
  <c r="AY41" i="124" s="1"/>
  <c r="S41" i="124"/>
  <c r="T41" i="124" s="1"/>
  <c r="U37" i="124"/>
  <c r="V37" i="124" s="1"/>
  <c r="Q37" i="124"/>
  <c r="W37" i="124"/>
  <c r="X37" i="124" s="1"/>
  <c r="AY37" i="124" s="1"/>
  <c r="S37" i="124"/>
  <c r="T37" i="124" s="1"/>
  <c r="AU201" i="124"/>
  <c r="R201" i="124"/>
  <c r="AX201" i="124"/>
  <c r="AU197" i="124"/>
  <c r="R197" i="124"/>
  <c r="AX197" i="124"/>
  <c r="AU193" i="124"/>
  <c r="R193" i="124"/>
  <c r="AX193" i="124"/>
  <c r="AU189" i="124"/>
  <c r="R189" i="124"/>
  <c r="AX189" i="124"/>
  <c r="U79" i="124"/>
  <c r="V79" i="124" s="1"/>
  <c r="AX79" i="124" s="1"/>
  <c r="Q79" i="124"/>
  <c r="W79" i="124"/>
  <c r="X79" i="124" s="1"/>
  <c r="AY79" i="124" s="1"/>
  <c r="S79" i="124"/>
  <c r="T79" i="124" s="1"/>
  <c r="AW79" i="124" s="1"/>
  <c r="U77" i="124"/>
  <c r="V77" i="124" s="1"/>
  <c r="Q77" i="124"/>
  <c r="W77" i="124"/>
  <c r="X77" i="124" s="1"/>
  <c r="AY77" i="124" s="1"/>
  <c r="S77" i="124"/>
  <c r="T77" i="124" s="1"/>
  <c r="U75" i="124"/>
  <c r="V75" i="124" s="1"/>
  <c r="AX75" i="124" s="1"/>
  <c r="Q75" i="124"/>
  <c r="W75" i="124"/>
  <c r="X75" i="124" s="1"/>
  <c r="AY75" i="124" s="1"/>
  <c r="S75" i="124"/>
  <c r="T75" i="124" s="1"/>
  <c r="AW75" i="124" s="1"/>
  <c r="U73" i="124"/>
  <c r="V73" i="124" s="1"/>
  <c r="Q73" i="124"/>
  <c r="W73" i="124"/>
  <c r="X73" i="124" s="1"/>
  <c r="AY73" i="124" s="1"/>
  <c r="S73" i="124"/>
  <c r="T73" i="124" s="1"/>
  <c r="U72" i="124"/>
  <c r="V72" i="124" s="1"/>
  <c r="AX72" i="124" s="1"/>
  <c r="Q72" i="124"/>
  <c r="W72" i="124"/>
  <c r="X72" i="124" s="1"/>
  <c r="AY72" i="124" s="1"/>
  <c r="S72" i="124"/>
  <c r="T72" i="124" s="1"/>
  <c r="AW72" i="124" s="1"/>
  <c r="U70" i="124"/>
  <c r="V70" i="124" s="1"/>
  <c r="Q70" i="124"/>
  <c r="W70" i="124"/>
  <c r="X70" i="124" s="1"/>
  <c r="AY70" i="124" s="1"/>
  <c r="S70" i="124"/>
  <c r="T70" i="124" s="1"/>
  <c r="U67" i="124"/>
  <c r="V67" i="124" s="1"/>
  <c r="AX67" i="124" s="1"/>
  <c r="Q67" i="124"/>
  <c r="W67" i="124"/>
  <c r="X67" i="124" s="1"/>
  <c r="AY67" i="124" s="1"/>
  <c r="S67" i="124"/>
  <c r="T67" i="124" s="1"/>
  <c r="AW67" i="124" s="1"/>
  <c r="U65" i="124"/>
  <c r="V65" i="124" s="1"/>
  <c r="Q65" i="124"/>
  <c r="W65" i="124"/>
  <c r="X65" i="124" s="1"/>
  <c r="AY65" i="124" s="1"/>
  <c r="S65" i="124"/>
  <c r="T65" i="124" s="1"/>
  <c r="U63" i="124"/>
  <c r="V63" i="124" s="1"/>
  <c r="AX63" i="124" s="1"/>
  <c r="Q63" i="124"/>
  <c r="W63" i="124"/>
  <c r="X63" i="124" s="1"/>
  <c r="AY63" i="124" s="1"/>
  <c r="S63" i="124"/>
  <c r="T63" i="124" s="1"/>
  <c r="AW63" i="124" s="1"/>
  <c r="U61" i="124"/>
  <c r="V61" i="124" s="1"/>
  <c r="Q61" i="124"/>
  <c r="W61" i="124"/>
  <c r="X61" i="124" s="1"/>
  <c r="AY61" i="124" s="1"/>
  <c r="S61" i="124"/>
  <c r="T61" i="124" s="1"/>
  <c r="U59" i="124"/>
  <c r="V59" i="124" s="1"/>
  <c r="AX59" i="124" s="1"/>
  <c r="Q59" i="124"/>
  <c r="W59" i="124"/>
  <c r="X59" i="124" s="1"/>
  <c r="AY59" i="124" s="1"/>
  <c r="S59" i="124"/>
  <c r="T59" i="124" s="1"/>
  <c r="AW59" i="124" s="1"/>
  <c r="U53" i="124"/>
  <c r="V53" i="124" s="1"/>
  <c r="Q53" i="124"/>
  <c r="W53" i="124"/>
  <c r="X53" i="124" s="1"/>
  <c r="AY53" i="124" s="1"/>
  <c r="S53" i="124"/>
  <c r="T53" i="124" s="1"/>
  <c r="U51" i="124"/>
  <c r="V51" i="124" s="1"/>
  <c r="AX51" i="124" s="1"/>
  <c r="Q51" i="124"/>
  <c r="W51" i="124"/>
  <c r="X51" i="124" s="1"/>
  <c r="AY51" i="124" s="1"/>
  <c r="S51" i="124"/>
  <c r="T51" i="124" s="1"/>
  <c r="AW51" i="124" s="1"/>
  <c r="U49" i="124"/>
  <c r="V49" i="124" s="1"/>
  <c r="Q49" i="124"/>
  <c r="W49" i="124"/>
  <c r="X49" i="124" s="1"/>
  <c r="AY49" i="124" s="1"/>
  <c r="S49" i="124"/>
  <c r="T49" i="124" s="1"/>
  <c r="U45" i="124"/>
  <c r="V45" i="124" s="1"/>
  <c r="Q45" i="124"/>
  <c r="W45" i="124"/>
  <c r="X45" i="124" s="1"/>
  <c r="AY45" i="124" s="1"/>
  <c r="S45" i="124"/>
  <c r="T45" i="124" s="1"/>
  <c r="U43" i="124"/>
  <c r="V43" i="124" s="1"/>
  <c r="AX43" i="124" s="1"/>
  <c r="Q43" i="124"/>
  <c r="W43" i="124"/>
  <c r="X43" i="124" s="1"/>
  <c r="AY43" i="124" s="1"/>
  <c r="S43" i="124"/>
  <c r="T43" i="124" s="1"/>
  <c r="AW43" i="124" s="1"/>
  <c r="U39" i="124"/>
  <c r="V39" i="124" s="1"/>
  <c r="AX39" i="124" s="1"/>
  <c r="Q39" i="124"/>
  <c r="W39" i="124"/>
  <c r="X39" i="124" s="1"/>
  <c r="AY39" i="124" s="1"/>
  <c r="S39" i="124"/>
  <c r="T39" i="124" s="1"/>
  <c r="AW39" i="124" s="1"/>
  <c r="AD462" i="124"/>
  <c r="AU34" i="124"/>
  <c r="R34" i="124"/>
  <c r="AX34" i="124"/>
  <c r="AU32" i="124"/>
  <c r="R32" i="124"/>
  <c r="AX32" i="124"/>
  <c r="AU30" i="124"/>
  <c r="R30" i="124"/>
  <c r="AX30" i="124"/>
  <c r="AU28" i="124"/>
  <c r="R28" i="124"/>
  <c r="AX28" i="124"/>
  <c r="AU20" i="124"/>
  <c r="R20" i="124"/>
  <c r="AU8" i="124"/>
  <c r="R8" i="124"/>
  <c r="AW35" i="124"/>
  <c r="AY35" i="124"/>
  <c r="AU33" i="124"/>
  <c r="R33" i="124"/>
  <c r="AX33" i="124"/>
  <c r="AW31" i="124"/>
  <c r="AY31" i="124"/>
  <c r="AU29" i="124"/>
  <c r="R29" i="124"/>
  <c r="AX29" i="124"/>
  <c r="AW27" i="124"/>
  <c r="AY27" i="124"/>
  <c r="AU25" i="124"/>
  <c r="R25" i="124"/>
  <c r="AX25" i="124"/>
  <c r="AW23" i="124"/>
  <c r="AY23" i="124"/>
  <c r="AU21" i="124"/>
  <c r="R21" i="124"/>
  <c r="AX21" i="124"/>
  <c r="AW19" i="124"/>
  <c r="AY19" i="124"/>
  <c r="AU17" i="124"/>
  <c r="R17" i="124"/>
  <c r="AX17" i="124"/>
  <c r="AW15" i="124"/>
  <c r="AY15" i="124"/>
  <c r="AU13" i="124"/>
  <c r="R13" i="124"/>
  <c r="AX13" i="124"/>
  <c r="AW11" i="124"/>
  <c r="AY11" i="124"/>
  <c r="AU9" i="124"/>
  <c r="R9" i="124"/>
  <c r="AX9" i="124"/>
  <c r="AW7" i="124"/>
  <c r="AY7" i="124"/>
  <c r="AU5" i="124"/>
  <c r="R5" i="124"/>
  <c r="AX5" i="124"/>
  <c r="O4" i="124"/>
  <c r="AW3" i="124"/>
  <c r="AY3" i="124"/>
  <c r="AW26" i="124"/>
  <c r="AY26" i="124"/>
  <c r="AW24" i="124"/>
  <c r="AY24" i="124"/>
  <c r="AW22" i="124"/>
  <c r="AY22" i="124"/>
  <c r="AM18" i="124"/>
  <c r="AY18" i="124"/>
  <c r="AW16" i="124"/>
  <c r="AY16" i="124"/>
  <c r="AW14" i="124"/>
  <c r="AY14" i="124"/>
  <c r="AW12" i="124"/>
  <c r="AY12" i="124"/>
  <c r="S10" i="124"/>
  <c r="AW6" i="124"/>
  <c r="AY6" i="124"/>
  <c r="AV4" i="121" l="1"/>
  <c r="AT4" i="121"/>
  <c r="AT9" i="121"/>
  <c r="AV9" i="121"/>
  <c r="AT15" i="121"/>
  <c r="AV15" i="121"/>
  <c r="AT17" i="121"/>
  <c r="AV17" i="121"/>
  <c r="AT19" i="121"/>
  <c r="AV19" i="121"/>
  <c r="AV21" i="121"/>
  <c r="AT21" i="121"/>
  <c r="AU24" i="121"/>
  <c r="R24" i="121"/>
  <c r="AU6" i="121"/>
  <c r="AU7" i="121"/>
  <c r="R7" i="121"/>
  <c r="AV8" i="121"/>
  <c r="AT8" i="121"/>
  <c r="AU10" i="121"/>
  <c r="AY13" i="121"/>
  <c r="AU16" i="121"/>
  <c r="AU14" i="121"/>
  <c r="AU23" i="121"/>
  <c r="R23" i="121"/>
  <c r="AV22" i="121"/>
  <c r="AT22" i="121"/>
  <c r="AT26" i="121"/>
  <c r="AV26" i="121"/>
  <c r="AV27" i="121"/>
  <c r="AT27" i="121"/>
  <c r="AT28" i="121"/>
  <c r="AV28" i="121"/>
  <c r="AT12" i="121"/>
  <c r="AV12" i="121"/>
  <c r="AU4" i="121"/>
  <c r="AT11" i="121"/>
  <c r="AV11" i="121"/>
  <c r="AV20" i="121"/>
  <c r="AT20" i="121"/>
  <c r="AT14" i="121"/>
  <c r="AX14" i="121"/>
  <c r="AV18" i="121"/>
  <c r="AT18" i="121"/>
  <c r="AT6" i="121"/>
  <c r="AV6" i="121"/>
  <c r="AX7" i="121"/>
  <c r="AU8" i="121"/>
  <c r="AX12" i="121"/>
  <c r="AV10" i="121"/>
  <c r="AT10" i="121"/>
  <c r="AU13" i="121"/>
  <c r="R13" i="121"/>
  <c r="AT3" i="121"/>
  <c r="AV3" i="121"/>
  <c r="AT5" i="121"/>
  <c r="AV5" i="121"/>
  <c r="AV16" i="121"/>
  <c r="AT16" i="121"/>
  <c r="AY14" i="121"/>
  <c r="AW23" i="121"/>
  <c r="AX23" i="121"/>
  <c r="AT25" i="121"/>
  <c r="AV25" i="121"/>
  <c r="AU26" i="121"/>
  <c r="AU27" i="121"/>
  <c r="AW45" i="124"/>
  <c r="AW49" i="124"/>
  <c r="AW53" i="124"/>
  <c r="AW61" i="124"/>
  <c r="AW65" i="124"/>
  <c r="AW70" i="124"/>
  <c r="AW73" i="124"/>
  <c r="AW77" i="124"/>
  <c r="AW37" i="124"/>
  <c r="AW41" i="124"/>
  <c r="AW57" i="124"/>
  <c r="AU83" i="124"/>
  <c r="AU252" i="124"/>
  <c r="AX292" i="124"/>
  <c r="AW422" i="124"/>
  <c r="AY422" i="124"/>
  <c r="AW423" i="124"/>
  <c r="AY423" i="124"/>
  <c r="AW424" i="124"/>
  <c r="AY424" i="124"/>
  <c r="AW425" i="124"/>
  <c r="AY425" i="124"/>
  <c r="AW426" i="124"/>
  <c r="AY426" i="124"/>
  <c r="AW427" i="124"/>
  <c r="AY427" i="124"/>
  <c r="AW428" i="124"/>
  <c r="AY428" i="124"/>
  <c r="AW430" i="124"/>
  <c r="AY430" i="124"/>
  <c r="AW432" i="124"/>
  <c r="AY432" i="124"/>
  <c r="AD463" i="124"/>
  <c r="AH463" i="124"/>
  <c r="AB462" i="124"/>
  <c r="AB463" i="124"/>
  <c r="AF463" i="124"/>
  <c r="AY252" i="124"/>
  <c r="AV9" i="124"/>
  <c r="AT9" i="124"/>
  <c r="AV17" i="124"/>
  <c r="AT17" i="124"/>
  <c r="AV25" i="124"/>
  <c r="AT25" i="124"/>
  <c r="AV33" i="124"/>
  <c r="AT33" i="124"/>
  <c r="AV8" i="124"/>
  <c r="AT8" i="124"/>
  <c r="AV20" i="124"/>
  <c r="AT20" i="124"/>
  <c r="AV30" i="124"/>
  <c r="AT30" i="124"/>
  <c r="AV34" i="124"/>
  <c r="AT34" i="124"/>
  <c r="R39" i="124"/>
  <c r="AU39" i="124"/>
  <c r="R43" i="124"/>
  <c r="AU43" i="124"/>
  <c r="R45" i="124"/>
  <c r="AU45" i="124"/>
  <c r="R49" i="124"/>
  <c r="AU49" i="124"/>
  <c r="R51" i="124"/>
  <c r="AU51" i="124"/>
  <c r="R61" i="124"/>
  <c r="AU61" i="124"/>
  <c r="R65" i="124"/>
  <c r="AU65" i="124"/>
  <c r="R73" i="124"/>
  <c r="AU73" i="124"/>
  <c r="R75" i="124"/>
  <c r="AU75" i="124"/>
  <c r="R79" i="124"/>
  <c r="AU79" i="124"/>
  <c r="AT193" i="124"/>
  <c r="AV193" i="124"/>
  <c r="R37" i="124"/>
  <c r="AU37" i="124"/>
  <c r="R47" i="124"/>
  <c r="AU47" i="124"/>
  <c r="R57" i="124"/>
  <c r="AU57" i="124"/>
  <c r="R38" i="124"/>
  <c r="AU38" i="124"/>
  <c r="R50" i="124"/>
  <c r="AU50" i="124"/>
  <c r="R58" i="124"/>
  <c r="AU58" i="124"/>
  <c r="R66" i="124"/>
  <c r="AU66" i="124"/>
  <c r="R74" i="124"/>
  <c r="AU74" i="124"/>
  <c r="AU181" i="124"/>
  <c r="R181" i="124"/>
  <c r="AU219" i="124"/>
  <c r="R219" i="124"/>
  <c r="AU168" i="124"/>
  <c r="R168" i="124"/>
  <c r="AU170" i="124"/>
  <c r="R170" i="124"/>
  <c r="AU171" i="124"/>
  <c r="R171" i="124"/>
  <c r="AU172" i="124"/>
  <c r="R172" i="124"/>
  <c r="AU173" i="124"/>
  <c r="R173" i="124"/>
  <c r="AU175" i="124"/>
  <c r="R175" i="124"/>
  <c r="AU177" i="124"/>
  <c r="R177" i="124"/>
  <c r="AU182" i="124"/>
  <c r="R182" i="124"/>
  <c r="AU184" i="124"/>
  <c r="R184" i="124"/>
  <c r="AU186" i="124"/>
  <c r="R186" i="124"/>
  <c r="R86" i="124"/>
  <c r="AU86" i="124"/>
  <c r="R92" i="124"/>
  <c r="AU92" i="124"/>
  <c r="R98" i="124"/>
  <c r="AU98" i="124"/>
  <c r="R102" i="124"/>
  <c r="AU102" i="124"/>
  <c r="R106" i="124"/>
  <c r="AU106" i="124"/>
  <c r="R110" i="124"/>
  <c r="AU110" i="124"/>
  <c r="R114" i="124"/>
  <c r="AU114" i="124"/>
  <c r="R118" i="124"/>
  <c r="AU118" i="124"/>
  <c r="R122" i="124"/>
  <c r="AU122" i="124"/>
  <c r="R126" i="124"/>
  <c r="AU126" i="124"/>
  <c r="R165" i="124"/>
  <c r="AU165" i="124"/>
  <c r="R134" i="124"/>
  <c r="AU134" i="124"/>
  <c r="R138" i="124"/>
  <c r="AU138" i="124"/>
  <c r="R142" i="124"/>
  <c r="AU142" i="124"/>
  <c r="AU146" i="124"/>
  <c r="R146" i="124"/>
  <c r="AV196" i="124"/>
  <c r="AT196" i="124"/>
  <c r="R207" i="124"/>
  <c r="AU207" i="124"/>
  <c r="AV223" i="124"/>
  <c r="AT223" i="124"/>
  <c r="AV225" i="124"/>
  <c r="AT225" i="124"/>
  <c r="AV231" i="124"/>
  <c r="AT231" i="124"/>
  <c r="AV235" i="124"/>
  <c r="AT235" i="124"/>
  <c r="AV239" i="124"/>
  <c r="AT239" i="124"/>
  <c r="AV243" i="124"/>
  <c r="AT243" i="124"/>
  <c r="AV247" i="124"/>
  <c r="AT247" i="124"/>
  <c r="AV251" i="124"/>
  <c r="AT251" i="124"/>
  <c r="AY281" i="124"/>
  <c r="AY210" i="124"/>
  <c r="AY212" i="124"/>
  <c r="AY214" i="124"/>
  <c r="AY216" i="124"/>
  <c r="AY218" i="124"/>
  <c r="T10" i="124"/>
  <c r="T462" i="124"/>
  <c r="AQ4" i="124"/>
  <c r="AR4" i="124" s="1"/>
  <c r="AY4" i="124" s="1"/>
  <c r="AM4" i="124"/>
  <c r="AN4" i="124" s="1"/>
  <c r="AW4" i="124" s="1"/>
  <c r="AO4" i="124"/>
  <c r="AP4" i="124" s="1"/>
  <c r="AX4" i="124" s="1"/>
  <c r="AK4" i="124"/>
  <c r="AV5" i="124"/>
  <c r="AT5" i="124"/>
  <c r="AV13" i="124"/>
  <c r="AT13" i="124"/>
  <c r="AV21" i="124"/>
  <c r="AT21" i="124"/>
  <c r="AV29" i="124"/>
  <c r="AT29" i="124"/>
  <c r="AV28" i="124"/>
  <c r="AT28" i="124"/>
  <c r="AV32" i="124"/>
  <c r="AT32" i="124"/>
  <c r="AX45" i="124"/>
  <c r="AX49" i="124"/>
  <c r="AX53" i="124"/>
  <c r="AX61" i="124"/>
  <c r="AX65" i="124"/>
  <c r="AX70" i="124"/>
  <c r="AX73" i="124"/>
  <c r="AX77" i="124"/>
  <c r="AT189" i="124"/>
  <c r="AV189" i="124"/>
  <c r="AT197" i="124"/>
  <c r="AV197" i="124"/>
  <c r="AX37" i="124"/>
  <c r="AX41" i="124"/>
  <c r="AX57" i="124"/>
  <c r="R42" i="124"/>
  <c r="AU42" i="124"/>
  <c r="AT83" i="124"/>
  <c r="AW83" i="124"/>
  <c r="AV192" i="124"/>
  <c r="AT192" i="124"/>
  <c r="AV200" i="124"/>
  <c r="AT200" i="124"/>
  <c r="AV220" i="124"/>
  <c r="AT220" i="124"/>
  <c r="AV222" i="124"/>
  <c r="AT222" i="124"/>
  <c r="AV224" i="124"/>
  <c r="AT224" i="124"/>
  <c r="AV226" i="124"/>
  <c r="AT226" i="124"/>
  <c r="AV228" i="124"/>
  <c r="AT228" i="124"/>
  <c r="AV230" i="124"/>
  <c r="AT230" i="124"/>
  <c r="AV232" i="124"/>
  <c r="AT232" i="124"/>
  <c r="AV234" i="124"/>
  <c r="AT234" i="124"/>
  <c r="AV236" i="124"/>
  <c r="AT236" i="124"/>
  <c r="AV238" i="124"/>
  <c r="AT238" i="124"/>
  <c r="AV240" i="124"/>
  <c r="AT240" i="124"/>
  <c r="AV242" i="124"/>
  <c r="AT242" i="124"/>
  <c r="AV244" i="124"/>
  <c r="AT244" i="124"/>
  <c r="AV246" i="124"/>
  <c r="AT246" i="124"/>
  <c r="AV248" i="124"/>
  <c r="AT248" i="124"/>
  <c r="AV250" i="124"/>
  <c r="AT250" i="124"/>
  <c r="AV252" i="124"/>
  <c r="AT252" i="124"/>
  <c r="AU281" i="124"/>
  <c r="R281" i="124"/>
  <c r="AX281" i="124"/>
  <c r="R210" i="124"/>
  <c r="AU210" i="124"/>
  <c r="AX210" i="124"/>
  <c r="R212" i="124"/>
  <c r="AU212" i="124"/>
  <c r="AX212" i="124"/>
  <c r="R214" i="124"/>
  <c r="AU214" i="124"/>
  <c r="AX214" i="124"/>
  <c r="R216" i="124"/>
  <c r="AU216" i="124"/>
  <c r="AX216" i="124"/>
  <c r="R218" i="124"/>
  <c r="AU218" i="124"/>
  <c r="AX218" i="124"/>
  <c r="R254" i="124"/>
  <c r="AU254" i="124"/>
  <c r="R258" i="124"/>
  <c r="AU258" i="124"/>
  <c r="R262" i="124"/>
  <c r="AU262" i="124"/>
  <c r="R266" i="124"/>
  <c r="AU266" i="124"/>
  <c r="R270" i="124"/>
  <c r="AU270" i="124"/>
  <c r="R274" i="124"/>
  <c r="AU274" i="124"/>
  <c r="R278" i="124"/>
  <c r="AU278" i="124"/>
  <c r="AU282" i="124"/>
  <c r="R282" i="124"/>
  <c r="AU283" i="124"/>
  <c r="R283" i="124"/>
  <c r="AU284" i="124"/>
  <c r="R284" i="124"/>
  <c r="AU285" i="124"/>
  <c r="R285" i="124"/>
  <c r="AU286" i="124"/>
  <c r="R286" i="124"/>
  <c r="AU287" i="124"/>
  <c r="R287" i="124"/>
  <c r="AU288" i="124"/>
  <c r="R288" i="124"/>
  <c r="AU289" i="124"/>
  <c r="R289" i="124"/>
  <c r="AU309" i="124"/>
  <c r="R309" i="124"/>
  <c r="AU402" i="124"/>
  <c r="R402" i="124"/>
  <c r="AU405" i="124"/>
  <c r="R405" i="124"/>
  <c r="AU293" i="124"/>
  <c r="R293" i="124"/>
  <c r="AU294" i="124"/>
  <c r="R294" i="124"/>
  <c r="AU295" i="124"/>
  <c r="R295" i="124"/>
  <c r="AU296" i="124"/>
  <c r="R296" i="124"/>
  <c r="AU297" i="124"/>
  <c r="R297" i="124"/>
  <c r="AU298" i="124"/>
  <c r="R298" i="124"/>
  <c r="AU299" i="124"/>
  <c r="R299" i="124"/>
  <c r="AU300" i="124"/>
  <c r="R300" i="124"/>
  <c r="AU301" i="124"/>
  <c r="R301" i="124"/>
  <c r="AU302" i="124"/>
  <c r="R302" i="124"/>
  <c r="AU303" i="124"/>
  <c r="R303" i="124"/>
  <c r="AU304" i="124"/>
  <c r="R304" i="124"/>
  <c r="AU305" i="124"/>
  <c r="R305" i="124"/>
  <c r="AU407" i="124"/>
  <c r="R407" i="124"/>
  <c r="AU307" i="124"/>
  <c r="R307" i="124"/>
  <c r="AU308" i="124"/>
  <c r="R308" i="124"/>
  <c r="AU419" i="124"/>
  <c r="R419" i="124"/>
  <c r="AU310" i="124"/>
  <c r="R310" i="124"/>
  <c r="AU311" i="124"/>
  <c r="R311" i="124"/>
  <c r="AU312" i="124"/>
  <c r="R312" i="124"/>
  <c r="AU313" i="124"/>
  <c r="R313" i="124"/>
  <c r="AU314" i="124"/>
  <c r="R314" i="124"/>
  <c r="AU315" i="124"/>
  <c r="R315" i="124"/>
  <c r="AU316" i="124"/>
  <c r="R316" i="124"/>
  <c r="AU317" i="124"/>
  <c r="R317" i="124"/>
  <c r="AU318" i="124"/>
  <c r="R318" i="124"/>
  <c r="AU319" i="124"/>
  <c r="R319" i="124"/>
  <c r="AU320" i="124"/>
  <c r="R320" i="124"/>
  <c r="AU321" i="124"/>
  <c r="R321" i="124"/>
  <c r="AU322" i="124"/>
  <c r="R322" i="124"/>
  <c r="AU323" i="124"/>
  <c r="R323" i="124"/>
  <c r="R339" i="124"/>
  <c r="AU339" i="124"/>
  <c r="AU341" i="124"/>
  <c r="R341" i="124"/>
  <c r="AU342" i="124"/>
  <c r="R342" i="124"/>
  <c r="AU343" i="124"/>
  <c r="R343" i="124"/>
  <c r="AU344" i="124"/>
  <c r="R344" i="124"/>
  <c r="AU345" i="124"/>
  <c r="R345" i="124"/>
  <c r="AU346" i="124"/>
  <c r="R346" i="124"/>
  <c r="AU347" i="124"/>
  <c r="R347" i="124"/>
  <c r="AU348" i="124"/>
  <c r="R348" i="124"/>
  <c r="AU349" i="124"/>
  <c r="R349" i="124"/>
  <c r="AU350" i="124"/>
  <c r="R350" i="124"/>
  <c r="AU351" i="124"/>
  <c r="R351" i="124"/>
  <c r="AU352" i="124"/>
  <c r="R352" i="124"/>
  <c r="AU353" i="124"/>
  <c r="R353" i="124"/>
  <c r="AV361" i="124"/>
  <c r="AT361" i="124"/>
  <c r="AV373" i="124"/>
  <c r="AT373" i="124"/>
  <c r="AV375" i="124"/>
  <c r="AT375" i="124"/>
  <c r="AV377" i="124"/>
  <c r="AT377" i="124"/>
  <c r="AV379" i="124"/>
  <c r="AT379" i="124"/>
  <c r="AV381" i="124"/>
  <c r="AT381" i="124"/>
  <c r="AV383" i="124"/>
  <c r="AT383" i="124"/>
  <c r="AV385" i="124"/>
  <c r="AT385" i="124"/>
  <c r="AV387" i="124"/>
  <c r="AT387" i="124"/>
  <c r="AV392" i="124"/>
  <c r="AT392" i="124"/>
  <c r="AV399" i="124"/>
  <c r="AT399" i="124"/>
  <c r="AV401" i="124"/>
  <c r="AT401" i="124"/>
  <c r="AV403" i="124"/>
  <c r="AT403" i="124"/>
  <c r="AV131" i="124"/>
  <c r="AT131" i="124"/>
  <c r="AV162" i="124"/>
  <c r="AT162" i="124"/>
  <c r="AV409" i="124"/>
  <c r="AT409" i="124"/>
  <c r="AV411" i="124"/>
  <c r="AT411" i="124"/>
  <c r="AV413" i="124"/>
  <c r="AT413" i="124"/>
  <c r="AX417" i="124"/>
  <c r="AY417" i="124"/>
  <c r="AX164" i="124"/>
  <c r="AY164" i="124"/>
  <c r="AW435" i="124"/>
  <c r="AY435" i="124"/>
  <c r="AV440" i="124"/>
  <c r="AT440" i="124"/>
  <c r="AU441" i="124"/>
  <c r="AV442" i="124"/>
  <c r="AT442" i="124"/>
  <c r="AV444" i="124"/>
  <c r="AT444" i="124"/>
  <c r="AU449" i="124"/>
  <c r="R449" i="124"/>
  <c r="R452" i="124"/>
  <c r="AU452" i="124"/>
  <c r="R454" i="124"/>
  <c r="AU454" i="124"/>
  <c r="AU456" i="124"/>
  <c r="R456" i="124"/>
  <c r="R457" i="124"/>
  <c r="AU457" i="124"/>
  <c r="R459" i="124"/>
  <c r="AU459" i="124"/>
  <c r="AU422" i="124"/>
  <c r="R422" i="124"/>
  <c r="AX422" i="124"/>
  <c r="AU423" i="124"/>
  <c r="R423" i="124"/>
  <c r="AX423" i="124"/>
  <c r="AU424" i="124"/>
  <c r="R424" i="124"/>
  <c r="AX424" i="124"/>
  <c r="AU425" i="124"/>
  <c r="R425" i="124"/>
  <c r="AX425" i="124"/>
  <c r="AU426" i="124"/>
  <c r="R426" i="124"/>
  <c r="AX426" i="124"/>
  <c r="AU427" i="124"/>
  <c r="R427" i="124"/>
  <c r="AX427" i="124"/>
  <c r="AU428" i="124"/>
  <c r="R428" i="124"/>
  <c r="AX428" i="124"/>
  <c r="AU430" i="124"/>
  <c r="R430" i="124"/>
  <c r="AX430" i="124"/>
  <c r="AU432" i="124"/>
  <c r="R432" i="124"/>
  <c r="AX432" i="124"/>
  <c r="AU436" i="124"/>
  <c r="R436" i="124"/>
  <c r="AX436" i="124"/>
  <c r="AU437" i="124"/>
  <c r="R437" i="124"/>
  <c r="AX437" i="124"/>
  <c r="AU438" i="124"/>
  <c r="R438" i="124"/>
  <c r="AX438" i="124"/>
  <c r="AU439" i="124"/>
  <c r="R439" i="124"/>
  <c r="AX439" i="124"/>
  <c r="AV448" i="124"/>
  <c r="AT448" i="124"/>
  <c r="AV6" i="124"/>
  <c r="AT6" i="124"/>
  <c r="V10" i="124"/>
  <c r="V462" i="124"/>
  <c r="AV14" i="124"/>
  <c r="AT14" i="124"/>
  <c r="AP18" i="124"/>
  <c r="AP462" i="124"/>
  <c r="AV24" i="124"/>
  <c r="AT24" i="124"/>
  <c r="AV3" i="124"/>
  <c r="AT3" i="124"/>
  <c r="AV11" i="124"/>
  <c r="AT11" i="124"/>
  <c r="AV19" i="124"/>
  <c r="AT19" i="124"/>
  <c r="AV27" i="124"/>
  <c r="AT27" i="124"/>
  <c r="AV35" i="124"/>
  <c r="AT35" i="124"/>
  <c r="AH462" i="124"/>
  <c r="AX36" i="124"/>
  <c r="AY36" i="124"/>
  <c r="AX40" i="124"/>
  <c r="AY40" i="124"/>
  <c r="AX44" i="124"/>
  <c r="AY44" i="124"/>
  <c r="AX48" i="124"/>
  <c r="AY48" i="124"/>
  <c r="AX52" i="124"/>
  <c r="AY52" i="124"/>
  <c r="AX56" i="124"/>
  <c r="AY56" i="124"/>
  <c r="AX60" i="124"/>
  <c r="AY60" i="124"/>
  <c r="AX64" i="124"/>
  <c r="AY64" i="124"/>
  <c r="AX68" i="124"/>
  <c r="AY68" i="124"/>
  <c r="AX69" i="124"/>
  <c r="AY69" i="124"/>
  <c r="AX76" i="124"/>
  <c r="AY76" i="124"/>
  <c r="AV147" i="124"/>
  <c r="AT147" i="124"/>
  <c r="AT191" i="124"/>
  <c r="AV191" i="124"/>
  <c r="AT199" i="124"/>
  <c r="AV199" i="124"/>
  <c r="AV292" i="124"/>
  <c r="AT292" i="124"/>
  <c r="AW148" i="124"/>
  <c r="AY148" i="124"/>
  <c r="AW149" i="124"/>
  <c r="AY149" i="124"/>
  <c r="AW150" i="124"/>
  <c r="AY150" i="124"/>
  <c r="AW151" i="124"/>
  <c r="AY151" i="124"/>
  <c r="AW152" i="124"/>
  <c r="AY152" i="124"/>
  <c r="AW153" i="124"/>
  <c r="AY153" i="124"/>
  <c r="AW154" i="124"/>
  <c r="AY154" i="124"/>
  <c r="AW155" i="124"/>
  <c r="AY155" i="124"/>
  <c r="AW156" i="124"/>
  <c r="AY156" i="124"/>
  <c r="AW157" i="124"/>
  <c r="AY157" i="124"/>
  <c r="AW158" i="124"/>
  <c r="AY158" i="124"/>
  <c r="AW159" i="124"/>
  <c r="AY159" i="124"/>
  <c r="AW160" i="124"/>
  <c r="AY160" i="124"/>
  <c r="AW161" i="124"/>
  <c r="AY161" i="124"/>
  <c r="AU167" i="124"/>
  <c r="AY167" i="124"/>
  <c r="AW204" i="124"/>
  <c r="R204" i="124"/>
  <c r="AU204" i="124"/>
  <c r="AW206" i="124"/>
  <c r="R206" i="124"/>
  <c r="AU206" i="124"/>
  <c r="R208" i="124"/>
  <c r="AU208" i="124"/>
  <c r="AX208" i="124"/>
  <c r="R80" i="124"/>
  <c r="AU80" i="124"/>
  <c r="AX80" i="124"/>
  <c r="R82" i="124"/>
  <c r="AU82" i="124"/>
  <c r="AX82" i="124"/>
  <c r="R85" i="124"/>
  <c r="AU85" i="124"/>
  <c r="AX85" i="124"/>
  <c r="R87" i="124"/>
  <c r="AU87" i="124"/>
  <c r="AX87" i="124"/>
  <c r="R89" i="124"/>
  <c r="AU89" i="124"/>
  <c r="AX89" i="124"/>
  <c r="R91" i="124"/>
  <c r="AU91" i="124"/>
  <c r="AX91" i="124"/>
  <c r="R93" i="124"/>
  <c r="AU93" i="124"/>
  <c r="AX93" i="124"/>
  <c r="R95" i="124"/>
  <c r="AU95" i="124"/>
  <c r="AX95" i="124"/>
  <c r="R97" i="124"/>
  <c r="AU97" i="124"/>
  <c r="AX97" i="124"/>
  <c r="R99" i="124"/>
  <c r="AU99" i="124"/>
  <c r="AX99" i="124"/>
  <c r="R101" i="124"/>
  <c r="AU101" i="124"/>
  <c r="AX101" i="124"/>
  <c r="R103" i="124"/>
  <c r="AU103" i="124"/>
  <c r="AX103" i="124"/>
  <c r="R105" i="124"/>
  <c r="AU105" i="124"/>
  <c r="AX105" i="124"/>
  <c r="R107" i="124"/>
  <c r="AU107" i="124"/>
  <c r="AX107" i="124"/>
  <c r="R109" i="124"/>
  <c r="AU109" i="124"/>
  <c r="AX109" i="124"/>
  <c r="R111" i="124"/>
  <c r="AU111" i="124"/>
  <c r="AX111" i="124"/>
  <c r="R113" i="124"/>
  <c r="AU113" i="124"/>
  <c r="AX113" i="124"/>
  <c r="R115" i="124"/>
  <c r="AU115" i="124"/>
  <c r="AX115" i="124"/>
  <c r="R117" i="124"/>
  <c r="AU117" i="124"/>
  <c r="AX117" i="124"/>
  <c r="R119" i="124"/>
  <c r="AU119" i="124"/>
  <c r="AX119" i="124"/>
  <c r="R121" i="124"/>
  <c r="AU121" i="124"/>
  <c r="AX121" i="124"/>
  <c r="R123" i="124"/>
  <c r="AU123" i="124"/>
  <c r="AX123" i="124"/>
  <c r="R125" i="124"/>
  <c r="AU125" i="124"/>
  <c r="AX125" i="124"/>
  <c r="R127" i="124"/>
  <c r="AU127" i="124"/>
  <c r="AX127" i="124"/>
  <c r="R129" i="124"/>
  <c r="AU129" i="124"/>
  <c r="AX129" i="124"/>
  <c r="R166" i="124"/>
  <c r="AU166" i="124"/>
  <c r="AX166" i="124"/>
  <c r="R133" i="124"/>
  <c r="AU133" i="124"/>
  <c r="AX133" i="124"/>
  <c r="R135" i="124"/>
  <c r="AU135" i="124"/>
  <c r="AX135" i="124"/>
  <c r="R137" i="124"/>
  <c r="AU137" i="124"/>
  <c r="AX137" i="124"/>
  <c r="R139" i="124"/>
  <c r="AU139" i="124"/>
  <c r="AX139" i="124"/>
  <c r="R141" i="124"/>
  <c r="AU141" i="124"/>
  <c r="AX141" i="124"/>
  <c r="R143" i="124"/>
  <c r="AU143" i="124"/>
  <c r="AX143" i="124"/>
  <c r="R145" i="124"/>
  <c r="AU145" i="124"/>
  <c r="AX145" i="124"/>
  <c r="AV194" i="124"/>
  <c r="AT194" i="124"/>
  <c r="AV202" i="124"/>
  <c r="AT202" i="124"/>
  <c r="R205" i="124"/>
  <c r="AU205" i="124"/>
  <c r="AW205" i="124"/>
  <c r="AW253" i="124"/>
  <c r="R253" i="124"/>
  <c r="AU253" i="124"/>
  <c r="AW255" i="124"/>
  <c r="R255" i="124"/>
  <c r="AU255" i="124"/>
  <c r="AW257" i="124"/>
  <c r="R257" i="124"/>
  <c r="AU257" i="124"/>
  <c r="AW259" i="124"/>
  <c r="R259" i="124"/>
  <c r="AU259" i="124"/>
  <c r="AW261" i="124"/>
  <c r="R261" i="124"/>
  <c r="AU261" i="124"/>
  <c r="AW263" i="124"/>
  <c r="R263" i="124"/>
  <c r="AU263" i="124"/>
  <c r="AW265" i="124"/>
  <c r="R265" i="124"/>
  <c r="AU265" i="124"/>
  <c r="AW267" i="124"/>
  <c r="R267" i="124"/>
  <c r="AU267" i="124"/>
  <c r="AW269" i="124"/>
  <c r="R269" i="124"/>
  <c r="AU269" i="124"/>
  <c r="AW271" i="124"/>
  <c r="R271" i="124"/>
  <c r="AU271" i="124"/>
  <c r="AW273" i="124"/>
  <c r="R273" i="124"/>
  <c r="AU273" i="124"/>
  <c r="AW275" i="124"/>
  <c r="R275" i="124"/>
  <c r="AU275" i="124"/>
  <c r="AW277" i="124"/>
  <c r="R277" i="124"/>
  <c r="AU277" i="124"/>
  <c r="AW279" i="124"/>
  <c r="R279" i="124"/>
  <c r="AU279" i="124"/>
  <c r="R209" i="124"/>
  <c r="AU209" i="124"/>
  <c r="AX209" i="124"/>
  <c r="R211" i="124"/>
  <c r="AU211" i="124"/>
  <c r="AX211" i="124"/>
  <c r="R213" i="124"/>
  <c r="AU213" i="124"/>
  <c r="AX213" i="124"/>
  <c r="R215" i="124"/>
  <c r="AU215" i="124"/>
  <c r="AX215" i="124"/>
  <c r="R217" i="124"/>
  <c r="AU217" i="124"/>
  <c r="AX217" i="124"/>
  <c r="AU306" i="124"/>
  <c r="R306" i="124"/>
  <c r="AX306" i="124"/>
  <c r="R256" i="124"/>
  <c r="AU256" i="124"/>
  <c r="AW256" i="124"/>
  <c r="R260" i="124"/>
  <c r="AU260" i="124"/>
  <c r="AW260" i="124"/>
  <c r="R264" i="124"/>
  <c r="AU264" i="124"/>
  <c r="AW264" i="124"/>
  <c r="R268" i="124"/>
  <c r="AU268" i="124"/>
  <c r="AW268" i="124"/>
  <c r="R272" i="124"/>
  <c r="AU272" i="124"/>
  <c r="AW272" i="124"/>
  <c r="R276" i="124"/>
  <c r="AU276" i="124"/>
  <c r="AW276" i="124"/>
  <c r="R280" i="124"/>
  <c r="AU280" i="124"/>
  <c r="AW280" i="124"/>
  <c r="AW324" i="124"/>
  <c r="R324" i="124"/>
  <c r="AU324" i="124"/>
  <c r="AW326" i="124"/>
  <c r="R326" i="124"/>
  <c r="AU326" i="124"/>
  <c r="AW328" i="124"/>
  <c r="R328" i="124"/>
  <c r="AU328" i="124"/>
  <c r="AW330" i="124"/>
  <c r="R330" i="124"/>
  <c r="AU330" i="124"/>
  <c r="AW332" i="124"/>
  <c r="R332" i="124"/>
  <c r="AU332" i="124"/>
  <c r="AW334" i="124"/>
  <c r="R334" i="124"/>
  <c r="AU334" i="124"/>
  <c r="AW336" i="124"/>
  <c r="R336" i="124"/>
  <c r="AU336" i="124"/>
  <c r="AW338" i="124"/>
  <c r="R338" i="124"/>
  <c r="AU338" i="124"/>
  <c r="AW340" i="124"/>
  <c r="R340" i="124"/>
  <c r="AU340" i="124"/>
  <c r="AT358" i="124"/>
  <c r="AV358" i="124"/>
  <c r="AT366" i="124"/>
  <c r="AV366" i="124"/>
  <c r="AX325" i="124"/>
  <c r="AY325" i="124"/>
  <c r="AX327" i="124"/>
  <c r="AY327" i="124"/>
  <c r="AX329" i="124"/>
  <c r="AY329" i="124"/>
  <c r="AX331" i="124"/>
  <c r="AY331" i="124"/>
  <c r="AX333" i="124"/>
  <c r="AY333" i="124"/>
  <c r="AX335" i="124"/>
  <c r="AY335" i="124"/>
  <c r="AX337" i="124"/>
  <c r="AY337" i="124"/>
  <c r="AT356" i="124"/>
  <c r="AV356" i="124"/>
  <c r="AT364" i="124"/>
  <c r="AV364" i="124"/>
  <c r="AV390" i="124"/>
  <c r="AT390" i="124"/>
  <c r="AV359" i="124"/>
  <c r="AT359" i="124"/>
  <c r="AV367" i="124"/>
  <c r="AT367" i="124"/>
  <c r="AU429" i="124"/>
  <c r="R429" i="124"/>
  <c r="AX429" i="124"/>
  <c r="AU431" i="124"/>
  <c r="R431" i="124"/>
  <c r="AX431" i="124"/>
  <c r="AW433" i="124"/>
  <c r="R433" i="124"/>
  <c r="AU433" i="124"/>
  <c r="AV445" i="124"/>
  <c r="AT445" i="124"/>
  <c r="AW451" i="124"/>
  <c r="R451" i="124"/>
  <c r="AU451" i="124"/>
  <c r="R450" i="124"/>
  <c r="AU450" i="124"/>
  <c r="AW450" i="124"/>
  <c r="R453" i="124"/>
  <c r="AU453" i="124"/>
  <c r="AX453" i="124"/>
  <c r="R455" i="124"/>
  <c r="AU455" i="124"/>
  <c r="AX455" i="124"/>
  <c r="R458" i="124"/>
  <c r="AU458" i="124"/>
  <c r="AX458" i="124"/>
  <c r="R460" i="124"/>
  <c r="AU460" i="124"/>
  <c r="AX460" i="124"/>
  <c r="X462" i="124"/>
  <c r="AR462" i="124"/>
  <c r="AN18" i="124"/>
  <c r="AN462" i="124"/>
  <c r="R53" i="124"/>
  <c r="AU53" i="124"/>
  <c r="R59" i="124"/>
  <c r="AU59" i="124"/>
  <c r="R63" i="124"/>
  <c r="AU63" i="124"/>
  <c r="R67" i="124"/>
  <c r="AU67" i="124"/>
  <c r="R70" i="124"/>
  <c r="AU70" i="124"/>
  <c r="R72" i="124"/>
  <c r="AU72" i="124"/>
  <c r="R77" i="124"/>
  <c r="AU77" i="124"/>
  <c r="AT201" i="124"/>
  <c r="AV201" i="124"/>
  <c r="R41" i="124"/>
  <c r="AU41" i="124"/>
  <c r="R55" i="124"/>
  <c r="AU55" i="124"/>
  <c r="R46" i="124"/>
  <c r="AU46" i="124"/>
  <c r="R54" i="124"/>
  <c r="AU54" i="124"/>
  <c r="R62" i="124"/>
  <c r="AU62" i="124"/>
  <c r="R71" i="124"/>
  <c r="AU71" i="124"/>
  <c r="R78" i="124"/>
  <c r="AU78" i="124"/>
  <c r="AU163" i="124"/>
  <c r="R163" i="124"/>
  <c r="AU203" i="124"/>
  <c r="R203" i="124"/>
  <c r="AU290" i="124"/>
  <c r="R290" i="124"/>
  <c r="AU169" i="124"/>
  <c r="R169" i="124"/>
  <c r="AU174" i="124"/>
  <c r="R174" i="124"/>
  <c r="AU176" i="124"/>
  <c r="R176" i="124"/>
  <c r="AU178" i="124"/>
  <c r="R178" i="124"/>
  <c r="AU179" i="124"/>
  <c r="R179" i="124"/>
  <c r="AU180" i="124"/>
  <c r="R180" i="124"/>
  <c r="AU291" i="124"/>
  <c r="R291" i="124"/>
  <c r="AU183" i="124"/>
  <c r="R183" i="124"/>
  <c r="AU185" i="124"/>
  <c r="R185" i="124"/>
  <c r="R81" i="124"/>
  <c r="AU81" i="124"/>
  <c r="R84" i="124"/>
  <c r="AU84" i="124"/>
  <c r="R88" i="124"/>
  <c r="AU88" i="124"/>
  <c r="R90" i="124"/>
  <c r="AU90" i="124"/>
  <c r="R94" i="124"/>
  <c r="AU94" i="124"/>
  <c r="R96" i="124"/>
  <c r="AU96" i="124"/>
  <c r="R100" i="124"/>
  <c r="AU100" i="124"/>
  <c r="R104" i="124"/>
  <c r="AU104" i="124"/>
  <c r="R108" i="124"/>
  <c r="AU108" i="124"/>
  <c r="R112" i="124"/>
  <c r="AU112" i="124"/>
  <c r="R116" i="124"/>
  <c r="AU116" i="124"/>
  <c r="R120" i="124"/>
  <c r="AU120" i="124"/>
  <c r="R124" i="124"/>
  <c r="AU124" i="124"/>
  <c r="R128" i="124"/>
  <c r="AU128" i="124"/>
  <c r="R132" i="124"/>
  <c r="AU132" i="124"/>
  <c r="R136" i="124"/>
  <c r="AU136" i="124"/>
  <c r="R140" i="124"/>
  <c r="AU140" i="124"/>
  <c r="R144" i="124"/>
  <c r="AU144" i="124"/>
  <c r="AV188" i="124"/>
  <c r="AT188" i="124"/>
  <c r="AV221" i="124"/>
  <c r="AT221" i="124"/>
  <c r="AV227" i="124"/>
  <c r="AT227" i="124"/>
  <c r="AV229" i="124"/>
  <c r="AT229" i="124"/>
  <c r="AV233" i="124"/>
  <c r="AT233" i="124"/>
  <c r="AV237" i="124"/>
  <c r="AT237" i="124"/>
  <c r="AV241" i="124"/>
  <c r="AT241" i="124"/>
  <c r="AV245" i="124"/>
  <c r="AT245" i="124"/>
  <c r="AV249" i="124"/>
  <c r="AT249" i="124"/>
  <c r="AW281" i="124"/>
  <c r="AW210" i="124"/>
  <c r="AW212" i="124"/>
  <c r="AW214" i="124"/>
  <c r="AW216" i="124"/>
  <c r="AW218" i="124"/>
  <c r="AV357" i="124"/>
  <c r="AT357" i="124"/>
  <c r="AV365" i="124"/>
  <c r="AT365" i="124"/>
  <c r="AV369" i="124"/>
  <c r="AT369" i="124"/>
  <c r="AV372" i="124"/>
  <c r="AT372" i="124"/>
  <c r="AV374" i="124"/>
  <c r="AT374" i="124"/>
  <c r="AV376" i="124"/>
  <c r="AT376" i="124"/>
  <c r="AV378" i="124"/>
  <c r="AT378" i="124"/>
  <c r="AV380" i="124"/>
  <c r="AT380" i="124"/>
  <c r="AV382" i="124"/>
  <c r="AT382" i="124"/>
  <c r="AV384" i="124"/>
  <c r="AT384" i="124"/>
  <c r="AV386" i="124"/>
  <c r="AT386" i="124"/>
  <c r="AV388" i="124"/>
  <c r="AT388" i="124"/>
  <c r="AV396" i="124"/>
  <c r="AT396" i="124"/>
  <c r="AT389" i="124"/>
  <c r="AV389" i="124"/>
  <c r="AT391" i="124"/>
  <c r="AV391" i="124"/>
  <c r="AT393" i="124"/>
  <c r="AV393" i="124"/>
  <c r="AT395" i="124"/>
  <c r="AV395" i="124"/>
  <c r="AT397" i="124"/>
  <c r="AV397" i="124"/>
  <c r="AV398" i="124"/>
  <c r="AT398" i="124"/>
  <c r="AV400" i="124"/>
  <c r="AT400" i="124"/>
  <c r="AV130" i="124"/>
  <c r="AT130" i="124"/>
  <c r="AV404" i="124"/>
  <c r="AT404" i="124"/>
  <c r="AV406" i="124"/>
  <c r="AT406" i="124"/>
  <c r="AV408" i="124"/>
  <c r="AT408" i="124"/>
  <c r="AV410" i="124"/>
  <c r="AT410" i="124"/>
  <c r="AV412" i="124"/>
  <c r="AT412" i="124"/>
  <c r="R414" i="124"/>
  <c r="AU414" i="124"/>
  <c r="R416" i="124"/>
  <c r="AU416" i="124"/>
  <c r="R418" i="124"/>
  <c r="AU418" i="124"/>
  <c r="R420" i="124"/>
  <c r="AU420" i="124"/>
  <c r="R415" i="124"/>
  <c r="AU415" i="124"/>
  <c r="R417" i="124"/>
  <c r="AU417" i="124"/>
  <c r="R164" i="124"/>
  <c r="AU164" i="124"/>
  <c r="AU421" i="124"/>
  <c r="R421" i="124"/>
  <c r="AU435" i="124"/>
  <c r="R435" i="124"/>
  <c r="AX435" i="124"/>
  <c r="R434" i="124"/>
  <c r="AU434" i="124"/>
  <c r="AT441" i="124"/>
  <c r="AV441" i="124"/>
  <c r="AT443" i="124"/>
  <c r="AV443" i="124"/>
  <c r="AW436" i="124"/>
  <c r="AY436" i="124"/>
  <c r="AW437" i="124"/>
  <c r="AY437" i="124"/>
  <c r="AW438" i="124"/>
  <c r="AY438" i="124"/>
  <c r="AW439" i="124"/>
  <c r="AY439" i="124"/>
  <c r="AV446" i="124"/>
  <c r="AT446" i="124"/>
  <c r="AU10" i="124"/>
  <c r="R10" i="124"/>
  <c r="R462" i="124"/>
  <c r="AV12" i="124"/>
  <c r="AT12" i="124"/>
  <c r="AV16" i="124"/>
  <c r="AT16" i="124"/>
  <c r="AU18" i="124"/>
  <c r="AL18" i="124"/>
  <c r="AL463" i="124" s="1"/>
  <c r="AL462" i="124"/>
  <c r="AV22" i="124"/>
  <c r="AT22" i="124"/>
  <c r="AV26" i="124"/>
  <c r="AT26" i="124"/>
  <c r="AV7" i="124"/>
  <c r="AT7" i="124"/>
  <c r="AV15" i="124"/>
  <c r="AT15" i="124"/>
  <c r="AV23" i="124"/>
  <c r="AT23" i="124"/>
  <c r="AV31" i="124"/>
  <c r="AT31" i="124"/>
  <c r="AF462" i="124"/>
  <c r="R36" i="124"/>
  <c r="AU36" i="124"/>
  <c r="AW36" i="124"/>
  <c r="R40" i="124"/>
  <c r="AU40" i="124"/>
  <c r="AW40" i="124"/>
  <c r="R44" i="124"/>
  <c r="AU44" i="124"/>
  <c r="AW44" i="124"/>
  <c r="R48" i="124"/>
  <c r="AU48" i="124"/>
  <c r="AW48" i="124"/>
  <c r="R52" i="124"/>
  <c r="AU52" i="124"/>
  <c r="AW52" i="124"/>
  <c r="R56" i="124"/>
  <c r="AU56" i="124"/>
  <c r="AW56" i="124"/>
  <c r="R60" i="124"/>
  <c r="AU60" i="124"/>
  <c r="AW60" i="124"/>
  <c r="R64" i="124"/>
  <c r="AU64" i="124"/>
  <c r="AW64" i="124"/>
  <c r="R68" i="124"/>
  <c r="AU68" i="124"/>
  <c r="R69" i="124"/>
  <c r="AU69" i="124"/>
  <c r="AW69" i="124"/>
  <c r="R76" i="124"/>
  <c r="AU76" i="124"/>
  <c r="AW76" i="124"/>
  <c r="AT187" i="124"/>
  <c r="AV187" i="124"/>
  <c r="AT195" i="124"/>
  <c r="AV195" i="124"/>
  <c r="AU292" i="124"/>
  <c r="AU148" i="124"/>
  <c r="R148" i="124"/>
  <c r="AX148" i="124"/>
  <c r="AU149" i="124"/>
  <c r="R149" i="124"/>
  <c r="AX149" i="124"/>
  <c r="AU150" i="124"/>
  <c r="R150" i="124"/>
  <c r="AX150" i="124"/>
  <c r="AU151" i="124"/>
  <c r="R151" i="124"/>
  <c r="AX151" i="124"/>
  <c r="AU152" i="124"/>
  <c r="R152" i="124"/>
  <c r="AX152" i="124"/>
  <c r="AU153" i="124"/>
  <c r="R153" i="124"/>
  <c r="AX153" i="124"/>
  <c r="AU154" i="124"/>
  <c r="R154" i="124"/>
  <c r="AX154" i="124"/>
  <c r="AU155" i="124"/>
  <c r="R155" i="124"/>
  <c r="AX155" i="124"/>
  <c r="AU156" i="124"/>
  <c r="R156" i="124"/>
  <c r="AX156" i="124"/>
  <c r="AU157" i="124"/>
  <c r="R157" i="124"/>
  <c r="AX157" i="124"/>
  <c r="AU158" i="124"/>
  <c r="R158" i="124"/>
  <c r="AX158" i="124"/>
  <c r="AU159" i="124"/>
  <c r="R159" i="124"/>
  <c r="AX159" i="124"/>
  <c r="AU160" i="124"/>
  <c r="R160" i="124"/>
  <c r="AX160" i="124"/>
  <c r="AU161" i="124"/>
  <c r="R161" i="124"/>
  <c r="AX161" i="124"/>
  <c r="AX167" i="124"/>
  <c r="AT167" i="124"/>
  <c r="AY204" i="124"/>
  <c r="AX204" i="124"/>
  <c r="AY206" i="124"/>
  <c r="AX206" i="124"/>
  <c r="AW208" i="124"/>
  <c r="AY208" i="124"/>
  <c r="AW80" i="124"/>
  <c r="AY80" i="124"/>
  <c r="AW82" i="124"/>
  <c r="AY82" i="124"/>
  <c r="AW85" i="124"/>
  <c r="AY85" i="124"/>
  <c r="AW87" i="124"/>
  <c r="AY87" i="124"/>
  <c r="AW89" i="124"/>
  <c r="AY89" i="124"/>
  <c r="AW91" i="124"/>
  <c r="AY91" i="124"/>
  <c r="AW93" i="124"/>
  <c r="AY93" i="124"/>
  <c r="AW95" i="124"/>
  <c r="AY95" i="124"/>
  <c r="AW97" i="124"/>
  <c r="AY97" i="124"/>
  <c r="AW99" i="124"/>
  <c r="AY99" i="124"/>
  <c r="AW101" i="124"/>
  <c r="AY101" i="124"/>
  <c r="AW103" i="124"/>
  <c r="AY103" i="124"/>
  <c r="AW105" i="124"/>
  <c r="AY105" i="124"/>
  <c r="AW107" i="124"/>
  <c r="AY107" i="124"/>
  <c r="AW109" i="124"/>
  <c r="AY109" i="124"/>
  <c r="AW111" i="124"/>
  <c r="AY111" i="124"/>
  <c r="AW113" i="124"/>
  <c r="AY113" i="124"/>
  <c r="AW115" i="124"/>
  <c r="AY115" i="124"/>
  <c r="AW117" i="124"/>
  <c r="AY117" i="124"/>
  <c r="AW119" i="124"/>
  <c r="AY119" i="124"/>
  <c r="AW121" i="124"/>
  <c r="AY121" i="124"/>
  <c r="AW123" i="124"/>
  <c r="AY123" i="124"/>
  <c r="AW125" i="124"/>
  <c r="AY125" i="124"/>
  <c r="AW127" i="124"/>
  <c r="AY127" i="124"/>
  <c r="AW129" i="124"/>
  <c r="AY129" i="124"/>
  <c r="AY166" i="124"/>
  <c r="AW133" i="124"/>
  <c r="AY133" i="124"/>
  <c r="AW135" i="124"/>
  <c r="AY135" i="124"/>
  <c r="AW137" i="124"/>
  <c r="AY137" i="124"/>
  <c r="AW139" i="124"/>
  <c r="AY139" i="124"/>
  <c r="AW141" i="124"/>
  <c r="AY141" i="124"/>
  <c r="AW143" i="124"/>
  <c r="AY143" i="124"/>
  <c r="AW145" i="124"/>
  <c r="AY145" i="124"/>
  <c r="AV190" i="124"/>
  <c r="AT190" i="124"/>
  <c r="AV198" i="124"/>
  <c r="AT198" i="124"/>
  <c r="AX205" i="124"/>
  <c r="AY205" i="124"/>
  <c r="AY253" i="124"/>
  <c r="AX253" i="124"/>
  <c r="AY255" i="124"/>
  <c r="AX255" i="124"/>
  <c r="AY257" i="124"/>
  <c r="AX257" i="124"/>
  <c r="AY259" i="124"/>
  <c r="AX259" i="124"/>
  <c r="AY261" i="124"/>
  <c r="AX261" i="124"/>
  <c r="AY263" i="124"/>
  <c r="AX263" i="124"/>
  <c r="AY265" i="124"/>
  <c r="AX265" i="124"/>
  <c r="AY267" i="124"/>
  <c r="AX267" i="124"/>
  <c r="AY269" i="124"/>
  <c r="AX269" i="124"/>
  <c r="AY271" i="124"/>
  <c r="AX271" i="124"/>
  <c r="AY273" i="124"/>
  <c r="AX273" i="124"/>
  <c r="AY275" i="124"/>
  <c r="AX275" i="124"/>
  <c r="AY277" i="124"/>
  <c r="AX277" i="124"/>
  <c r="AY279" i="124"/>
  <c r="AX279" i="124"/>
  <c r="AW209" i="124"/>
  <c r="AY209" i="124"/>
  <c r="AW211" i="124"/>
  <c r="AY211" i="124"/>
  <c r="AW213" i="124"/>
  <c r="AY213" i="124"/>
  <c r="AW215" i="124"/>
  <c r="AY215" i="124"/>
  <c r="AW217" i="124"/>
  <c r="AY217" i="124"/>
  <c r="AW306" i="124"/>
  <c r="AY306" i="124"/>
  <c r="AX256" i="124"/>
  <c r="AY256" i="124"/>
  <c r="AX260" i="124"/>
  <c r="AY260" i="124"/>
  <c r="AX264" i="124"/>
  <c r="AY264" i="124"/>
  <c r="AX268" i="124"/>
  <c r="AY268" i="124"/>
  <c r="AX272" i="124"/>
  <c r="AY272" i="124"/>
  <c r="AX276" i="124"/>
  <c r="AY276" i="124"/>
  <c r="AX280" i="124"/>
  <c r="AY280" i="124"/>
  <c r="AY324" i="124"/>
  <c r="AX324" i="124"/>
  <c r="AY326" i="124"/>
  <c r="AX326" i="124"/>
  <c r="AY328" i="124"/>
  <c r="AX328" i="124"/>
  <c r="AY330" i="124"/>
  <c r="AX330" i="124"/>
  <c r="AY332" i="124"/>
  <c r="AX332" i="124"/>
  <c r="AY334" i="124"/>
  <c r="AX334" i="124"/>
  <c r="AY336" i="124"/>
  <c r="AX336" i="124"/>
  <c r="AY338" i="124"/>
  <c r="AX338" i="124"/>
  <c r="AY340" i="124"/>
  <c r="AX340" i="124"/>
  <c r="AT354" i="124"/>
  <c r="AV354" i="124"/>
  <c r="AT362" i="124"/>
  <c r="AV362" i="124"/>
  <c r="AT370" i="124"/>
  <c r="AV370" i="124"/>
  <c r="R325" i="124"/>
  <c r="AU325" i="124"/>
  <c r="AW325" i="124"/>
  <c r="R327" i="124"/>
  <c r="AU327" i="124"/>
  <c r="AW327" i="124"/>
  <c r="R329" i="124"/>
  <c r="AU329" i="124"/>
  <c r="AW329" i="124"/>
  <c r="R331" i="124"/>
  <c r="AU331" i="124"/>
  <c r="AW331" i="124"/>
  <c r="R333" i="124"/>
  <c r="AU333" i="124"/>
  <c r="AW333" i="124"/>
  <c r="R335" i="124"/>
  <c r="AU335" i="124"/>
  <c r="AW335" i="124"/>
  <c r="R337" i="124"/>
  <c r="AU337" i="124"/>
  <c r="AW337" i="124"/>
  <c r="AT360" i="124"/>
  <c r="AV360" i="124"/>
  <c r="AT368" i="124"/>
  <c r="AV368" i="124"/>
  <c r="AV394" i="124"/>
  <c r="AT394" i="124"/>
  <c r="AV355" i="124"/>
  <c r="AT355" i="124"/>
  <c r="AV363" i="124"/>
  <c r="AT363" i="124"/>
  <c r="AV371" i="124"/>
  <c r="AT371" i="124"/>
  <c r="AW429" i="124"/>
  <c r="AY429" i="124"/>
  <c r="AW431" i="124"/>
  <c r="AY431" i="124"/>
  <c r="AV447" i="124"/>
  <c r="AT447" i="124"/>
  <c r="AY451" i="124"/>
  <c r="AX451" i="124"/>
  <c r="AX450" i="124"/>
  <c r="AY450" i="124"/>
  <c r="AW453" i="124"/>
  <c r="AY453" i="124"/>
  <c r="AW455" i="124"/>
  <c r="AY455" i="124"/>
  <c r="AW458" i="124"/>
  <c r="AY458" i="124"/>
  <c r="AW460" i="124"/>
  <c r="AY460" i="124"/>
  <c r="AY10" i="124"/>
  <c r="X463" i="124"/>
  <c r="AR463" i="124"/>
  <c r="AV24" i="121" l="1"/>
  <c r="AT24" i="121"/>
  <c r="AT13" i="121"/>
  <c r="AV13" i="121"/>
  <c r="AT23" i="121"/>
  <c r="AV23" i="121"/>
  <c r="AT7" i="121"/>
  <c r="AV7" i="121"/>
  <c r="AV333" i="124"/>
  <c r="AT333" i="124"/>
  <c r="AV325" i="124"/>
  <c r="AT325" i="124"/>
  <c r="AV158" i="124"/>
  <c r="AT158" i="124"/>
  <c r="AV154" i="124"/>
  <c r="AT154" i="124"/>
  <c r="AV150" i="124"/>
  <c r="AT150" i="124"/>
  <c r="AV69" i="124"/>
  <c r="AT69" i="124"/>
  <c r="AV60" i="124"/>
  <c r="AT60" i="124"/>
  <c r="AV10" i="124"/>
  <c r="AT10" i="124"/>
  <c r="R463" i="124"/>
  <c r="AV417" i="124"/>
  <c r="AT417" i="124"/>
  <c r="AV420" i="124"/>
  <c r="AT420" i="124"/>
  <c r="AV414" i="124"/>
  <c r="AT414" i="124"/>
  <c r="AV144" i="124"/>
  <c r="AT144" i="124"/>
  <c r="AV136" i="124"/>
  <c r="AT136" i="124"/>
  <c r="AV128" i="124"/>
  <c r="AT128" i="124"/>
  <c r="AV120" i="124"/>
  <c r="AT120" i="124"/>
  <c r="AV112" i="124"/>
  <c r="AT112" i="124"/>
  <c r="AV104" i="124"/>
  <c r="AT104" i="124"/>
  <c r="AV96" i="124"/>
  <c r="AT96" i="124"/>
  <c r="AV90" i="124"/>
  <c r="AT90" i="124"/>
  <c r="AV84" i="124"/>
  <c r="AT84" i="124"/>
  <c r="AV71" i="124"/>
  <c r="AT71" i="124"/>
  <c r="AV54" i="124"/>
  <c r="AT54" i="124"/>
  <c r="AV46" i="124"/>
  <c r="AT46" i="124"/>
  <c r="AV77" i="124"/>
  <c r="AT77" i="124"/>
  <c r="AV70" i="124"/>
  <c r="AT70" i="124"/>
  <c r="AV458" i="124"/>
  <c r="AT458" i="124"/>
  <c r="AV433" i="124"/>
  <c r="AT433" i="124"/>
  <c r="AV338" i="124"/>
  <c r="AT338" i="124"/>
  <c r="AV330" i="124"/>
  <c r="AT330" i="124"/>
  <c r="AV276" i="124"/>
  <c r="AT276" i="124"/>
  <c r="AV260" i="124"/>
  <c r="AT260" i="124"/>
  <c r="AV211" i="124"/>
  <c r="AT211" i="124"/>
  <c r="AV273" i="124"/>
  <c r="AT273" i="124"/>
  <c r="AV335" i="124"/>
  <c r="AT335" i="124"/>
  <c r="AV331" i="124"/>
  <c r="AT331" i="124"/>
  <c r="AV327" i="124"/>
  <c r="AT327" i="124"/>
  <c r="AV161" i="124"/>
  <c r="AT161" i="124"/>
  <c r="AV159" i="124"/>
  <c r="AT159" i="124"/>
  <c r="AV157" i="124"/>
  <c r="AT157" i="124"/>
  <c r="AV155" i="124"/>
  <c r="AT155" i="124"/>
  <c r="AV153" i="124"/>
  <c r="AT153" i="124"/>
  <c r="AV151" i="124"/>
  <c r="AT151" i="124"/>
  <c r="AV149" i="124"/>
  <c r="AT149" i="124"/>
  <c r="AV76" i="124"/>
  <c r="AT76" i="124"/>
  <c r="AV64" i="124"/>
  <c r="AT64" i="124"/>
  <c r="AV56" i="124"/>
  <c r="AT56" i="124"/>
  <c r="AV48" i="124"/>
  <c r="AT48" i="124"/>
  <c r="AV40" i="124"/>
  <c r="AT40" i="124"/>
  <c r="AT462" i="124"/>
  <c r="AV434" i="124"/>
  <c r="AT434" i="124"/>
  <c r="AV435" i="124"/>
  <c r="AT435" i="124"/>
  <c r="AV421" i="124"/>
  <c r="AT421" i="124"/>
  <c r="AV185" i="124"/>
  <c r="AT185" i="124"/>
  <c r="AV183" i="124"/>
  <c r="AT183" i="124"/>
  <c r="AV291" i="124"/>
  <c r="AT291" i="124"/>
  <c r="AV180" i="124"/>
  <c r="AT180" i="124"/>
  <c r="AV179" i="124"/>
  <c r="AT179" i="124"/>
  <c r="AV178" i="124"/>
  <c r="AT178" i="124"/>
  <c r="AV176" i="124"/>
  <c r="AT176" i="124"/>
  <c r="AV174" i="124"/>
  <c r="AT174" i="124"/>
  <c r="AV169" i="124"/>
  <c r="AT169" i="124"/>
  <c r="AV290" i="124"/>
  <c r="AT290" i="124"/>
  <c r="AV203" i="124"/>
  <c r="AT203" i="124"/>
  <c r="AV163" i="124"/>
  <c r="AT163" i="124"/>
  <c r="AV460" i="124"/>
  <c r="AT460" i="124"/>
  <c r="AV455" i="124"/>
  <c r="AT455" i="124"/>
  <c r="AV450" i="124"/>
  <c r="AT450" i="124"/>
  <c r="AV451" i="124"/>
  <c r="AT451" i="124"/>
  <c r="AV431" i="124"/>
  <c r="AT431" i="124"/>
  <c r="AV340" i="124"/>
  <c r="AT340" i="124"/>
  <c r="AV336" i="124"/>
  <c r="AT336" i="124"/>
  <c r="AV332" i="124"/>
  <c r="AT332" i="124"/>
  <c r="AV328" i="124"/>
  <c r="AT328" i="124"/>
  <c r="AV324" i="124"/>
  <c r="AT324" i="124"/>
  <c r="AV280" i="124"/>
  <c r="AT280" i="124"/>
  <c r="AV272" i="124"/>
  <c r="AT272" i="124"/>
  <c r="AV264" i="124"/>
  <c r="AT264" i="124"/>
  <c r="AV256" i="124"/>
  <c r="AT256" i="124"/>
  <c r="AV306" i="124"/>
  <c r="AT306" i="124"/>
  <c r="AV217" i="124"/>
  <c r="AT217" i="124"/>
  <c r="AV213" i="124"/>
  <c r="AT213" i="124"/>
  <c r="AV209" i="124"/>
  <c r="AT209" i="124"/>
  <c r="AV279" i="124"/>
  <c r="AT279" i="124"/>
  <c r="AV275" i="124"/>
  <c r="AT275" i="124"/>
  <c r="AV271" i="124"/>
  <c r="AT271" i="124"/>
  <c r="AV267" i="124"/>
  <c r="AT267" i="124"/>
  <c r="AV263" i="124"/>
  <c r="AT263" i="124"/>
  <c r="AV259" i="124"/>
  <c r="AT259" i="124"/>
  <c r="AV255" i="124"/>
  <c r="AT255" i="124"/>
  <c r="AV145" i="124"/>
  <c r="AT145" i="124"/>
  <c r="AV141" i="124"/>
  <c r="AT141" i="124"/>
  <c r="AV137" i="124"/>
  <c r="AT137" i="124"/>
  <c r="AV133" i="124"/>
  <c r="AT133" i="124"/>
  <c r="AV129" i="124"/>
  <c r="AT129" i="124"/>
  <c r="AV125" i="124"/>
  <c r="AT125" i="124"/>
  <c r="AV121" i="124"/>
  <c r="AT121" i="124"/>
  <c r="AV117" i="124"/>
  <c r="AT117" i="124"/>
  <c r="AV113" i="124"/>
  <c r="AT113" i="124"/>
  <c r="AV109" i="124"/>
  <c r="AT109" i="124"/>
  <c r="AV105" i="124"/>
  <c r="AT105" i="124"/>
  <c r="AV101" i="124"/>
  <c r="AT101" i="124"/>
  <c r="AV97" i="124"/>
  <c r="AT97" i="124"/>
  <c r="AV93" i="124"/>
  <c r="AT93" i="124"/>
  <c r="AV89" i="124"/>
  <c r="AT89" i="124"/>
  <c r="AV85" i="124"/>
  <c r="AT85" i="124"/>
  <c r="AV80" i="124"/>
  <c r="AT80" i="124"/>
  <c r="AV204" i="124"/>
  <c r="AT204" i="124"/>
  <c r="AP463" i="124"/>
  <c r="AX18" i="124"/>
  <c r="AV18" i="124"/>
  <c r="AX10" i="124"/>
  <c r="V463" i="124"/>
  <c r="AV439" i="124"/>
  <c r="AT439" i="124"/>
  <c r="AV437" i="124"/>
  <c r="AT437" i="124"/>
  <c r="AV432" i="124"/>
  <c r="AT432" i="124"/>
  <c r="AV428" i="124"/>
  <c r="AT428" i="124"/>
  <c r="AV426" i="124"/>
  <c r="AT426" i="124"/>
  <c r="AV424" i="124"/>
  <c r="AT424" i="124"/>
  <c r="AV422" i="124"/>
  <c r="AT422" i="124"/>
  <c r="AV456" i="124"/>
  <c r="AT456" i="124"/>
  <c r="AV449" i="124"/>
  <c r="AT449" i="124"/>
  <c r="AV339" i="124"/>
  <c r="AT339" i="124"/>
  <c r="AV278" i="124"/>
  <c r="AT278" i="124"/>
  <c r="AV274" i="124"/>
  <c r="AT274" i="124"/>
  <c r="AV270" i="124"/>
  <c r="AT270" i="124"/>
  <c r="AV266" i="124"/>
  <c r="AT266" i="124"/>
  <c r="AV262" i="124"/>
  <c r="AT262" i="124"/>
  <c r="AV258" i="124"/>
  <c r="AT258" i="124"/>
  <c r="AV254" i="124"/>
  <c r="AT254" i="124"/>
  <c r="AV216" i="124"/>
  <c r="AT216" i="124"/>
  <c r="AV212" i="124"/>
  <c r="AT212" i="124"/>
  <c r="AV42" i="124"/>
  <c r="AT42" i="124"/>
  <c r="AL4" i="124"/>
  <c r="AU4" i="124"/>
  <c r="AV146" i="124"/>
  <c r="AT146" i="124"/>
  <c r="AV186" i="124"/>
  <c r="AT186" i="124"/>
  <c r="AV184" i="124"/>
  <c r="AT184" i="124"/>
  <c r="AV182" i="124"/>
  <c r="AT182" i="124"/>
  <c r="AV177" i="124"/>
  <c r="AT177" i="124"/>
  <c r="AV175" i="124"/>
  <c r="AT175" i="124"/>
  <c r="AV173" i="124"/>
  <c r="AT173" i="124"/>
  <c r="AV172" i="124"/>
  <c r="AT172" i="124"/>
  <c r="AV171" i="124"/>
  <c r="AT171" i="124"/>
  <c r="AV170" i="124"/>
  <c r="AT170" i="124"/>
  <c r="AV168" i="124"/>
  <c r="AT168" i="124"/>
  <c r="AV219" i="124"/>
  <c r="AT219" i="124"/>
  <c r="AV181" i="124"/>
  <c r="AT181" i="124"/>
  <c r="AV337" i="124"/>
  <c r="AT337" i="124"/>
  <c r="AV329" i="124"/>
  <c r="AT329" i="124"/>
  <c r="AV160" i="124"/>
  <c r="AT160" i="124"/>
  <c r="AV156" i="124"/>
  <c r="AT156" i="124"/>
  <c r="AV152" i="124"/>
  <c r="AT152" i="124"/>
  <c r="AV148" i="124"/>
  <c r="AT148" i="124"/>
  <c r="AV68" i="124"/>
  <c r="AT68" i="124"/>
  <c r="AV52" i="124"/>
  <c r="AT52" i="124"/>
  <c r="AV44" i="124"/>
  <c r="AT44" i="124"/>
  <c r="AV36" i="124"/>
  <c r="AT36" i="124"/>
  <c r="AV164" i="124"/>
  <c r="AT164" i="124"/>
  <c r="AV415" i="124"/>
  <c r="AT415" i="124"/>
  <c r="AV418" i="124"/>
  <c r="AT418" i="124"/>
  <c r="AV416" i="124"/>
  <c r="AT416" i="124"/>
  <c r="AV140" i="124"/>
  <c r="AT140" i="124"/>
  <c r="AV132" i="124"/>
  <c r="AT132" i="124"/>
  <c r="AV124" i="124"/>
  <c r="AT124" i="124"/>
  <c r="AV116" i="124"/>
  <c r="AT116" i="124"/>
  <c r="AV108" i="124"/>
  <c r="AT108" i="124"/>
  <c r="AV100" i="124"/>
  <c r="AT100" i="124"/>
  <c r="AV94" i="124"/>
  <c r="AT94" i="124"/>
  <c r="AV88" i="124"/>
  <c r="AT88" i="124"/>
  <c r="AV81" i="124"/>
  <c r="AT81" i="124"/>
  <c r="AV78" i="124"/>
  <c r="AT78" i="124"/>
  <c r="AV62" i="124"/>
  <c r="AT62" i="124"/>
  <c r="AV55" i="124"/>
  <c r="AT55" i="124"/>
  <c r="AV41" i="124"/>
  <c r="AT41" i="124"/>
  <c r="AV72" i="124"/>
  <c r="AT72" i="124"/>
  <c r="AV67" i="124"/>
  <c r="AT67" i="124"/>
  <c r="AV63" i="124"/>
  <c r="AT63" i="124"/>
  <c r="AV59" i="124"/>
  <c r="AT59" i="124"/>
  <c r="AV53" i="124"/>
  <c r="AT53" i="124"/>
  <c r="AN463" i="124"/>
  <c r="AW18" i="124"/>
  <c r="AV453" i="124"/>
  <c r="AT453" i="124"/>
  <c r="AV429" i="124"/>
  <c r="AT429" i="124"/>
  <c r="AV334" i="124"/>
  <c r="AT334" i="124"/>
  <c r="AV326" i="124"/>
  <c r="AT326" i="124"/>
  <c r="AV268" i="124"/>
  <c r="AT268" i="124"/>
  <c r="AV215" i="124"/>
  <c r="AT215" i="124"/>
  <c r="AV277" i="124"/>
  <c r="AT277" i="124"/>
  <c r="AV269" i="124"/>
  <c r="AT269" i="124"/>
  <c r="AV265" i="124"/>
  <c r="AT265" i="124"/>
  <c r="AV261" i="124"/>
  <c r="AT261" i="124"/>
  <c r="AV257" i="124"/>
  <c r="AT257" i="124"/>
  <c r="AV253" i="124"/>
  <c r="AT253" i="124"/>
  <c r="AV205" i="124"/>
  <c r="AT205" i="124"/>
  <c r="AV143" i="124"/>
  <c r="AT143" i="124"/>
  <c r="AV139" i="124"/>
  <c r="AT139" i="124"/>
  <c r="AV135" i="124"/>
  <c r="AT135" i="124"/>
  <c r="AV166" i="124"/>
  <c r="AT166" i="124"/>
  <c r="AV127" i="124"/>
  <c r="AT127" i="124"/>
  <c r="AV123" i="124"/>
  <c r="AT123" i="124"/>
  <c r="AV119" i="124"/>
  <c r="AT119" i="124"/>
  <c r="AV115" i="124"/>
  <c r="AT115" i="124"/>
  <c r="AV111" i="124"/>
  <c r="AT111" i="124"/>
  <c r="AV107" i="124"/>
  <c r="AT107" i="124"/>
  <c r="AV103" i="124"/>
  <c r="AT103" i="124"/>
  <c r="AV99" i="124"/>
  <c r="AT99" i="124"/>
  <c r="AV95" i="124"/>
  <c r="AT95" i="124"/>
  <c r="AV91" i="124"/>
  <c r="AT91" i="124"/>
  <c r="AV87" i="124"/>
  <c r="AT87" i="124"/>
  <c r="AV82" i="124"/>
  <c r="AT82" i="124"/>
  <c r="AV208" i="124"/>
  <c r="AT208" i="124"/>
  <c r="AV206" i="124"/>
  <c r="AT206" i="124"/>
  <c r="AT18" i="124"/>
  <c r="AV438" i="124"/>
  <c r="AT438" i="124"/>
  <c r="AV436" i="124"/>
  <c r="AT436" i="124"/>
  <c r="AV430" i="124"/>
  <c r="AT430" i="124"/>
  <c r="AV427" i="124"/>
  <c r="AT427" i="124"/>
  <c r="AV425" i="124"/>
  <c r="AT425" i="124"/>
  <c r="AV423" i="124"/>
  <c r="AT423" i="124"/>
  <c r="AV459" i="124"/>
  <c r="AT459" i="124"/>
  <c r="AV457" i="124"/>
  <c r="AT457" i="124"/>
  <c r="AV454" i="124"/>
  <c r="AT454" i="124"/>
  <c r="AV452" i="124"/>
  <c r="AT452" i="124"/>
  <c r="AV353" i="124"/>
  <c r="AT353" i="124"/>
  <c r="AV352" i="124"/>
  <c r="AT352" i="124"/>
  <c r="AV351" i="124"/>
  <c r="AT351" i="124"/>
  <c r="AV350" i="124"/>
  <c r="AT350" i="124"/>
  <c r="AV349" i="124"/>
  <c r="AT349" i="124"/>
  <c r="AV348" i="124"/>
  <c r="AT348" i="124"/>
  <c r="AV347" i="124"/>
  <c r="AT347" i="124"/>
  <c r="AV346" i="124"/>
  <c r="AT346" i="124"/>
  <c r="AV345" i="124"/>
  <c r="AT345" i="124"/>
  <c r="AV344" i="124"/>
  <c r="AT344" i="124"/>
  <c r="AV343" i="124"/>
  <c r="AT343" i="124"/>
  <c r="AV342" i="124"/>
  <c r="AT342" i="124"/>
  <c r="AV341" i="124"/>
  <c r="AT341" i="124"/>
  <c r="AV323" i="124"/>
  <c r="AT323" i="124"/>
  <c r="AV322" i="124"/>
  <c r="AT322" i="124"/>
  <c r="AV321" i="124"/>
  <c r="AT321" i="124"/>
  <c r="AV320" i="124"/>
  <c r="AT320" i="124"/>
  <c r="AV319" i="124"/>
  <c r="AT319" i="124"/>
  <c r="AV318" i="124"/>
  <c r="AT318" i="124"/>
  <c r="AV317" i="124"/>
  <c r="AT317" i="124"/>
  <c r="AV316" i="124"/>
  <c r="AT316" i="124"/>
  <c r="AV315" i="124"/>
  <c r="AT315" i="124"/>
  <c r="AV314" i="124"/>
  <c r="AT314" i="124"/>
  <c r="AV313" i="124"/>
  <c r="AT313" i="124"/>
  <c r="AV312" i="124"/>
  <c r="AT312" i="124"/>
  <c r="AV311" i="124"/>
  <c r="AT311" i="124"/>
  <c r="AV310" i="124"/>
  <c r="AT310" i="124"/>
  <c r="AV419" i="124"/>
  <c r="AT419" i="124"/>
  <c r="AV308" i="124"/>
  <c r="AT308" i="124"/>
  <c r="AV307" i="124"/>
  <c r="AT307" i="124"/>
  <c r="AV407" i="124"/>
  <c r="AT407" i="124"/>
  <c r="AV305" i="124"/>
  <c r="AT305" i="124"/>
  <c r="AV304" i="124"/>
  <c r="AT304" i="124"/>
  <c r="AV303" i="124"/>
  <c r="AT303" i="124"/>
  <c r="AV302" i="124"/>
  <c r="AT302" i="124"/>
  <c r="AV301" i="124"/>
  <c r="AT301" i="124"/>
  <c r="AV300" i="124"/>
  <c r="AT300" i="124"/>
  <c r="AV299" i="124"/>
  <c r="AT299" i="124"/>
  <c r="AV298" i="124"/>
  <c r="AT298" i="124"/>
  <c r="AV297" i="124"/>
  <c r="AT297" i="124"/>
  <c r="AV296" i="124"/>
  <c r="AT296" i="124"/>
  <c r="AV295" i="124"/>
  <c r="AT295" i="124"/>
  <c r="AV294" i="124"/>
  <c r="AT294" i="124"/>
  <c r="AV293" i="124"/>
  <c r="AT293" i="124"/>
  <c r="AV405" i="124"/>
  <c r="AT405" i="124"/>
  <c r="AV402" i="124"/>
  <c r="AT402" i="124"/>
  <c r="AV309" i="124"/>
  <c r="AT309" i="124"/>
  <c r="AV289" i="124"/>
  <c r="AT289" i="124"/>
  <c r="AV288" i="124"/>
  <c r="AT288" i="124"/>
  <c r="AV287" i="124"/>
  <c r="AT287" i="124"/>
  <c r="AV286" i="124"/>
  <c r="AT286" i="124"/>
  <c r="AV285" i="124"/>
  <c r="AT285" i="124"/>
  <c r="AV284" i="124"/>
  <c r="AT284" i="124"/>
  <c r="AV283" i="124"/>
  <c r="AT283" i="124"/>
  <c r="AV282" i="124"/>
  <c r="AT282" i="124"/>
  <c r="AV218" i="124"/>
  <c r="AT218" i="124"/>
  <c r="AV214" i="124"/>
  <c r="AT214" i="124"/>
  <c r="AV210" i="124"/>
  <c r="AT210" i="124"/>
  <c r="AV281" i="124"/>
  <c r="AT281" i="124"/>
  <c r="AW10" i="124"/>
  <c r="T463" i="124"/>
  <c r="AV207" i="124"/>
  <c r="AT207" i="124"/>
  <c r="AV142" i="124"/>
  <c r="AT142" i="124"/>
  <c r="AV138" i="124"/>
  <c r="AT138" i="124"/>
  <c r="AV134" i="124"/>
  <c r="AT134" i="124"/>
  <c r="AV165" i="124"/>
  <c r="AT165" i="124"/>
  <c r="AV126" i="124"/>
  <c r="AT126" i="124"/>
  <c r="AV122" i="124"/>
  <c r="AT122" i="124"/>
  <c r="AV118" i="124"/>
  <c r="AT118" i="124"/>
  <c r="AV114" i="124"/>
  <c r="AT114" i="124"/>
  <c r="AV110" i="124"/>
  <c r="AT110" i="124"/>
  <c r="AV106" i="124"/>
  <c r="AT106" i="124"/>
  <c r="AV102" i="124"/>
  <c r="AT102" i="124"/>
  <c r="AV98" i="124"/>
  <c r="AT98" i="124"/>
  <c r="AV92" i="124"/>
  <c r="AT92" i="124"/>
  <c r="AV86" i="124"/>
  <c r="AT86" i="124"/>
  <c r="AV74" i="124"/>
  <c r="AT74" i="124"/>
  <c r="AV66" i="124"/>
  <c r="AT66" i="124"/>
  <c r="AV58" i="124"/>
  <c r="AT58" i="124"/>
  <c r="AV50" i="124"/>
  <c r="AT50" i="124"/>
  <c r="AV38" i="124"/>
  <c r="AT38" i="124"/>
  <c r="AV57" i="124"/>
  <c r="AT57" i="124"/>
  <c r="AV47" i="124"/>
  <c r="AT47" i="124"/>
  <c r="AV37" i="124"/>
  <c r="AT37" i="124"/>
  <c r="AV79" i="124"/>
  <c r="AT79" i="124"/>
  <c r="AV75" i="124"/>
  <c r="AT75" i="124"/>
  <c r="AV73" i="124"/>
  <c r="AT73" i="124"/>
  <c r="AV65" i="124"/>
  <c r="AT65" i="124"/>
  <c r="AV61" i="124"/>
  <c r="AT61" i="124"/>
  <c r="AV51" i="124"/>
  <c r="AT51" i="124"/>
  <c r="AV49" i="124"/>
  <c r="AT49" i="124"/>
  <c r="AV45" i="124"/>
  <c r="AT45" i="124"/>
  <c r="AV43" i="124"/>
  <c r="AT43" i="124"/>
  <c r="AV39" i="124"/>
  <c r="AT39" i="124"/>
  <c r="AV4" i="124" l="1"/>
  <c r="AT4" i="124"/>
  <c r="AT463" i="124"/>
</calcChain>
</file>

<file path=xl/sharedStrings.xml><?xml version="1.0" encoding="utf-8"?>
<sst xmlns="http://schemas.openxmlformats.org/spreadsheetml/2006/main" count="7000" uniqueCount="674">
  <si>
    <t>Component</t>
  </si>
  <si>
    <t>RRB Estimated Hours</t>
  </si>
  <si>
    <t xml:space="preserve">Planned Progress </t>
  </si>
  <si>
    <t>Actual Progress</t>
  </si>
  <si>
    <t>Actual Cost(AC)</t>
  </si>
  <si>
    <t>Planned Value(PV)</t>
  </si>
  <si>
    <t>EV</t>
  </si>
  <si>
    <t>SPI</t>
  </si>
  <si>
    <t>CPI</t>
  </si>
  <si>
    <t>Aug</t>
  </si>
  <si>
    <t>Sept</t>
  </si>
  <si>
    <t>\Common\Hardware_Interfaces\HAL_Interfaces</t>
  </si>
  <si>
    <t>\Common\Operating_Software\power_up_checks_roots_common</t>
  </si>
  <si>
    <t>\Control_CPU\Application_Layer\Starting\Starting</t>
  </si>
  <si>
    <t>\Control_CPU\Application_Layer\Thrust_Settings_and_Ratings\NL_Thrust_Demand</t>
  </si>
  <si>
    <t>\Control_CPU\Application_Layer\Thrust_Settings_and_Ratings\Thrust_Ratings</t>
  </si>
  <si>
    <t>\Control_CPU\Prerequisites\Dispatcher</t>
  </si>
  <si>
    <t>\Safety_CPU\Prerequisites\Dispatcher</t>
  </si>
  <si>
    <t>\Safety_CPU\Service_Layer\Airframe_Comms\Airframe_Data_Transformations</t>
  </si>
  <si>
    <t>\Safety_CPU\System_Layer\Report_Raw_Faults</t>
  </si>
  <si>
    <t>\Safety_CPU\System_Layer\Validation\Validate_Oil_Depth</t>
  </si>
  <si>
    <t>More components may b in future iPS</t>
  </si>
  <si>
    <t>automation in excel from monitor sheet instead of manual entry in SAP</t>
  </si>
  <si>
    <t>Component based approach as it has estimates n progress</t>
  </si>
  <si>
    <t>CV</t>
  </si>
  <si>
    <t>Name</t>
  </si>
  <si>
    <t>Year</t>
  </si>
  <si>
    <t>AP</t>
  </si>
  <si>
    <t>Week</t>
  </si>
  <si>
    <t>Resource</t>
  </si>
  <si>
    <t>Action</t>
  </si>
  <si>
    <t>Stage</t>
  </si>
  <si>
    <t>Function</t>
  </si>
  <si>
    <t>Product</t>
  </si>
  <si>
    <t>Su</t>
  </si>
  <si>
    <t>M</t>
  </si>
  <si>
    <t>T</t>
  </si>
  <si>
    <t>W</t>
  </si>
  <si>
    <t>Th</t>
  </si>
  <si>
    <t>F</t>
  </si>
  <si>
    <t>S</t>
  </si>
  <si>
    <t>Total</t>
  </si>
  <si>
    <t>CATS</t>
  </si>
  <si>
    <t>Scrap</t>
  </si>
  <si>
    <t>ScrapArea</t>
  </si>
  <si>
    <t>Reason</t>
  </si>
  <si>
    <t>InvoiceNum</t>
  </si>
  <si>
    <t>Supplier</t>
  </si>
  <si>
    <t xml:space="preserve">Niladri, Das </t>
  </si>
  <si>
    <t>SD</t>
  </si>
  <si>
    <t>## Team Meeting</t>
  </si>
  <si>
    <t>CDS</t>
  </si>
  <si>
    <t>Produce</t>
  </si>
  <si>
    <t>XWB 6.1</t>
  </si>
  <si>
    <t>Trent XWB EEC Software Array Accesses Analysis</t>
  </si>
  <si>
    <t>Delivery Docs</t>
  </si>
  <si>
    <t>TXWB Design</t>
  </si>
  <si>
    <t>All Functions</t>
  </si>
  <si>
    <t>Training</t>
  </si>
  <si>
    <t>Design Traceability Report</t>
  </si>
  <si>
    <t>Sandeep, Jadhav</t>
  </si>
  <si>
    <t>Timing &amp; Memory Analysis and Report</t>
  </si>
  <si>
    <t>### Leave With Permission</t>
  </si>
  <si>
    <t>Archana, Tripathi</t>
  </si>
  <si>
    <t>Support</t>
  </si>
  <si>
    <t>F+F Investigation</t>
  </si>
  <si>
    <t>## Continuous Improvement (Lean / Green Belt)</t>
  </si>
  <si>
    <t>Attend</t>
  </si>
  <si>
    <t>Design Team Meeting</t>
  </si>
  <si>
    <t>Bhatia, Amandeep Singh</t>
  </si>
  <si>
    <t>XWB 7.0</t>
  </si>
  <si>
    <t>ReWork</t>
  </si>
  <si>
    <t>Software Architecture</t>
  </si>
  <si>
    <t>## Communications</t>
  </si>
  <si>
    <t>Hemanth, Gokhale</t>
  </si>
  <si>
    <t>\Control_CPU\System_Layer\Validation\Validate_NH</t>
  </si>
  <si>
    <t>Software Implementation (Code)</t>
  </si>
  <si>
    <t>Software Design</t>
  </si>
  <si>
    <t>XWB 6.0</t>
  </si>
  <si>
    <t>Thankachan,Neenu</t>
  </si>
  <si>
    <t>\Common\System_Interfaces</t>
  </si>
  <si>
    <t>AS Spark Analysis Report</t>
  </si>
  <si>
    <t>Review</t>
  </si>
  <si>
    <t>\Control_CPU\Application_Layer\TCCC\Int_Turbine_Case_Cooling_Control</t>
  </si>
  <si>
    <t>\Control_CPU\Application_Layer\TCCC\HP_Turbine_Case_Cooling_Control</t>
  </si>
  <si>
    <t>DV &amp; Graphical Data Report</t>
  </si>
  <si>
    <t>## Training</t>
  </si>
  <si>
    <t>Design Technical Reviews (PDR &amp; CDR)</t>
  </si>
  <si>
    <t>Design Post Delivery Assessment</t>
  </si>
  <si>
    <t>\Control_CPU\Application_Layer\Thrust_Control\Thrust_Control</t>
  </si>
  <si>
    <t>\Control_CPU\Application_Layer\Thrust_Control\LSL_and_RRIM</t>
  </si>
  <si>
    <t>\Control_CPU\Application_Layer\Thrust_Control\Limit_Fuel_Flow</t>
  </si>
  <si>
    <t>Timing &amp; Memory Analysis and Report - Training</t>
  </si>
  <si>
    <t>\Common\Operating_Software\Reset_Monitoring_Thread_Common_d</t>
  </si>
  <si>
    <t>Design IPT Meeting</t>
  </si>
  <si>
    <t>Alias Files</t>
  </si>
  <si>
    <t>## IT Support</t>
  </si>
  <si>
    <t>\Control_CPU\Operating_Software\continuous_tests_thread_control</t>
  </si>
  <si>
    <t>HL SW Requirements Implementation</t>
  </si>
  <si>
    <t>XWB 5.4.1</t>
  </si>
  <si>
    <t>### LIfE</t>
  </si>
  <si>
    <t>\Control_CPU\Operating_Software\power_up_checks_thread_control</t>
  </si>
  <si>
    <t xml:space="preserve">Chippa, Kiran </t>
  </si>
  <si>
    <t>XWB 5.3.3</t>
  </si>
  <si>
    <t>\Control_CPU\System_Layer\Generate_Test_Commands\Generate_HBV_Test_Commands</t>
  </si>
  <si>
    <t>Design Tooling</t>
  </si>
  <si>
    <t>\Control_CPU\System_Layer\Response_Monitoring\Handling_Bleed_Valve_Response_Monitoring</t>
  </si>
  <si>
    <t>\Control_CPU\System_Layer\Validation\Validate_P160</t>
  </si>
  <si>
    <t>Design Audit Attendance</t>
  </si>
  <si>
    <t>\Control_CPU\Application_Layer\Starting\Ground_Autostart</t>
  </si>
  <si>
    <t>Software Implementation Document (SWID)</t>
  </si>
  <si>
    <t>\Control_CPU\Application_Layer\Bleed_Valve_Control\Handling_Bleed_Valve_Control</t>
  </si>
  <si>
    <t>Process Improvements</t>
  </si>
  <si>
    <t>AS Data Dictionary Report</t>
  </si>
  <si>
    <t>Design Scoping</t>
  </si>
  <si>
    <t>\Safety_CPU\Service_Layer\Maintenance\Status_Logic</t>
  </si>
  <si>
    <t>\Safety_CPU\System_Layer\Derive_and_Modelled_Parameters\Derive_Oil_Quantity</t>
  </si>
  <si>
    <t>ReReview</t>
  </si>
  <si>
    <t>PR Closure</t>
  </si>
  <si>
    <t>Static Analysis and Report</t>
  </si>
  <si>
    <t>### Statutory Holiday</t>
  </si>
  <si>
    <t>### Holiday</t>
  </si>
  <si>
    <t>\Control_CPU\Application_Layer\Thrust_Settings_and_Ratings\Thrust_Settings</t>
  </si>
  <si>
    <t>Run</t>
  </si>
  <si>
    <t>T7K - 1.0</t>
  </si>
  <si>
    <t># All Functions</t>
  </si>
  <si>
    <t>T7K : Design</t>
  </si>
  <si>
    <t>Simulation</t>
  </si>
  <si>
    <t>XWB 5.4.2</t>
  </si>
  <si>
    <t>\Control_CPU\Application_Layer\Thrust_Control\Loops</t>
  </si>
  <si>
    <t>XWB BS4</t>
  </si>
  <si>
    <t>\Control_CPU\Application_Layer\Engine_Events\Stall_Detection</t>
  </si>
  <si>
    <t>SW Environment Lifecycle Configuration Index (SLECI)</t>
  </si>
  <si>
    <t>\Control_CPU\System_Layer\Derive_and_Modelled_Parameters\Derive_Fuel_Flow</t>
  </si>
  <si>
    <t>Analysis Of Outstanding Problem Reports</t>
  </si>
  <si>
    <t>\Control_CPU\Application_Layer\HP3_Pipefail_Detection\HP3_Pipefail_Logic</t>
  </si>
  <si>
    <t>\Safety_CPU\Application_Layer\Exceedances</t>
  </si>
  <si>
    <t>\Control_CPU\Application_Layer\Thrust_Control\Fuel_Index</t>
  </si>
  <si>
    <t>Configure</t>
  </si>
  <si>
    <t>\Control_CPU\Application_Layer\Bleed_Valve_Control\Handling_Bleed_Valve_Internal_Interfaces</t>
  </si>
  <si>
    <t>## Integrity training</t>
  </si>
  <si>
    <t>XWB ORMS</t>
  </si>
  <si>
    <t>XWB 5.4</t>
  </si>
  <si>
    <t>### Time Off In Lieu</t>
  </si>
  <si>
    <t>\Safety_CPU\Service_Layer\Maintenance\Dispatch_Logic</t>
  </si>
  <si>
    <t>\Safety_CPU\Service_Layer\Airframe_Comms\Data_Handler\To_AC_Data_Handler</t>
  </si>
  <si>
    <t>\Control_CPU\System_Layer\Validation\Validate_Data_Entry_Plug</t>
  </si>
  <si>
    <t>\Control_CPU\Application_Layer\Starting\Quick_Relight</t>
  </si>
  <si>
    <t>## Appraisals</t>
  </si>
  <si>
    <t>## Other non-project SAP number</t>
  </si>
  <si>
    <t>OS Spark Analysis Report</t>
  </si>
  <si>
    <t>XWB 5.3.A</t>
  </si>
  <si>
    <t>Design Documents Evidence of Review Report</t>
  </si>
  <si>
    <t>Planned Progress</t>
  </si>
  <si>
    <t xml:space="preserve">   </t>
  </si>
  <si>
    <t>Code</t>
  </si>
  <si>
    <t>Subsystem Complexity</t>
  </si>
  <si>
    <t>Initial Scale of impact</t>
  </si>
  <si>
    <t>Refined Scale of impact</t>
  </si>
  <si>
    <t>Base Estimate</t>
  </si>
  <si>
    <t>Refined Base Estimate</t>
  </si>
  <si>
    <t>In</t>
  </si>
  <si>
    <t>All Affected</t>
  </si>
  <si>
    <t>Software Architecture Affected</t>
  </si>
  <si>
    <t>Software Design Affected</t>
  </si>
  <si>
    <t>Code Affected</t>
  </si>
  <si>
    <t>Total Software Architecture Affected</t>
  </si>
  <si>
    <t>Total Software Design Affected</t>
  </si>
  <si>
    <t>Total Code Affected</t>
  </si>
  <si>
    <t>Esitmate to use</t>
  </si>
  <si>
    <t>Archtecture Affected</t>
  </si>
  <si>
    <t>Software Architecture Draft Budget</t>
  </si>
  <si>
    <t>Software Architecture Draft ETC</t>
  </si>
  <si>
    <t>Software Architecture Review Budget</t>
  </si>
  <si>
    <t>Software Architecture Review ETC</t>
  </si>
  <si>
    <t>Software Architecture Rework Budget</t>
  </si>
  <si>
    <t>Software Architecture Rework ETC</t>
  </si>
  <si>
    <t>Software Architecture Re-Review Budget</t>
  </si>
  <si>
    <t>Software Architecture Re-Review ETC</t>
  </si>
  <si>
    <t>Design Affected</t>
  </si>
  <si>
    <t>SDD Draft Budget</t>
  </si>
  <si>
    <t>SDD Draft ETC</t>
  </si>
  <si>
    <t>SDD Review Budget</t>
  </si>
  <si>
    <t>SDD Review ETC</t>
  </si>
  <si>
    <t>SDD Rework Budget</t>
  </si>
  <si>
    <t>SDD Rework ETC</t>
  </si>
  <si>
    <t>SDD Re-Review budget</t>
  </si>
  <si>
    <t>SDD Re-Review ETC</t>
  </si>
  <si>
    <t>Code Draft Budget</t>
  </si>
  <si>
    <t>Code Draft ETC</t>
  </si>
  <si>
    <t>Code Review Budget</t>
  </si>
  <si>
    <t>Code Review ETC</t>
  </si>
  <si>
    <t>Code Rework Budget</t>
  </si>
  <si>
    <t>Code Rework ETC</t>
  </si>
  <si>
    <t>Code Re-Review Budget</t>
  </si>
  <si>
    <t>Code Re-Review ETC</t>
  </si>
  <si>
    <t>PRs affecting</t>
  </si>
  <si>
    <t>Remaining Hours to Component Completion</t>
  </si>
  <si>
    <t>Budget Hours</t>
  </si>
  <si>
    <t>Remaing Draft Hours</t>
  </si>
  <si>
    <t>Remaining Review Hours</t>
  </si>
  <si>
    <t>Remaining Rework Hours</t>
  </si>
  <si>
    <t>Remaining Re-Review Hours</t>
  </si>
  <si>
    <t>Filter Draft</t>
  </si>
  <si>
    <t>Filter Review</t>
  </si>
  <si>
    <t>Filter Rework</t>
  </si>
  <si>
    <t>Filter Re-review</t>
  </si>
  <si>
    <t>Common\Application_Blackboard</t>
  </si>
  <si>
    <t>Medium</t>
  </si>
  <si>
    <t>Low</t>
  </si>
  <si>
    <t>Common\Engine_Variant</t>
  </si>
  <si>
    <t>Common\Hardware_Interfaces\HAL_Interfaces</t>
  </si>
  <si>
    <t>Common\Hardware_Interfaces\HEL_Interfaces</t>
  </si>
  <si>
    <t>Common\Operating_Software\Modulated_Air_System_Valve_Controller</t>
  </si>
  <si>
    <t>Common\Prerequisites\Fault_Utilities\Fault_Reporting</t>
  </si>
  <si>
    <t>Common\Prerequisites\Memory_Utilities</t>
  </si>
  <si>
    <t>Common\Prerequisites\OS_Utilities</t>
  </si>
  <si>
    <t>Common\Prerequisites\Scheduler\Kernel</t>
  </si>
  <si>
    <t>Common\Prerequisites\Types</t>
  </si>
  <si>
    <t>Common\Prerequisites\Utilities</t>
  </si>
  <si>
    <t>Common\Service_Interfaces</t>
  </si>
  <si>
    <t>Common\Service_Layer\Box_Faults_Monitoring</t>
  </si>
  <si>
    <t>Common\Service_Layer\Inter-CPU_Comms\Direct_Comms_Common</t>
  </si>
  <si>
    <t>Common\Service_Layer\NVM\NVMUtilities</t>
  </si>
  <si>
    <t>Common\System_Interfaces</t>
  </si>
  <si>
    <t>Common\System_Layer\Actuation\LVDT_Actuation_Library</t>
  </si>
  <si>
    <t>Common\System_Layer\Actuation\Modulated_Air_System_Actuation</t>
  </si>
  <si>
    <t>Common\System_Layer\Validation\Duplex_Validation_Library</t>
  </si>
  <si>
    <t>Common\System_Layer\Validation\LVDT_Validation_Library</t>
  </si>
  <si>
    <t>Common\System_Layer\Validation\Speeds_Validation_Library</t>
  </si>
  <si>
    <t>Common\System_Layer\Validation\Validate_Channel_AB_Identity</t>
  </si>
  <si>
    <t>Common\System_Layer\Validation\Validate_Channel_In_Control</t>
  </si>
  <si>
    <t>Common\System_Layer\Validation\Validate_Hardwired_Master_Lever_Position</t>
  </si>
  <si>
    <t>Common\System_Layer\Validation\Validate_Master_Lever_Position</t>
  </si>
  <si>
    <t>Common\System_Layer\Validation\Validate_TCAR_for_MAS</t>
  </si>
  <si>
    <t>Control_CPU\Application_Layer\Bleed_Valve_Control\ESSAI_Handling_Bleed_Valve_Control</t>
  </si>
  <si>
    <t>Control_CPU\Application_Layer\Bleed_Valve_Control\Handling_Bleed_Valve_Control</t>
  </si>
  <si>
    <t>Control_CPU\Application_Layer\Bleed_Valve_Control\Handling_Bleed_Valve_Internal_Interfaces</t>
  </si>
  <si>
    <t>Control_CPU\Application_Layer\Bleed_Valve_Control\HP31_Handling_Bleed_Valve_Control</t>
  </si>
  <si>
    <t>Control_CPU\Application_Layer\Bleed_Valve_Control\HP32_Handling_Bleed_Valve_Control</t>
  </si>
  <si>
    <t>Control_CPU\Application_Layer\Bleed_Valve_Control\HP33_Handling_Bleed_Valve_Control</t>
  </si>
  <si>
    <t>Control_CPU\Application_Layer\Bleed_Valve_Control\IP81_Handling_Bleed_Valve_Control</t>
  </si>
  <si>
    <t>Control_CPU\Application_Layer\Bleed_Valve_Control\IP83_Handling_Bleed_Valve_Control</t>
  </si>
  <si>
    <t>Control_CPU\Application_Layer\Bleed_Valve_Control\IP84_Handling_Bleed_Valve_Control</t>
  </si>
  <si>
    <t>Control_CPU\Application_Layer\Engine_Events\Flight_Phase_Detection</t>
  </si>
  <si>
    <t>Control_CPU\Application_Layer\Engine_Events\Ice_Shedding_Detection</t>
  </si>
  <si>
    <t>Control_CPU\Application_Layer\Engine_Events\Stall_Detection</t>
  </si>
  <si>
    <t>Control_CPU\Application_Layer\Engine_Events\Start_Condition_Detection</t>
  </si>
  <si>
    <t>Control_CPU\Application_Layer\Engine_Events\Surge_Detection</t>
  </si>
  <si>
    <t>Control_CPU\Application_Layer\Engine_Events\Transient_and_Steady_State_Detection</t>
  </si>
  <si>
    <t>Control_CPU\Application_Layer\Engine_Events\Water_Ingestion_Detection</t>
  </si>
  <si>
    <t>Control_CPU\Application_Layer\ESS_Anti_Ice_Control</t>
  </si>
  <si>
    <t>Control_CPU\Application_Layer\Front_Bearing_Housing_Oil_Bypass_Valve_Control</t>
  </si>
  <si>
    <t>Control_CPU\Application_Layer\Heat_Management\Engine_Oil_Bypass_Valve_Control</t>
  </si>
  <si>
    <t>Control_CPU\Application_Layer\Heat_Management\Generator_Oil_Bypass_Valve_Control</t>
  </si>
  <si>
    <t>Control_CPU\Application_Layer\HP3_Pipefail_Detection\Flight_Phase_Determination</t>
  </si>
  <si>
    <t>Control_CPU\Application_Layer\HP3_Pipefail_Detection\HP3_Pipefail_Detn_Internal_Ifs</t>
  </si>
  <si>
    <t>Control_CPU\Application_Layer\HP3_Pipefail_Detection\HP3_Pipefail_Logic</t>
  </si>
  <si>
    <t>High</t>
  </si>
  <si>
    <t>Control_CPU\Application_Layer\HP3_Pipefail_Detection\Snapshot_Fns</t>
  </si>
  <si>
    <t>Control_CPU\Application_Layer\Igniter_Control</t>
  </si>
  <si>
    <t>Control_CPU\Application_Layer\Modulated_Air_System_Control</t>
  </si>
  <si>
    <t>Control_CPU\Application_Layer\Protection\NH_Dot_Support</t>
  </si>
  <si>
    <t>Control_CPU\Application_Layer\Special_Functions\Fuel_Spiking_and_Dipping</t>
  </si>
  <si>
    <t>Control_CPU\Application_Layer\Special_Functions\Manual_Fuel_Control</t>
  </si>
  <si>
    <t>Control_CPU\Application_Layer\Special_Functions\Special_Functions</t>
  </si>
  <si>
    <t>Control_CPU\Application_Layer\Starting\Auto_Relight</t>
  </si>
  <si>
    <t>Control_CPU\Application_Layer\Starting\Ground_Autostart</t>
  </si>
  <si>
    <t>Control_CPU\Application_Layer\Starting\InFlight_Autostart</t>
  </si>
  <si>
    <t>Control_CPU\Application_Layer\Starting\Manual_Start</t>
  </si>
  <si>
    <t>Control_CPU\Application_Layer\Starting\Quick_Relight</t>
  </si>
  <si>
    <t>Control_CPU\Application_Layer\Starting\Starting</t>
  </si>
  <si>
    <t>Control_CPU\Application_Layer\Starting\Starting_Common</t>
  </si>
  <si>
    <t>Control_CPU\Application_Layer\Thrust_Control\Control_Loop_Mode_Controller</t>
  </si>
  <si>
    <t>Control_CPU\Application_Layer\Thrust_Control\Fuel_Dip</t>
  </si>
  <si>
    <t>Control_CPU\Application_Layer\Thrust_Control\Fuel_Index</t>
  </si>
  <si>
    <t>Control_CPU\Application_Layer\Thrust_Control\PassiveHPTOS</t>
  </si>
  <si>
    <t>Control_CPU\Application_Layer\Thrust_Control\Limit_Fuel_Flow</t>
  </si>
  <si>
    <t>Control_CPU\Application_Layer\Thrust_Control\Loop_Gains</t>
  </si>
  <si>
    <t>Control_CPU\Application_Layer\Thrust_Control\Loops</t>
  </si>
  <si>
    <t>Control_CPU\Application_Layer\Thrust_Control\LSL_and_RRIM</t>
  </si>
  <si>
    <t>Control_CPU\Application_Layer\Thrust_Control\Manifold_Drain</t>
  </si>
  <si>
    <t>Control_CPU\Application_Layer\Thrust_Control\Thrust_Control</t>
  </si>
  <si>
    <t>Control_CPU\Application_Layer\Thrust_Control\Thrust_Control_Conditioning</t>
  </si>
  <si>
    <t>Control_CPU\Application_Layer\Thrust_Limit_Conditions\Control_Limit_Detection</t>
  </si>
  <si>
    <t>Control_CPU\Application_Layer\Thrust_Limit_Conditions\Idle_Detection</t>
  </si>
  <si>
    <t>Control_CPU\Application_Layer\Thrust_Settings_and_Ratings\ACUTE</t>
  </si>
  <si>
    <t>Control_CPU\Application_Layer\Thrust_Settings_and_Ratings\Autothrust</t>
  </si>
  <si>
    <t>Control_CPU\Application_Layer\Thrust_Settings_and_Ratings\Int_Thrust_Settings_Ratings</t>
  </si>
  <si>
    <t>Control_CPU\Application_Layer\Thrust_Settings_and_Ratings\NL_Thrust_Demand</t>
  </si>
  <si>
    <t>Control_CPU\Application_Layer\Thrust_Settings_and_Ratings\Thrust_Ratings</t>
  </si>
  <si>
    <t>Control_CPU\Application_Layer\Thrust_Settings_and_Ratings\Thrust_Settings</t>
  </si>
  <si>
    <t>Control_CPU\Application_Layer\Turbine_Case_Cooling_Control\HP_Turbine_Case_Cooling_Deterioration</t>
  </si>
  <si>
    <t>Control_CPU\Application_Layer\Turbine_Case_Cooling_Control\HP_Turbine_Case_Cooling_Control</t>
  </si>
  <si>
    <t>Control_CPU\Application_Layer\Turbine_Case_Cooling_Control\IP_Turbine_Case_Cooling_Deterioration</t>
  </si>
  <si>
    <t>Control_CPU\Application_Layer\Turbine_Case_Cooling_Control\IP_Turbine_Case_Cooling_Control</t>
  </si>
  <si>
    <t>Control_CPU\Application_Layer\Turbine_Case_Cooling_Control\Turbine_Case_Cooling_Manager</t>
  </si>
  <si>
    <t>Control_CPU\Application_Layer\Turbine_Rim_Cooling_Control</t>
  </si>
  <si>
    <t>Control_CPU\Application_Layer\VSV_Schedule</t>
  </si>
  <si>
    <t>Control_CPU\Combined_Entry_Points</t>
  </si>
  <si>
    <t>Control_CPU\Engine_Variant</t>
  </si>
  <si>
    <t>Control_CPU\Hardware_Interfaces\ASCommand</t>
  </si>
  <si>
    <t>Control_CPU\Hardware_Interfaces\HAL_Types</t>
  </si>
  <si>
    <t>Control_CPU\Operating_Software\Modulated_Air_System_Sensors</t>
  </si>
  <si>
    <t>Control_CPU\OS_Entry_Points\Combined_OS_Entry_Points</t>
  </si>
  <si>
    <t>Control_CPU\Prerequisites\Busy_Wait</t>
  </si>
  <si>
    <t>Control_CPU\Prerequisites\Determine_Software_Dataload_State</t>
  </si>
  <si>
    <t>Control_CPU\Prerequisites\Dispatcher</t>
  </si>
  <si>
    <t>Control_CPU\Prerequisites\EEC_Operating_Modes</t>
  </si>
  <si>
    <t>Control_CPU\Prerequisites\Fault_Utilities\Fault_Collation</t>
  </si>
  <si>
    <t>Control_CPU\Service_Interfaces</t>
  </si>
  <si>
    <t>Control_CPU\Service_Layer\Airframe_Comms\Airframe_Data_Transformations</t>
  </si>
  <si>
    <t>Control_CPU\Service_Layer\Airframe_Comms\Airframe_Maint_Reporting</t>
  </si>
  <si>
    <t>Control_CPU\Service_Layer\Airframe_Comms\Data_Boundary</t>
  </si>
  <si>
    <t>Control_CPU\Service_Layer\Airframe_Comms\Data_Handler\AC_Data_Handler_Types\From_AC_Data_Handler_Types</t>
  </si>
  <si>
    <t>Control_CPU\Service_Layer\Airframe_Comms\Data_Handler\AC_Data_Handler_Types\To_AC_Data_Handler_Types</t>
  </si>
  <si>
    <t>Control_CPU\Service_Layer\Airframe_Comms\Data_Handler\AC_Data_Handler_Utils</t>
  </si>
  <si>
    <t>Control_CPU\Service_Layer\Airframe_Comms\Data_Handler\From_AC_Data_Handler</t>
  </si>
  <si>
    <t>Control_CPU\Service_Layer\Airframe_Comms\Data_Handler\From_AC_Data_Handler_A350_Group_1_Control</t>
  </si>
  <si>
    <t>Control_CPU\Service_Layer\Airframe_Comms\Data_Handler\From_AC_Data_Handler_RS422_Group_1</t>
  </si>
  <si>
    <t>Control_CPU\Service_Layer\Airframe_Comms\Data_Handler\To_AC_Data_Handler</t>
  </si>
  <si>
    <t>Control_CPU\Service_Layer\Airframe_Comms\Data_Handler\To_AC_Data_Handler_RS422_Group_1</t>
  </si>
  <si>
    <t>Control_CPU\Service_Layer\Airframe_Comms\Data_Handler\To_AC_Data_Handler_RS422_Group_2</t>
  </si>
  <si>
    <t>Control_CPU\Service_Layer\Airframe_Comms\Data_Handler\To_AC_Data_Handler_RS422_Group_3</t>
  </si>
  <si>
    <t>Control_CPU\Service_Layer\Airframe_Comms\Internal_Comms_Interfaces</t>
  </si>
  <si>
    <t>Control_CPU\Service_Layer\Airframe_Comms\Internal_Comms_Manager\From_AC_Internal_Comms_Manager</t>
  </si>
  <si>
    <t>Control_CPU\Service_Layer\Airframe_Comms\Message_Controllers\From_AC_Int_Ethernet_Mess_Controller</t>
  </si>
  <si>
    <t>Control_CPU\Service_Layer\Airframe_Comms\Message_Controllers\From_RS422_Mess_Controller</t>
  </si>
  <si>
    <t>Control_CPU\Service_Layer\Airframe_Comms\Message_Controllers\Message_Store\From_AC_Int_Message_Store</t>
  </si>
  <si>
    <t>Control_CPU\Service_Layer\Airframe_Comms\Message_Controllers\To_RS422_Mess_Controller</t>
  </si>
  <si>
    <t>Control_CPU\Service_Layer\Airframe_Comms\Scheduler\From_Ac_Scheduler</t>
  </si>
  <si>
    <t>Control_CPU\Service_Layer\Airframe_Comms\Scheduler\To_Ac_Scheduler</t>
  </si>
  <si>
    <t>Control_CPU\Service_Layer\Airframe_Comms\Validate Inputs\Validate_Airframe_Inputs_Control</t>
  </si>
  <si>
    <t>Control_CPU\Service_Layer\Channel_Control</t>
  </si>
  <si>
    <t>Control_CPU\Service_Layer\Health</t>
  </si>
  <si>
    <t>Control_CPU\Service_Layer\Inter_CPU_Comms\Direct_Comms_Control</t>
  </si>
  <si>
    <t>Control_CPU\Service_Layer\Inter_CPU_Comms\Inter-CPU_Comms_Internal_Boundaries</t>
  </si>
  <si>
    <t>Control_CPU\Service_Layer\Inter_CPU_Comms\Other_Channel_Comms</t>
  </si>
  <si>
    <t>Control_CPU\Service_Layer\Inter_CPU_Comms\Other_Processor_Comms</t>
  </si>
  <si>
    <t>Control_CPU\Service_Layer\Maintenance\Int_Maintenance</t>
  </si>
  <si>
    <t>Control_CPU\Service_Layer\Maintenance\Failure_Message_Generator</t>
  </si>
  <si>
    <t>Control_CPU\Service_Layer\Monitor_HMU_Status</t>
  </si>
  <si>
    <t>Control_CPU\Service_Layer\NVM\NVM_Manager_App_Data_Control</t>
  </si>
  <si>
    <t>Control_CPU\Service_Layer\NVM\NVM_Manager_HP3_Pipefail_Data</t>
  </si>
  <si>
    <t>Control_CPU\Service_Layer\NVM\NVM_Manager_Conf_Data_Control</t>
  </si>
  <si>
    <t>Control_CPU\Service_Layer\Power_Monitoring</t>
  </si>
  <si>
    <t>Control_CPU\Service_Layer\Processor_Identification</t>
  </si>
  <si>
    <t>Control_CPU\System_Layer\Actuation\Engine_Oil_Bypass_Valve_Actuation</t>
  </si>
  <si>
    <t>Control_CPU\System_Layer\Actuation\ESS_Anti_Ice_Valve_Actuation</t>
  </si>
  <si>
    <t>Control_CPU\System_Layer\Actuation\Handling_Bleed_Valve_Actuation</t>
  </si>
  <si>
    <t>Control_CPU\System_Layer\Actuation\Igniter_Actuation</t>
  </si>
  <si>
    <t>Control_CPU\System_Layer\Actuation\Modulated_Air_System_Actuation</t>
  </si>
  <si>
    <t>Control_CPU\System_Layer\Actuation\Protection_TM_Actuation</t>
  </si>
  <si>
    <t>Control_CPU\System_Layer\Actuation\Starter_Air_Valve_Actuation</t>
  </si>
  <si>
    <t>Control_CPU\System_Layer\Actuation\Turbine_Case_Cooling_Actuation\HP_Turbine_Case_Cooling_Actuation</t>
  </si>
  <si>
    <t>Control_CPU\System_Layer\Actuation\Turbine_Case_Cooling_Actuation\IP_Turbine_Case_Cooling_Actuation</t>
  </si>
  <si>
    <t>Control_CPU\System_Layer\Actuation\Turbine_Rim_Cooling_Actuation</t>
  </si>
  <si>
    <t>Control_CPU\System_Layer\Actuation\VSV_Actuation</t>
  </si>
  <si>
    <t>Control_CPU\System_Layer\Calculate_Fuel_Used</t>
  </si>
  <si>
    <t>Control_CPU\System_Layer\Derive_and_Modelled_Parameters\Derive_Air_Data</t>
  </si>
  <si>
    <t>Control_CPU\System_Layer\Derive_and_Modelled_Parameters\Derive_Aircraft_State</t>
  </si>
  <si>
    <t>Control_CPU\System_Layer\Derive_and_Modelled_Parameters\Derive_Engine_Pressures</t>
  </si>
  <si>
    <t>Control_CPU\System_Layer\Derive_and_Modelled_Parameters\Derive_Engine_Temperatures</t>
  </si>
  <si>
    <t>Control_CPU\System_Layer\Derive_and_Modelled_Parameters\Derive_Fuel_Flow</t>
  </si>
  <si>
    <t>Control_CPU\System_Layer\Derive_and_Modelled_Parameters\Derive_Heat_Soakage</t>
  </si>
  <si>
    <t>Control_CPU\System_Layer\Derive_and_Modelled_Parameters\Derive_Power_Offtake</t>
  </si>
  <si>
    <t>Control_CPU\System_Layer\Derive_and_Modelled_Parameters\Derive_Pressure_Ratios</t>
  </si>
  <si>
    <t>Control_CPU\System_Layer\Derive_and_Modelled_Parameters\Derive_Shaft_Speeds</t>
  </si>
  <si>
    <t>Control_CPU\System_Layer\Generate_Test_Commands\Generate_ESSAI_Test_Commands</t>
  </si>
  <si>
    <t>Control_CPU\System_Layer\Generate_Test_Commands\Generate_HBV_Test_Commands</t>
  </si>
  <si>
    <t>Control_CPU\System_Layer\Generate_Test_Commands\Generate_MAS_Test_Commands</t>
  </si>
  <si>
    <t>Control_CPU\System_Layer\Minor_Loops\FMV_Minor_Loop</t>
  </si>
  <si>
    <t>Control_CPU\System_Layer\Minor_Loops\HP_TCC_Minor_Loop</t>
  </si>
  <si>
    <t>Control_CPU\System_Layer\Minor_Loops\IP_TCC_Minor_Loop</t>
  </si>
  <si>
    <t>Control_CPU\System_Layer\Minor_Loops\Minor_Loop_Internal_Boundaries</t>
  </si>
  <si>
    <t>Control_CPU\System_Layer\Minor_Loops\Minor_Loops_Utilities</t>
  </si>
  <si>
    <t>Control_CPU\System_Layer\Minor_Loops\Servo_Pressure_Compensation</t>
  </si>
  <si>
    <t>Control_CPU\System_Layer\Minor_Loops\SOV_Control_Minor_Loop</t>
  </si>
  <si>
    <t>Control_CPU\System_Layer\Minor_Loops\VSV_Minor_Loop</t>
  </si>
  <si>
    <t>Control_CPU\System_Layer\Minor_Loops\beacon_code\beacon_support_control_d</t>
  </si>
  <si>
    <t>Control_CPU\System_Layer\Minor_Loops\beacon_code\fmv_minor_loop_control_d</t>
  </si>
  <si>
    <t>Control_CPU\System_Layer\Minor_Loops\beacon_code\hp_tcc_minor_loop_control_d</t>
  </si>
  <si>
    <t>Control_CPU\System_Layer\Minor_Loops\beacon_code\ip_tcc_minor_loop_control_d</t>
  </si>
  <si>
    <t>Control_CPU\System_Layer\Minor_Loops\beacon_code\sov_minor_loop_control_d</t>
  </si>
  <si>
    <t>Control_CPU\System_Layer\Minor_Loops\beacon_code\spc_minor_loop_control_d</t>
  </si>
  <si>
    <t>Control_CPU\System_Layer\Minor_Loops\beacon_code\vsv_minor_loop_control_d</t>
  </si>
  <si>
    <t>Control_CPU\System_Layer\Report_Raw_Faults</t>
  </si>
  <si>
    <t>Control_CPU\System_Layer\Response_Monitoring\ESS_Anti_Ice_Valve_Response_Monitoring</t>
  </si>
  <si>
    <t>Control_CPU\System_Layer\Response_Monitoring\Handling_Bleed_Valve_Response_Monitoring</t>
  </si>
  <si>
    <t>Control_CPU\System_Layer\Response_Monitoring\MAS_Valve_Response_Monitoring</t>
  </si>
  <si>
    <t>Control_CPU\System_Layer\Validation\Validate_Data_Entry_Plug</t>
  </si>
  <si>
    <t>Control_CPU\System_Layer\Validation\Validate_Engine_P0</t>
  </si>
  <si>
    <t>Control_CPU\System_Layer\Validation\Validate_Engine_P20</t>
  </si>
  <si>
    <t>Control_CPU\System_Layer\Validation\Validate_Engine_T20</t>
  </si>
  <si>
    <t>Control_CPU\System_Layer\Validation\Validate_FOHE_Fuel_Differential_Pressure</t>
  </si>
  <si>
    <t>Control_CPU\System_Layer\Validation\Validate_Front_Bearing_Housing_Oil_Bypass_Valve_Position</t>
  </si>
  <si>
    <t>Control_CPU\System_Layer\Validation\Validate_Fuel_Flow</t>
  </si>
  <si>
    <t>Control_CPU\System_Layer\Validation\Validate_Fuel_Flow_Drum_Rotation_Speed</t>
  </si>
  <si>
    <t>Control_CPU\System_Layer\Validation\Validate_Generator_Oil_Bypass_Valve_Position</t>
  </si>
  <si>
    <t>Control_CPU\System_Layer\Validation\Validate_Generator_Oil_Temperature</t>
  </si>
  <si>
    <t>Control_CPU\System_Layer\Validation\Validate_Hardwired_Throttle_Lever_Angle</t>
  </si>
  <si>
    <t>Control_CPU\System_Layer\Validation\Validate_HMU_Config_Data</t>
  </si>
  <si>
    <t>Control_CPU\System_Layer\Validation\Validate_HP_Oil_Filter_Differential_Pressure</t>
  </si>
  <si>
    <t>Control_CPU\System_Layer\Validation\Validate_LP_Fuel_Filter_Differential_Pressure</t>
  </si>
  <si>
    <t>Control_CPU\System_Layer\Validation\Validate_Modulated_Air_System_Pressure</t>
  </si>
  <si>
    <t>Control_CPU\System_Layer\Validation\Validate_Nacelle_Anti_Ice_Absolute_Pressure</t>
  </si>
  <si>
    <t>Control_CPU\System_Layer\Validation\Validate_NH</t>
  </si>
  <si>
    <t>Control_CPU\System_Layer\Validation\Validate_NI</t>
  </si>
  <si>
    <t>Control_CPU\System_Layer\Validation\Validate_NL</t>
  </si>
  <si>
    <t>Control_CPU\System_Layer\Validation\Validate_P0</t>
  </si>
  <si>
    <t>Control_CPU\System_Layer\Validation\Validate_P160</t>
  </si>
  <si>
    <t>Control_CPU\System_Layer\Validation\Validate_P20</t>
  </si>
  <si>
    <t>Control_CPU\System_Layer\Validation\Validate_P30</t>
  </si>
  <si>
    <t>Control_CPU\System_Layer\Validation\Validate_POil</t>
  </si>
  <si>
    <t>Control_CPU\System_Layer\Validation\Validate_Scavenge_Oil_Filter_Differential_Pressure</t>
  </si>
  <si>
    <t>Control_CPU\System_Layer\Validation\Validate_T20</t>
  </si>
  <si>
    <t>Control_CPU\System_Layer\Validation\Validate_T25</t>
  </si>
  <si>
    <t>Control_CPU\System_Layer\Validation\Validate_T30</t>
  </si>
  <si>
    <t>Control_CPU\System_Layer\Validation\Validate_T50</t>
  </si>
  <si>
    <t>Control_CPU\System_Layer\Validation\Validate_TFuel</t>
  </si>
  <si>
    <t>Control_CPU\System_Layer\Validation\Validate_TGT</t>
  </si>
  <si>
    <t>Control_CPU\System_Layer\Validation\Validate_Throttle_Lever_Angle</t>
  </si>
  <si>
    <t>Control_CPU\System_Layer\Validation\Validate_TVent</t>
  </si>
  <si>
    <t>Control_CPU\System_Layer\Validation\Validate_TZone1Upper</t>
  </si>
  <si>
    <t>Control_CPU\System_Layer\Validation\Validate_TZone2</t>
  </si>
  <si>
    <t>Control_CPU\System_Layer\Validation\Validate_TZone3</t>
  </si>
  <si>
    <t>Safety_CPU\Application_Layer\Exceedances</t>
  </si>
  <si>
    <t>Safety_CPU\Application_Layer\LP_Turbine_Case_Cooling_Valve_Control</t>
  </si>
  <si>
    <t>Safety_CPU\Application_Layer\Nacelle_Anti_Ice_Control</t>
  </si>
  <si>
    <t>Safety_CPU\Application_Layer\ODMS_Exceedance_Detection</t>
  </si>
  <si>
    <t>Safety_CPU\Application_Layer\Protection\Fire_And_Overheat_Detection</t>
  </si>
  <si>
    <t>Safety_CPU\Application_Layer\Protection\IP_and_LP_Shaft_Overspeed_Detection</t>
  </si>
  <si>
    <t>Safety_CPU\Application_Layer\Protection\IP_Shaft_Break_Protection\Int_Shaft_Break_Protection</t>
  </si>
  <si>
    <t>Safety_CPU\Application_Layer\Protection\IP_Shaft_Break_Protection\IP_Shaft_Break_Model_Based_Detection</t>
  </si>
  <si>
    <t>Safety_CPU\Application_Layer\Protection\IP_Shaft_Break_Protection\IP_Shaft_Break_Protection</t>
  </si>
  <si>
    <t>Safety_CPU\Application_Layer\Protection\IP_Shaft_Break_Protection\IP_Turbine_Oil_Fire_Detection</t>
  </si>
  <si>
    <t>Safety_CPU\Application_Layer\Protection\IP_Shaft_Break_Protection\IP_Turbine_Overspeed_Detection</t>
  </si>
  <si>
    <t>Safety_CPU\Application_Layer\Protection\IP_Shaft_Break_Protection\NI_NH_Match_Detection</t>
  </si>
  <si>
    <t>Safety_CPU\Application_Layer\Protection\IP_Shaft_Break_Protection\NHDot_Arbiter</t>
  </si>
  <si>
    <t>Safety_CPU\Application_Layer\Protection\LP_Turbine_Overspeed_Detection</t>
  </si>
  <si>
    <t>Safety_CPU\Application_Layer\Protection\Protection_Shutdown</t>
  </si>
  <si>
    <t>Safety_CPU\Application_Layer\Protection\Thrust_Control_Malfunction_Detection</t>
  </si>
  <si>
    <t>Safety_CPU\Application_Layer\Protection\Thrust_Control_Malfunction_Health</t>
  </si>
  <si>
    <t>Safety_CPU\Combined_Entry_Points</t>
  </si>
  <si>
    <t>Safety_CPU\Engine_Variant</t>
  </si>
  <si>
    <t>Safety_CPU\Hardware_Interfaces\ASCommand</t>
  </si>
  <si>
    <t>Safety_CPU\Hardware_Interfaces\HAL_Types</t>
  </si>
  <si>
    <t>Safety_CPU\OS_Entry_Points\Combined_OS_Entry_Points</t>
  </si>
  <si>
    <t>Safety_CPU\Prerequisites\Busy_Wait</t>
  </si>
  <si>
    <t>Safety_CPU\Prerequisites\Determine_Software_Dataload_State</t>
  </si>
  <si>
    <t>Safety_CPU\Prerequisites\Dispatcher</t>
  </si>
  <si>
    <t>Safety_CPU\Prerequisites\EEC_Operating_Modes</t>
  </si>
  <si>
    <t>Safety_CPU\Prerequisites\Fault_Utilities\Fault_Collation</t>
  </si>
  <si>
    <t>Safety_CPU\Service_Interfaces</t>
  </si>
  <si>
    <t>Safety_CPU\Service_Layer\Airframe_Comms\Airframe_Data_Transformations</t>
  </si>
  <si>
    <t>Safety_CPU\Service_Layer\Airframe_Comms\Airframe_Data_TransformationsFTB</t>
  </si>
  <si>
    <t>Safety_CPU\Service_Layer\Airframe_Comms\Airframe_Input_Overrides</t>
  </si>
  <si>
    <t>Safety_CPU\Service_Layer\Airframe_Comms\Airframe_Maint_Reporting</t>
  </si>
  <si>
    <t>Safety_CPU\Service_Layer\Airframe_Comms\Data_Boundary</t>
  </si>
  <si>
    <t>Safety_CPU\Service_Layer\Airframe_Comms\Data_Handler\AC_Data_Handler_Types\From_AC_Data_Handler_Types</t>
  </si>
  <si>
    <t>Safety_CPU\Service_Layer\Airframe_Comms\Data_Handler\AC_Data_Handler_Types\To_AC_Data_Handler_Types</t>
  </si>
  <si>
    <t>Safety_CPU\Service_Layer\Airframe_Comms\Data_Handler\AC_Data_Handler_Utils</t>
  </si>
  <si>
    <t>Safety_CPU\Service_Layer\Airframe_Comms\Data_Handler\From_AC_Data_Handler</t>
  </si>
  <si>
    <t>Safety_CPU\Service_Layer\Airframe_Comms\Data_Handler\From_AC_Data_Handler_A380_Airframe</t>
  </si>
  <si>
    <t>Safety_CPU\Service_Layer\Airframe_Comms\Data_Handler\From_AC_Data_Handler_A380_Airframe_1</t>
  </si>
  <si>
    <t>Safety_CPU\Service_Layer\Airframe_Comms\Data_Handler\From_AC_Data_Handler_A380_Airframe_2</t>
  </si>
  <si>
    <t>Safety_CPU\Service_Layer\Airframe_Comms\Data_Handler\From_AC_Data_Handler_A380_Airframe_3</t>
  </si>
  <si>
    <t>Safety_CPU\Service_Layer\Airframe_Comms\Data_Handler\From_AC_Data_Handler_A380_Airframe_4</t>
  </si>
  <si>
    <t>Safety_CPU\Service_Layer\Airframe_Comms\Data_Handler\From_AC_Data_Handler_A350_Airframe</t>
  </si>
  <si>
    <t>Safety_CPU\Service_Layer\Airframe_Comms\Data_Handler\From_AC_Data_Handler_A350_EIF_PCS</t>
  </si>
  <si>
    <t>Safety_CPU\Service_Layer\Airframe_Comms\Data_Handler\From_AC_Data_Handler_A350_Group_1_Safety</t>
  </si>
  <si>
    <t>Safety_CPU\Service_Layer\Airframe_Comms\Data_Handler\From_AC_Data_Handler_A380_CAN_Bus</t>
  </si>
  <si>
    <t>Safety_CPU\Service_Layer\Airframe_Comms\Data_Handler\From_AC_Data_Handler_CAN_Bus</t>
  </si>
  <si>
    <t>Safety_CPU\Service_Layer\Airframe_Comms\Data_Handler\To_AC_Data_Handler</t>
  </si>
  <si>
    <t>Safety_CPU\Service_Layer\Airframe_Comms\Data_Handler\To_AC_Data_Handler_A380_Airframe_1</t>
  </si>
  <si>
    <t>Safety_CPU\Service_Layer\Airframe_Comms\Data_Handler\To_AC_Data_Handler_A380_Airframe_2</t>
  </si>
  <si>
    <t>Safety_CPU\Service_Layer\Airframe_Comms\Data_Handler\To_AC_Data_Handler_A380_Airframe_3</t>
  </si>
  <si>
    <t>Safety_CPU\Service_Layer\Airframe_Comms\Data_Handler\To_AC_Data_Handler_A350_Airframe</t>
  </si>
  <si>
    <t>Safety_CPU\Service_Layer\Airframe_Comms\Data_Handler\To_AC_Data_Handler_A350_Airframe_2</t>
  </si>
  <si>
    <t>Safety_CPU\Service_Layer\Airframe_Comms\Data_Handler\To_AC_Data_Handler_A350_Eng_Data_Fr1</t>
  </si>
  <si>
    <t>Safety_CPU\Service_Layer\Airframe_Comms\Data_Handler\To_AC_Data_Handler_A380_CAN_Bus</t>
  </si>
  <si>
    <t>Safety_CPU\Service_Layer\Airframe_Comms\Data_Handler\To_AC_Data_Handler_CAN_Bus</t>
  </si>
  <si>
    <t>Safety_CPU\Service_Layer\Airframe_Comms\Internal_Comms_Interfaces</t>
  </si>
  <si>
    <t>Safety_CPU\Service_Layer\Airframe_Comms\Message_Controllers\CAN_Bus\From_AC_CAN_Bus_Mess_Controller</t>
  </si>
  <si>
    <t>Safety_CPU\Service_Layer\Airframe_Comms\Message_Controllers\CAN_Bus\To_AC_CAN_Bus_Mess_Controller</t>
  </si>
  <si>
    <t>Safety_CPU\Service_Layer\Airframe_Comms\Message_Controllers\Ethernet\From_AC_Ethernet_Mess_Controller</t>
  </si>
  <si>
    <t>Safety_CPU\Service_Layer\Airframe_Comms\Message_Controllers\Ethernet\To_AC_Ethernet_Mess_Controller</t>
  </si>
  <si>
    <t>Safety_CPU\Service_Layer\Airframe_Comms\Scheduler\From_Ac_Scheduler</t>
  </si>
  <si>
    <t>Safety_CPU\Service_Layer\Airframe_Comms\Scheduler\To_Ac_Scheduler</t>
  </si>
  <si>
    <t>Safety_CPU\Service_Layer\Airframe_Comms\Validate_Engine_Location</t>
  </si>
  <si>
    <t>Safety_CPU\Service_Layer\Airframe_Comms\Validate_Inputs\Validate_Airframe_Inputs</t>
  </si>
  <si>
    <t>Safety_CPU\Service_Layer\Airframe_Comms\Validate_Inputs\Validate_PRIM_Inputs</t>
  </si>
  <si>
    <t>Safety_CPU\Service_Layer\DAC\DAC_Calculations</t>
  </si>
  <si>
    <t>Safety_CPU\Service_Layer\DAC\DAC_Control</t>
  </si>
  <si>
    <t>Safety_CPU\Service_Layer\DAC\IInt_DAC</t>
  </si>
  <si>
    <t>Safety_CPU\Service_Layer\DAC\Validate_DAC_Inputs</t>
  </si>
  <si>
    <t>Safety_CPU\Service_Layer\Inter_CPU_Comms\Direct_Comms_Safety</t>
  </si>
  <si>
    <t>Safety_CPU\Service_Layer\Inter_CPU_Comms\Other_Channel_Comms_Fault</t>
  </si>
  <si>
    <t>Safety_CPU\Service_Layer\Inter_CPU_Comms\Other_Processor_Comms</t>
  </si>
  <si>
    <t>Safety_CPU\Service_Layer\Maintenance\Dispatch_Logic</t>
  </si>
  <si>
    <t>Safety_CPU\Service_Layer\Maintenance\Failure_Message_Generator</t>
  </si>
  <si>
    <t>Safety_CPU\Service_Layer\Maintenance\Failure_Message_Reporting</t>
  </si>
  <si>
    <t>Safety_CPU\Service_Layer\Maintenance\Int_Maintenance</t>
  </si>
  <si>
    <t>Safety_CPU\Service_Layer\Maintenance\Interactive_Maintenance\Bleed_Valve_Test</t>
  </si>
  <si>
    <t>Safety_CPU\Service_Layer\Maintenance\Interactive_Maintenance\Core_Wash_Test</t>
  </si>
  <si>
    <t>Safety_CPU\Service_Layer\Maintenance\Interactive_Maintenance\FMV_Test</t>
  </si>
  <si>
    <t>Safety_CPU\Service_Layer\Maintenance\Interactive_Maintenance\Harness_Test</t>
  </si>
  <si>
    <t>Safety_CPU\Service_Layer\Maintenance\Interactive_Maintenance\Igniter_Test</t>
  </si>
  <si>
    <t>Safety_CPU\Service_Layer\Maintenance\Interactive_Maintenance\Interactive_Comms</t>
  </si>
  <si>
    <t>Safety_CPU\Service_Layer\Maintenance\Interactive_Maintenance\Interactive_Engine_Controls</t>
  </si>
  <si>
    <t>Safety_CPU\Service_Layer\Maintenance\Interactive_Maintenance\Interactive_Mode_Manager</t>
  </si>
  <si>
    <t>Safety_CPU\Service_Layer\Maintenance\Interactive_Maintenance\Interactive_Reporting</t>
  </si>
  <si>
    <t>Safety_CPU\Service_Layer\Maintenance\Interactive_Maintenance\Reports_Test</t>
  </si>
  <si>
    <t>Safety_CPU\Service_Layer\Maintenance\Interactive_Maintenance\System_Test</t>
  </si>
  <si>
    <t>Safety_CPU\Service_Layer\Maintenance\Interactive_Maintenance\VSV_Test</t>
  </si>
  <si>
    <t>Safety_CPU\Service_Layer\Maintenance\MaintenanceCommon</t>
  </si>
  <si>
    <t>Safety_CPU\Service_Layer\Maintenance\Status_Logic</t>
  </si>
  <si>
    <t>Safety_CPU\Service_Layer\NVM\NVM_Manager_App_Data_Safety</t>
  </si>
  <si>
    <t>Safety_CPU\Service_Layer\NVM\NVM_Manager_OMS_Fault_Report_Data</t>
  </si>
  <si>
    <t>Safety_CPU\Service_Layer\Processor_Identification</t>
  </si>
  <si>
    <t>Safety_CPU\System_Layer\Actuation\Front_Bearing_Housing_Oil_Bypass_Valve_Actuation</t>
  </si>
  <si>
    <t>Safety_CPU\System_Layer\Actuation\Generator_Oil_Bypass_Valve_Actuation</t>
  </si>
  <si>
    <t>Safety_CPU\System_Layer\Actuation\LP_Turbine_Case_Cooling_Actuation</t>
  </si>
  <si>
    <t>Safety_CPU\System_Layer\Actuation\Modulated_Air_System_Actuation</t>
  </si>
  <si>
    <t>Safety_CPU\System_Layer\Actuation\Nacelle_Anti_Ice_Actuation</t>
  </si>
  <si>
    <t>Safety_CPU\System_Layer\Actuation\Protection_SOV_Actuation</t>
  </si>
  <si>
    <t>Safety_CPU\System_Layer\Derive_and_Modelled_Parameters\Derive_Aircraft_State</t>
  </si>
  <si>
    <t>Safety_CPU\System_Layer\Derive_and_Modelled_Parameters\Derive_Oil_Quantity</t>
  </si>
  <si>
    <t>Safety_CPU\System_Layer\Minor_Loops\Minor_Loop_Internal_Boundaries</t>
  </si>
  <si>
    <t>Safety_CPU\System_Layer\Minor_Loops\SOV_Safety_Minor_Loop</t>
  </si>
  <si>
    <t>Safety_CPU\System_Layer\Minor_Loops\TCMA_Safety_Minor_Loop</t>
  </si>
  <si>
    <t>Safety_CPU\System_Layer\Minor_Loops\beacon_code\sov_minor_loop_safety_d</t>
  </si>
  <si>
    <t>Safety_CPU\System_Layer\Minor_Loops\beacon_code\tcma_minor_loop_safety_d</t>
  </si>
  <si>
    <t>Safety_CPU\System_Layer\Report_Raw_Faults</t>
  </si>
  <si>
    <t>Safety_CPU\System_Layer\Validation\Validate_EEC_Cofig</t>
  </si>
  <si>
    <t>Safety_CPU\System_Layer\Validation\Validate_Box_Temperatures</t>
  </si>
  <si>
    <t>Safety_CPU\System_Layer\Validation\Validate_Engine_Oil_Bypass_Valve_Position</t>
  </si>
  <si>
    <t>Safety_CPU\System_Layer\Validation\Validate_ESS_Anti_Ice_Absolute_Pressure</t>
  </si>
  <si>
    <t>Safety_CPU\System_Layer\Validation\Validate_Low_Oil_Pressure_Switch_Position</t>
  </si>
  <si>
    <t>Safety_CPU\System_Layer\Validation\Validate_NIFast</t>
  </si>
  <si>
    <t>Safety_CPU\System_Layer\Validation\Validate_NLFast</t>
  </si>
  <si>
    <t>Safety_CPU\System_Layer\Validation\Validate_ODMS_Particle_Counts</t>
  </si>
  <si>
    <t>Safety_CPU\System_Layer\Validation\Validate_Oil_Depth</t>
  </si>
  <si>
    <t>Safety_CPU\System_Layer\Validation\Validate_SAV_Position</t>
  </si>
  <si>
    <t>Safety_CPU\System_Layer\Validation\Validate_TCAF_Lower</t>
  </si>
  <si>
    <t>Safety_CPU\System_Layer\Validation\Validate_Thrust_Reverser_Primary_Lock_Position</t>
  </si>
  <si>
    <t>Safety_CPU\System_Layer\Validation\Validate_Thrust_Reverser_Tertiary_Lock_Position</t>
  </si>
  <si>
    <t>Safety_CPU\System_Layer\Validation\Validate_Thrust_Reverser_Transcowl_Position</t>
  </si>
  <si>
    <t>Safety_CPU\System_Layer\Validation\Validate_TOil</t>
  </si>
  <si>
    <t>Safety_CPU\System_Layer\Validation\Validate_Turbine_Cooling_Air_Front_Temperature</t>
  </si>
  <si>
    <t>Safety_CPU\System_Layer\Validation\Validate_Turbine_Cooling_Air_Rear_Temperature</t>
  </si>
  <si>
    <t>Safety_CPU\System_Layer\Validation\Validate_Turbine_Oil_Fire_Temperatures</t>
  </si>
  <si>
    <t>Safety_CPU\System_Layer\Validation\Validate_TZone1</t>
  </si>
  <si>
    <t>Common\Operating_Software\AtoD_14_bit_IO_Component</t>
  </si>
  <si>
    <t>Common\Operating_Software\CAN_IO_Component</t>
  </si>
  <si>
    <t>Common\Operating_Software\channel_change_sl_common_d</t>
  </si>
  <si>
    <t>Common\Operating_Software\continuous_checks_thread_common_d</t>
  </si>
  <si>
    <t>Common\Operating_Software\continuous_tests_roots_common</t>
  </si>
  <si>
    <t>Common\Operating_Software\CRC_Generator_IO_Layer_Component</t>
  </si>
  <si>
    <t>Common\Operating_Software\CRC_Generator_Without_Seed_SL_Component</t>
  </si>
  <si>
    <t>Common\Operating_Software\Cross_MCM_Inputs_Component</t>
  </si>
  <si>
    <t>Common\Operating_Software\Cross_MCM_Outputs_Component</t>
  </si>
  <si>
    <t>Common\Operating_Software\Discrete_Inputs_Component</t>
  </si>
  <si>
    <t>Common\Operating_Software\Discrete_Outputs_Component</t>
  </si>
  <si>
    <t>Common\Operating_Software\DtoA_Component</t>
  </si>
  <si>
    <t>Common\Operating_Software\EMU_IO_Component</t>
  </si>
  <si>
    <t>Common\Operating_Software\EMU_Root</t>
  </si>
  <si>
    <t>Common\Operating_Software\FPS_Timer_IO_Component</t>
  </si>
  <si>
    <t>Common\Operating_Software\FtoD_Component</t>
  </si>
  <si>
    <t>Common\Operating_Software\fuel_control_switch_thread_common_d</t>
  </si>
  <si>
    <t>Common\Operating_Software\GenericA664_Source_Common</t>
  </si>
  <si>
    <t>Common\Operating_Software\globalconfig.adc</t>
  </si>
  <si>
    <t>Common\Operating_Software\id_discretes_common_d</t>
  </si>
  <si>
    <t>Common\Operating_Software\InterIC_Inputs_Component</t>
  </si>
  <si>
    <t>Common\Operating_Software\InterIC_Outputs_Component</t>
  </si>
  <si>
    <t>Common\Operating_Software\interrupt_handler_thread_common</t>
  </si>
  <si>
    <t>Common\Operating_Software\Linear_Interpolator_Generic_Component</t>
  </si>
  <si>
    <t>Common\Operating_Software\main_startup_d</t>
  </si>
  <si>
    <t>Common\Operating_Software\Math_Functions_SL_Component</t>
  </si>
  <si>
    <t>Common\Operating_Software\MCM_Input_Register_Component</t>
  </si>
  <si>
    <t>Common\Operating_Software\MCM_Output_Register_Component</t>
  </si>
  <si>
    <t>Common\Operating_Software\NVM_Interface</t>
  </si>
  <si>
    <t>Common\Operating_Software\os_general_types_d</t>
  </si>
  <si>
    <t>Common\Operating_Software\power_up_checks_roots_common</t>
  </si>
  <si>
    <t>Common\Operating_Software\PUC_Test_DCC</t>
  </si>
  <si>
    <t>Common\Operating_Software\Register_Inputs_Component</t>
  </si>
  <si>
    <t>Common\Operating_Software\Register_Outputs_Component</t>
  </si>
  <si>
    <t>Common\Operating_Software\Reset_Register_IO_Layer_Component</t>
  </si>
  <si>
    <t>Common\Operating_Software\Serial_Interface_Component</t>
  </si>
  <si>
    <t>Common\Operating_Software\Shaft_Break_FtoD_IO_Component</t>
  </si>
  <si>
    <t>Common\Operating_Software\Solenoid_Drive_Component</t>
  </si>
  <si>
    <t>Common\Operating_Software\Test_Port_Inputs_Component</t>
  </si>
  <si>
    <t>Common\Operating_Software\Test_Port_Outputs_Component</t>
  </si>
  <si>
    <t>Common\Operating_Software\test_ports_thread_common_d</t>
  </si>
  <si>
    <t>Common\Operating_Software\upload_common_d</t>
  </si>
  <si>
    <t>Common\Operating_Software\xwb_br725_reuse_common_d</t>
  </si>
  <si>
    <t>Common\Operating_Software\xwb_trent1000_reuse_common_d</t>
  </si>
  <si>
    <t>Control_CPU\Operating_Software\adc_container_control_d</t>
  </si>
  <si>
    <t>Control_CPU\Operating_Software\adc_thread_control_d</t>
  </si>
  <si>
    <t>Control_CPU\Operating_Software\channel_change_thread_control_d</t>
  </si>
  <si>
    <t>Control_CPU\Operating_Software\continuous_tests_thread_control</t>
  </si>
  <si>
    <t>Control_CPU\Operating_Software\cross_channel_thread_control_d</t>
  </si>
  <si>
    <t>Control_CPU\Operating_Software\cross_processor_thread_control_d</t>
  </si>
  <si>
    <t>Control_CPU\Operating_Software\dor_container_control_d</t>
  </si>
  <si>
    <t>Control_CPU\Operating_Software\emu_thread_control_d</t>
  </si>
  <si>
    <t>Control_CPU\Operating_Software\fuel_flow_thread_control_d</t>
  </si>
  <si>
    <t>Control_CPU\Operating_Software\igniters_thread_control_d</t>
  </si>
  <si>
    <t>Control_CPU\Operating_Software\interrupt_handler_thread_control</t>
  </si>
  <si>
    <t>Control_CPU\Operating_Software\lvdts_thread_control_d</t>
  </si>
  <si>
    <t>Control_CPU\Operating_Software\nvm_thread_control_d</t>
  </si>
  <si>
    <t>Control_CPU\Operating_Software\os_kernel_thread_control</t>
  </si>
  <si>
    <t>Control_CPU\Operating_Software\oscommand_control_d</t>
  </si>
  <si>
    <t>Control_CPU\Operating_Software\potentiometers_thread_control_d</t>
  </si>
  <si>
    <t>Control_CPU\Operating_Software\power_rail_monitoring_thread_control_d</t>
  </si>
  <si>
    <t>Control_CPU\Operating_Software\power_up_checks_thread_control</t>
  </si>
  <si>
    <t>Control_CPU\Operating_Software\pressures_thread_control_d</t>
  </si>
  <si>
    <t>Control_CPU\Operating_Software\project_identifier_control_d</t>
  </si>
  <si>
    <t>Control_CPU\Operating_Software\register_comms_thread_control_d</t>
  </si>
  <si>
    <t>Control_CPU\Operating_Software\simple_transfer_comms_containers_control_d</t>
  </si>
  <si>
    <t>Control_CPU\Operating_Software\smartcal_thread_control_d</t>
  </si>
  <si>
    <t>Control_CPU\Operating_Software\solenoids_thread_control_d</t>
  </si>
  <si>
    <t>Control_CPU\Operating_Software\sov_thread_control_d</t>
  </si>
  <si>
    <t>Control_CPU\Operating_Software\spares_thread_control_d</t>
  </si>
  <si>
    <t>Control_CPU\Operating_Software\speeds_thread_control_d</t>
  </si>
  <si>
    <t>Control_CPU\Operating_Software\temperatures_thread_control_d</t>
  </si>
  <si>
    <t>Control_CPU\Operating_Software\torque_motors_thread_control_d</t>
  </si>
  <si>
    <t>Safety_CPU\Operating_Software\adc_container_safety_d</t>
  </si>
  <si>
    <t>Safety_CPU\Operating_Software\adc_thread_safety_d</t>
  </si>
  <si>
    <t>Safety_CPU\Operating_Software\arinc_664_interfaces_safety_d</t>
  </si>
  <si>
    <t>Safety_CPU\Operating_Software\build_standard_safety_d</t>
  </si>
  <si>
    <t>Safety_CPU\Operating_Software\can_thread_safety_d</t>
  </si>
  <si>
    <t>Safety_CPU\Operating_Software\channel_change_thread_safety_d</t>
  </si>
  <si>
    <t>Safety_CPU\Operating_Software\continuous_tests_thread_safety</t>
  </si>
  <si>
    <t>Safety_CPU\Operating_Software\cross_channel_thread_safety_d</t>
  </si>
  <si>
    <t>Safety_CPU\Operating_Software\cross_processor_thread_safety_d</t>
  </si>
  <si>
    <t>Safety_CPU\Operating_Software\dor_container_safety_d</t>
  </si>
  <si>
    <t>Safety_CPU\Operating_Software\eec_config_data_root_safety_d</t>
  </si>
  <si>
    <t>Safety_CPU\Operating_Software\GenericA664_Source_Safety</t>
  </si>
  <si>
    <t>Safety_CPU\Operating_Software\interrupt_handler_thread_safety</t>
  </si>
  <si>
    <t>Safety_CPU\Operating_Software\lvdts_thread_safety_d</t>
  </si>
  <si>
    <t>Safety_CPU\Operating_Software\nvm_thread_safety_d</t>
  </si>
  <si>
    <t>Safety_CPU\Operating_Software\odms_thread_safety_d</t>
  </si>
  <si>
    <t>Safety_CPU\Operating_Software\os_kernel_thread_safety_d</t>
  </si>
  <si>
    <t>Safety_CPU\Operating_Software\oscommand_safety_d</t>
  </si>
  <si>
    <t>Safety_CPU\Operating_Software\potentiometers_thread_safety_d</t>
  </si>
  <si>
    <t>Safety_CPU\Operating_Software\power_rail_monitoring_thread_safety_d</t>
  </si>
  <si>
    <t>Safety_CPU\Operating_Software\power_up_checks_thread_safety_d</t>
  </si>
  <si>
    <t>Safety_CPU\Operating_Software\pressures_thread_safety_d</t>
  </si>
  <si>
    <t>Safety_CPU\Operating_Software\project_identifier_safety_d</t>
  </si>
  <si>
    <t>Safety_CPU\Operating_Software\proximity_inputs_thread_safety_d</t>
  </si>
  <si>
    <t>Safety_CPU\Operating_Software\register_comms_thread_safety_d</t>
  </si>
  <si>
    <t>Safety_CPU\Operating_Software\reset_safe_ram_safety_d</t>
  </si>
  <si>
    <t>Safety_CPU\Operating_Software\sav_thread_safety_d</t>
  </si>
  <si>
    <t>Safety_CPU\Operating_Software\simple_transfer_comms_containers_safety_d</t>
  </si>
  <si>
    <t>Safety_CPU\Operating_Software\sis_module_thread_safety_d</t>
  </si>
  <si>
    <t>Safety_CPU\Operating_Software\solenoids_thread_safety_d</t>
  </si>
  <si>
    <t>Safety_CPU\Operating_Software\sov_thread_safety_d</t>
  </si>
  <si>
    <t>Safety_CPU\Operating_Software\spares_thread_safety_d</t>
  </si>
  <si>
    <t>Safety_CPU\Operating_Software\speeds_thread_safety_d</t>
  </si>
  <si>
    <t>Safety_CPU\Operating_Software\tcma_thread_safety_d</t>
  </si>
  <si>
    <t>Safety_CPU\Operating_Software\temperatures_thread_safety_d</t>
  </si>
  <si>
    <t>Safety_CPU\Operating_Software\torque_motors_thread_safety_d</t>
  </si>
  <si>
    <t>Trims\ACComms</t>
  </si>
  <si>
    <t>Trims\Control</t>
  </si>
  <si>
    <t>Trims\Safety</t>
  </si>
  <si>
    <t>SWDL_Loaders\Bootloader_Manager</t>
  </si>
  <si>
    <t>ACComms_CPU\Operating_Software\GenericA664_Source_ACComms\ACComms</t>
  </si>
  <si>
    <t>Budget</t>
  </si>
  <si>
    <t>Remain</t>
  </si>
  <si>
    <t>Remaining Hours</t>
  </si>
  <si>
    <t>Budget Hours (Filtered)
(Full Lifecycle)</t>
  </si>
  <si>
    <t>Remaining Hours (Filtered)
(Selected Lifecycle)</t>
  </si>
  <si>
    <t>Vhigh</t>
  </si>
  <si>
    <t>Vlow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</si>
</sst>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£&quot;* #,##0.00_-;\-&quot;£&quot;* #,##0.00_-;_-&quot;£&quot;* &quot;-&quot;??_-;_-@_-"/>
    <numFmt numFmtId="164" formatCode="[$-809]dd\ mmmm\ yyyy;@"/>
    <numFmt numFmtId="165" formatCode="0.0"/>
    <numFmt numFmtId="166" formatCode="[Black]General;[Black]General;[Black]General;[Black]General"/>
    <numFmt numFmtId="167" formatCode="&quot;0&quot;0"/>
    <numFmt numFmtId="168" formatCode="#,##0.0_);[Red]\(#,##0.0\)"/>
  </numFmts>
  <fonts count="40" x14ac:knownFonts="1">
    <font>
      <sz val="11"/>
      <color theme="1"/>
      <name val="Calibri"/>
      <family val="2"/>
      <scheme val="minor"/>
    </font>
    <font>
      <b/>
      <sz val="12"/>
      <color indexed="63"/>
      <name val="Cambria"/>
      <family val="1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10"/>
      <color theme="0" tint="-4.9989318521683403E-2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Arial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  <charset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5"/>
      <color indexed="15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15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15"/>
      <name val="Calibri"/>
      <family val="2"/>
    </font>
    <font>
      <b/>
      <sz val="11"/>
      <color indexed="56"/>
      <name val="Calibri"/>
      <family val="2"/>
    </font>
    <font>
      <shadow/>
      <sz val="12"/>
      <color indexed="9"/>
      <name val="Arial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52"/>
      <name val="Calibri"/>
      <family val="2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sz val="8"/>
      <name val="Tahoma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24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7"/>
        <bgColor indexed="64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2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4187">
    <xf numFmtId="0" fontId="0" fillId="0" borderId="0"/>
    <xf numFmtId="164" fontId="2" fillId="0" borderId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0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9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9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9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10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3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1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1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1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4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2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2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2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4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6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5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5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5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5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2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2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2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5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1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9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8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8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8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9" borderId="0" applyNumberFormat="0" applyBorder="0" applyAlignment="0" applyProtection="0"/>
    <xf numFmtId="164" fontId="11" fillId="18" borderId="0" applyNumberFormat="0" applyBorder="0" applyAlignment="0" applyProtection="0"/>
    <xf numFmtId="164" fontId="11" fillId="18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6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3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3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3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3" borderId="0" applyNumberFormat="0" applyBorder="0" applyAlignment="0" applyProtection="0"/>
    <xf numFmtId="164" fontId="11" fillId="13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9" borderId="0" applyNumberFormat="0" applyBorder="0" applyAlignment="0" applyProtection="0"/>
    <xf numFmtId="164" fontId="11" fillId="17" borderId="0" applyNumberFormat="0" applyBorder="0" applyAlignment="0" applyProtection="0"/>
    <xf numFmtId="164" fontId="11" fillId="17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6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20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12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12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12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20" borderId="0" applyNumberFormat="0" applyBorder="0" applyAlignment="0" applyProtection="0"/>
    <xf numFmtId="164" fontId="11" fillId="12" borderId="0" applyNumberFormat="0" applyBorder="0" applyAlignment="0" applyProtection="0"/>
    <xf numFmtId="164" fontId="11" fillId="12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17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17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17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21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22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22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22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20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20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20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19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1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1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1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13" borderId="0" applyNumberFormat="0" applyBorder="0" applyAlignment="0" applyProtection="0"/>
    <xf numFmtId="164" fontId="12" fillId="13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24" borderId="0" applyNumberFormat="0" applyBorder="0" applyAlignment="0" applyProtection="0"/>
    <xf numFmtId="164" fontId="12" fillId="24" borderId="0" applyNumberFormat="0" applyBorder="0" applyAlignment="0" applyProtection="0"/>
    <xf numFmtId="164" fontId="12" fillId="24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17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17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17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17" borderId="0" applyNumberFormat="0" applyBorder="0" applyAlignment="0" applyProtection="0"/>
    <xf numFmtId="164" fontId="12" fillId="17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11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11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11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26" borderId="0" applyNumberFormat="0" applyBorder="0" applyAlignment="0" applyProtection="0"/>
    <xf numFmtId="164" fontId="12" fillId="11" borderId="0" applyNumberFormat="0" applyBorder="0" applyAlignment="0" applyProtection="0"/>
    <xf numFmtId="164" fontId="12" fillId="11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7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7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7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8" borderId="0" applyNumberFormat="0" applyBorder="0" applyAlignment="0" applyProtection="0"/>
    <xf numFmtId="164" fontId="12" fillId="27" borderId="0" applyNumberFormat="0" applyBorder="0" applyAlignment="0" applyProtection="0"/>
    <xf numFmtId="164" fontId="12" fillId="27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2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2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3" fillId="0" borderId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2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30" borderId="0" applyNumberFormat="0" applyBorder="0" applyAlignment="0" applyProtection="0"/>
    <xf numFmtId="164" fontId="12" fillId="20" borderId="0" applyNumberFormat="0" applyBorder="0" applyAlignment="0" applyProtection="0"/>
    <xf numFmtId="164" fontId="12" fillId="20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31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31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31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23" borderId="0" applyNumberFormat="0" applyBorder="0" applyAlignment="0" applyProtection="0"/>
    <xf numFmtId="164" fontId="12" fillId="31" borderId="0" applyNumberFormat="0" applyBorder="0" applyAlignment="0" applyProtection="0"/>
    <xf numFmtId="164" fontId="12" fillId="31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5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2" borderId="0" applyNumberFormat="0" applyBorder="0" applyAlignment="0" applyProtection="0"/>
    <xf numFmtId="164" fontId="12" fillId="29" borderId="0" applyNumberFormat="0" applyBorder="0" applyAlignment="0" applyProtection="0"/>
    <xf numFmtId="164" fontId="12" fillId="29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6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6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6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3" borderId="0" applyNumberFormat="0" applyBorder="0" applyAlignment="0" applyProtection="0"/>
    <xf numFmtId="164" fontId="14" fillId="16" borderId="0" applyNumberFormat="0" applyBorder="0" applyAlignment="0" applyProtection="0"/>
    <xf numFmtId="164" fontId="14" fillId="16" borderId="0" applyNumberFormat="0" applyBorder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5" fillId="32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5" fillId="32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5" fillId="32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6" fillId="33" borderId="15" applyNumberFormat="0" applyAlignment="0" applyProtection="0"/>
    <xf numFmtId="164" fontId="15" fillId="32" borderId="15" applyNumberFormat="0" applyAlignment="0" applyProtection="0"/>
    <xf numFmtId="164" fontId="15" fillId="32" borderId="15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164" fontId="17" fillId="34" borderId="16" applyNumberFormat="0" applyAlignment="0" applyProtection="0"/>
    <xf numFmtId="44" fontId="2" fillId="0" borderId="0" applyFont="0" applyFill="0" applyBorder="0" applyAlignment="0" applyProtection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8" fillId="0" borderId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19" fillId="0" borderId="0" applyNumberFormat="0" applyFill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7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7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7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4" borderId="0" applyNumberFormat="0" applyBorder="0" applyAlignment="0" applyProtection="0"/>
    <xf numFmtId="164" fontId="20" fillId="17" borderId="0" applyNumberFormat="0" applyBorder="0" applyAlignment="0" applyProtection="0"/>
    <xf numFmtId="164" fontId="20" fillId="17" borderId="0" applyNumberFormat="0" applyBorder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2" fillId="0" borderId="18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1" fillId="0" borderId="17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1" fillId="0" borderId="17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1" fillId="0" borderId="17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3" fillId="0" borderId="19" applyNumberFormat="0" applyFill="0" applyAlignment="0" applyProtection="0"/>
    <xf numFmtId="164" fontId="21" fillId="0" borderId="17" applyNumberFormat="0" applyFill="0" applyAlignment="0" applyProtection="0"/>
    <xf numFmtId="164" fontId="21" fillId="0" borderId="17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5" fillId="0" borderId="21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4" fillId="0" borderId="20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4" fillId="0" borderId="20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4" fillId="0" borderId="20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6" fillId="0" borderId="22" applyNumberFormat="0" applyFill="0" applyAlignment="0" applyProtection="0"/>
    <xf numFmtId="164" fontId="24" fillId="0" borderId="20" applyNumberFormat="0" applyFill="0" applyAlignment="0" applyProtection="0"/>
    <xf numFmtId="164" fontId="24" fillId="0" borderId="20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8" fillId="0" borderId="24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7" fillId="0" borderId="23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7" fillId="0" borderId="23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7" fillId="0" borderId="23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9" fillId="0" borderId="25" applyNumberFormat="0" applyFill="0" applyAlignment="0" applyProtection="0"/>
    <xf numFmtId="164" fontId="27" fillId="0" borderId="23" applyNumberFormat="0" applyFill="0" applyAlignment="0" applyProtection="0"/>
    <xf numFmtId="164" fontId="27" fillId="0" borderId="23" applyNumberFormat="0" applyFill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8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9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4" fontId="27" fillId="0" borderId="0" applyNumberFormat="0" applyFill="0" applyBorder="0" applyAlignment="0" applyProtection="0"/>
    <xf numFmtId="166" fontId="30" fillId="0" borderId="0"/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1" fillId="0" borderId="0" applyNumberFormat="0" applyFill="0" applyBorder="0" applyAlignment="0" applyProtection="0">
      <alignment vertical="top"/>
      <protection locked="0"/>
    </xf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8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8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8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5" borderId="15" applyNumberFormat="0" applyAlignment="0" applyProtection="0"/>
    <xf numFmtId="164" fontId="32" fillId="18" borderId="15" applyNumberFormat="0" applyAlignment="0" applyProtection="0"/>
    <xf numFmtId="164" fontId="32" fillId="18" borderId="15" applyNumberFormat="0" applyAlignment="0" applyProtection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7" fontId="13" fillId="0" borderId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3" fillId="0" borderId="26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3" fillId="0" borderId="26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3" fillId="0" borderId="26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4" fillId="0" borderId="27" applyNumberFormat="0" applyFill="0" applyAlignment="0" applyProtection="0"/>
    <xf numFmtId="164" fontId="33" fillId="0" borderId="26" applyNumberFormat="0" applyFill="0" applyAlignment="0" applyProtection="0"/>
    <xf numFmtId="164" fontId="33" fillId="0" borderId="26" applyNumberFormat="0" applyFill="0" applyAlignment="0" applyProtection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3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168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40" fontId="13" fillId="0" borderId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5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5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5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6" fillId="18" borderId="0" applyNumberFormat="0" applyBorder="0" applyAlignment="0" applyProtection="0"/>
    <xf numFmtId="164" fontId="35" fillId="18" borderId="0" applyNumberFormat="0" applyBorder="0" applyAlignment="0" applyProtection="0"/>
    <xf numFmtId="164" fontId="35" fillId="18" borderId="0" applyNumberFormat="0" applyBorder="0" applyAlignment="0" applyProtection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13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3" fillId="0" borderId="0"/>
    <xf numFmtId="164" fontId="2" fillId="0" borderId="0"/>
    <xf numFmtId="164" fontId="13" fillId="0" borderId="0"/>
    <xf numFmtId="164" fontId="2" fillId="0" borderId="0"/>
    <xf numFmtId="164" fontId="13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2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2" fillId="0" borderId="0"/>
    <xf numFmtId="164" fontId="11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37" fillId="0" borderId="0"/>
    <xf numFmtId="164" fontId="2" fillId="0" borderId="0"/>
    <xf numFmtId="164" fontId="13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11" fillId="0" borderId="0"/>
    <xf numFmtId="164" fontId="2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2" fillId="0" borderId="0"/>
    <xf numFmtId="164" fontId="2" fillId="0" borderId="0"/>
    <xf numFmtId="164" fontId="2" fillId="0" borderId="0"/>
    <xf numFmtId="164" fontId="13" fillId="0" borderId="0"/>
    <xf numFmtId="164" fontId="2" fillId="0" borderId="0"/>
    <xf numFmtId="164" fontId="2" fillId="0" borderId="0"/>
    <xf numFmtId="164" fontId="2" fillId="0" borderId="0"/>
    <xf numFmtId="164" fontId="13" fillId="0" borderId="0"/>
    <xf numFmtId="164" fontId="2" fillId="0" borderId="0"/>
    <xf numFmtId="164" fontId="2" fillId="0" borderId="0"/>
    <xf numFmtId="164" fontId="2" fillId="0" borderId="0"/>
    <xf numFmtId="164" fontId="13" fillId="0" borderId="0"/>
    <xf numFmtId="164" fontId="13" fillId="0" borderId="0"/>
    <xf numFmtId="164" fontId="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11" fillId="0" borderId="0"/>
    <xf numFmtId="164" fontId="2" fillId="0" borderId="0"/>
    <xf numFmtId="164" fontId="13" fillId="0" borderId="0"/>
    <xf numFmtId="164" fontId="2" fillId="0" borderId="0"/>
    <xf numFmtId="164" fontId="2" fillId="0" borderId="0"/>
    <xf numFmtId="164" fontId="11" fillId="0" borderId="0"/>
    <xf numFmtId="164" fontId="13" fillId="0" borderId="0"/>
    <xf numFmtId="164" fontId="1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13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13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2" fillId="0" borderId="0"/>
    <xf numFmtId="164" fontId="2" fillId="0" borderId="0"/>
    <xf numFmtId="164" fontId="11" fillId="0" borderId="0"/>
    <xf numFmtId="164" fontId="2" fillId="0" borderId="0"/>
    <xf numFmtId="164" fontId="2" fillId="0" borderId="0"/>
    <xf numFmtId="164" fontId="13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3" fillId="0" borderId="0"/>
    <xf numFmtId="164" fontId="11" fillId="0" borderId="0"/>
    <xf numFmtId="164" fontId="11" fillId="0" borderId="0"/>
    <xf numFmtId="164" fontId="13" fillId="0" borderId="0"/>
    <xf numFmtId="164" fontId="11" fillId="0" borderId="0"/>
    <xf numFmtId="164" fontId="11" fillId="0" borderId="0"/>
    <xf numFmtId="164" fontId="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3" fillId="0" borderId="0"/>
    <xf numFmtId="164" fontId="13" fillId="0" borderId="0"/>
    <xf numFmtId="164" fontId="2" fillId="0" borderId="0"/>
    <xf numFmtId="164" fontId="11" fillId="0" borderId="0"/>
    <xf numFmtId="164" fontId="2" fillId="0" borderId="0"/>
    <xf numFmtId="164" fontId="11" fillId="0" borderId="0"/>
    <xf numFmtId="164" fontId="13" fillId="0" borderId="0"/>
    <xf numFmtId="164" fontId="11" fillId="0" borderId="0"/>
    <xf numFmtId="164" fontId="2" fillId="0" borderId="0"/>
    <xf numFmtId="164" fontId="13" fillId="0" borderId="0"/>
    <xf numFmtId="164" fontId="2" fillId="0" borderId="0"/>
    <xf numFmtId="164" fontId="13" fillId="0" borderId="0"/>
    <xf numFmtId="164" fontId="13" fillId="0" borderId="0"/>
    <xf numFmtId="164" fontId="2" fillId="0" borderId="0"/>
    <xf numFmtId="164" fontId="2" fillId="0" borderId="0"/>
    <xf numFmtId="164" fontId="13" fillId="0" borderId="0"/>
    <xf numFmtId="164" fontId="13" fillId="0" borderId="0"/>
    <xf numFmtId="164" fontId="13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1" fillId="0" borderId="0"/>
    <xf numFmtId="164" fontId="2" fillId="0" borderId="0"/>
    <xf numFmtId="164" fontId="2" fillId="0" borderId="0"/>
    <xf numFmtId="164" fontId="13" fillId="0" borderId="0"/>
    <xf numFmtId="164" fontId="2" fillId="0" borderId="0"/>
    <xf numFmtId="164" fontId="2" fillId="0" borderId="0"/>
    <xf numFmtId="164" fontId="11" fillId="0" borderId="0"/>
    <xf numFmtId="164" fontId="2" fillId="0" borderId="0"/>
    <xf numFmtId="164" fontId="2" fillId="0" borderId="0"/>
    <xf numFmtId="164" fontId="11" fillId="0" borderId="0"/>
    <xf numFmtId="164" fontId="2" fillId="0" borderId="0"/>
    <xf numFmtId="164" fontId="2" fillId="0" borderId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11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13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13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11" fillId="12" borderId="28" applyNumberFormat="0" applyFont="0" applyAlignment="0" applyProtection="0"/>
    <xf numFmtId="164" fontId="11" fillId="12" borderId="28" applyNumberFormat="0" applyFont="0" applyAlignment="0" applyProtection="0"/>
    <xf numFmtId="164" fontId="2" fillId="12" borderId="28" applyNumberFormat="0" applyFont="0" applyAlignment="0" applyProtection="0"/>
    <xf numFmtId="164" fontId="11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13" fillId="12" borderId="28" applyNumberFormat="0" applyFont="0" applyAlignment="0" applyProtection="0"/>
    <xf numFmtId="164" fontId="13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13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2" fillId="12" borderId="28" applyNumberFormat="0" applyFon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2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2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2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3" borderId="29" applyNumberFormat="0" applyAlignment="0" applyProtection="0"/>
    <xf numFmtId="164" fontId="38" fillId="32" borderId="29" applyNumberFormat="0" applyAlignment="0" applyProtection="0"/>
    <xf numFmtId="164" fontId="38" fillId="32" borderId="29" applyNumberForma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3" fillId="0" borderId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</cellStyleXfs>
  <cellXfs count="88">
    <xf numFmtId="0" fontId="0" fillId="0" borderId="0" xfId="0"/>
    <xf numFmtId="0" fontId="1" fillId="2" borderId="1" xfId="0" applyFont="1" applyFill="1" applyBorder="1" applyAlignment="1"/>
    <xf numFmtId="164" fontId="2" fillId="0" borderId="0" xfId="1" applyFont="1" applyBorder="1" applyAlignment="1" applyProtection="1">
      <alignment vertical="center"/>
    </xf>
    <xf numFmtId="164" fontId="2" fillId="0" borderId="2" xfId="1" applyFont="1" applyBorder="1" applyAlignment="1" applyProtection="1">
      <alignment vertical="center"/>
      <protection locked="0"/>
    </xf>
    <xf numFmtId="164" fontId="2" fillId="0" borderId="0" xfId="1" applyFont="1" applyBorder="1" applyAlignment="1" applyProtection="1">
      <alignment vertical="center"/>
      <protection hidden="1"/>
    </xf>
    <xf numFmtId="164" fontId="3" fillId="3" borderId="3" xfId="1" applyFont="1" applyFill="1" applyBorder="1" applyAlignment="1" applyProtection="1">
      <alignment horizontal="right"/>
      <protection hidden="1"/>
    </xf>
    <xf numFmtId="164" fontId="3" fillId="3" borderId="4" xfId="1" applyFont="1" applyFill="1" applyBorder="1" applyProtection="1">
      <protection hidden="1"/>
    </xf>
    <xf numFmtId="164" fontId="3" fillId="3" borderId="5" xfId="1" applyFont="1" applyFill="1" applyBorder="1" applyProtection="1">
      <protection hidden="1"/>
    </xf>
    <xf numFmtId="164" fontId="3" fillId="3" borderId="6" xfId="1" applyFont="1" applyFill="1" applyBorder="1" applyProtection="1">
      <protection hidden="1"/>
    </xf>
    <xf numFmtId="164" fontId="3" fillId="3" borderId="0" xfId="1" applyFont="1" applyFill="1" applyBorder="1" applyProtection="1">
      <protection hidden="1"/>
    </xf>
    <xf numFmtId="1" fontId="2" fillId="0" borderId="0" xfId="1" applyNumberFormat="1" applyFont="1" applyBorder="1" applyProtection="1">
      <protection hidden="1"/>
    </xf>
    <xf numFmtId="165" fontId="3" fillId="4" borderId="0" xfId="1" applyNumberFormat="1" applyFont="1" applyFill="1" applyBorder="1" applyProtection="1">
      <protection hidden="1"/>
    </xf>
    <xf numFmtId="165" fontId="2" fillId="0" borderId="0" xfId="1" applyNumberFormat="1" applyFont="1" applyBorder="1" applyAlignment="1" applyProtection="1">
      <alignment horizontal="right" wrapText="1"/>
      <protection hidden="1"/>
    </xf>
    <xf numFmtId="165" fontId="3" fillId="2" borderId="7" xfId="1" applyNumberFormat="1" applyFont="1" applyFill="1" applyBorder="1" applyProtection="1">
      <protection hidden="1"/>
    </xf>
    <xf numFmtId="165" fontId="3" fillId="2" borderId="0" xfId="1" applyNumberFormat="1" applyFont="1" applyFill="1" applyBorder="1" applyProtection="1">
      <protection hidden="1"/>
    </xf>
    <xf numFmtId="165" fontId="2" fillId="0" borderId="0" xfId="1" applyNumberFormat="1" applyFont="1" applyBorder="1" applyProtection="1">
      <protection hidden="1"/>
    </xf>
    <xf numFmtId="165" fontId="3" fillId="5" borderId="7" xfId="1" applyNumberFormat="1" applyFont="1" applyFill="1" applyBorder="1" applyProtection="1">
      <protection hidden="1"/>
    </xf>
    <xf numFmtId="165" fontId="3" fillId="5" borderId="0" xfId="1" applyNumberFormat="1" applyFont="1" applyFill="1" applyBorder="1" applyProtection="1">
      <protection hidden="1"/>
    </xf>
    <xf numFmtId="165" fontId="2" fillId="5" borderId="0" xfId="1" applyNumberFormat="1" applyFont="1" applyFill="1" applyBorder="1" applyProtection="1">
      <protection hidden="1"/>
    </xf>
    <xf numFmtId="165" fontId="2" fillId="5" borderId="7" xfId="1" applyNumberFormat="1" applyFont="1" applyFill="1" applyBorder="1" applyProtection="1">
      <protection hidden="1"/>
    </xf>
    <xf numFmtId="164" fontId="2" fillId="0" borderId="0" xfId="1" applyProtection="1">
      <protection hidden="1"/>
    </xf>
    <xf numFmtId="165" fontId="2" fillId="0" borderId="0" xfId="1" applyNumberFormat="1" applyProtection="1">
      <protection hidden="1"/>
    </xf>
    <xf numFmtId="164" fontId="2" fillId="0" borderId="0" xfId="1" applyProtection="1">
      <protection locked="0"/>
    </xf>
    <xf numFmtId="164" fontId="2" fillId="0" borderId="0" xfId="1"/>
    <xf numFmtId="164" fontId="3" fillId="0" borderId="2" xfId="1" applyFont="1" applyBorder="1" applyProtection="1"/>
    <xf numFmtId="164" fontId="3" fillId="0" borderId="2" xfId="1" applyFont="1" applyBorder="1" applyAlignment="1" applyProtection="1">
      <alignment vertical="center" textRotation="90" wrapText="1"/>
      <protection locked="0"/>
    </xf>
    <xf numFmtId="164" fontId="3" fillId="0" borderId="8" xfId="1" applyFont="1" applyBorder="1" applyAlignment="1" applyProtection="1">
      <alignment vertical="center" textRotation="90" wrapText="1"/>
    </xf>
    <xf numFmtId="164" fontId="3" fillId="0" borderId="2" xfId="1" applyFont="1" applyBorder="1" applyAlignment="1" applyProtection="1">
      <alignment vertical="center" textRotation="90" wrapText="1"/>
    </xf>
    <xf numFmtId="164" fontId="3" fillId="0" borderId="9" xfId="1" applyFont="1" applyBorder="1" applyAlignment="1" applyProtection="1">
      <alignment horizontal="center" vertical="top" textRotation="90"/>
    </xf>
    <xf numFmtId="164" fontId="2" fillId="0" borderId="10" xfId="1" applyFont="1" applyBorder="1" applyAlignment="1" applyProtection="1">
      <alignment vertical="top" textRotation="90"/>
    </xf>
    <xf numFmtId="164" fontId="4" fillId="0" borderId="0" xfId="1" applyFont="1" applyBorder="1" applyAlignment="1" applyProtection="1">
      <alignment vertical="top" textRotation="90"/>
    </xf>
    <xf numFmtId="164" fontId="5" fillId="0" borderId="0" xfId="1" applyFont="1" applyBorder="1" applyAlignment="1" applyProtection="1">
      <alignment vertical="top" textRotation="90"/>
    </xf>
    <xf numFmtId="164" fontId="6" fillId="0" borderId="11" xfId="1" applyFont="1" applyBorder="1" applyAlignment="1" applyProtection="1">
      <alignment vertical="top" textRotation="90"/>
    </xf>
    <xf numFmtId="164" fontId="3" fillId="0" borderId="0" xfId="1" applyFont="1" applyBorder="1" applyAlignment="1" applyProtection="1">
      <alignment vertical="center" textRotation="90" wrapText="1"/>
    </xf>
    <xf numFmtId="165" fontId="7" fillId="6" borderId="0" xfId="1" applyNumberFormat="1" applyFont="1" applyFill="1" applyBorder="1" applyAlignment="1" applyProtection="1">
      <alignment vertical="top" textRotation="90"/>
    </xf>
    <xf numFmtId="165" fontId="4" fillId="0" borderId="0" xfId="1" applyNumberFormat="1" applyFont="1" applyFill="1" applyBorder="1" applyAlignment="1" applyProtection="1">
      <alignment vertical="top" textRotation="90"/>
    </xf>
    <xf numFmtId="165" fontId="2" fillId="0" borderId="0" xfId="1" applyNumberFormat="1" applyFont="1" applyBorder="1" applyAlignment="1" applyProtection="1">
      <alignment horizontal="right" wrapText="1"/>
    </xf>
    <xf numFmtId="165" fontId="3" fillId="0" borderId="0" xfId="1" applyNumberFormat="1" applyFont="1" applyBorder="1" applyAlignment="1" applyProtection="1">
      <alignment vertical="center" textRotation="90" wrapText="1"/>
    </xf>
    <xf numFmtId="165" fontId="5" fillId="2" borderId="7" xfId="1" applyNumberFormat="1" applyFont="1" applyFill="1" applyBorder="1" applyAlignment="1" applyProtection="1">
      <alignment vertical="top" textRotation="90"/>
    </xf>
    <xf numFmtId="165" fontId="5" fillId="2" borderId="0" xfId="1" applyNumberFormat="1" applyFont="1" applyFill="1" applyBorder="1" applyAlignment="1" applyProtection="1">
      <alignment vertical="top" textRotation="90"/>
    </xf>
    <xf numFmtId="165" fontId="5" fillId="0" borderId="0" xfId="1" applyNumberFormat="1" applyFont="1" applyBorder="1" applyAlignment="1" applyProtection="1">
      <alignment vertical="top" textRotation="90"/>
    </xf>
    <xf numFmtId="165" fontId="2" fillId="0" borderId="0" xfId="1" applyNumberFormat="1" applyFont="1" applyBorder="1" applyAlignment="1" applyProtection="1">
      <alignment vertical="top"/>
    </xf>
    <xf numFmtId="165" fontId="6" fillId="7" borderId="7" xfId="1" applyNumberFormat="1" applyFont="1" applyFill="1" applyBorder="1" applyAlignment="1" applyProtection="1">
      <alignment vertical="top" textRotation="90"/>
    </xf>
    <xf numFmtId="165" fontId="6" fillId="7" borderId="0" xfId="1" applyNumberFormat="1" applyFont="1" applyFill="1" applyBorder="1" applyAlignment="1" applyProtection="1">
      <alignment vertical="top" textRotation="90"/>
    </xf>
    <xf numFmtId="165" fontId="6" fillId="0" borderId="0" xfId="1" applyNumberFormat="1" applyFont="1" applyBorder="1" applyAlignment="1" applyProtection="1">
      <alignment vertical="top" textRotation="90"/>
    </xf>
    <xf numFmtId="165" fontId="3" fillId="0" borderId="0" xfId="1" applyNumberFormat="1" applyFont="1" applyFill="1" applyBorder="1" applyAlignment="1" applyProtection="1">
      <alignment vertical="top" textRotation="90"/>
    </xf>
    <xf numFmtId="165" fontId="2" fillId="0" borderId="0" xfId="1" applyNumberFormat="1" applyFont="1" applyAlignment="1" applyProtection="1">
      <alignment horizontal="right" vertical="center" textRotation="90"/>
    </xf>
    <xf numFmtId="165" fontId="2" fillId="0" borderId="0" xfId="1" applyNumberFormat="1" applyFont="1" applyFill="1" applyBorder="1" applyAlignment="1" applyProtection="1">
      <alignment vertical="top" textRotation="90"/>
    </xf>
    <xf numFmtId="164" fontId="2" fillId="0" borderId="0" xfId="1" applyFont="1" applyAlignment="1" applyProtection="1">
      <alignment vertical="top" textRotation="90"/>
    </xf>
    <xf numFmtId="164" fontId="2" fillId="0" borderId="0" xfId="1" applyProtection="1"/>
    <xf numFmtId="164" fontId="2" fillId="0" borderId="12" xfId="1" applyFont="1" applyBorder="1" applyProtection="1"/>
    <xf numFmtId="164" fontId="2" fillId="0" borderId="2" xfId="1" applyFont="1" applyBorder="1" applyProtection="1">
      <protection locked="0"/>
    </xf>
    <xf numFmtId="164" fontId="2" fillId="8" borderId="0" xfId="1" applyFont="1" applyFill="1" applyBorder="1" applyAlignment="1" applyProtection="1">
      <alignment horizontal="center" vertical="center"/>
      <protection hidden="1"/>
    </xf>
    <xf numFmtId="164" fontId="2" fillId="8" borderId="9" xfId="1" applyFont="1" applyFill="1" applyBorder="1" applyAlignment="1" applyProtection="1">
      <alignment horizontal="center" vertical="center"/>
      <protection hidden="1"/>
    </xf>
    <xf numFmtId="164" fontId="2" fillId="8" borderId="10" xfId="1" applyFont="1" applyFill="1" applyBorder="1" applyAlignment="1" applyProtection="1">
      <alignment vertical="center"/>
      <protection hidden="1"/>
    </xf>
    <xf numFmtId="164" fontId="2" fillId="8" borderId="0" xfId="1" applyFont="1" applyFill="1" applyBorder="1" applyAlignment="1" applyProtection="1">
      <alignment vertical="center"/>
      <protection hidden="1"/>
    </xf>
    <xf numFmtId="164" fontId="2" fillId="8" borderId="11" xfId="1" applyFont="1" applyFill="1" applyBorder="1" applyAlignment="1" applyProtection="1">
      <alignment vertical="center"/>
      <protection hidden="1"/>
    </xf>
    <xf numFmtId="1" fontId="2" fillId="8" borderId="0" xfId="1" applyNumberFormat="1" applyFont="1" applyFill="1" applyBorder="1" applyAlignment="1" applyProtection="1">
      <alignment horizontal="right" vertical="center" wrapText="1"/>
      <protection hidden="1"/>
    </xf>
    <xf numFmtId="165" fontId="2" fillId="8" borderId="0" xfId="1" applyNumberFormat="1" applyFont="1" applyFill="1" applyBorder="1" applyAlignment="1" applyProtection="1">
      <alignment vertical="center"/>
      <protection hidden="1"/>
    </xf>
    <xf numFmtId="165" fontId="2" fillId="0" borderId="0" xfId="1" applyNumberFormat="1" applyFont="1" applyBorder="1" applyAlignment="1" applyProtection="1">
      <alignment horizontal="right" vertical="center" wrapText="1"/>
      <protection hidden="1"/>
    </xf>
    <xf numFmtId="165" fontId="2" fillId="8" borderId="0" xfId="1" applyNumberFormat="1" applyFont="1" applyFill="1" applyBorder="1" applyAlignment="1" applyProtection="1">
      <alignment horizontal="right" vertical="center" wrapText="1"/>
      <protection hidden="1"/>
    </xf>
    <xf numFmtId="165" fontId="2" fillId="8" borderId="7" xfId="1" applyNumberFormat="1" applyFont="1" applyFill="1" applyBorder="1" applyAlignment="1" applyProtection="1">
      <alignment vertical="center"/>
      <protection hidden="1"/>
    </xf>
    <xf numFmtId="164" fontId="2" fillId="0" borderId="2" xfId="1" applyFont="1" applyFill="1" applyBorder="1"/>
    <xf numFmtId="0" fontId="2" fillId="8" borderId="0" xfId="1" applyNumberFormat="1" applyFont="1" applyFill="1" applyBorder="1" applyAlignment="1" applyProtection="1">
      <alignment horizontal="center" vertical="center"/>
      <protection hidden="1"/>
    </xf>
    <xf numFmtId="164" fontId="2" fillId="0" borderId="0" xfId="1" applyFont="1" applyProtection="1">
      <protection locked="0"/>
    </xf>
    <xf numFmtId="164" fontId="2" fillId="0" borderId="13" xfId="1" applyFont="1" applyFill="1" applyBorder="1"/>
    <xf numFmtId="164" fontId="2" fillId="0" borderId="12" xfId="1" applyFont="1" applyBorder="1"/>
    <xf numFmtId="164" fontId="2" fillId="0" borderId="2" xfId="1" applyFont="1" applyBorder="1" applyProtection="1"/>
    <xf numFmtId="164" fontId="2" fillId="0" borderId="14" xfId="1" applyFont="1" applyBorder="1"/>
    <xf numFmtId="164" fontId="2" fillId="0" borderId="12" xfId="1" applyFont="1" applyFill="1" applyBorder="1" applyProtection="1"/>
    <xf numFmtId="164" fontId="2" fillId="0" borderId="2" xfId="1" applyFont="1" applyBorder="1"/>
    <xf numFmtId="164" fontId="8" fillId="0" borderId="13" xfId="1" applyFont="1" applyBorder="1"/>
    <xf numFmtId="0" fontId="2" fillId="0" borderId="0" xfId="1" applyNumberFormat="1" applyProtection="1">
      <protection hidden="1"/>
    </xf>
    <xf numFmtId="164" fontId="2" fillId="0" borderId="0" xfId="1" applyFont="1" applyBorder="1" applyAlignment="1" applyProtection="1">
      <alignment horizontal="center" vertical="center"/>
      <protection hidden="1"/>
    </xf>
    <xf numFmtId="165" fontId="2" fillId="0" borderId="0" xfId="1" applyNumberFormat="1" applyFont="1" applyFill="1" applyBorder="1" applyAlignment="1" applyProtection="1">
      <alignment vertical="center"/>
      <protection hidden="1"/>
    </xf>
    <xf numFmtId="165" fontId="2" fillId="0" borderId="7" xfId="1" applyNumberFormat="1" applyFont="1" applyBorder="1" applyAlignment="1" applyProtection="1">
      <alignment vertical="center"/>
      <protection hidden="1"/>
    </xf>
    <xf numFmtId="165" fontId="2" fillId="0" borderId="0" xfId="1" applyNumberFormat="1" applyFont="1" applyBorder="1" applyAlignment="1" applyProtection="1">
      <alignment vertical="center"/>
      <protection hidden="1"/>
    </xf>
    <xf numFmtId="164" fontId="3" fillId="0" borderId="0" xfId="1" applyFont="1" applyProtection="1">
      <protection hidden="1"/>
    </xf>
    <xf numFmtId="165" fontId="3" fillId="0" borderId="0" xfId="1" applyNumberFormat="1" applyFont="1" applyProtection="1">
      <protection hidden="1"/>
    </xf>
    <xf numFmtId="164" fontId="9" fillId="0" borderId="14" xfId="1" applyFont="1" applyBorder="1"/>
    <xf numFmtId="165" fontId="2" fillId="0" borderId="0" xfId="1" applyNumberFormat="1" applyFont="1" applyFill="1" applyBorder="1" applyProtection="1">
      <protection hidden="1"/>
    </xf>
    <xf numFmtId="164" fontId="3" fillId="0" borderId="0" xfId="1" applyFont="1" applyAlignment="1" applyProtection="1">
      <alignment wrapText="1"/>
      <protection hidden="1"/>
    </xf>
    <xf numFmtId="164" fontId="10" fillId="0" borderId="0" xfId="1" applyFont="1" applyProtection="1"/>
    <xf numFmtId="164" fontId="2" fillId="0" borderId="0" xfId="1" applyFont="1" applyBorder="1" applyAlignment="1" applyProtection="1">
      <alignment horizontal="center"/>
      <protection hidden="1"/>
    </xf>
    <xf numFmtId="164" fontId="2" fillId="0" borderId="0" xfId="1" applyFont="1" applyBorder="1" applyProtection="1">
      <protection hidden="1"/>
    </xf>
    <xf numFmtId="165" fontId="2" fillId="0" borderId="7" xfId="1" applyNumberFormat="1" applyFont="1" applyBorder="1" applyProtection="1">
      <protection hidden="1"/>
    </xf>
    <xf numFmtId="164" fontId="2" fillId="0" borderId="13" xfId="3450" applyFont="1" applyFill="1" applyBorder="1"/>
    <xf numFmtId="0" fontId="0" fillId="35" borderId="0" xfId="0" applyFill="1"/>
  </cellXfs>
  <cellStyles count="4187">
    <cellStyle name="20% - Accent1 10" xfId="2"/>
    <cellStyle name="20% - Accent1 11" xfId="3"/>
    <cellStyle name="20% - Accent1 12" xfId="4"/>
    <cellStyle name="20% - Accent1 13" xfId="5"/>
    <cellStyle name="20% - Accent1 14" xfId="6"/>
    <cellStyle name="20% - Accent1 15" xfId="7"/>
    <cellStyle name="20% - Accent1 16" xfId="8"/>
    <cellStyle name="20% - Accent1 16 2" xfId="9"/>
    <cellStyle name="20% - Accent1 16 3" xfId="10"/>
    <cellStyle name="20% - Accent1 16_Configuration" xfId="11"/>
    <cellStyle name="20% - Accent1 17" xfId="12"/>
    <cellStyle name="20% - Accent1 2" xfId="13"/>
    <cellStyle name="20% - Accent1 2 10" xfId="14"/>
    <cellStyle name="20% - Accent1 2 11" xfId="15"/>
    <cellStyle name="20% - Accent1 2 12" xfId="16"/>
    <cellStyle name="20% - Accent1 2 13" xfId="17"/>
    <cellStyle name="20% - Accent1 2 2" xfId="18"/>
    <cellStyle name="20% - Accent1 2 2 2" xfId="19"/>
    <cellStyle name="20% - Accent1 2 2 3" xfId="20"/>
    <cellStyle name="20% - Accent1 2 2_Admin" xfId="21"/>
    <cellStyle name="20% - Accent1 2 3" xfId="22"/>
    <cellStyle name="20% - Accent1 2 3 2" xfId="23"/>
    <cellStyle name="20% - Accent1 2 3_Admin" xfId="24"/>
    <cellStyle name="20% - Accent1 2 4" xfId="25"/>
    <cellStyle name="20% - Accent1 2 4 2" xfId="26"/>
    <cellStyle name="20% - Accent1 2 5" xfId="27"/>
    <cellStyle name="20% - Accent1 2 6" xfId="28"/>
    <cellStyle name="20% - Accent1 2 7" xfId="29"/>
    <cellStyle name="20% - Accent1 2 8" xfId="30"/>
    <cellStyle name="20% - Accent1 2 9" xfId="31"/>
    <cellStyle name="20% - Accent1 2_LLT Script Reviews" xfId="32"/>
    <cellStyle name="20% - Accent1 3" xfId="33"/>
    <cellStyle name="20% - Accent1 3 2" xfId="34"/>
    <cellStyle name="20% - Accent1 3_Admin" xfId="35"/>
    <cellStyle name="20% - Accent1 4" xfId="36"/>
    <cellStyle name="20% - Accent1 4 10" xfId="37"/>
    <cellStyle name="20% - Accent1 4 11" xfId="38"/>
    <cellStyle name="20% - Accent1 4 12" xfId="39"/>
    <cellStyle name="20% - Accent1 4 13" xfId="40"/>
    <cellStyle name="20% - Accent1 4 14" xfId="41"/>
    <cellStyle name="20% - Accent1 4 15" xfId="42"/>
    <cellStyle name="20% - Accent1 4 16" xfId="43"/>
    <cellStyle name="20% - Accent1 4 2" xfId="44"/>
    <cellStyle name="20% - Accent1 4 2 2" xfId="45"/>
    <cellStyle name="20% - Accent1 4 3" xfId="46"/>
    <cellStyle name="20% - Accent1 4 3 2" xfId="47"/>
    <cellStyle name="20% - Accent1 4 4" xfId="48"/>
    <cellStyle name="20% - Accent1 4 4 2" xfId="49"/>
    <cellStyle name="20% - Accent1 4 5" xfId="50"/>
    <cellStyle name="20% - Accent1 4 5 2" xfId="51"/>
    <cellStyle name="20% - Accent1 4 6" xfId="52"/>
    <cellStyle name="20% - Accent1 4 6 2" xfId="53"/>
    <cellStyle name="20% - Accent1 4 7" xfId="54"/>
    <cellStyle name="20% - Accent1 4 7 2" xfId="55"/>
    <cellStyle name="20% - Accent1 4 8" xfId="56"/>
    <cellStyle name="20% - Accent1 4 9" xfId="57"/>
    <cellStyle name="20% - Accent1 4_Sheet2" xfId="58"/>
    <cellStyle name="20% - Accent1 5" xfId="59"/>
    <cellStyle name="20% - Accent1 5 10" xfId="60"/>
    <cellStyle name="20% - Accent1 5 11" xfId="61"/>
    <cellStyle name="20% - Accent1 5 12" xfId="62"/>
    <cellStyle name="20% - Accent1 5 2" xfId="63"/>
    <cellStyle name="20% - Accent1 5 3" xfId="64"/>
    <cellStyle name="20% - Accent1 5 4" xfId="65"/>
    <cellStyle name="20% - Accent1 5 5" xfId="66"/>
    <cellStyle name="20% - Accent1 5 6" xfId="67"/>
    <cellStyle name="20% - Accent1 5 7" xfId="68"/>
    <cellStyle name="20% - Accent1 5 8" xfId="69"/>
    <cellStyle name="20% - Accent1 5 9" xfId="70"/>
    <cellStyle name="20% - Accent1 5_Progress" xfId="71"/>
    <cellStyle name="20% - Accent1 6" xfId="72"/>
    <cellStyle name="20% - Accent1 6 10" xfId="73"/>
    <cellStyle name="20% - Accent1 6 11" xfId="74"/>
    <cellStyle name="20% - Accent1 6 12" xfId="75"/>
    <cellStyle name="20% - Accent1 6 2" xfId="76"/>
    <cellStyle name="20% - Accent1 6 3" xfId="77"/>
    <cellStyle name="20% - Accent1 6 4" xfId="78"/>
    <cellStyle name="20% - Accent1 6 5" xfId="79"/>
    <cellStyle name="20% - Accent1 6 6" xfId="80"/>
    <cellStyle name="20% - Accent1 6 7" xfId="81"/>
    <cellStyle name="20% - Accent1 6 8" xfId="82"/>
    <cellStyle name="20% - Accent1 6 9" xfId="83"/>
    <cellStyle name="20% - Accent1 6_Progress" xfId="84"/>
    <cellStyle name="20% - Accent1 7" xfId="85"/>
    <cellStyle name="20% - Accent1 7 10" xfId="86"/>
    <cellStyle name="20% - Accent1 7 11" xfId="87"/>
    <cellStyle name="20% - Accent1 7 12" xfId="88"/>
    <cellStyle name="20% - Accent1 7 2" xfId="89"/>
    <cellStyle name="20% - Accent1 7 3" xfId="90"/>
    <cellStyle name="20% - Accent1 7 4" xfId="91"/>
    <cellStyle name="20% - Accent1 7 5" xfId="92"/>
    <cellStyle name="20% - Accent1 7 6" xfId="93"/>
    <cellStyle name="20% - Accent1 7 7" xfId="94"/>
    <cellStyle name="20% - Accent1 7 8" xfId="95"/>
    <cellStyle name="20% - Accent1 7 9" xfId="96"/>
    <cellStyle name="20% - Accent1 7_Progress" xfId="97"/>
    <cellStyle name="20% - Accent1 8" xfId="98"/>
    <cellStyle name="20% - Accent1 9" xfId="99"/>
    <cellStyle name="20% - Accent2 10" xfId="100"/>
    <cellStyle name="20% - Accent2 11" xfId="101"/>
    <cellStyle name="20% - Accent2 12" xfId="102"/>
    <cellStyle name="20% - Accent2 13" xfId="103"/>
    <cellStyle name="20% - Accent2 14" xfId="104"/>
    <cellStyle name="20% - Accent2 15" xfId="105"/>
    <cellStyle name="20% - Accent2 16" xfId="106"/>
    <cellStyle name="20% - Accent2 16 2" xfId="107"/>
    <cellStyle name="20% - Accent2 16_Configuration" xfId="108"/>
    <cellStyle name="20% - Accent2 17" xfId="109"/>
    <cellStyle name="20% - Accent2 2" xfId="110"/>
    <cellStyle name="20% - Accent2 2 10" xfId="111"/>
    <cellStyle name="20% - Accent2 2 11" xfId="112"/>
    <cellStyle name="20% - Accent2 2 12" xfId="113"/>
    <cellStyle name="20% - Accent2 2 13" xfId="114"/>
    <cellStyle name="20% - Accent2 2 2" xfId="115"/>
    <cellStyle name="20% - Accent2 2 2 2" xfId="116"/>
    <cellStyle name="20% - Accent2 2 2 3" xfId="117"/>
    <cellStyle name="20% - Accent2 2 2_Admin" xfId="118"/>
    <cellStyle name="20% - Accent2 2 3" xfId="119"/>
    <cellStyle name="20% - Accent2 2 3 2" xfId="120"/>
    <cellStyle name="20% - Accent2 2 3_Admin" xfId="121"/>
    <cellStyle name="20% - Accent2 2 4" xfId="122"/>
    <cellStyle name="20% - Accent2 2 4 2" xfId="123"/>
    <cellStyle name="20% - Accent2 2 5" xfId="124"/>
    <cellStyle name="20% - Accent2 2 6" xfId="125"/>
    <cellStyle name="20% - Accent2 2 7" xfId="126"/>
    <cellStyle name="20% - Accent2 2 8" xfId="127"/>
    <cellStyle name="20% - Accent2 2 9" xfId="128"/>
    <cellStyle name="20% - Accent2 2_LLT Script Reviews" xfId="129"/>
    <cellStyle name="20% - Accent2 3" xfId="130"/>
    <cellStyle name="20% - Accent2 3 2" xfId="131"/>
    <cellStyle name="20% - Accent2 3_Admin" xfId="132"/>
    <cellStyle name="20% - Accent2 4" xfId="133"/>
    <cellStyle name="20% - Accent2 4 10" xfId="134"/>
    <cellStyle name="20% - Accent2 4 11" xfId="135"/>
    <cellStyle name="20% - Accent2 4 12" xfId="136"/>
    <cellStyle name="20% - Accent2 4 13" xfId="137"/>
    <cellStyle name="20% - Accent2 4 14" xfId="138"/>
    <cellStyle name="20% - Accent2 4 15" xfId="139"/>
    <cellStyle name="20% - Accent2 4 16" xfId="140"/>
    <cellStyle name="20% - Accent2 4 2" xfId="141"/>
    <cellStyle name="20% - Accent2 4 2 2" xfId="142"/>
    <cellStyle name="20% - Accent2 4 3" xfId="143"/>
    <cellStyle name="20% - Accent2 4 3 2" xfId="144"/>
    <cellStyle name="20% - Accent2 4 4" xfId="145"/>
    <cellStyle name="20% - Accent2 4 4 2" xfId="146"/>
    <cellStyle name="20% - Accent2 4 5" xfId="147"/>
    <cellStyle name="20% - Accent2 4 5 2" xfId="148"/>
    <cellStyle name="20% - Accent2 4 6" xfId="149"/>
    <cellStyle name="20% - Accent2 4 6 2" xfId="150"/>
    <cellStyle name="20% - Accent2 4 7" xfId="151"/>
    <cellStyle name="20% - Accent2 4 7 2" xfId="152"/>
    <cellStyle name="20% - Accent2 4 8" xfId="153"/>
    <cellStyle name="20% - Accent2 4 9" xfId="154"/>
    <cellStyle name="20% - Accent2 4_Sheet2" xfId="155"/>
    <cellStyle name="20% - Accent2 5" xfId="156"/>
    <cellStyle name="20% - Accent2 5 10" xfId="157"/>
    <cellStyle name="20% - Accent2 5 11" xfId="158"/>
    <cellStyle name="20% - Accent2 5 12" xfId="159"/>
    <cellStyle name="20% - Accent2 5 2" xfId="160"/>
    <cellStyle name="20% - Accent2 5 3" xfId="161"/>
    <cellStyle name="20% - Accent2 5 4" xfId="162"/>
    <cellStyle name="20% - Accent2 5 5" xfId="163"/>
    <cellStyle name="20% - Accent2 5 6" xfId="164"/>
    <cellStyle name="20% - Accent2 5 7" xfId="165"/>
    <cellStyle name="20% - Accent2 5 8" xfId="166"/>
    <cellStyle name="20% - Accent2 5 9" xfId="167"/>
    <cellStyle name="20% - Accent2 5_Progress" xfId="168"/>
    <cellStyle name="20% - Accent2 6" xfId="169"/>
    <cellStyle name="20% - Accent2 6 10" xfId="170"/>
    <cellStyle name="20% - Accent2 6 11" xfId="171"/>
    <cellStyle name="20% - Accent2 6 12" xfId="172"/>
    <cellStyle name="20% - Accent2 6 2" xfId="173"/>
    <cellStyle name="20% - Accent2 6 3" xfId="174"/>
    <cellStyle name="20% - Accent2 6 4" xfId="175"/>
    <cellStyle name="20% - Accent2 6 5" xfId="176"/>
    <cellStyle name="20% - Accent2 6 6" xfId="177"/>
    <cellStyle name="20% - Accent2 6 7" xfId="178"/>
    <cellStyle name="20% - Accent2 6 8" xfId="179"/>
    <cellStyle name="20% - Accent2 6 9" xfId="180"/>
    <cellStyle name="20% - Accent2 6_Progress" xfId="181"/>
    <cellStyle name="20% - Accent2 7" xfId="182"/>
    <cellStyle name="20% - Accent2 7 10" xfId="183"/>
    <cellStyle name="20% - Accent2 7 11" xfId="184"/>
    <cellStyle name="20% - Accent2 7 12" xfId="185"/>
    <cellStyle name="20% - Accent2 7 2" xfId="186"/>
    <cellStyle name="20% - Accent2 7 3" xfId="187"/>
    <cellStyle name="20% - Accent2 7 4" xfId="188"/>
    <cellStyle name="20% - Accent2 7 5" xfId="189"/>
    <cellStyle name="20% - Accent2 7 6" xfId="190"/>
    <cellStyle name="20% - Accent2 7 7" xfId="191"/>
    <cellStyle name="20% - Accent2 7 8" xfId="192"/>
    <cellStyle name="20% - Accent2 7 9" xfId="193"/>
    <cellStyle name="20% - Accent2 7_Progress" xfId="194"/>
    <cellStyle name="20% - Accent2 8" xfId="195"/>
    <cellStyle name="20% - Accent2 9" xfId="196"/>
    <cellStyle name="20% - Accent3 10" xfId="197"/>
    <cellStyle name="20% - Accent3 11" xfId="198"/>
    <cellStyle name="20% - Accent3 12" xfId="199"/>
    <cellStyle name="20% - Accent3 13" xfId="200"/>
    <cellStyle name="20% - Accent3 14" xfId="201"/>
    <cellStyle name="20% - Accent3 15" xfId="202"/>
    <cellStyle name="20% - Accent3 16" xfId="203"/>
    <cellStyle name="20% - Accent3 16 2" xfId="204"/>
    <cellStyle name="20% - Accent3 16 3" xfId="205"/>
    <cellStyle name="20% - Accent3 16_Configuration" xfId="206"/>
    <cellStyle name="20% - Accent3 17" xfId="207"/>
    <cellStyle name="20% - Accent3 2" xfId="208"/>
    <cellStyle name="20% - Accent3 2 10" xfId="209"/>
    <cellStyle name="20% - Accent3 2 11" xfId="210"/>
    <cellStyle name="20% - Accent3 2 12" xfId="211"/>
    <cellStyle name="20% - Accent3 2 13" xfId="212"/>
    <cellStyle name="20% - Accent3 2 2" xfId="213"/>
    <cellStyle name="20% - Accent3 2 2 2" xfId="214"/>
    <cellStyle name="20% - Accent3 2 2 3" xfId="215"/>
    <cellStyle name="20% - Accent3 2 2_Admin" xfId="216"/>
    <cellStyle name="20% - Accent3 2 3" xfId="217"/>
    <cellStyle name="20% - Accent3 2 3 2" xfId="218"/>
    <cellStyle name="20% - Accent3 2 3_Admin" xfId="219"/>
    <cellStyle name="20% - Accent3 2 4" xfId="220"/>
    <cellStyle name="20% - Accent3 2 4 2" xfId="221"/>
    <cellStyle name="20% - Accent3 2 5" xfId="222"/>
    <cellStyle name="20% - Accent3 2 6" xfId="223"/>
    <cellStyle name="20% - Accent3 2 7" xfId="224"/>
    <cellStyle name="20% - Accent3 2 8" xfId="225"/>
    <cellStyle name="20% - Accent3 2 9" xfId="226"/>
    <cellStyle name="20% - Accent3 2_LLT Script Reviews" xfId="227"/>
    <cellStyle name="20% - Accent3 3" xfId="228"/>
    <cellStyle name="20% - Accent3 3 2" xfId="229"/>
    <cellStyle name="20% - Accent3 3_Admin" xfId="230"/>
    <cellStyle name="20% - Accent3 4" xfId="231"/>
    <cellStyle name="20% - Accent3 4 10" xfId="232"/>
    <cellStyle name="20% - Accent3 4 11" xfId="233"/>
    <cellStyle name="20% - Accent3 4 12" xfId="234"/>
    <cellStyle name="20% - Accent3 4 13" xfId="235"/>
    <cellStyle name="20% - Accent3 4 14" xfId="236"/>
    <cellStyle name="20% - Accent3 4 15" xfId="237"/>
    <cellStyle name="20% - Accent3 4 16" xfId="238"/>
    <cellStyle name="20% - Accent3 4 2" xfId="239"/>
    <cellStyle name="20% - Accent3 4 2 2" xfId="240"/>
    <cellStyle name="20% - Accent3 4 3" xfId="241"/>
    <cellStyle name="20% - Accent3 4 3 2" xfId="242"/>
    <cellStyle name="20% - Accent3 4 4" xfId="243"/>
    <cellStyle name="20% - Accent3 4 4 2" xfId="244"/>
    <cellStyle name="20% - Accent3 4 5" xfId="245"/>
    <cellStyle name="20% - Accent3 4 5 2" xfId="246"/>
    <cellStyle name="20% - Accent3 4 6" xfId="247"/>
    <cellStyle name="20% - Accent3 4 6 2" xfId="248"/>
    <cellStyle name="20% - Accent3 4 7" xfId="249"/>
    <cellStyle name="20% - Accent3 4 7 2" xfId="250"/>
    <cellStyle name="20% - Accent3 4 8" xfId="251"/>
    <cellStyle name="20% - Accent3 4 9" xfId="252"/>
    <cellStyle name="20% - Accent3 4_Sheet2" xfId="253"/>
    <cellStyle name="20% - Accent3 5" xfId="254"/>
    <cellStyle name="20% - Accent3 5 10" xfId="255"/>
    <cellStyle name="20% - Accent3 5 11" xfId="256"/>
    <cellStyle name="20% - Accent3 5 12" xfId="257"/>
    <cellStyle name="20% - Accent3 5 2" xfId="258"/>
    <cellStyle name="20% - Accent3 5 3" xfId="259"/>
    <cellStyle name="20% - Accent3 5 4" xfId="260"/>
    <cellStyle name="20% - Accent3 5 5" xfId="261"/>
    <cellStyle name="20% - Accent3 5 6" xfId="262"/>
    <cellStyle name="20% - Accent3 5 7" xfId="263"/>
    <cellStyle name="20% - Accent3 5 8" xfId="264"/>
    <cellStyle name="20% - Accent3 5 9" xfId="265"/>
    <cellStyle name="20% - Accent3 5_Progress" xfId="266"/>
    <cellStyle name="20% - Accent3 6" xfId="267"/>
    <cellStyle name="20% - Accent3 6 10" xfId="268"/>
    <cellStyle name="20% - Accent3 6 11" xfId="269"/>
    <cellStyle name="20% - Accent3 6 12" xfId="270"/>
    <cellStyle name="20% - Accent3 6 2" xfId="271"/>
    <cellStyle name="20% - Accent3 6 3" xfId="272"/>
    <cellStyle name="20% - Accent3 6 4" xfId="273"/>
    <cellStyle name="20% - Accent3 6 5" xfId="274"/>
    <cellStyle name="20% - Accent3 6 6" xfId="275"/>
    <cellStyle name="20% - Accent3 6 7" xfId="276"/>
    <cellStyle name="20% - Accent3 6 8" xfId="277"/>
    <cellStyle name="20% - Accent3 6 9" xfId="278"/>
    <cellStyle name="20% - Accent3 6_Progress" xfId="279"/>
    <cellStyle name="20% - Accent3 7" xfId="280"/>
    <cellStyle name="20% - Accent3 7 10" xfId="281"/>
    <cellStyle name="20% - Accent3 7 11" xfId="282"/>
    <cellStyle name="20% - Accent3 7 12" xfId="283"/>
    <cellStyle name="20% - Accent3 7 2" xfId="284"/>
    <cellStyle name="20% - Accent3 7 3" xfId="285"/>
    <cellStyle name="20% - Accent3 7 4" xfId="286"/>
    <cellStyle name="20% - Accent3 7 5" xfId="287"/>
    <cellStyle name="20% - Accent3 7 6" xfId="288"/>
    <cellStyle name="20% - Accent3 7 7" xfId="289"/>
    <cellStyle name="20% - Accent3 7 8" xfId="290"/>
    <cellStyle name="20% - Accent3 7 9" xfId="291"/>
    <cellStyle name="20% - Accent3 7_Progress" xfId="292"/>
    <cellStyle name="20% - Accent3 8" xfId="293"/>
    <cellStyle name="20% - Accent3 9" xfId="294"/>
    <cellStyle name="20% - Accent4 10" xfId="295"/>
    <cellStyle name="20% - Accent4 11" xfId="296"/>
    <cellStyle name="20% - Accent4 12" xfId="297"/>
    <cellStyle name="20% - Accent4 13" xfId="298"/>
    <cellStyle name="20% - Accent4 14" xfId="299"/>
    <cellStyle name="20% - Accent4 15" xfId="300"/>
    <cellStyle name="20% - Accent4 16" xfId="301"/>
    <cellStyle name="20% - Accent4 16 2" xfId="302"/>
    <cellStyle name="20% - Accent4 16 3" xfId="303"/>
    <cellStyle name="20% - Accent4 16_Configuration" xfId="304"/>
    <cellStyle name="20% - Accent4 17" xfId="305"/>
    <cellStyle name="20% - Accent4 2" xfId="306"/>
    <cellStyle name="20% - Accent4 2 10" xfId="307"/>
    <cellStyle name="20% - Accent4 2 11" xfId="308"/>
    <cellStyle name="20% - Accent4 2 12" xfId="309"/>
    <cellStyle name="20% - Accent4 2 13" xfId="310"/>
    <cellStyle name="20% - Accent4 2 2" xfId="311"/>
    <cellStyle name="20% - Accent4 2 2 2" xfId="312"/>
    <cellStyle name="20% - Accent4 2 2 3" xfId="313"/>
    <cellStyle name="20% - Accent4 2 2_Admin" xfId="314"/>
    <cellStyle name="20% - Accent4 2 3" xfId="315"/>
    <cellStyle name="20% - Accent4 2 3 2" xfId="316"/>
    <cellStyle name="20% - Accent4 2 3_Admin" xfId="317"/>
    <cellStyle name="20% - Accent4 2 4" xfId="318"/>
    <cellStyle name="20% - Accent4 2 4 2" xfId="319"/>
    <cellStyle name="20% - Accent4 2 5" xfId="320"/>
    <cellStyle name="20% - Accent4 2 6" xfId="321"/>
    <cellStyle name="20% - Accent4 2 7" xfId="322"/>
    <cellStyle name="20% - Accent4 2 8" xfId="323"/>
    <cellStyle name="20% - Accent4 2 9" xfId="324"/>
    <cellStyle name="20% - Accent4 2_LLT Script Reviews" xfId="325"/>
    <cellStyle name="20% - Accent4 3" xfId="326"/>
    <cellStyle name="20% - Accent4 3 2" xfId="327"/>
    <cellStyle name="20% - Accent4 3_Admin" xfId="328"/>
    <cellStyle name="20% - Accent4 4" xfId="329"/>
    <cellStyle name="20% - Accent4 4 10" xfId="330"/>
    <cellStyle name="20% - Accent4 4 11" xfId="331"/>
    <cellStyle name="20% - Accent4 4 12" xfId="332"/>
    <cellStyle name="20% - Accent4 4 13" xfId="333"/>
    <cellStyle name="20% - Accent4 4 14" xfId="334"/>
    <cellStyle name="20% - Accent4 4 15" xfId="335"/>
    <cellStyle name="20% - Accent4 4 16" xfId="336"/>
    <cellStyle name="20% - Accent4 4 2" xfId="337"/>
    <cellStyle name="20% - Accent4 4 2 2" xfId="338"/>
    <cellStyle name="20% - Accent4 4 3" xfId="339"/>
    <cellStyle name="20% - Accent4 4 3 2" xfId="340"/>
    <cellStyle name="20% - Accent4 4 4" xfId="341"/>
    <cellStyle name="20% - Accent4 4 4 2" xfId="342"/>
    <cellStyle name="20% - Accent4 4 5" xfId="343"/>
    <cellStyle name="20% - Accent4 4 5 2" xfId="344"/>
    <cellStyle name="20% - Accent4 4 6" xfId="345"/>
    <cellStyle name="20% - Accent4 4 6 2" xfId="346"/>
    <cellStyle name="20% - Accent4 4 7" xfId="347"/>
    <cellStyle name="20% - Accent4 4 7 2" xfId="348"/>
    <cellStyle name="20% - Accent4 4 8" xfId="349"/>
    <cellStyle name="20% - Accent4 4 9" xfId="350"/>
    <cellStyle name="20% - Accent4 4_Sheet2" xfId="351"/>
    <cellStyle name="20% - Accent4 5" xfId="352"/>
    <cellStyle name="20% - Accent4 5 10" xfId="353"/>
    <cellStyle name="20% - Accent4 5 11" xfId="354"/>
    <cellStyle name="20% - Accent4 5 12" xfId="355"/>
    <cellStyle name="20% - Accent4 5 2" xfId="356"/>
    <cellStyle name="20% - Accent4 5 3" xfId="357"/>
    <cellStyle name="20% - Accent4 5 4" xfId="358"/>
    <cellStyle name="20% - Accent4 5 5" xfId="359"/>
    <cellStyle name="20% - Accent4 5 6" xfId="360"/>
    <cellStyle name="20% - Accent4 5 7" xfId="361"/>
    <cellStyle name="20% - Accent4 5 8" xfId="362"/>
    <cellStyle name="20% - Accent4 5 9" xfId="363"/>
    <cellStyle name="20% - Accent4 5_Progress" xfId="364"/>
    <cellStyle name="20% - Accent4 6" xfId="365"/>
    <cellStyle name="20% - Accent4 6 10" xfId="366"/>
    <cellStyle name="20% - Accent4 6 11" xfId="367"/>
    <cellStyle name="20% - Accent4 6 12" xfId="368"/>
    <cellStyle name="20% - Accent4 6 2" xfId="369"/>
    <cellStyle name="20% - Accent4 6 3" xfId="370"/>
    <cellStyle name="20% - Accent4 6 4" xfId="371"/>
    <cellStyle name="20% - Accent4 6 5" xfId="372"/>
    <cellStyle name="20% - Accent4 6 6" xfId="373"/>
    <cellStyle name="20% - Accent4 6 7" xfId="374"/>
    <cellStyle name="20% - Accent4 6 8" xfId="375"/>
    <cellStyle name="20% - Accent4 6 9" xfId="376"/>
    <cellStyle name="20% - Accent4 6_Progress" xfId="377"/>
    <cellStyle name="20% - Accent4 7" xfId="378"/>
    <cellStyle name="20% - Accent4 7 10" xfId="379"/>
    <cellStyle name="20% - Accent4 7 11" xfId="380"/>
    <cellStyle name="20% - Accent4 7 12" xfId="381"/>
    <cellStyle name="20% - Accent4 7 2" xfId="382"/>
    <cellStyle name="20% - Accent4 7 3" xfId="383"/>
    <cellStyle name="20% - Accent4 7 4" xfId="384"/>
    <cellStyle name="20% - Accent4 7 5" xfId="385"/>
    <cellStyle name="20% - Accent4 7 6" xfId="386"/>
    <cellStyle name="20% - Accent4 7 7" xfId="387"/>
    <cellStyle name="20% - Accent4 7 8" xfId="388"/>
    <cellStyle name="20% - Accent4 7 9" xfId="389"/>
    <cellStyle name="20% - Accent4 7_Progress" xfId="390"/>
    <cellStyle name="20% - Accent4 8" xfId="391"/>
    <cellStyle name="20% - Accent4 9" xfId="392"/>
    <cellStyle name="20% - Accent5 10" xfId="393"/>
    <cellStyle name="20% - Accent5 11" xfId="394"/>
    <cellStyle name="20% - Accent5 12" xfId="395"/>
    <cellStyle name="20% - Accent5 13" xfId="396"/>
    <cellStyle name="20% - Accent5 14" xfId="397"/>
    <cellStyle name="20% - Accent5 15" xfId="398"/>
    <cellStyle name="20% - Accent5 2" xfId="399"/>
    <cellStyle name="20% - Accent5 2 10" xfId="400"/>
    <cellStyle name="20% - Accent5 2 11" xfId="401"/>
    <cellStyle name="20% - Accent5 2 12" xfId="402"/>
    <cellStyle name="20% - Accent5 2 13" xfId="403"/>
    <cellStyle name="20% - Accent5 2 2" xfId="404"/>
    <cellStyle name="20% - Accent5 2 2 2" xfId="405"/>
    <cellStyle name="20% - Accent5 2 3" xfId="406"/>
    <cellStyle name="20% - Accent5 2 3 2" xfId="407"/>
    <cellStyle name="20% - Accent5 2 4" xfId="408"/>
    <cellStyle name="20% - Accent5 2 4 2" xfId="409"/>
    <cellStyle name="20% - Accent5 2 5" xfId="410"/>
    <cellStyle name="20% - Accent5 2 6" xfId="411"/>
    <cellStyle name="20% - Accent5 2 7" xfId="412"/>
    <cellStyle name="20% - Accent5 2 8" xfId="413"/>
    <cellStyle name="20% - Accent5 2 9" xfId="414"/>
    <cellStyle name="20% - Accent5 2_Sheet2" xfId="415"/>
    <cellStyle name="20% - Accent5 3" xfId="416"/>
    <cellStyle name="20% - Accent5 3 2" xfId="417"/>
    <cellStyle name="20% - Accent5 4" xfId="418"/>
    <cellStyle name="20% - Accent5 4 2" xfId="419"/>
    <cellStyle name="20% - Accent5 5" xfId="420"/>
    <cellStyle name="20% - Accent5 5 2" xfId="421"/>
    <cellStyle name="20% - Accent5 6" xfId="422"/>
    <cellStyle name="20% - Accent5 7" xfId="423"/>
    <cellStyle name="20% - Accent5 8" xfId="424"/>
    <cellStyle name="20% - Accent5 9" xfId="425"/>
    <cellStyle name="20% - Accent6 10" xfId="426"/>
    <cellStyle name="20% - Accent6 11" xfId="427"/>
    <cellStyle name="20% - Accent6 12" xfId="428"/>
    <cellStyle name="20% - Accent6 13" xfId="429"/>
    <cellStyle name="20% - Accent6 14" xfId="430"/>
    <cellStyle name="20% - Accent6 15" xfId="431"/>
    <cellStyle name="20% - Accent6 16" xfId="432"/>
    <cellStyle name="20% - Accent6 16 2" xfId="433"/>
    <cellStyle name="20% - Accent6 16_Configuration" xfId="434"/>
    <cellStyle name="20% - Accent6 17" xfId="435"/>
    <cellStyle name="20% - Accent6 2" xfId="436"/>
    <cellStyle name="20% - Accent6 2 10" xfId="437"/>
    <cellStyle name="20% - Accent6 2 11" xfId="438"/>
    <cellStyle name="20% - Accent6 2 12" xfId="439"/>
    <cellStyle name="20% - Accent6 2 13" xfId="440"/>
    <cellStyle name="20% - Accent6 2 2" xfId="441"/>
    <cellStyle name="20% - Accent6 2 2 2" xfId="442"/>
    <cellStyle name="20% - Accent6 2 2 3" xfId="443"/>
    <cellStyle name="20% - Accent6 2 2_Admin" xfId="444"/>
    <cellStyle name="20% - Accent6 2 3" xfId="445"/>
    <cellStyle name="20% - Accent6 2 3 2" xfId="446"/>
    <cellStyle name="20% - Accent6 2 3_Admin" xfId="447"/>
    <cellStyle name="20% - Accent6 2 4" xfId="448"/>
    <cellStyle name="20% - Accent6 2 4 2" xfId="449"/>
    <cellStyle name="20% - Accent6 2 5" xfId="450"/>
    <cellStyle name="20% - Accent6 2 6" xfId="451"/>
    <cellStyle name="20% - Accent6 2 7" xfId="452"/>
    <cellStyle name="20% - Accent6 2 8" xfId="453"/>
    <cellStyle name="20% - Accent6 2 9" xfId="454"/>
    <cellStyle name="20% - Accent6 2_LLT Script Reviews" xfId="455"/>
    <cellStyle name="20% - Accent6 3" xfId="456"/>
    <cellStyle name="20% - Accent6 3 2" xfId="457"/>
    <cellStyle name="20% - Accent6 3_Admin" xfId="458"/>
    <cellStyle name="20% - Accent6 4" xfId="459"/>
    <cellStyle name="20% - Accent6 4 10" xfId="460"/>
    <cellStyle name="20% - Accent6 4 11" xfId="461"/>
    <cellStyle name="20% - Accent6 4 12" xfId="462"/>
    <cellStyle name="20% - Accent6 4 13" xfId="463"/>
    <cellStyle name="20% - Accent6 4 14" xfId="464"/>
    <cellStyle name="20% - Accent6 4 15" xfId="465"/>
    <cellStyle name="20% - Accent6 4 16" xfId="466"/>
    <cellStyle name="20% - Accent6 4 2" xfId="467"/>
    <cellStyle name="20% - Accent6 4 2 2" xfId="468"/>
    <cellStyle name="20% - Accent6 4 3" xfId="469"/>
    <cellStyle name="20% - Accent6 4 3 2" xfId="470"/>
    <cellStyle name="20% - Accent6 4 4" xfId="471"/>
    <cellStyle name="20% - Accent6 4 4 2" xfId="472"/>
    <cellStyle name="20% - Accent6 4 5" xfId="473"/>
    <cellStyle name="20% - Accent6 4 5 2" xfId="474"/>
    <cellStyle name="20% - Accent6 4 6" xfId="475"/>
    <cellStyle name="20% - Accent6 4 6 2" xfId="476"/>
    <cellStyle name="20% - Accent6 4 7" xfId="477"/>
    <cellStyle name="20% - Accent6 4 7 2" xfId="478"/>
    <cellStyle name="20% - Accent6 4 8" xfId="479"/>
    <cellStyle name="20% - Accent6 4 9" xfId="480"/>
    <cellStyle name="20% - Accent6 4_Sheet2" xfId="481"/>
    <cellStyle name="20% - Accent6 5" xfId="482"/>
    <cellStyle name="20% - Accent6 5 10" xfId="483"/>
    <cellStyle name="20% - Accent6 5 11" xfId="484"/>
    <cellStyle name="20% - Accent6 5 12" xfId="485"/>
    <cellStyle name="20% - Accent6 5 2" xfId="486"/>
    <cellStyle name="20% - Accent6 5 3" xfId="487"/>
    <cellStyle name="20% - Accent6 5 4" xfId="488"/>
    <cellStyle name="20% - Accent6 5 5" xfId="489"/>
    <cellStyle name="20% - Accent6 5 6" xfId="490"/>
    <cellStyle name="20% - Accent6 5 7" xfId="491"/>
    <cellStyle name="20% - Accent6 5 8" xfId="492"/>
    <cellStyle name="20% - Accent6 5 9" xfId="493"/>
    <cellStyle name="20% - Accent6 5_Progress" xfId="494"/>
    <cellStyle name="20% - Accent6 6" xfId="495"/>
    <cellStyle name="20% - Accent6 6 10" xfId="496"/>
    <cellStyle name="20% - Accent6 6 11" xfId="497"/>
    <cellStyle name="20% - Accent6 6 12" xfId="498"/>
    <cellStyle name="20% - Accent6 6 2" xfId="499"/>
    <cellStyle name="20% - Accent6 6 3" xfId="500"/>
    <cellStyle name="20% - Accent6 6 4" xfId="501"/>
    <cellStyle name="20% - Accent6 6 5" xfId="502"/>
    <cellStyle name="20% - Accent6 6 6" xfId="503"/>
    <cellStyle name="20% - Accent6 6 7" xfId="504"/>
    <cellStyle name="20% - Accent6 6 8" xfId="505"/>
    <cellStyle name="20% - Accent6 6 9" xfId="506"/>
    <cellStyle name="20% - Accent6 6_Progress" xfId="507"/>
    <cellStyle name="20% - Accent6 7" xfId="508"/>
    <cellStyle name="20% - Accent6 7 10" xfId="509"/>
    <cellStyle name="20% - Accent6 7 11" xfId="510"/>
    <cellStyle name="20% - Accent6 7 12" xfId="511"/>
    <cellStyle name="20% - Accent6 7 2" xfId="512"/>
    <cellStyle name="20% - Accent6 7 3" xfId="513"/>
    <cellStyle name="20% - Accent6 7 4" xfId="514"/>
    <cellStyle name="20% - Accent6 7 5" xfId="515"/>
    <cellStyle name="20% - Accent6 7 6" xfId="516"/>
    <cellStyle name="20% - Accent6 7 7" xfId="517"/>
    <cellStyle name="20% - Accent6 7 8" xfId="518"/>
    <cellStyle name="20% - Accent6 7 9" xfId="519"/>
    <cellStyle name="20% - Accent6 7_Progress" xfId="520"/>
    <cellStyle name="20% - Accent6 8" xfId="521"/>
    <cellStyle name="20% - Accent6 9" xfId="522"/>
    <cellStyle name="40% - Accent1 10" xfId="523"/>
    <cellStyle name="40% - Accent1 11" xfId="524"/>
    <cellStyle name="40% - Accent1 12" xfId="525"/>
    <cellStyle name="40% - Accent1 13" xfId="526"/>
    <cellStyle name="40% - Accent1 14" xfId="527"/>
    <cellStyle name="40% - Accent1 15" xfId="528"/>
    <cellStyle name="40% - Accent1 16" xfId="529"/>
    <cellStyle name="40% - Accent1 16 2" xfId="530"/>
    <cellStyle name="40% - Accent1 16 3" xfId="531"/>
    <cellStyle name="40% - Accent1 16_Configuration" xfId="532"/>
    <cellStyle name="40% - Accent1 17" xfId="533"/>
    <cellStyle name="40% - Accent1 2" xfId="534"/>
    <cellStyle name="40% - Accent1 2 10" xfId="535"/>
    <cellStyle name="40% - Accent1 2 11" xfId="536"/>
    <cellStyle name="40% - Accent1 2 12" xfId="537"/>
    <cellStyle name="40% - Accent1 2 13" xfId="538"/>
    <cellStyle name="40% - Accent1 2 2" xfId="539"/>
    <cellStyle name="40% - Accent1 2 2 2" xfId="540"/>
    <cellStyle name="40% - Accent1 2 2 3" xfId="541"/>
    <cellStyle name="40% - Accent1 2 2_Admin" xfId="542"/>
    <cellStyle name="40% - Accent1 2 3" xfId="543"/>
    <cellStyle name="40% - Accent1 2 3 2" xfId="544"/>
    <cellStyle name="40% - Accent1 2 3_Admin" xfId="545"/>
    <cellStyle name="40% - Accent1 2 4" xfId="546"/>
    <cellStyle name="40% - Accent1 2 4 2" xfId="547"/>
    <cellStyle name="40% - Accent1 2 5" xfId="548"/>
    <cellStyle name="40% - Accent1 2 6" xfId="549"/>
    <cellStyle name="40% - Accent1 2 7" xfId="550"/>
    <cellStyle name="40% - Accent1 2 8" xfId="551"/>
    <cellStyle name="40% - Accent1 2 9" xfId="552"/>
    <cellStyle name="40% - Accent1 2_LLT Script Reviews" xfId="553"/>
    <cellStyle name="40% - Accent1 3" xfId="554"/>
    <cellStyle name="40% - Accent1 3 2" xfId="555"/>
    <cellStyle name="40% - Accent1 3_Admin" xfId="556"/>
    <cellStyle name="40% - Accent1 4" xfId="557"/>
    <cellStyle name="40% - Accent1 4 10" xfId="558"/>
    <cellStyle name="40% - Accent1 4 11" xfId="559"/>
    <cellStyle name="40% - Accent1 4 12" xfId="560"/>
    <cellStyle name="40% - Accent1 4 13" xfId="561"/>
    <cellStyle name="40% - Accent1 4 14" xfId="562"/>
    <cellStyle name="40% - Accent1 4 15" xfId="563"/>
    <cellStyle name="40% - Accent1 4 16" xfId="564"/>
    <cellStyle name="40% - Accent1 4 2" xfId="565"/>
    <cellStyle name="40% - Accent1 4 2 2" xfId="566"/>
    <cellStyle name="40% - Accent1 4 3" xfId="567"/>
    <cellStyle name="40% - Accent1 4 3 2" xfId="568"/>
    <cellStyle name="40% - Accent1 4 4" xfId="569"/>
    <cellStyle name="40% - Accent1 4 4 2" xfId="570"/>
    <cellStyle name="40% - Accent1 4 5" xfId="571"/>
    <cellStyle name="40% - Accent1 4 5 2" xfId="572"/>
    <cellStyle name="40% - Accent1 4 6" xfId="573"/>
    <cellStyle name="40% - Accent1 4 6 2" xfId="574"/>
    <cellStyle name="40% - Accent1 4 7" xfId="575"/>
    <cellStyle name="40% - Accent1 4 7 2" xfId="576"/>
    <cellStyle name="40% - Accent1 4 8" xfId="577"/>
    <cellStyle name="40% - Accent1 4 9" xfId="578"/>
    <cellStyle name="40% - Accent1 4_Sheet2" xfId="579"/>
    <cellStyle name="40% - Accent1 5" xfId="580"/>
    <cellStyle name="40% - Accent1 5 10" xfId="581"/>
    <cellStyle name="40% - Accent1 5 11" xfId="582"/>
    <cellStyle name="40% - Accent1 5 12" xfId="583"/>
    <cellStyle name="40% - Accent1 5 2" xfId="584"/>
    <cellStyle name="40% - Accent1 5 3" xfId="585"/>
    <cellStyle name="40% - Accent1 5 4" xfId="586"/>
    <cellStyle name="40% - Accent1 5 5" xfId="587"/>
    <cellStyle name="40% - Accent1 5 6" xfId="588"/>
    <cellStyle name="40% - Accent1 5 7" xfId="589"/>
    <cellStyle name="40% - Accent1 5 8" xfId="590"/>
    <cellStyle name="40% - Accent1 5 9" xfId="591"/>
    <cellStyle name="40% - Accent1 5_Progress" xfId="592"/>
    <cellStyle name="40% - Accent1 6" xfId="593"/>
    <cellStyle name="40% - Accent1 6 10" xfId="594"/>
    <cellStyle name="40% - Accent1 6 11" xfId="595"/>
    <cellStyle name="40% - Accent1 6 12" xfId="596"/>
    <cellStyle name="40% - Accent1 6 2" xfId="597"/>
    <cellStyle name="40% - Accent1 6 3" xfId="598"/>
    <cellStyle name="40% - Accent1 6 4" xfId="599"/>
    <cellStyle name="40% - Accent1 6 5" xfId="600"/>
    <cellStyle name="40% - Accent1 6 6" xfId="601"/>
    <cellStyle name="40% - Accent1 6 7" xfId="602"/>
    <cellStyle name="40% - Accent1 6 8" xfId="603"/>
    <cellStyle name="40% - Accent1 6 9" xfId="604"/>
    <cellStyle name="40% - Accent1 6_Progress" xfId="605"/>
    <cellStyle name="40% - Accent1 7" xfId="606"/>
    <cellStyle name="40% - Accent1 7 10" xfId="607"/>
    <cellStyle name="40% - Accent1 7 11" xfId="608"/>
    <cellStyle name="40% - Accent1 7 12" xfId="609"/>
    <cellStyle name="40% - Accent1 7 2" xfId="610"/>
    <cellStyle name="40% - Accent1 7 3" xfId="611"/>
    <cellStyle name="40% - Accent1 7 4" xfId="612"/>
    <cellStyle name="40% - Accent1 7 5" xfId="613"/>
    <cellStyle name="40% - Accent1 7 6" xfId="614"/>
    <cellStyle name="40% - Accent1 7 7" xfId="615"/>
    <cellStyle name="40% - Accent1 7 8" xfId="616"/>
    <cellStyle name="40% - Accent1 7 9" xfId="617"/>
    <cellStyle name="40% - Accent1 7_Progress" xfId="618"/>
    <cellStyle name="40% - Accent1 8" xfId="619"/>
    <cellStyle name="40% - Accent1 9" xfId="620"/>
    <cellStyle name="40% - Accent2 10" xfId="621"/>
    <cellStyle name="40% - Accent2 11" xfId="622"/>
    <cellStyle name="40% - Accent2 12" xfId="623"/>
    <cellStyle name="40% - Accent2 13" xfId="624"/>
    <cellStyle name="40% - Accent2 14" xfId="625"/>
    <cellStyle name="40% - Accent2 14 2" xfId="626"/>
    <cellStyle name="40% - Accent2 14_Configuration" xfId="627"/>
    <cellStyle name="40% - Accent2 15" xfId="628"/>
    <cellStyle name="40% - Accent2 2" xfId="629"/>
    <cellStyle name="40% - Accent2 2 10" xfId="630"/>
    <cellStyle name="40% - Accent2 2 11" xfId="631"/>
    <cellStyle name="40% - Accent2 2 12" xfId="632"/>
    <cellStyle name="40% - Accent2 2 13" xfId="633"/>
    <cellStyle name="40% - Accent2 2 2" xfId="634"/>
    <cellStyle name="40% - Accent2 2 2 2" xfId="635"/>
    <cellStyle name="40% - Accent2 2 3" xfId="636"/>
    <cellStyle name="40% - Accent2 2 3 2" xfId="637"/>
    <cellStyle name="40% - Accent2 2 4" xfId="638"/>
    <cellStyle name="40% - Accent2 2 4 2" xfId="639"/>
    <cellStyle name="40% - Accent2 2 5" xfId="640"/>
    <cellStyle name="40% - Accent2 2 6" xfId="641"/>
    <cellStyle name="40% - Accent2 2 7" xfId="642"/>
    <cellStyle name="40% - Accent2 2 8" xfId="643"/>
    <cellStyle name="40% - Accent2 2 9" xfId="644"/>
    <cellStyle name="40% - Accent2 2_Sheet2" xfId="645"/>
    <cellStyle name="40% - Accent2 3" xfId="646"/>
    <cellStyle name="40% - Accent2 3 2" xfId="647"/>
    <cellStyle name="40% - Accent2 4" xfId="648"/>
    <cellStyle name="40% - Accent2 4 2" xfId="649"/>
    <cellStyle name="40% - Accent2 5" xfId="650"/>
    <cellStyle name="40% - Accent2 5 2" xfId="651"/>
    <cellStyle name="40% - Accent2 6" xfId="652"/>
    <cellStyle name="40% - Accent2 7" xfId="653"/>
    <cellStyle name="40% - Accent2 8" xfId="654"/>
    <cellStyle name="40% - Accent2 9" xfId="655"/>
    <cellStyle name="40% - Accent3 10" xfId="656"/>
    <cellStyle name="40% - Accent3 11" xfId="657"/>
    <cellStyle name="40% - Accent3 12" xfId="658"/>
    <cellStyle name="40% - Accent3 13" xfId="659"/>
    <cellStyle name="40% - Accent3 14" xfId="660"/>
    <cellStyle name="40% - Accent3 15" xfId="661"/>
    <cellStyle name="40% - Accent3 16" xfId="662"/>
    <cellStyle name="40% - Accent3 16 2" xfId="663"/>
    <cellStyle name="40% - Accent3 16 3" xfId="664"/>
    <cellStyle name="40% - Accent3 16_Configuration" xfId="665"/>
    <cellStyle name="40% - Accent3 17" xfId="666"/>
    <cellStyle name="40% - Accent3 2" xfId="667"/>
    <cellStyle name="40% - Accent3 2 10" xfId="668"/>
    <cellStyle name="40% - Accent3 2 11" xfId="669"/>
    <cellStyle name="40% - Accent3 2 12" xfId="670"/>
    <cellStyle name="40% - Accent3 2 13" xfId="671"/>
    <cellStyle name="40% - Accent3 2 2" xfId="672"/>
    <cellStyle name="40% - Accent3 2 2 2" xfId="673"/>
    <cellStyle name="40% - Accent3 2 2 3" xfId="674"/>
    <cellStyle name="40% - Accent3 2 2_Admin" xfId="675"/>
    <cellStyle name="40% - Accent3 2 3" xfId="676"/>
    <cellStyle name="40% - Accent3 2 3 2" xfId="677"/>
    <cellStyle name="40% - Accent3 2 3_Admin" xfId="678"/>
    <cellStyle name="40% - Accent3 2 4" xfId="679"/>
    <cellStyle name="40% - Accent3 2 4 2" xfId="680"/>
    <cellStyle name="40% - Accent3 2 5" xfId="681"/>
    <cellStyle name="40% - Accent3 2 6" xfId="682"/>
    <cellStyle name="40% - Accent3 2 7" xfId="683"/>
    <cellStyle name="40% - Accent3 2 8" xfId="684"/>
    <cellStyle name="40% - Accent3 2 9" xfId="685"/>
    <cellStyle name="40% - Accent3 2_LLT Script Reviews" xfId="686"/>
    <cellStyle name="40% - Accent3 3" xfId="687"/>
    <cellStyle name="40% - Accent3 3 2" xfId="688"/>
    <cellStyle name="40% - Accent3 3_Admin" xfId="689"/>
    <cellStyle name="40% - Accent3 4" xfId="690"/>
    <cellStyle name="40% - Accent3 4 10" xfId="691"/>
    <cellStyle name="40% - Accent3 4 11" xfId="692"/>
    <cellStyle name="40% - Accent3 4 12" xfId="693"/>
    <cellStyle name="40% - Accent3 4 13" xfId="694"/>
    <cellStyle name="40% - Accent3 4 14" xfId="695"/>
    <cellStyle name="40% - Accent3 4 15" xfId="696"/>
    <cellStyle name="40% - Accent3 4 16" xfId="697"/>
    <cellStyle name="40% - Accent3 4 2" xfId="698"/>
    <cellStyle name="40% - Accent3 4 2 2" xfId="699"/>
    <cellStyle name="40% - Accent3 4 3" xfId="700"/>
    <cellStyle name="40% - Accent3 4 3 2" xfId="701"/>
    <cellStyle name="40% - Accent3 4 4" xfId="702"/>
    <cellStyle name="40% - Accent3 4 4 2" xfId="703"/>
    <cellStyle name="40% - Accent3 4 5" xfId="704"/>
    <cellStyle name="40% - Accent3 4 5 2" xfId="705"/>
    <cellStyle name="40% - Accent3 4 6" xfId="706"/>
    <cellStyle name="40% - Accent3 4 6 2" xfId="707"/>
    <cellStyle name="40% - Accent3 4 7" xfId="708"/>
    <cellStyle name="40% - Accent3 4 7 2" xfId="709"/>
    <cellStyle name="40% - Accent3 4 8" xfId="710"/>
    <cellStyle name="40% - Accent3 4 9" xfId="711"/>
    <cellStyle name="40% - Accent3 4_Sheet2" xfId="712"/>
    <cellStyle name="40% - Accent3 5" xfId="713"/>
    <cellStyle name="40% - Accent3 5 10" xfId="714"/>
    <cellStyle name="40% - Accent3 5 11" xfId="715"/>
    <cellStyle name="40% - Accent3 5 12" xfId="716"/>
    <cellStyle name="40% - Accent3 5 2" xfId="717"/>
    <cellStyle name="40% - Accent3 5 3" xfId="718"/>
    <cellStyle name="40% - Accent3 5 4" xfId="719"/>
    <cellStyle name="40% - Accent3 5 5" xfId="720"/>
    <cellStyle name="40% - Accent3 5 6" xfId="721"/>
    <cellStyle name="40% - Accent3 5 7" xfId="722"/>
    <cellStyle name="40% - Accent3 5 8" xfId="723"/>
    <cellStyle name="40% - Accent3 5 9" xfId="724"/>
    <cellStyle name="40% - Accent3 5_Progress" xfId="725"/>
    <cellStyle name="40% - Accent3 6" xfId="726"/>
    <cellStyle name="40% - Accent3 6 10" xfId="727"/>
    <cellStyle name="40% - Accent3 6 11" xfId="728"/>
    <cellStyle name="40% - Accent3 6 12" xfId="729"/>
    <cellStyle name="40% - Accent3 6 2" xfId="730"/>
    <cellStyle name="40% - Accent3 6 3" xfId="731"/>
    <cellStyle name="40% - Accent3 6 4" xfId="732"/>
    <cellStyle name="40% - Accent3 6 5" xfId="733"/>
    <cellStyle name="40% - Accent3 6 6" xfId="734"/>
    <cellStyle name="40% - Accent3 6 7" xfId="735"/>
    <cellStyle name="40% - Accent3 6 8" xfId="736"/>
    <cellStyle name="40% - Accent3 6 9" xfId="737"/>
    <cellStyle name="40% - Accent3 6_Progress" xfId="738"/>
    <cellStyle name="40% - Accent3 7" xfId="739"/>
    <cellStyle name="40% - Accent3 7 10" xfId="740"/>
    <cellStyle name="40% - Accent3 7 11" xfId="741"/>
    <cellStyle name="40% - Accent3 7 12" xfId="742"/>
    <cellStyle name="40% - Accent3 7 2" xfId="743"/>
    <cellStyle name="40% - Accent3 7 3" xfId="744"/>
    <cellStyle name="40% - Accent3 7 4" xfId="745"/>
    <cellStyle name="40% - Accent3 7 5" xfId="746"/>
    <cellStyle name="40% - Accent3 7 6" xfId="747"/>
    <cellStyle name="40% - Accent3 7 7" xfId="748"/>
    <cellStyle name="40% - Accent3 7 8" xfId="749"/>
    <cellStyle name="40% - Accent3 7 9" xfId="750"/>
    <cellStyle name="40% - Accent3 7_Progress" xfId="751"/>
    <cellStyle name="40% - Accent3 8" xfId="752"/>
    <cellStyle name="40% - Accent3 9" xfId="753"/>
    <cellStyle name="40% - Accent4 10" xfId="754"/>
    <cellStyle name="40% - Accent4 11" xfId="755"/>
    <cellStyle name="40% - Accent4 12" xfId="756"/>
    <cellStyle name="40% - Accent4 13" xfId="757"/>
    <cellStyle name="40% - Accent4 14" xfId="758"/>
    <cellStyle name="40% - Accent4 15" xfId="759"/>
    <cellStyle name="40% - Accent4 16" xfId="760"/>
    <cellStyle name="40% - Accent4 16 2" xfId="761"/>
    <cellStyle name="40% - Accent4 16 3" xfId="762"/>
    <cellStyle name="40% - Accent4 16_Configuration" xfId="763"/>
    <cellStyle name="40% - Accent4 17" xfId="764"/>
    <cellStyle name="40% - Accent4 2" xfId="765"/>
    <cellStyle name="40% - Accent4 2 10" xfId="766"/>
    <cellStyle name="40% - Accent4 2 11" xfId="767"/>
    <cellStyle name="40% - Accent4 2 12" xfId="768"/>
    <cellStyle name="40% - Accent4 2 13" xfId="769"/>
    <cellStyle name="40% - Accent4 2 2" xfId="770"/>
    <cellStyle name="40% - Accent4 2 2 2" xfId="771"/>
    <cellStyle name="40% - Accent4 2 2 3" xfId="772"/>
    <cellStyle name="40% - Accent4 2 2_Admin" xfId="773"/>
    <cellStyle name="40% - Accent4 2 3" xfId="774"/>
    <cellStyle name="40% - Accent4 2 3 2" xfId="775"/>
    <cellStyle name="40% - Accent4 2 3_Admin" xfId="776"/>
    <cellStyle name="40% - Accent4 2 4" xfId="777"/>
    <cellStyle name="40% - Accent4 2 4 2" xfId="778"/>
    <cellStyle name="40% - Accent4 2 5" xfId="779"/>
    <cellStyle name="40% - Accent4 2 6" xfId="780"/>
    <cellStyle name="40% - Accent4 2 7" xfId="781"/>
    <cellStyle name="40% - Accent4 2 8" xfId="782"/>
    <cellStyle name="40% - Accent4 2 9" xfId="783"/>
    <cellStyle name="40% - Accent4 2_LLT Script Reviews" xfId="784"/>
    <cellStyle name="40% - Accent4 3" xfId="785"/>
    <cellStyle name="40% - Accent4 3 2" xfId="786"/>
    <cellStyle name="40% - Accent4 3_Admin" xfId="787"/>
    <cellStyle name="40% - Accent4 4" xfId="788"/>
    <cellStyle name="40% - Accent4 4 10" xfId="789"/>
    <cellStyle name="40% - Accent4 4 11" xfId="790"/>
    <cellStyle name="40% - Accent4 4 12" xfId="791"/>
    <cellStyle name="40% - Accent4 4 13" xfId="792"/>
    <cellStyle name="40% - Accent4 4 14" xfId="793"/>
    <cellStyle name="40% - Accent4 4 15" xfId="794"/>
    <cellStyle name="40% - Accent4 4 16" xfId="795"/>
    <cellStyle name="40% - Accent4 4 2" xfId="796"/>
    <cellStyle name="40% - Accent4 4 2 2" xfId="797"/>
    <cellStyle name="40% - Accent4 4 3" xfId="798"/>
    <cellStyle name="40% - Accent4 4 3 2" xfId="799"/>
    <cellStyle name="40% - Accent4 4 4" xfId="800"/>
    <cellStyle name="40% - Accent4 4 4 2" xfId="801"/>
    <cellStyle name="40% - Accent4 4 5" xfId="802"/>
    <cellStyle name="40% - Accent4 4 5 2" xfId="803"/>
    <cellStyle name="40% - Accent4 4 6" xfId="804"/>
    <cellStyle name="40% - Accent4 4 6 2" xfId="805"/>
    <cellStyle name="40% - Accent4 4 7" xfId="806"/>
    <cellStyle name="40% - Accent4 4 7 2" xfId="807"/>
    <cellStyle name="40% - Accent4 4 8" xfId="808"/>
    <cellStyle name="40% - Accent4 4 9" xfId="809"/>
    <cellStyle name="40% - Accent4 4_Sheet2" xfId="810"/>
    <cellStyle name="40% - Accent4 5" xfId="811"/>
    <cellStyle name="40% - Accent4 5 10" xfId="812"/>
    <cellStyle name="40% - Accent4 5 11" xfId="813"/>
    <cellStyle name="40% - Accent4 5 12" xfId="814"/>
    <cellStyle name="40% - Accent4 5 2" xfId="815"/>
    <cellStyle name="40% - Accent4 5 3" xfId="816"/>
    <cellStyle name="40% - Accent4 5 4" xfId="817"/>
    <cellStyle name="40% - Accent4 5 5" xfId="818"/>
    <cellStyle name="40% - Accent4 5 6" xfId="819"/>
    <cellStyle name="40% - Accent4 5 7" xfId="820"/>
    <cellStyle name="40% - Accent4 5 8" xfId="821"/>
    <cellStyle name="40% - Accent4 5 9" xfId="822"/>
    <cellStyle name="40% - Accent4 5_Progress" xfId="823"/>
    <cellStyle name="40% - Accent4 6" xfId="824"/>
    <cellStyle name="40% - Accent4 6 10" xfId="825"/>
    <cellStyle name="40% - Accent4 6 11" xfId="826"/>
    <cellStyle name="40% - Accent4 6 12" xfId="827"/>
    <cellStyle name="40% - Accent4 6 2" xfId="828"/>
    <cellStyle name="40% - Accent4 6 3" xfId="829"/>
    <cellStyle name="40% - Accent4 6 4" xfId="830"/>
    <cellStyle name="40% - Accent4 6 5" xfId="831"/>
    <cellStyle name="40% - Accent4 6 6" xfId="832"/>
    <cellStyle name="40% - Accent4 6 7" xfId="833"/>
    <cellStyle name="40% - Accent4 6 8" xfId="834"/>
    <cellStyle name="40% - Accent4 6 9" xfId="835"/>
    <cellStyle name="40% - Accent4 6_Progress" xfId="836"/>
    <cellStyle name="40% - Accent4 7" xfId="837"/>
    <cellStyle name="40% - Accent4 7 10" xfId="838"/>
    <cellStyle name="40% - Accent4 7 11" xfId="839"/>
    <cellStyle name="40% - Accent4 7 12" xfId="840"/>
    <cellStyle name="40% - Accent4 7 2" xfId="841"/>
    <cellStyle name="40% - Accent4 7 3" xfId="842"/>
    <cellStyle name="40% - Accent4 7 4" xfId="843"/>
    <cellStyle name="40% - Accent4 7 5" xfId="844"/>
    <cellStyle name="40% - Accent4 7 6" xfId="845"/>
    <cellStyle name="40% - Accent4 7 7" xfId="846"/>
    <cellStyle name="40% - Accent4 7 8" xfId="847"/>
    <cellStyle name="40% - Accent4 7 9" xfId="848"/>
    <cellStyle name="40% - Accent4 7_Progress" xfId="849"/>
    <cellStyle name="40% - Accent4 8" xfId="850"/>
    <cellStyle name="40% - Accent4 9" xfId="851"/>
    <cellStyle name="40% - Accent5 10" xfId="852"/>
    <cellStyle name="40% - Accent5 11" xfId="853"/>
    <cellStyle name="40% - Accent5 12" xfId="854"/>
    <cellStyle name="40% - Accent5 13" xfId="855"/>
    <cellStyle name="40% - Accent5 14" xfId="856"/>
    <cellStyle name="40% - Accent5 15" xfId="857"/>
    <cellStyle name="40% - Accent5 16" xfId="858"/>
    <cellStyle name="40% - Accent5 16 2" xfId="859"/>
    <cellStyle name="40% - Accent5 16 3" xfId="860"/>
    <cellStyle name="40% - Accent5 16_Configuration" xfId="861"/>
    <cellStyle name="40% - Accent5 17" xfId="862"/>
    <cellStyle name="40% - Accent5 2" xfId="863"/>
    <cellStyle name="40% - Accent5 2 10" xfId="864"/>
    <cellStyle name="40% - Accent5 2 11" xfId="865"/>
    <cellStyle name="40% - Accent5 2 12" xfId="866"/>
    <cellStyle name="40% - Accent5 2 13" xfId="867"/>
    <cellStyle name="40% - Accent5 2 2" xfId="868"/>
    <cellStyle name="40% - Accent5 2 2 2" xfId="869"/>
    <cellStyle name="40% - Accent5 2 2 3" xfId="870"/>
    <cellStyle name="40% - Accent5 2 2_Admin" xfId="871"/>
    <cellStyle name="40% - Accent5 2 3" xfId="872"/>
    <cellStyle name="40% - Accent5 2 3 2" xfId="873"/>
    <cellStyle name="40% - Accent5 2 3_Admin" xfId="874"/>
    <cellStyle name="40% - Accent5 2 4" xfId="875"/>
    <cellStyle name="40% - Accent5 2 4 2" xfId="876"/>
    <cellStyle name="40% - Accent5 2 5" xfId="877"/>
    <cellStyle name="40% - Accent5 2 6" xfId="878"/>
    <cellStyle name="40% - Accent5 2 7" xfId="879"/>
    <cellStyle name="40% - Accent5 2 8" xfId="880"/>
    <cellStyle name="40% - Accent5 2 9" xfId="881"/>
    <cellStyle name="40% - Accent5 2_LLT Script Reviews" xfId="882"/>
    <cellStyle name="40% - Accent5 3" xfId="883"/>
    <cellStyle name="40% - Accent5 3 2" xfId="884"/>
    <cellStyle name="40% - Accent5 3_Admin" xfId="885"/>
    <cellStyle name="40% - Accent5 4" xfId="886"/>
    <cellStyle name="40% - Accent5 4 10" xfId="887"/>
    <cellStyle name="40% - Accent5 4 11" xfId="888"/>
    <cellStyle name="40% - Accent5 4 12" xfId="889"/>
    <cellStyle name="40% - Accent5 4 13" xfId="890"/>
    <cellStyle name="40% - Accent5 4 14" xfId="891"/>
    <cellStyle name="40% - Accent5 4 15" xfId="892"/>
    <cellStyle name="40% - Accent5 4 16" xfId="893"/>
    <cellStyle name="40% - Accent5 4 2" xfId="894"/>
    <cellStyle name="40% - Accent5 4 2 2" xfId="895"/>
    <cellStyle name="40% - Accent5 4 3" xfId="896"/>
    <cellStyle name="40% - Accent5 4 3 2" xfId="897"/>
    <cellStyle name="40% - Accent5 4 4" xfId="898"/>
    <cellStyle name="40% - Accent5 4 4 2" xfId="899"/>
    <cellStyle name="40% - Accent5 4 5" xfId="900"/>
    <cellStyle name="40% - Accent5 4 5 2" xfId="901"/>
    <cellStyle name="40% - Accent5 4 6" xfId="902"/>
    <cellStyle name="40% - Accent5 4 6 2" xfId="903"/>
    <cellStyle name="40% - Accent5 4 7" xfId="904"/>
    <cellStyle name="40% - Accent5 4 7 2" xfId="905"/>
    <cellStyle name="40% - Accent5 4 8" xfId="906"/>
    <cellStyle name="40% - Accent5 4 9" xfId="907"/>
    <cellStyle name="40% - Accent5 4_Sheet2" xfId="908"/>
    <cellStyle name="40% - Accent5 5" xfId="909"/>
    <cellStyle name="40% - Accent5 5 10" xfId="910"/>
    <cellStyle name="40% - Accent5 5 11" xfId="911"/>
    <cellStyle name="40% - Accent5 5 12" xfId="912"/>
    <cellStyle name="40% - Accent5 5 2" xfId="913"/>
    <cellStyle name="40% - Accent5 5 3" xfId="914"/>
    <cellStyle name="40% - Accent5 5 4" xfId="915"/>
    <cellStyle name="40% - Accent5 5 5" xfId="916"/>
    <cellStyle name="40% - Accent5 5 6" xfId="917"/>
    <cellStyle name="40% - Accent5 5 7" xfId="918"/>
    <cellStyle name="40% - Accent5 5 8" xfId="919"/>
    <cellStyle name="40% - Accent5 5 9" xfId="920"/>
    <cellStyle name="40% - Accent5 5_Progress" xfId="921"/>
    <cellStyle name="40% - Accent5 6" xfId="922"/>
    <cellStyle name="40% - Accent5 6 10" xfId="923"/>
    <cellStyle name="40% - Accent5 6 11" xfId="924"/>
    <cellStyle name="40% - Accent5 6 12" xfId="925"/>
    <cellStyle name="40% - Accent5 6 2" xfId="926"/>
    <cellStyle name="40% - Accent5 6 3" xfId="927"/>
    <cellStyle name="40% - Accent5 6 4" xfId="928"/>
    <cellStyle name="40% - Accent5 6 5" xfId="929"/>
    <cellStyle name="40% - Accent5 6 6" xfId="930"/>
    <cellStyle name="40% - Accent5 6 7" xfId="931"/>
    <cellStyle name="40% - Accent5 6 8" xfId="932"/>
    <cellStyle name="40% - Accent5 6 9" xfId="933"/>
    <cellStyle name="40% - Accent5 6_Progress" xfId="934"/>
    <cellStyle name="40% - Accent5 7" xfId="935"/>
    <cellStyle name="40% - Accent5 7 10" xfId="936"/>
    <cellStyle name="40% - Accent5 7 11" xfId="937"/>
    <cellStyle name="40% - Accent5 7 12" xfId="938"/>
    <cellStyle name="40% - Accent5 7 2" xfId="939"/>
    <cellStyle name="40% - Accent5 7 3" xfId="940"/>
    <cellStyle name="40% - Accent5 7 4" xfId="941"/>
    <cellStyle name="40% - Accent5 7 5" xfId="942"/>
    <cellStyle name="40% - Accent5 7 6" xfId="943"/>
    <cellStyle name="40% - Accent5 7 7" xfId="944"/>
    <cellStyle name="40% - Accent5 7 8" xfId="945"/>
    <cellStyle name="40% - Accent5 7 9" xfId="946"/>
    <cellStyle name="40% - Accent5 7_Progress" xfId="947"/>
    <cellStyle name="40% - Accent5 8" xfId="948"/>
    <cellStyle name="40% - Accent5 9" xfId="949"/>
    <cellStyle name="40% - Accent6 10" xfId="950"/>
    <cellStyle name="40% - Accent6 11" xfId="951"/>
    <cellStyle name="40% - Accent6 12" xfId="952"/>
    <cellStyle name="40% - Accent6 13" xfId="953"/>
    <cellStyle name="40% - Accent6 14" xfId="954"/>
    <cellStyle name="40% - Accent6 15" xfId="955"/>
    <cellStyle name="40% - Accent6 16" xfId="956"/>
    <cellStyle name="40% - Accent6 16 2" xfId="957"/>
    <cellStyle name="40% - Accent6 16_Configuration" xfId="958"/>
    <cellStyle name="40% - Accent6 17" xfId="959"/>
    <cellStyle name="40% - Accent6 2" xfId="960"/>
    <cellStyle name="40% - Accent6 2 10" xfId="961"/>
    <cellStyle name="40% - Accent6 2 11" xfId="962"/>
    <cellStyle name="40% - Accent6 2 12" xfId="963"/>
    <cellStyle name="40% - Accent6 2 13" xfId="964"/>
    <cellStyle name="40% - Accent6 2 2" xfId="965"/>
    <cellStyle name="40% - Accent6 2 2 2" xfId="966"/>
    <cellStyle name="40% - Accent6 2 2 3" xfId="967"/>
    <cellStyle name="40% - Accent6 2 2_Admin" xfId="968"/>
    <cellStyle name="40% - Accent6 2 3" xfId="969"/>
    <cellStyle name="40% - Accent6 2 3 2" xfId="970"/>
    <cellStyle name="40% - Accent6 2 3_Admin" xfId="971"/>
    <cellStyle name="40% - Accent6 2 4" xfId="972"/>
    <cellStyle name="40% - Accent6 2 4 2" xfId="973"/>
    <cellStyle name="40% - Accent6 2 5" xfId="974"/>
    <cellStyle name="40% - Accent6 2 6" xfId="975"/>
    <cellStyle name="40% - Accent6 2 7" xfId="976"/>
    <cellStyle name="40% - Accent6 2 8" xfId="977"/>
    <cellStyle name="40% - Accent6 2 9" xfId="978"/>
    <cellStyle name="40% - Accent6 2_LLT Script Reviews" xfId="979"/>
    <cellStyle name="40% - Accent6 3" xfId="980"/>
    <cellStyle name="40% - Accent6 3 2" xfId="981"/>
    <cellStyle name="40% - Accent6 3_Admin" xfId="982"/>
    <cellStyle name="40% - Accent6 4" xfId="983"/>
    <cellStyle name="40% - Accent6 4 10" xfId="984"/>
    <cellStyle name="40% - Accent6 4 11" xfId="985"/>
    <cellStyle name="40% - Accent6 4 12" xfId="986"/>
    <cellStyle name="40% - Accent6 4 13" xfId="987"/>
    <cellStyle name="40% - Accent6 4 14" xfId="988"/>
    <cellStyle name="40% - Accent6 4 15" xfId="989"/>
    <cellStyle name="40% - Accent6 4 16" xfId="990"/>
    <cellStyle name="40% - Accent6 4 2" xfId="991"/>
    <cellStyle name="40% - Accent6 4 2 2" xfId="992"/>
    <cellStyle name="40% - Accent6 4 3" xfId="993"/>
    <cellStyle name="40% - Accent6 4 3 2" xfId="994"/>
    <cellStyle name="40% - Accent6 4 4" xfId="995"/>
    <cellStyle name="40% - Accent6 4 4 2" xfId="996"/>
    <cellStyle name="40% - Accent6 4 5" xfId="997"/>
    <cellStyle name="40% - Accent6 4 5 2" xfId="998"/>
    <cellStyle name="40% - Accent6 4 6" xfId="999"/>
    <cellStyle name="40% - Accent6 4 6 2" xfId="1000"/>
    <cellStyle name="40% - Accent6 4 7" xfId="1001"/>
    <cellStyle name="40% - Accent6 4 7 2" xfId="1002"/>
    <cellStyle name="40% - Accent6 4 8" xfId="1003"/>
    <cellStyle name="40% - Accent6 4 9" xfId="1004"/>
    <cellStyle name="40% - Accent6 4_Sheet2" xfId="1005"/>
    <cellStyle name="40% - Accent6 5" xfId="1006"/>
    <cellStyle name="40% - Accent6 5 10" xfId="1007"/>
    <cellStyle name="40% - Accent6 5 11" xfId="1008"/>
    <cellStyle name="40% - Accent6 5 12" xfId="1009"/>
    <cellStyle name="40% - Accent6 5 2" xfId="1010"/>
    <cellStyle name="40% - Accent6 5 3" xfId="1011"/>
    <cellStyle name="40% - Accent6 5 4" xfId="1012"/>
    <cellStyle name="40% - Accent6 5 5" xfId="1013"/>
    <cellStyle name="40% - Accent6 5 6" xfId="1014"/>
    <cellStyle name="40% - Accent6 5 7" xfId="1015"/>
    <cellStyle name="40% - Accent6 5 8" xfId="1016"/>
    <cellStyle name="40% - Accent6 5 9" xfId="1017"/>
    <cellStyle name="40% - Accent6 5_Progress" xfId="1018"/>
    <cellStyle name="40% - Accent6 6" xfId="1019"/>
    <cellStyle name="40% - Accent6 6 10" xfId="1020"/>
    <cellStyle name="40% - Accent6 6 11" xfId="1021"/>
    <cellStyle name="40% - Accent6 6 12" xfId="1022"/>
    <cellStyle name="40% - Accent6 6 2" xfId="1023"/>
    <cellStyle name="40% - Accent6 6 3" xfId="1024"/>
    <cellStyle name="40% - Accent6 6 4" xfId="1025"/>
    <cellStyle name="40% - Accent6 6 5" xfId="1026"/>
    <cellStyle name="40% - Accent6 6 6" xfId="1027"/>
    <cellStyle name="40% - Accent6 6 7" xfId="1028"/>
    <cellStyle name="40% - Accent6 6 8" xfId="1029"/>
    <cellStyle name="40% - Accent6 6 9" xfId="1030"/>
    <cellStyle name="40% - Accent6 6_Progress" xfId="1031"/>
    <cellStyle name="40% - Accent6 7" xfId="1032"/>
    <cellStyle name="40% - Accent6 7 10" xfId="1033"/>
    <cellStyle name="40% - Accent6 7 11" xfId="1034"/>
    <cellStyle name="40% - Accent6 7 12" xfId="1035"/>
    <cellStyle name="40% - Accent6 7 2" xfId="1036"/>
    <cellStyle name="40% - Accent6 7 3" xfId="1037"/>
    <cellStyle name="40% - Accent6 7 4" xfId="1038"/>
    <cellStyle name="40% - Accent6 7 5" xfId="1039"/>
    <cellStyle name="40% - Accent6 7 6" xfId="1040"/>
    <cellStyle name="40% - Accent6 7 7" xfId="1041"/>
    <cellStyle name="40% - Accent6 7 8" xfId="1042"/>
    <cellStyle name="40% - Accent6 7 9" xfId="1043"/>
    <cellStyle name="40% - Accent6 7_Progress" xfId="1044"/>
    <cellStyle name="40% - Accent6 8" xfId="1045"/>
    <cellStyle name="40% - Accent6 9" xfId="1046"/>
    <cellStyle name="60% - Accent1 10" xfId="1047"/>
    <cellStyle name="60% - Accent1 11" xfId="1048"/>
    <cellStyle name="60% - Accent1 12" xfId="1049"/>
    <cellStyle name="60% - Accent1 13" xfId="1050"/>
    <cellStyle name="60% - Accent1 14" xfId="1051"/>
    <cellStyle name="60% - Accent1 15" xfId="1052"/>
    <cellStyle name="60% - Accent1 16" xfId="1053"/>
    <cellStyle name="60% - Accent1 16 2" xfId="1054"/>
    <cellStyle name="60% - Accent1 16 3" xfId="1055"/>
    <cellStyle name="60% - Accent1 16_Configuration" xfId="1056"/>
    <cellStyle name="60% - Accent1 17" xfId="1057"/>
    <cellStyle name="60% - Accent1 2" xfId="1058"/>
    <cellStyle name="60% - Accent1 2 10" xfId="1059"/>
    <cellStyle name="60% - Accent1 2 11" xfId="1060"/>
    <cellStyle name="60% - Accent1 2 12" xfId="1061"/>
    <cellStyle name="60% - Accent1 2 2" xfId="1062"/>
    <cellStyle name="60% - Accent1 2 2 2" xfId="1063"/>
    <cellStyle name="60% - Accent1 2 2_Admin" xfId="1064"/>
    <cellStyle name="60% - Accent1 2 3" xfId="1065"/>
    <cellStyle name="60% - Accent1 2 4" xfId="1066"/>
    <cellStyle name="60% - Accent1 2 5" xfId="1067"/>
    <cellStyle name="60% - Accent1 2 6" xfId="1068"/>
    <cellStyle name="60% - Accent1 2 7" xfId="1069"/>
    <cellStyle name="60% - Accent1 2 8" xfId="1070"/>
    <cellStyle name="60% - Accent1 2 9" xfId="1071"/>
    <cellStyle name="60% - Accent1 2_LLT Script Reviews" xfId="1072"/>
    <cellStyle name="60% - Accent1 3" xfId="1073"/>
    <cellStyle name="60% - Accent1 3 2" xfId="1074"/>
    <cellStyle name="60% - Accent1 3_Admin" xfId="1075"/>
    <cellStyle name="60% - Accent1 4" xfId="1076"/>
    <cellStyle name="60% - Accent1 4 10" xfId="1077"/>
    <cellStyle name="60% - Accent1 4 11" xfId="1078"/>
    <cellStyle name="60% - Accent1 4 12" xfId="1079"/>
    <cellStyle name="60% - Accent1 4 13" xfId="1080"/>
    <cellStyle name="60% - Accent1 4 14" xfId="1081"/>
    <cellStyle name="60% - Accent1 4 15" xfId="1082"/>
    <cellStyle name="60% - Accent1 4 16" xfId="1083"/>
    <cellStyle name="60% - Accent1 4 2" xfId="1084"/>
    <cellStyle name="60% - Accent1 4 3" xfId="1085"/>
    <cellStyle name="60% - Accent1 4 4" xfId="1086"/>
    <cellStyle name="60% - Accent1 4 5" xfId="1087"/>
    <cellStyle name="60% - Accent1 4 6" xfId="1088"/>
    <cellStyle name="60% - Accent1 4 7" xfId="1089"/>
    <cellStyle name="60% - Accent1 4 8" xfId="1090"/>
    <cellStyle name="60% - Accent1 4 9" xfId="1091"/>
    <cellStyle name="60% - Accent1 5" xfId="1092"/>
    <cellStyle name="60% - Accent1 5 10" xfId="1093"/>
    <cellStyle name="60% - Accent1 5 11" xfId="1094"/>
    <cellStyle name="60% - Accent1 5 12" xfId="1095"/>
    <cellStyle name="60% - Accent1 5 2" xfId="1096"/>
    <cellStyle name="60% - Accent1 5 3" xfId="1097"/>
    <cellStyle name="60% - Accent1 5 4" xfId="1098"/>
    <cellStyle name="60% - Accent1 5 5" xfId="1099"/>
    <cellStyle name="60% - Accent1 5 6" xfId="1100"/>
    <cellStyle name="60% - Accent1 5 7" xfId="1101"/>
    <cellStyle name="60% - Accent1 5 8" xfId="1102"/>
    <cellStyle name="60% - Accent1 5 9" xfId="1103"/>
    <cellStyle name="60% - Accent1 5_Progress" xfId="1104"/>
    <cellStyle name="60% - Accent1 6" xfId="1105"/>
    <cellStyle name="60% - Accent1 6 10" xfId="1106"/>
    <cellStyle name="60% - Accent1 6 11" xfId="1107"/>
    <cellStyle name="60% - Accent1 6 12" xfId="1108"/>
    <cellStyle name="60% - Accent1 6 2" xfId="1109"/>
    <cellStyle name="60% - Accent1 6 3" xfId="1110"/>
    <cellStyle name="60% - Accent1 6 4" xfId="1111"/>
    <cellStyle name="60% - Accent1 6 5" xfId="1112"/>
    <cellStyle name="60% - Accent1 6 6" xfId="1113"/>
    <cellStyle name="60% - Accent1 6 7" xfId="1114"/>
    <cellStyle name="60% - Accent1 6 8" xfId="1115"/>
    <cellStyle name="60% - Accent1 6 9" xfId="1116"/>
    <cellStyle name="60% - Accent1 6_Progress" xfId="1117"/>
    <cellStyle name="60% - Accent1 7" xfId="1118"/>
    <cellStyle name="60% - Accent1 7 10" xfId="1119"/>
    <cellStyle name="60% - Accent1 7 11" xfId="1120"/>
    <cellStyle name="60% - Accent1 7 12" xfId="1121"/>
    <cellStyle name="60% - Accent1 7 2" xfId="1122"/>
    <cellStyle name="60% - Accent1 7 3" xfId="1123"/>
    <cellStyle name="60% - Accent1 7 4" xfId="1124"/>
    <cellStyle name="60% - Accent1 7 5" xfId="1125"/>
    <cellStyle name="60% - Accent1 7 6" xfId="1126"/>
    <cellStyle name="60% - Accent1 7 7" xfId="1127"/>
    <cellStyle name="60% - Accent1 7 8" xfId="1128"/>
    <cellStyle name="60% - Accent1 7 9" xfId="1129"/>
    <cellStyle name="60% - Accent1 7_Progress" xfId="1130"/>
    <cellStyle name="60% - Accent1 8" xfId="1131"/>
    <cellStyle name="60% - Accent1 9" xfId="1132"/>
    <cellStyle name="60% - Accent2 10" xfId="1133"/>
    <cellStyle name="60% - Accent2 11" xfId="1134"/>
    <cellStyle name="60% - Accent2 12" xfId="1135"/>
    <cellStyle name="60% - Accent2 13" xfId="1136"/>
    <cellStyle name="60% - Accent2 14" xfId="1137"/>
    <cellStyle name="60% - Accent2 15" xfId="1138"/>
    <cellStyle name="60% - Accent2 16" xfId="1139"/>
    <cellStyle name="60% - Accent2 16 2" xfId="1140"/>
    <cellStyle name="60% - Accent2 16_Configuration" xfId="1141"/>
    <cellStyle name="60% - Accent2 17" xfId="1142"/>
    <cellStyle name="60% - Accent2 2" xfId="1143"/>
    <cellStyle name="60% - Accent2 2 10" xfId="1144"/>
    <cellStyle name="60% - Accent2 2 11" xfId="1145"/>
    <cellStyle name="60% - Accent2 2 12" xfId="1146"/>
    <cellStyle name="60% - Accent2 2 2" xfId="1147"/>
    <cellStyle name="60% - Accent2 2 2 2" xfId="1148"/>
    <cellStyle name="60% - Accent2 2 2_Admin" xfId="1149"/>
    <cellStyle name="60% - Accent2 2 3" xfId="1150"/>
    <cellStyle name="60% - Accent2 2 4" xfId="1151"/>
    <cellStyle name="60% - Accent2 2 5" xfId="1152"/>
    <cellStyle name="60% - Accent2 2 6" xfId="1153"/>
    <cellStyle name="60% - Accent2 2 7" xfId="1154"/>
    <cellStyle name="60% - Accent2 2 8" xfId="1155"/>
    <cellStyle name="60% - Accent2 2 9" xfId="1156"/>
    <cellStyle name="60% - Accent2 2_LLT Script Reviews" xfId="1157"/>
    <cellStyle name="60% - Accent2 3" xfId="1158"/>
    <cellStyle name="60% - Accent2 3 2" xfId="1159"/>
    <cellStyle name="60% - Accent2 3_Admin" xfId="1160"/>
    <cellStyle name="60% - Accent2 4" xfId="1161"/>
    <cellStyle name="60% - Accent2 4 10" xfId="1162"/>
    <cellStyle name="60% - Accent2 4 11" xfId="1163"/>
    <cellStyle name="60% - Accent2 4 12" xfId="1164"/>
    <cellStyle name="60% - Accent2 4 13" xfId="1165"/>
    <cellStyle name="60% - Accent2 4 14" xfId="1166"/>
    <cellStyle name="60% - Accent2 4 15" xfId="1167"/>
    <cellStyle name="60% - Accent2 4 16" xfId="1168"/>
    <cellStyle name="60% - Accent2 4 2" xfId="1169"/>
    <cellStyle name="60% - Accent2 4 3" xfId="1170"/>
    <cellStyle name="60% - Accent2 4 4" xfId="1171"/>
    <cellStyle name="60% - Accent2 4 5" xfId="1172"/>
    <cellStyle name="60% - Accent2 4 6" xfId="1173"/>
    <cellStyle name="60% - Accent2 4 7" xfId="1174"/>
    <cellStyle name="60% - Accent2 4 8" xfId="1175"/>
    <cellStyle name="60% - Accent2 4 9" xfId="1176"/>
    <cellStyle name="60% - Accent2 5" xfId="1177"/>
    <cellStyle name="60% - Accent2 5 10" xfId="1178"/>
    <cellStyle name="60% - Accent2 5 11" xfId="1179"/>
    <cellStyle name="60% - Accent2 5 12" xfId="1180"/>
    <cellStyle name="60% - Accent2 5 2" xfId="1181"/>
    <cellStyle name="60% - Accent2 5 3" xfId="1182"/>
    <cellStyle name="60% - Accent2 5 4" xfId="1183"/>
    <cellStyle name="60% - Accent2 5 5" xfId="1184"/>
    <cellStyle name="60% - Accent2 5 6" xfId="1185"/>
    <cellStyle name="60% - Accent2 5 7" xfId="1186"/>
    <cellStyle name="60% - Accent2 5 8" xfId="1187"/>
    <cellStyle name="60% - Accent2 5 9" xfId="1188"/>
    <cellStyle name="60% - Accent2 5_Progress" xfId="1189"/>
    <cellStyle name="60% - Accent2 6" xfId="1190"/>
    <cellStyle name="60% - Accent2 6 10" xfId="1191"/>
    <cellStyle name="60% - Accent2 6 11" xfId="1192"/>
    <cellStyle name="60% - Accent2 6 12" xfId="1193"/>
    <cellStyle name="60% - Accent2 6 2" xfId="1194"/>
    <cellStyle name="60% - Accent2 6 3" xfId="1195"/>
    <cellStyle name="60% - Accent2 6 4" xfId="1196"/>
    <cellStyle name="60% - Accent2 6 5" xfId="1197"/>
    <cellStyle name="60% - Accent2 6 6" xfId="1198"/>
    <cellStyle name="60% - Accent2 6 7" xfId="1199"/>
    <cellStyle name="60% - Accent2 6 8" xfId="1200"/>
    <cellStyle name="60% - Accent2 6 9" xfId="1201"/>
    <cellStyle name="60% - Accent2 6_Progress" xfId="1202"/>
    <cellStyle name="60% - Accent2 7" xfId="1203"/>
    <cellStyle name="60% - Accent2 7 10" xfId="1204"/>
    <cellStyle name="60% - Accent2 7 11" xfId="1205"/>
    <cellStyle name="60% - Accent2 7 12" xfId="1206"/>
    <cellStyle name="60% - Accent2 7 2" xfId="1207"/>
    <cellStyle name="60% - Accent2 7 3" xfId="1208"/>
    <cellStyle name="60% - Accent2 7 4" xfId="1209"/>
    <cellStyle name="60% - Accent2 7 5" xfId="1210"/>
    <cellStyle name="60% - Accent2 7 6" xfId="1211"/>
    <cellStyle name="60% - Accent2 7 7" xfId="1212"/>
    <cellStyle name="60% - Accent2 7 8" xfId="1213"/>
    <cellStyle name="60% - Accent2 7 9" xfId="1214"/>
    <cellStyle name="60% - Accent2 7_Progress" xfId="1215"/>
    <cellStyle name="60% - Accent2 8" xfId="1216"/>
    <cellStyle name="60% - Accent2 9" xfId="1217"/>
    <cellStyle name="60% - Accent3 10" xfId="1218"/>
    <cellStyle name="60% - Accent3 11" xfId="1219"/>
    <cellStyle name="60% - Accent3 12" xfId="1220"/>
    <cellStyle name="60% - Accent3 13" xfId="1221"/>
    <cellStyle name="60% - Accent3 14" xfId="1222"/>
    <cellStyle name="60% - Accent3 15" xfId="1223"/>
    <cellStyle name="60% - Accent3 16" xfId="1224"/>
    <cellStyle name="60% - Accent3 16 2" xfId="1225"/>
    <cellStyle name="60% - Accent3 16 3" xfId="1226"/>
    <cellStyle name="60% - Accent3 16_Configuration" xfId="1227"/>
    <cellStyle name="60% - Accent3 17" xfId="1228"/>
    <cellStyle name="60% - Accent3 2" xfId="1229"/>
    <cellStyle name="60% - Accent3 2 10" xfId="1230"/>
    <cellStyle name="60% - Accent3 2 11" xfId="1231"/>
    <cellStyle name="60% - Accent3 2 12" xfId="1232"/>
    <cellStyle name="60% - Accent3 2 2" xfId="1233"/>
    <cellStyle name="60% - Accent3 2 2 2" xfId="1234"/>
    <cellStyle name="60% - Accent3 2 2_Admin" xfId="1235"/>
    <cellStyle name="60% - Accent3 2 3" xfId="1236"/>
    <cellStyle name="60% - Accent3 2 4" xfId="1237"/>
    <cellStyle name="60% - Accent3 2 5" xfId="1238"/>
    <cellStyle name="60% - Accent3 2 6" xfId="1239"/>
    <cellStyle name="60% - Accent3 2 7" xfId="1240"/>
    <cellStyle name="60% - Accent3 2 8" xfId="1241"/>
    <cellStyle name="60% - Accent3 2 9" xfId="1242"/>
    <cellStyle name="60% - Accent3 2_LLT Script Reviews" xfId="1243"/>
    <cellStyle name="60% - Accent3 3" xfId="1244"/>
    <cellStyle name="60% - Accent3 3 2" xfId="1245"/>
    <cellStyle name="60% - Accent3 3_Admin" xfId="1246"/>
    <cellStyle name="60% - Accent3 4" xfId="1247"/>
    <cellStyle name="60% - Accent3 4 10" xfId="1248"/>
    <cellStyle name="60% - Accent3 4 11" xfId="1249"/>
    <cellStyle name="60% - Accent3 4 12" xfId="1250"/>
    <cellStyle name="60% - Accent3 4 13" xfId="1251"/>
    <cellStyle name="60% - Accent3 4 14" xfId="1252"/>
    <cellStyle name="60% - Accent3 4 15" xfId="1253"/>
    <cellStyle name="60% - Accent3 4 16" xfId="1254"/>
    <cellStyle name="60% - Accent3 4 2" xfId="1255"/>
    <cellStyle name="60% - Accent3 4 3" xfId="1256"/>
    <cellStyle name="60% - Accent3 4 4" xfId="1257"/>
    <cellStyle name="60% - Accent3 4 5" xfId="1258"/>
    <cellStyle name="60% - Accent3 4 6" xfId="1259"/>
    <cellStyle name="60% - Accent3 4 7" xfId="1260"/>
    <cellStyle name="60% - Accent3 4 8" xfId="1261"/>
    <cellStyle name="60% - Accent3 4 9" xfId="1262"/>
    <cellStyle name="60% - Accent3 5" xfId="1263"/>
    <cellStyle name="60% - Accent3 5 10" xfId="1264"/>
    <cellStyle name="60% - Accent3 5 11" xfId="1265"/>
    <cellStyle name="60% - Accent3 5 12" xfId="1266"/>
    <cellStyle name="60% - Accent3 5 2" xfId="1267"/>
    <cellStyle name="60% - Accent3 5 3" xfId="1268"/>
    <cellStyle name="60% - Accent3 5 4" xfId="1269"/>
    <cellStyle name="60% - Accent3 5 5" xfId="1270"/>
    <cellStyle name="60% - Accent3 5 6" xfId="1271"/>
    <cellStyle name="60% - Accent3 5 7" xfId="1272"/>
    <cellStyle name="60% - Accent3 5 8" xfId="1273"/>
    <cellStyle name="60% - Accent3 5 9" xfId="1274"/>
    <cellStyle name="60% - Accent3 5_Progress" xfId="1275"/>
    <cellStyle name="60% - Accent3 6" xfId="1276"/>
    <cellStyle name="60% - Accent3 6 10" xfId="1277"/>
    <cellStyle name="60% - Accent3 6 11" xfId="1278"/>
    <cellStyle name="60% - Accent3 6 12" xfId="1279"/>
    <cellStyle name="60% - Accent3 6 2" xfId="1280"/>
    <cellStyle name="60% - Accent3 6 3" xfId="1281"/>
    <cellStyle name="60% - Accent3 6 4" xfId="1282"/>
    <cellStyle name="60% - Accent3 6 5" xfId="1283"/>
    <cellStyle name="60% - Accent3 6 6" xfId="1284"/>
    <cellStyle name="60% - Accent3 6 7" xfId="1285"/>
    <cellStyle name="60% - Accent3 6 8" xfId="1286"/>
    <cellStyle name="60% - Accent3 6 9" xfId="1287"/>
    <cellStyle name="60% - Accent3 6_Progress" xfId="1288"/>
    <cellStyle name="60% - Accent3 7" xfId="1289"/>
    <cellStyle name="60% - Accent3 7 10" xfId="1290"/>
    <cellStyle name="60% - Accent3 7 11" xfId="1291"/>
    <cellStyle name="60% - Accent3 7 12" xfId="1292"/>
    <cellStyle name="60% - Accent3 7 2" xfId="1293"/>
    <cellStyle name="60% - Accent3 7 3" xfId="1294"/>
    <cellStyle name="60% - Accent3 7 4" xfId="1295"/>
    <cellStyle name="60% - Accent3 7 5" xfId="1296"/>
    <cellStyle name="60% - Accent3 7 6" xfId="1297"/>
    <cellStyle name="60% - Accent3 7 7" xfId="1298"/>
    <cellStyle name="60% - Accent3 7 8" xfId="1299"/>
    <cellStyle name="60% - Accent3 7 9" xfId="1300"/>
    <cellStyle name="60% - Accent3 7_Progress" xfId="1301"/>
    <cellStyle name="60% - Accent3 8" xfId="1302"/>
    <cellStyle name="60% - Accent3 9" xfId="1303"/>
    <cellStyle name="60% - Accent4 10" xfId="1304"/>
    <cellStyle name="60% - Accent4 11" xfId="1305"/>
    <cellStyle name="60% - Accent4 12" xfId="1306"/>
    <cellStyle name="60% - Accent4 13" xfId="1307"/>
    <cellStyle name="60% - Accent4 14" xfId="1308"/>
    <cellStyle name="60% - Accent4 15" xfId="1309"/>
    <cellStyle name="60% - Accent4 16" xfId="1310"/>
    <cellStyle name="60% - Accent4 16 2" xfId="1311"/>
    <cellStyle name="60% - Accent4 16 3" xfId="1312"/>
    <cellStyle name="60% - Accent4 16_Configuration" xfId="1313"/>
    <cellStyle name="60% - Accent4 17" xfId="1314"/>
    <cellStyle name="60% - Accent4 2" xfId="1315"/>
    <cellStyle name="60% - Accent4 2 10" xfId="1316"/>
    <cellStyle name="60% - Accent4 2 11" xfId="1317"/>
    <cellStyle name="60% - Accent4 2 12" xfId="1318"/>
    <cellStyle name="60% - Accent4 2 2" xfId="1319"/>
    <cellStyle name="60% - Accent4 2 2 2" xfId="1320"/>
    <cellStyle name="60% - Accent4 2 2_Admin" xfId="1321"/>
    <cellStyle name="60% - Accent4 2 3" xfId="1322"/>
    <cellStyle name="60% - Accent4 2 4" xfId="1323"/>
    <cellStyle name="60% - Accent4 2 5" xfId="1324"/>
    <cellStyle name="60% - Accent4 2 6" xfId="1325"/>
    <cellStyle name="60% - Accent4 2 7" xfId="1326"/>
    <cellStyle name="60% - Accent4 2 8" xfId="1327"/>
    <cellStyle name="60% - Accent4 2 9" xfId="1328"/>
    <cellStyle name="60% - Accent4 2_LLT Script Reviews" xfId="1329"/>
    <cellStyle name="60% - Accent4 3" xfId="1330"/>
    <cellStyle name="60% - Accent4 3 2" xfId="1331"/>
    <cellStyle name="60% - Accent4 3_Admin" xfId="1332"/>
    <cellStyle name="60% - Accent4 4" xfId="1333"/>
    <cellStyle name="60% - Accent4 4 10" xfId="1334"/>
    <cellStyle name="60% - Accent4 4 11" xfId="1335"/>
    <cellStyle name="60% - Accent4 4 12" xfId="1336"/>
    <cellStyle name="60% - Accent4 4 13" xfId="1337"/>
    <cellStyle name="60% - Accent4 4 14" xfId="1338"/>
    <cellStyle name="60% - Accent4 4 15" xfId="1339"/>
    <cellStyle name="60% - Accent4 4 16" xfId="1340"/>
    <cellStyle name="60% - Accent4 4 2" xfId="1341"/>
    <cellStyle name="60% - Accent4 4 3" xfId="1342"/>
    <cellStyle name="60% - Accent4 4 4" xfId="1343"/>
    <cellStyle name="60% - Accent4 4 5" xfId="1344"/>
    <cellStyle name="60% - Accent4 4 6" xfId="1345"/>
    <cellStyle name="60% - Accent4 4 7" xfId="1346"/>
    <cellStyle name="60% - Accent4 4 8" xfId="1347"/>
    <cellStyle name="60% - Accent4 4 9" xfId="1348"/>
    <cellStyle name="60% - Accent4 5" xfId="1349"/>
    <cellStyle name="60% - Accent4 5 10" xfId="1350"/>
    <cellStyle name="60% - Accent4 5 11" xfId="1351"/>
    <cellStyle name="60% - Accent4 5 12" xfId="1352"/>
    <cellStyle name="60% - Accent4 5 2" xfId="1353"/>
    <cellStyle name="60% - Accent4 5 3" xfId="1354"/>
    <cellStyle name="60% - Accent4 5 4" xfId="1355"/>
    <cellStyle name="60% - Accent4 5 5" xfId="1356"/>
    <cellStyle name="60% - Accent4 5 6" xfId="1357"/>
    <cellStyle name="60% - Accent4 5 7" xfId="1358"/>
    <cellStyle name="60% - Accent4 5 8" xfId="1359"/>
    <cellStyle name="60% - Accent4 5 9" xfId="1360"/>
    <cellStyle name="60% - Accent4 5_Progress" xfId="1361"/>
    <cellStyle name="60% - Accent4 6" xfId="1362"/>
    <cellStyle name="60% - Accent4 6 10" xfId="1363"/>
    <cellStyle name="60% - Accent4 6 11" xfId="1364"/>
    <cellStyle name="60% - Accent4 6 12" xfId="1365"/>
    <cellStyle name="60% - Accent4 6 2" xfId="1366"/>
    <cellStyle name="60% - Accent4 6 3" xfId="1367"/>
    <cellStyle name="60% - Accent4 6 4" xfId="1368"/>
    <cellStyle name="60% - Accent4 6 5" xfId="1369"/>
    <cellStyle name="60% - Accent4 6 6" xfId="1370"/>
    <cellStyle name="60% - Accent4 6 7" xfId="1371"/>
    <cellStyle name="60% - Accent4 6 8" xfId="1372"/>
    <cellStyle name="60% - Accent4 6 9" xfId="1373"/>
    <cellStyle name="60% - Accent4 6_Progress" xfId="1374"/>
    <cellStyle name="60% - Accent4 7" xfId="1375"/>
    <cellStyle name="60% - Accent4 7 10" xfId="1376"/>
    <cellStyle name="60% - Accent4 7 11" xfId="1377"/>
    <cellStyle name="60% - Accent4 7 12" xfId="1378"/>
    <cellStyle name="60% - Accent4 7 2" xfId="1379"/>
    <cellStyle name="60% - Accent4 7 3" xfId="1380"/>
    <cellStyle name="60% - Accent4 7 4" xfId="1381"/>
    <cellStyle name="60% - Accent4 7 5" xfId="1382"/>
    <cellStyle name="60% - Accent4 7 6" xfId="1383"/>
    <cellStyle name="60% - Accent4 7 7" xfId="1384"/>
    <cellStyle name="60% - Accent4 7 8" xfId="1385"/>
    <cellStyle name="60% - Accent4 7 9" xfId="1386"/>
    <cellStyle name="60% - Accent4 7_Progress" xfId="1387"/>
    <cellStyle name="60% - Accent4 8" xfId="1388"/>
    <cellStyle name="60% - Accent4 9" xfId="1389"/>
    <cellStyle name="60% - Accent5 10" xfId="1390"/>
    <cellStyle name="60% - Accent5 11" xfId="1391"/>
    <cellStyle name="60% - Accent5 12" xfId="1392"/>
    <cellStyle name="60% - Accent5 13" xfId="1393"/>
    <cellStyle name="60% - Accent5 14" xfId="1394"/>
    <cellStyle name="60% - Accent5 15" xfId="1395"/>
    <cellStyle name="60% - Accent5 16" xfId="1396"/>
    <cellStyle name="60% - Accent5 16 2" xfId="1397"/>
    <cellStyle name="60% - Accent5 16_Configuration" xfId="1398"/>
    <cellStyle name="60% - Accent5 17" xfId="1399"/>
    <cellStyle name="60% - Accent5 2" xfId="1400"/>
    <cellStyle name="60% - Accent5 2 10" xfId="1401"/>
    <cellStyle name="60% - Accent5 2 11" xfId="1402"/>
    <cellStyle name="60% - Accent5 2 12" xfId="1403"/>
    <cellStyle name="60% - Accent5 2 2" xfId="1404"/>
    <cellStyle name="60% - Accent5 2 2 2" xfId="1405"/>
    <cellStyle name="60% - Accent5 2 2_Admin" xfId="1406"/>
    <cellStyle name="60% - Accent5 2 3" xfId="1407"/>
    <cellStyle name="60% - Accent5 2 4" xfId="1408"/>
    <cellStyle name="60% - Accent5 2 5" xfId="1409"/>
    <cellStyle name="60% - Accent5 2 6" xfId="1410"/>
    <cellStyle name="60% - Accent5 2 7" xfId="1411"/>
    <cellStyle name="60% - Accent5 2 8" xfId="1412"/>
    <cellStyle name="60% - Accent5 2 9" xfId="1413"/>
    <cellStyle name="60% - Accent5 2_LLT Script Reviews" xfId="1414"/>
    <cellStyle name="60% - Accent5 3" xfId="1415"/>
    <cellStyle name="60% - Accent5 3 2" xfId="1416"/>
    <cellStyle name="60% - Accent5 3_Admin" xfId="1417"/>
    <cellStyle name="60% - Accent5 4" xfId="1418"/>
    <cellStyle name="60% - Accent5 4 10" xfId="1419"/>
    <cellStyle name="60% - Accent5 4 11" xfId="1420"/>
    <cellStyle name="60% - Accent5 4 12" xfId="1421"/>
    <cellStyle name="60% - Accent5 4 13" xfId="1422"/>
    <cellStyle name="60% - Accent5 4 14" xfId="1423"/>
    <cellStyle name="60% - Accent5 4 15" xfId="1424"/>
    <cellStyle name="60% - Accent5 4 16" xfId="1425"/>
    <cellStyle name="60% - Accent5 4 2" xfId="1426"/>
    <cellStyle name="60% - Accent5 4 3" xfId="1427"/>
    <cellStyle name="60% - Accent5 4 4" xfId="1428"/>
    <cellStyle name="60% - Accent5 4 5" xfId="1429"/>
    <cellStyle name="60% - Accent5 4 6" xfId="1430"/>
    <cellStyle name="60% - Accent5 4 7" xfId="1431"/>
    <cellStyle name="60% - Accent5 4 8" xfId="1432"/>
    <cellStyle name="60% - Accent5 4 9" xfId="1433"/>
    <cellStyle name="60% - Accent5 5" xfId="1434"/>
    <cellStyle name="60% - Accent5 5 10" xfId="1435"/>
    <cellStyle name="60% - Accent5 5 11" xfId="1436"/>
    <cellStyle name="60% - Accent5 5 12" xfId="1437"/>
    <cellStyle name="60% - Accent5 5 2" xfId="1438"/>
    <cellStyle name="60% - Accent5 5 3" xfId="1439"/>
    <cellStyle name="60% - Accent5 5 4" xfId="1440"/>
    <cellStyle name="60% - Accent5 5 5" xfId="1441"/>
    <cellStyle name="60% - Accent5 5 6" xfId="1442"/>
    <cellStyle name="60% - Accent5 5 7" xfId="1443"/>
    <cellStyle name="60% - Accent5 5 8" xfId="1444"/>
    <cellStyle name="60% - Accent5 5 9" xfId="1445"/>
    <cellStyle name="60% - Accent5 5_Progress" xfId="1446"/>
    <cellStyle name="60% - Accent5 6" xfId="1447"/>
    <cellStyle name="60% - Accent5 6 10" xfId="1448"/>
    <cellStyle name="60% - Accent5 6 11" xfId="1449"/>
    <cellStyle name="60% - Accent5 6 12" xfId="1450"/>
    <cellStyle name="60% - Accent5 6 2" xfId="1451"/>
    <cellStyle name="60% - Accent5 6 3" xfId="1452"/>
    <cellStyle name="60% - Accent5 6 4" xfId="1453"/>
    <cellStyle name="60% - Accent5 6 5" xfId="1454"/>
    <cellStyle name="60% - Accent5 6 6" xfId="1455"/>
    <cellStyle name="60% - Accent5 6 7" xfId="1456"/>
    <cellStyle name="60% - Accent5 6 8" xfId="1457"/>
    <cellStyle name="60% - Accent5 6 9" xfId="1458"/>
    <cellStyle name="60% - Accent5 6_Progress" xfId="1459"/>
    <cellStyle name="60% - Accent5 7" xfId="1460"/>
    <cellStyle name="60% - Accent5 7 10" xfId="1461"/>
    <cellStyle name="60% - Accent5 7 11" xfId="1462"/>
    <cellStyle name="60% - Accent5 7 12" xfId="1463"/>
    <cellStyle name="60% - Accent5 7 2" xfId="1464"/>
    <cellStyle name="60% - Accent5 7 3" xfId="1465"/>
    <cellStyle name="60% - Accent5 7 4" xfId="1466"/>
    <cellStyle name="60% - Accent5 7 5" xfId="1467"/>
    <cellStyle name="60% - Accent5 7 6" xfId="1468"/>
    <cellStyle name="60% - Accent5 7 7" xfId="1469"/>
    <cellStyle name="60% - Accent5 7 8" xfId="1470"/>
    <cellStyle name="60% - Accent5 7 9" xfId="1471"/>
    <cellStyle name="60% - Accent5 7_Progress" xfId="1472"/>
    <cellStyle name="60% - Accent5 8" xfId="1473"/>
    <cellStyle name="60% - Accent5 9" xfId="1474"/>
    <cellStyle name="60% - Accent6 10" xfId="1475"/>
    <cellStyle name="60% - Accent6 11" xfId="1476"/>
    <cellStyle name="60% - Accent6 12" xfId="1477"/>
    <cellStyle name="60% - Accent6 13" xfId="1478"/>
    <cellStyle name="60% - Accent6 14" xfId="1479"/>
    <cellStyle name="60% - Accent6 15" xfId="1480"/>
    <cellStyle name="60% - Accent6 16" xfId="1481"/>
    <cellStyle name="60% - Accent6 16 2" xfId="1482"/>
    <cellStyle name="60% - Accent6 16 3" xfId="1483"/>
    <cellStyle name="60% - Accent6 16_Configuration" xfId="1484"/>
    <cellStyle name="60% - Accent6 17" xfId="1485"/>
    <cellStyle name="60% - Accent6 2" xfId="1486"/>
    <cellStyle name="60% - Accent6 2 10" xfId="1487"/>
    <cellStyle name="60% - Accent6 2 11" xfId="1488"/>
    <cellStyle name="60% - Accent6 2 12" xfId="1489"/>
    <cellStyle name="60% - Accent6 2 2" xfId="1490"/>
    <cellStyle name="60% - Accent6 2 2 2" xfId="1491"/>
    <cellStyle name="60% - Accent6 2 2_Admin" xfId="1492"/>
    <cellStyle name="60% - Accent6 2 3" xfId="1493"/>
    <cellStyle name="60% - Accent6 2 4" xfId="1494"/>
    <cellStyle name="60% - Accent6 2 5" xfId="1495"/>
    <cellStyle name="60% - Accent6 2 6" xfId="1496"/>
    <cellStyle name="60% - Accent6 2 7" xfId="1497"/>
    <cellStyle name="60% - Accent6 2 8" xfId="1498"/>
    <cellStyle name="60% - Accent6 2 9" xfId="1499"/>
    <cellStyle name="60% - Accent6 2_LLT Script Reviews" xfId="1500"/>
    <cellStyle name="60% - Accent6 3" xfId="1501"/>
    <cellStyle name="60% - Accent6 3 2" xfId="1502"/>
    <cellStyle name="60% - Accent6 3_Admin" xfId="1503"/>
    <cellStyle name="60% - Accent6 4" xfId="1504"/>
    <cellStyle name="60% - Accent6 4 10" xfId="1505"/>
    <cellStyle name="60% - Accent6 4 11" xfId="1506"/>
    <cellStyle name="60% - Accent6 4 12" xfId="1507"/>
    <cellStyle name="60% - Accent6 4 13" xfId="1508"/>
    <cellStyle name="60% - Accent6 4 14" xfId="1509"/>
    <cellStyle name="60% - Accent6 4 15" xfId="1510"/>
    <cellStyle name="60% - Accent6 4 16" xfId="1511"/>
    <cellStyle name="60% - Accent6 4 2" xfId="1512"/>
    <cellStyle name="60% - Accent6 4 3" xfId="1513"/>
    <cellStyle name="60% - Accent6 4 4" xfId="1514"/>
    <cellStyle name="60% - Accent6 4 5" xfId="1515"/>
    <cellStyle name="60% - Accent6 4 6" xfId="1516"/>
    <cellStyle name="60% - Accent6 4 7" xfId="1517"/>
    <cellStyle name="60% - Accent6 4 8" xfId="1518"/>
    <cellStyle name="60% - Accent6 4 9" xfId="1519"/>
    <cellStyle name="60% - Accent6 5" xfId="1520"/>
    <cellStyle name="60% - Accent6 5 10" xfId="1521"/>
    <cellStyle name="60% - Accent6 5 11" xfId="1522"/>
    <cellStyle name="60% - Accent6 5 12" xfId="1523"/>
    <cellStyle name="60% - Accent6 5 2" xfId="1524"/>
    <cellStyle name="60% - Accent6 5 3" xfId="1525"/>
    <cellStyle name="60% - Accent6 5 4" xfId="1526"/>
    <cellStyle name="60% - Accent6 5 5" xfId="1527"/>
    <cellStyle name="60% - Accent6 5 6" xfId="1528"/>
    <cellStyle name="60% - Accent6 5 7" xfId="1529"/>
    <cellStyle name="60% - Accent6 5 8" xfId="1530"/>
    <cellStyle name="60% - Accent6 5 9" xfId="1531"/>
    <cellStyle name="60% - Accent6 5_Progress" xfId="1532"/>
    <cellStyle name="60% - Accent6 6" xfId="1533"/>
    <cellStyle name="60% - Accent6 6 10" xfId="1534"/>
    <cellStyle name="60% - Accent6 6 11" xfId="1535"/>
    <cellStyle name="60% - Accent6 6 12" xfId="1536"/>
    <cellStyle name="60% - Accent6 6 2" xfId="1537"/>
    <cellStyle name="60% - Accent6 6 3" xfId="1538"/>
    <cellStyle name="60% - Accent6 6 4" xfId="1539"/>
    <cellStyle name="60% - Accent6 6 5" xfId="1540"/>
    <cellStyle name="60% - Accent6 6 6" xfId="1541"/>
    <cellStyle name="60% - Accent6 6 7" xfId="1542"/>
    <cellStyle name="60% - Accent6 6 8" xfId="1543"/>
    <cellStyle name="60% - Accent6 6 9" xfId="1544"/>
    <cellStyle name="60% - Accent6 6_Progress" xfId="1545"/>
    <cellStyle name="60% - Accent6 7" xfId="1546"/>
    <cellStyle name="60% - Accent6 7 10" xfId="1547"/>
    <cellStyle name="60% - Accent6 7 11" xfId="1548"/>
    <cellStyle name="60% - Accent6 7 12" xfId="1549"/>
    <cellStyle name="60% - Accent6 7 2" xfId="1550"/>
    <cellStyle name="60% - Accent6 7 3" xfId="1551"/>
    <cellStyle name="60% - Accent6 7 4" xfId="1552"/>
    <cellStyle name="60% - Accent6 7 5" xfId="1553"/>
    <cellStyle name="60% - Accent6 7 6" xfId="1554"/>
    <cellStyle name="60% - Accent6 7 7" xfId="1555"/>
    <cellStyle name="60% - Accent6 7 8" xfId="1556"/>
    <cellStyle name="60% - Accent6 7 9" xfId="1557"/>
    <cellStyle name="60% - Accent6 7_Progress" xfId="1558"/>
    <cellStyle name="60% - Accent6 8" xfId="1559"/>
    <cellStyle name="60% - Accent6 9" xfId="1560"/>
    <cellStyle name="Accent1 10" xfId="1561"/>
    <cellStyle name="Accent1 11" xfId="1562"/>
    <cellStyle name="Accent1 12" xfId="1563"/>
    <cellStyle name="Accent1 13" xfId="1564"/>
    <cellStyle name="Accent1 14" xfId="1565"/>
    <cellStyle name="Accent1 15" xfId="1566"/>
    <cellStyle name="Accent1 16" xfId="1567"/>
    <cellStyle name="Accent1 16 2" xfId="1568"/>
    <cellStyle name="Accent1 16 3" xfId="1569"/>
    <cellStyle name="Accent1 16_Configuration" xfId="1570"/>
    <cellStyle name="Accent1 17" xfId="1571"/>
    <cellStyle name="Accent1 2" xfId="1572"/>
    <cellStyle name="Accent1 2 10" xfId="1573"/>
    <cellStyle name="Accent1 2 11" xfId="1574"/>
    <cellStyle name="Accent1 2 12" xfId="1575"/>
    <cellStyle name="Accent1 2 2" xfId="1576"/>
    <cellStyle name="Accent1 2 2 2" xfId="1577"/>
    <cellStyle name="Accent1 2 2_Admin" xfId="1578"/>
    <cellStyle name="Accent1 2 3" xfId="1579"/>
    <cellStyle name="Accent1 2 4" xfId="1580"/>
    <cellStyle name="Accent1 2 5" xfId="1581"/>
    <cellStyle name="Accent1 2 6" xfId="1582"/>
    <cellStyle name="Accent1 2 7" xfId="1583"/>
    <cellStyle name="Accent1 2 8" xfId="1584"/>
    <cellStyle name="Accent1 2 9" xfId="1585"/>
    <cellStyle name="Accent1 2_LLT Script Reviews" xfId="1586"/>
    <cellStyle name="Accent1 3" xfId="1587"/>
    <cellStyle name="Accent1 3 2" xfId="1588"/>
    <cellStyle name="Accent1 3_Admin" xfId="1589"/>
    <cellStyle name="Accent1 4" xfId="1590"/>
    <cellStyle name="Accent1 4 10" xfId="1591"/>
    <cellStyle name="Accent1 4 11" xfId="1592"/>
    <cellStyle name="Accent1 4 12" xfId="1593"/>
    <cellStyle name="Accent1 4 13" xfId="1594"/>
    <cellStyle name="Accent1 4 14" xfId="1595"/>
    <cellStyle name="Accent1 4 15" xfId="1596"/>
    <cellStyle name="Accent1 4 16" xfId="1597"/>
    <cellStyle name="Accent1 4 2" xfId="1598"/>
    <cellStyle name="Accent1 4 3" xfId="1599"/>
    <cellStyle name="Accent1 4 4" xfId="1600"/>
    <cellStyle name="Accent1 4 5" xfId="1601"/>
    <cellStyle name="Accent1 4 6" xfId="1602"/>
    <cellStyle name="Accent1 4 7" xfId="1603"/>
    <cellStyle name="Accent1 4 8" xfId="1604"/>
    <cellStyle name="Accent1 4 9" xfId="1605"/>
    <cellStyle name="Accent1 5" xfId="1606"/>
    <cellStyle name="Accent1 5 10" xfId="1607"/>
    <cellStyle name="Accent1 5 11" xfId="1608"/>
    <cellStyle name="Accent1 5 12" xfId="1609"/>
    <cellStyle name="Accent1 5 2" xfId="1610"/>
    <cellStyle name="Accent1 5 3" xfId="1611"/>
    <cellStyle name="Accent1 5 4" xfId="1612"/>
    <cellStyle name="Accent1 5 5" xfId="1613"/>
    <cellStyle name="Accent1 5 6" xfId="1614"/>
    <cellStyle name="Accent1 5 7" xfId="1615"/>
    <cellStyle name="Accent1 5 8" xfId="1616"/>
    <cellStyle name="Accent1 5 9" xfId="1617"/>
    <cellStyle name="Accent1 5_Progress" xfId="1618"/>
    <cellStyle name="Accent1 6" xfId="1619"/>
    <cellStyle name="Accent1 6 10" xfId="1620"/>
    <cellStyle name="Accent1 6 11" xfId="1621"/>
    <cellStyle name="Accent1 6 12" xfId="1622"/>
    <cellStyle name="Accent1 6 2" xfId="1623"/>
    <cellStyle name="Accent1 6 3" xfId="1624"/>
    <cellStyle name="Accent1 6 4" xfId="1625"/>
    <cellStyle name="Accent1 6 5" xfId="1626"/>
    <cellStyle name="Accent1 6 6" xfId="1627"/>
    <cellStyle name="Accent1 6 7" xfId="1628"/>
    <cellStyle name="Accent1 6 8" xfId="1629"/>
    <cellStyle name="Accent1 6 9" xfId="1630"/>
    <cellStyle name="Accent1 6_Progress" xfId="1631"/>
    <cellStyle name="Accent1 7" xfId="1632"/>
    <cellStyle name="Accent1 7 10" xfId="1633"/>
    <cellStyle name="Accent1 7 11" xfId="1634"/>
    <cellStyle name="Accent1 7 12" xfId="1635"/>
    <cellStyle name="Accent1 7 2" xfId="1636"/>
    <cellStyle name="Accent1 7 3" xfId="1637"/>
    <cellStyle name="Accent1 7 4" xfId="1638"/>
    <cellStyle name="Accent1 7 5" xfId="1639"/>
    <cellStyle name="Accent1 7 6" xfId="1640"/>
    <cellStyle name="Accent1 7 7" xfId="1641"/>
    <cellStyle name="Accent1 7 8" xfId="1642"/>
    <cellStyle name="Accent1 7 9" xfId="1643"/>
    <cellStyle name="Accent1 7_Progress" xfId="1644"/>
    <cellStyle name="Accent1 8" xfId="1645"/>
    <cellStyle name="Accent1 9" xfId="1646"/>
    <cellStyle name="Accent2 10" xfId="1647"/>
    <cellStyle name="Accent2 11" xfId="1648"/>
    <cellStyle name="Accent2 12" xfId="1649"/>
    <cellStyle name="Accent2 13" xfId="1650"/>
    <cellStyle name="Accent2 14" xfId="1651"/>
    <cellStyle name="Accent2 15" xfId="1652"/>
    <cellStyle name="Accent2 16" xfId="1653"/>
    <cellStyle name="Accent2 16 2" xfId="1654"/>
    <cellStyle name="Accent2 16_Configuration" xfId="1655"/>
    <cellStyle name="Accent2 17" xfId="1656"/>
    <cellStyle name="Accent2 2" xfId="1657"/>
    <cellStyle name="Accent2 2 10" xfId="1658"/>
    <cellStyle name="Accent2 2 11" xfId="1659"/>
    <cellStyle name="Accent2 2 12" xfId="1660"/>
    <cellStyle name="Accent2 2 2" xfId="1661"/>
    <cellStyle name="Accent2 2 2 2" xfId="1662"/>
    <cellStyle name="Accent2 2 2_Admin" xfId="1663"/>
    <cellStyle name="Accent2 2 3" xfId="1664"/>
    <cellStyle name="Accent2 2 4" xfId="1665"/>
    <cellStyle name="Accent2 2 5" xfId="1666"/>
    <cellStyle name="Accent2 2 6" xfId="1667"/>
    <cellStyle name="Accent2 2 7" xfId="1668"/>
    <cellStyle name="Accent2 2 8" xfId="1669"/>
    <cellStyle name="Accent2 2 9" xfId="1670"/>
    <cellStyle name="Accent2 2_LLT Script Reviews" xfId="1671"/>
    <cellStyle name="Accent2 3" xfId="1672"/>
    <cellStyle name="Accent2 3 2" xfId="1673"/>
    <cellStyle name="Accent2 3_Admin" xfId="1674"/>
    <cellStyle name="Accent2 4" xfId="1675"/>
    <cellStyle name="Accent2 4 10" xfId="1676"/>
    <cellStyle name="Accent2 4 11" xfId="1677"/>
    <cellStyle name="Accent2 4 12" xfId="1678"/>
    <cellStyle name="Accent2 4 13" xfId="1679"/>
    <cellStyle name="Accent2 4 14" xfId="1680"/>
    <cellStyle name="Accent2 4 15" xfId="1681"/>
    <cellStyle name="Accent2 4 16" xfId="1682"/>
    <cellStyle name="Accent2 4 2" xfId="1683"/>
    <cellStyle name="Accent2 4 3" xfId="1684"/>
    <cellStyle name="Accent2 4 4" xfId="1685"/>
    <cellStyle name="Accent2 4 5" xfId="1686"/>
    <cellStyle name="Accent2 4 6" xfId="1687"/>
    <cellStyle name="Accent2 4 7" xfId="1688"/>
    <cellStyle name="Accent2 4 8" xfId="1689"/>
    <cellStyle name="Accent2 4 9" xfId="1690"/>
    <cellStyle name="Accent2 5" xfId="1691"/>
    <cellStyle name="Accent2 5 10" xfId="1692"/>
    <cellStyle name="Accent2 5 11" xfId="1693"/>
    <cellStyle name="Accent2 5 12" xfId="1694"/>
    <cellStyle name="Accent2 5 2" xfId="1695"/>
    <cellStyle name="Accent2 5 3" xfId="1696"/>
    <cellStyle name="Accent2 5 4" xfId="1697"/>
    <cellStyle name="Accent2 5 5" xfId="1698"/>
    <cellStyle name="Accent2 5 6" xfId="1699"/>
    <cellStyle name="Accent2 5 7" xfId="1700"/>
    <cellStyle name="Accent2 5 8" xfId="1701"/>
    <cellStyle name="Accent2 5 9" xfId="1702"/>
    <cellStyle name="Accent2 5_Progress" xfId="1703"/>
    <cellStyle name="Accent2 6" xfId="1704"/>
    <cellStyle name="Accent2 6 10" xfId="1705"/>
    <cellStyle name="Accent2 6 11" xfId="1706"/>
    <cellStyle name="Accent2 6 12" xfId="1707"/>
    <cellStyle name="Accent2 6 2" xfId="1708"/>
    <cellStyle name="Accent2 6 3" xfId="1709"/>
    <cellStyle name="Accent2 6 4" xfId="1710"/>
    <cellStyle name="Accent2 6 5" xfId="1711"/>
    <cellStyle name="Accent2 6 6" xfId="1712"/>
    <cellStyle name="Accent2 6 7" xfId="1713"/>
    <cellStyle name="Accent2 6 8" xfId="1714"/>
    <cellStyle name="Accent2 6 9" xfId="1715"/>
    <cellStyle name="Accent2 6_Progress" xfId="1716"/>
    <cellStyle name="Accent2 7" xfId="1717"/>
    <cellStyle name="Accent2 7 10" xfId="1718"/>
    <cellStyle name="Accent2 7 11" xfId="1719"/>
    <cellStyle name="Accent2 7 12" xfId="1720"/>
    <cellStyle name="Accent2 7 2" xfId="1721"/>
    <cellStyle name="Accent2 7 3" xfId="1722"/>
    <cellStyle name="Accent2 7 4" xfId="1723"/>
    <cellStyle name="Accent2 7 5" xfId="1724"/>
    <cellStyle name="Accent2 7 6" xfId="1725"/>
    <cellStyle name="Accent2 7 7" xfId="1726"/>
    <cellStyle name="Accent2 7 8" xfId="1727"/>
    <cellStyle name="Accent2 7 9" xfId="1728"/>
    <cellStyle name="Accent2 7_Progress" xfId="1729"/>
    <cellStyle name="Accent2 8" xfId="1730"/>
    <cellStyle name="Accent2 9" xfId="1731"/>
    <cellStyle name="Accent3 10" xfId="1732"/>
    <cellStyle name="Accent3 11" xfId="1733"/>
    <cellStyle name="Accent3 12" xfId="1734"/>
    <cellStyle name="Accent3 13" xfId="1735"/>
    <cellStyle name="Accent3 14" xfId="1736"/>
    <cellStyle name="Accent3 15" xfId="1737"/>
    <cellStyle name="Accent3 16" xfId="1738"/>
    <cellStyle name="Accent3 16 2" xfId="1739"/>
    <cellStyle name="Accent3 16 3" xfId="1740"/>
    <cellStyle name="Accent3 16_Configuration" xfId="1741"/>
    <cellStyle name="Accent3 17" xfId="1742"/>
    <cellStyle name="Accent3 2" xfId="1743"/>
    <cellStyle name="Accent3 2 10" xfId="1744"/>
    <cellStyle name="Accent3 2 11" xfId="1745"/>
    <cellStyle name="Accent3 2 12" xfId="1746"/>
    <cellStyle name="Accent3 2 2" xfId="1747"/>
    <cellStyle name="Accent3 2 2 2" xfId="1748"/>
    <cellStyle name="Accent3 2 2_Admin" xfId="1749"/>
    <cellStyle name="Accent3 2 3" xfId="1750"/>
    <cellStyle name="Accent3 2 4" xfId="1751"/>
    <cellStyle name="Accent3 2 5" xfId="1752"/>
    <cellStyle name="Accent3 2 6" xfId="1753"/>
    <cellStyle name="Accent3 2 7" xfId="1754"/>
    <cellStyle name="Accent3 2 8" xfId="1755"/>
    <cellStyle name="Accent3 2 9" xfId="1756"/>
    <cellStyle name="Accent3 2_LLT Script Reviews" xfId="1757"/>
    <cellStyle name="Accent3 3" xfId="1758"/>
    <cellStyle name="Accent3 3 2" xfId="1759"/>
    <cellStyle name="Accent3 3_Admin" xfId="1760"/>
    <cellStyle name="Accent3 4" xfId="1761"/>
    <cellStyle name="Accent3 4 10" xfId="1762"/>
    <cellStyle name="Accent3 4 11" xfId="1763"/>
    <cellStyle name="Accent3 4 12" xfId="1764"/>
    <cellStyle name="Accent3 4 13" xfId="1765"/>
    <cellStyle name="Accent3 4 14" xfId="1766"/>
    <cellStyle name="Accent3 4 15" xfId="1767"/>
    <cellStyle name="Accent3 4 16" xfId="1768"/>
    <cellStyle name="Accent3 4 2" xfId="1769"/>
    <cellStyle name="Accent3 4 3" xfId="1770"/>
    <cellStyle name="Accent3 4 4" xfId="1771"/>
    <cellStyle name="Accent3 4 5" xfId="1772"/>
    <cellStyle name="Accent3 4 6" xfId="1773"/>
    <cellStyle name="Accent3 4 7" xfId="1774"/>
    <cellStyle name="Accent3 4 8" xfId="1775"/>
    <cellStyle name="Accent3 4 9" xfId="1776"/>
    <cellStyle name="Accent3 5" xfId="1777"/>
    <cellStyle name="Accent3 5 10" xfId="1778"/>
    <cellStyle name="Accent3 5 11" xfId="1779"/>
    <cellStyle name="Accent3 5 12" xfId="1780"/>
    <cellStyle name="Accent3 5 2" xfId="1781"/>
    <cellStyle name="Accent3 5 3" xfId="1782"/>
    <cellStyle name="Accent3 5 4" xfId="1783"/>
    <cellStyle name="Accent3 5 5" xfId="1784"/>
    <cellStyle name="Accent3 5 6" xfId="1785"/>
    <cellStyle name="Accent3 5 7" xfId="1786"/>
    <cellStyle name="Accent3 5 8" xfId="1787"/>
    <cellStyle name="Accent3 5 9" xfId="1788"/>
    <cellStyle name="Accent3 5_Progress" xfId="1789"/>
    <cellStyle name="Accent3 6" xfId="1790"/>
    <cellStyle name="Accent3 6 10" xfId="1791"/>
    <cellStyle name="Accent3 6 11" xfId="1792"/>
    <cellStyle name="Accent3 6 12" xfId="1793"/>
    <cellStyle name="Accent3 6 2" xfId="1794"/>
    <cellStyle name="Accent3 6 3" xfId="1795"/>
    <cellStyle name="Accent3 6 4" xfId="1796"/>
    <cellStyle name="Accent3 6 5" xfId="1797"/>
    <cellStyle name="Accent3 6 6" xfId="1798"/>
    <cellStyle name="Accent3 6 7" xfId="1799"/>
    <cellStyle name="Accent3 6 8" xfId="1800"/>
    <cellStyle name="Accent3 6 9" xfId="1801"/>
    <cellStyle name="Accent3 6_Progress" xfId="1802"/>
    <cellStyle name="Accent3 7" xfId="1803"/>
    <cellStyle name="Accent3 7 10" xfId="1804"/>
    <cellStyle name="Accent3 7 11" xfId="1805"/>
    <cellStyle name="Accent3 7 12" xfId="1806"/>
    <cellStyle name="Accent3 7 2" xfId="1807"/>
    <cellStyle name="Accent3 7 3" xfId="1808"/>
    <cellStyle name="Accent3 7 4" xfId="1809"/>
    <cellStyle name="Accent3 7 5" xfId="1810"/>
    <cellStyle name="Accent3 7 6" xfId="1811"/>
    <cellStyle name="Accent3 7 7" xfId="1812"/>
    <cellStyle name="Accent3 7 8" xfId="1813"/>
    <cellStyle name="Accent3 7 9" xfId="1814"/>
    <cellStyle name="Accent3 7_Progress" xfId="1815"/>
    <cellStyle name="Accent3 8" xfId="1816"/>
    <cellStyle name="Accent3 9" xfId="1817"/>
    <cellStyle name="Accent4 10" xfId="1818"/>
    <cellStyle name="Accent4 11" xfId="1819"/>
    <cellStyle name="Accent4 12" xfId="1820"/>
    <cellStyle name="Accent4 13" xfId="1821"/>
    <cellStyle name="Accent4 14" xfId="1822"/>
    <cellStyle name="Accent4 15" xfId="1823"/>
    <cellStyle name="Accent4 16" xfId="1824"/>
    <cellStyle name="Accent4 16 2" xfId="1825"/>
    <cellStyle name="Accent4 16 3" xfId="1826"/>
    <cellStyle name="Accent4 16_Configuration" xfId="1827"/>
    <cellStyle name="Accent4 17" xfId="1828"/>
    <cellStyle name="Accent4 2" xfId="1829"/>
    <cellStyle name="Accent4 2 10" xfId="1830"/>
    <cellStyle name="Accent4 2 11" xfId="1831"/>
    <cellStyle name="Accent4 2 12" xfId="1832"/>
    <cellStyle name="Accent4 2 2" xfId="1833"/>
    <cellStyle name="Accent4 2 2 2" xfId="1834"/>
    <cellStyle name="Accent4 2 2_Admin" xfId="1835"/>
    <cellStyle name="Accent4 2 3" xfId="1836"/>
    <cellStyle name="Accent4 2 4" xfId="1837"/>
    <cellStyle name="Accent4 2 5" xfId="1838"/>
    <cellStyle name="Accent4 2 6" xfId="1839"/>
    <cellStyle name="Accent4 2 7" xfId="1840"/>
    <cellStyle name="Accent4 2 8" xfId="1841"/>
    <cellStyle name="Accent4 2 9" xfId="1842"/>
    <cellStyle name="Accent4 2_LLT Script Reviews" xfId="1843"/>
    <cellStyle name="Accent4 3" xfId="1844"/>
    <cellStyle name="Accent4 3 2" xfId="1845"/>
    <cellStyle name="Accent4 3_Admin" xfId="1846"/>
    <cellStyle name="Accent4 4" xfId="1847"/>
    <cellStyle name="Accent4 4 10" xfId="1848"/>
    <cellStyle name="Accent4 4 11" xfId="1849"/>
    <cellStyle name="Accent4 4 12" xfId="1850"/>
    <cellStyle name="Accent4 4 13" xfId="1851"/>
    <cellStyle name="Accent4 4 14" xfId="1852"/>
    <cellStyle name="Accent4 4 15" xfId="1853"/>
    <cellStyle name="Accent4 4 16" xfId="1854"/>
    <cellStyle name="Accent4 4 2" xfId="1855"/>
    <cellStyle name="Accent4 4 3" xfId="1856"/>
    <cellStyle name="Accent4 4 4" xfId="1857"/>
    <cellStyle name="Accent4 4 5" xfId="1858"/>
    <cellStyle name="Accent4 4 6" xfId="1859"/>
    <cellStyle name="Accent4 4 7" xfId="1860"/>
    <cellStyle name="Accent4 4 8" xfId="1861"/>
    <cellStyle name="Accent4 4 9" xfId="1862"/>
    <cellStyle name="Accent4 5" xfId="1863"/>
    <cellStyle name="Accent4 5 10" xfId="1864"/>
    <cellStyle name="Accent4 5 11" xfId="1865"/>
    <cellStyle name="Accent4 5 12" xfId="1866"/>
    <cellStyle name="Accent4 5 2" xfId="1867"/>
    <cellStyle name="Accent4 5 3" xfId="1868"/>
    <cellStyle name="Accent4 5 4" xfId="1869"/>
    <cellStyle name="Accent4 5 5" xfId="1870"/>
    <cellStyle name="Accent4 5 6" xfId="1871"/>
    <cellStyle name="Accent4 5 7" xfId="1872"/>
    <cellStyle name="Accent4 5 8" xfId="1873"/>
    <cellStyle name="Accent4 5 9" xfId="1874"/>
    <cellStyle name="Accent4 5_Progress" xfId="1875"/>
    <cellStyle name="Accent4 6" xfId="1876"/>
    <cellStyle name="Accent4 6 10" xfId="1877"/>
    <cellStyle name="Accent4 6 11" xfId="1878"/>
    <cellStyle name="Accent4 6 12" xfId="1879"/>
    <cellStyle name="Accent4 6 2" xfId="1880"/>
    <cellStyle name="Accent4 6 3" xfId="1881"/>
    <cellStyle name="Accent4 6 4" xfId="1882"/>
    <cellStyle name="Accent4 6 5" xfId="1883"/>
    <cellStyle name="Accent4 6 6" xfId="1884"/>
    <cellStyle name="Accent4 6 7" xfId="1885"/>
    <cellStyle name="Accent4 6 8" xfId="1886"/>
    <cellStyle name="Accent4 6 9" xfId="1887"/>
    <cellStyle name="Accent4 6_Progress" xfId="1888"/>
    <cellStyle name="Accent4 7" xfId="1889"/>
    <cellStyle name="Accent4 7 10" xfId="1890"/>
    <cellStyle name="Accent4 7 11" xfId="1891"/>
    <cellStyle name="Accent4 7 12" xfId="1892"/>
    <cellStyle name="Accent4 7 2" xfId="1893"/>
    <cellStyle name="Accent4 7 3" xfId="1894"/>
    <cellStyle name="Accent4 7 4" xfId="1895"/>
    <cellStyle name="Accent4 7 5" xfId="1896"/>
    <cellStyle name="Accent4 7 6" xfId="1897"/>
    <cellStyle name="Accent4 7 7" xfId="1898"/>
    <cellStyle name="Accent4 7 8" xfId="1899"/>
    <cellStyle name="Accent4 7 9" xfId="1900"/>
    <cellStyle name="Accent4 7_Progress" xfId="1901"/>
    <cellStyle name="Accent4 8" xfId="1902"/>
    <cellStyle name="Accent4 9" xfId="1903"/>
    <cellStyle name="Accent5 10" xfId="1904"/>
    <cellStyle name="Accent5 11" xfId="1905"/>
    <cellStyle name="Accent5 12" xfId="1906"/>
    <cellStyle name="Accent5 13" xfId="1907"/>
    <cellStyle name="Accent5 14" xfId="1908"/>
    <cellStyle name="Accent5 15" xfId="1909"/>
    <cellStyle name="Accent5 2" xfId="1910"/>
    <cellStyle name="Accent5 2 10" xfId="1911"/>
    <cellStyle name="Accent5 2 11" xfId="1912"/>
    <cellStyle name="Accent5 2 12" xfId="1913"/>
    <cellStyle name="Accent5 2 2" xfId="1914"/>
    <cellStyle name="Accent5 2 3" xfId="1915"/>
    <cellStyle name="Accent5 2 4" xfId="1916"/>
    <cellStyle name="Accent5 2 5" xfId="1917"/>
    <cellStyle name="Accent5 2 6" xfId="1918"/>
    <cellStyle name="Accent5 2 7" xfId="1919"/>
    <cellStyle name="Accent5 2 8" xfId="1920"/>
    <cellStyle name="Accent5 2 9" xfId="1921"/>
    <cellStyle name="Accent5 3" xfId="1922"/>
    <cellStyle name="Accent5 4" xfId="1923"/>
    <cellStyle name="Accent5 5" xfId="1924"/>
    <cellStyle name="Accent5 6" xfId="1925"/>
    <cellStyle name="Accent5 7" xfId="1926"/>
    <cellStyle name="Accent5 8" xfId="1927"/>
    <cellStyle name="Accent5 9" xfId="1928"/>
    <cellStyle name="Accent6 10" xfId="1929"/>
    <cellStyle name="Accent6 11" xfId="1930"/>
    <cellStyle name="Accent6 12" xfId="1931"/>
    <cellStyle name="Accent6 13" xfId="1932"/>
    <cellStyle name="Accent6 14" xfId="1933"/>
    <cellStyle name="Accent6 15" xfId="1934"/>
    <cellStyle name="Accent6 16" xfId="1935"/>
    <cellStyle name="Accent6 16 2" xfId="1936"/>
    <cellStyle name="Accent6 16 3" xfId="1937"/>
    <cellStyle name="Accent6 16_Configuration" xfId="1938"/>
    <cellStyle name="Accent6 17" xfId="1939"/>
    <cellStyle name="Accent6 2" xfId="1940"/>
    <cellStyle name="Accent6 2 10" xfId="1941"/>
    <cellStyle name="Accent6 2 11" xfId="1942"/>
    <cellStyle name="Accent6 2 12" xfId="1943"/>
    <cellStyle name="Accent6 2 2" xfId="1944"/>
    <cellStyle name="Accent6 2 2 2" xfId="1945"/>
    <cellStyle name="Accent6 2 2_Admin" xfId="1946"/>
    <cellStyle name="Accent6 2 3" xfId="1947"/>
    <cellStyle name="Accent6 2 4" xfId="1948"/>
    <cellStyle name="Accent6 2 5" xfId="1949"/>
    <cellStyle name="Accent6 2 6" xfId="1950"/>
    <cellStyle name="Accent6 2 7" xfId="1951"/>
    <cellStyle name="Accent6 2 8" xfId="1952"/>
    <cellStyle name="Accent6 2 9" xfId="1953"/>
    <cellStyle name="Accent6 2_LLT Script Reviews" xfId="1954"/>
    <cellStyle name="Accent6 3" xfId="1955"/>
    <cellStyle name="Accent6 3 2" xfId="1956"/>
    <cellStyle name="Accent6 3_Admin" xfId="1957"/>
    <cellStyle name="Accent6 4" xfId="1958"/>
    <cellStyle name="Accent6 4 10" xfId="1959"/>
    <cellStyle name="Accent6 4 11" xfId="1960"/>
    <cellStyle name="Accent6 4 12" xfId="1961"/>
    <cellStyle name="Accent6 4 13" xfId="1962"/>
    <cellStyle name="Accent6 4 14" xfId="1963"/>
    <cellStyle name="Accent6 4 15" xfId="1964"/>
    <cellStyle name="Accent6 4 16" xfId="1965"/>
    <cellStyle name="Accent6 4 2" xfId="1966"/>
    <cellStyle name="Accent6 4 3" xfId="1967"/>
    <cellStyle name="Accent6 4 4" xfId="1968"/>
    <cellStyle name="Accent6 4 5" xfId="1969"/>
    <cellStyle name="Accent6 4 6" xfId="1970"/>
    <cellStyle name="Accent6 4 7" xfId="1971"/>
    <cellStyle name="Accent6 4 8" xfId="1972"/>
    <cellStyle name="Accent6 4 9" xfId="1973"/>
    <cellStyle name="Accent6 5" xfId="1974"/>
    <cellStyle name="Accent6 5 10" xfId="1975"/>
    <cellStyle name="Accent6 5 11" xfId="1976"/>
    <cellStyle name="Accent6 5 12" xfId="1977"/>
    <cellStyle name="Accent6 5 2" xfId="1978"/>
    <cellStyle name="Accent6 5 3" xfId="1979"/>
    <cellStyle name="Accent6 5 4" xfId="1980"/>
    <cellStyle name="Accent6 5 5" xfId="1981"/>
    <cellStyle name="Accent6 5 6" xfId="1982"/>
    <cellStyle name="Accent6 5 7" xfId="1983"/>
    <cellStyle name="Accent6 5 8" xfId="1984"/>
    <cellStyle name="Accent6 5 9" xfId="1985"/>
    <cellStyle name="Accent6 5_Progress" xfId="1986"/>
    <cellStyle name="Accent6 6" xfId="1987"/>
    <cellStyle name="Accent6 6 10" xfId="1988"/>
    <cellStyle name="Accent6 6 11" xfId="1989"/>
    <cellStyle name="Accent6 6 12" xfId="1990"/>
    <cellStyle name="Accent6 6 2" xfId="1991"/>
    <cellStyle name="Accent6 6 3" xfId="1992"/>
    <cellStyle name="Accent6 6 4" xfId="1993"/>
    <cellStyle name="Accent6 6 5" xfId="1994"/>
    <cellStyle name="Accent6 6 6" xfId="1995"/>
    <cellStyle name="Accent6 6 7" xfId="1996"/>
    <cellStyle name="Accent6 6 8" xfId="1997"/>
    <cellStyle name="Accent6 6 9" xfId="1998"/>
    <cellStyle name="Accent6 6_Progress" xfId="1999"/>
    <cellStyle name="Accent6 7" xfId="2000"/>
    <cellStyle name="Accent6 7 10" xfId="2001"/>
    <cellStyle name="Accent6 7 11" xfId="2002"/>
    <cellStyle name="Accent6 7 12" xfId="2003"/>
    <cellStyle name="Accent6 7 2" xfId="2004"/>
    <cellStyle name="Accent6 7 3" xfId="2005"/>
    <cellStyle name="Accent6 7 4" xfId="2006"/>
    <cellStyle name="Accent6 7 5" xfId="2007"/>
    <cellStyle name="Accent6 7 6" xfId="2008"/>
    <cellStyle name="Accent6 7 7" xfId="2009"/>
    <cellStyle name="Accent6 7 8" xfId="2010"/>
    <cellStyle name="Accent6 7 9" xfId="2011"/>
    <cellStyle name="Accent6 7_Progress" xfId="2012"/>
    <cellStyle name="Accent6 8" xfId="2013"/>
    <cellStyle name="Accent6 9" xfId="2014"/>
    <cellStyle name="Bad 10" xfId="2015"/>
    <cellStyle name="Bad 11" xfId="2016"/>
    <cellStyle name="Bad 12" xfId="2017"/>
    <cellStyle name="Bad 13" xfId="2018"/>
    <cellStyle name="Bad 14" xfId="2019"/>
    <cellStyle name="Bad 15" xfId="2020"/>
    <cellStyle name="Bad 16" xfId="2021"/>
    <cellStyle name="Bad 16 2" xfId="2022"/>
    <cellStyle name="Bad 16_Configuration" xfId="2023"/>
    <cellStyle name="Bad 17" xfId="2024"/>
    <cellStyle name="Bad 2" xfId="2025"/>
    <cellStyle name="Bad 2 10" xfId="2026"/>
    <cellStyle name="Bad 2 11" xfId="2027"/>
    <cellStyle name="Bad 2 12" xfId="2028"/>
    <cellStyle name="Bad 2 2" xfId="2029"/>
    <cellStyle name="Bad 2 2 2" xfId="2030"/>
    <cellStyle name="Bad 2 2_Admin" xfId="2031"/>
    <cellStyle name="Bad 2 3" xfId="2032"/>
    <cellStyle name="Bad 2 4" xfId="2033"/>
    <cellStyle name="Bad 2 5" xfId="2034"/>
    <cellStyle name="Bad 2 6" xfId="2035"/>
    <cellStyle name="Bad 2 7" xfId="2036"/>
    <cellStyle name="Bad 2 8" xfId="2037"/>
    <cellStyle name="Bad 2 9" xfId="2038"/>
    <cellStyle name="Bad 2_LLT Script Reviews" xfId="2039"/>
    <cellStyle name="Bad 3" xfId="2040"/>
    <cellStyle name="Bad 3 2" xfId="2041"/>
    <cellStyle name="Bad 3_Admin" xfId="2042"/>
    <cellStyle name="Bad 4" xfId="2043"/>
    <cellStyle name="Bad 4 10" xfId="2044"/>
    <cellStyle name="Bad 4 11" xfId="2045"/>
    <cellStyle name="Bad 4 12" xfId="2046"/>
    <cellStyle name="Bad 4 13" xfId="2047"/>
    <cellStyle name="Bad 4 14" xfId="2048"/>
    <cellStyle name="Bad 4 15" xfId="2049"/>
    <cellStyle name="Bad 4 16" xfId="2050"/>
    <cellStyle name="Bad 4 2" xfId="2051"/>
    <cellStyle name="Bad 4 3" xfId="2052"/>
    <cellStyle name="Bad 4 4" xfId="2053"/>
    <cellStyle name="Bad 4 5" xfId="2054"/>
    <cellStyle name="Bad 4 6" xfId="2055"/>
    <cellStyle name="Bad 4 7" xfId="2056"/>
    <cellStyle name="Bad 4 8" xfId="2057"/>
    <cellStyle name="Bad 4 9" xfId="2058"/>
    <cellStyle name="Bad 5" xfId="2059"/>
    <cellStyle name="Bad 5 10" xfId="2060"/>
    <cellStyle name="Bad 5 11" xfId="2061"/>
    <cellStyle name="Bad 5 12" xfId="2062"/>
    <cellStyle name="Bad 5 2" xfId="2063"/>
    <cellStyle name="Bad 5 3" xfId="2064"/>
    <cellStyle name="Bad 5 4" xfId="2065"/>
    <cellStyle name="Bad 5 5" xfId="2066"/>
    <cellStyle name="Bad 5 6" xfId="2067"/>
    <cellStyle name="Bad 5 7" xfId="2068"/>
    <cellStyle name="Bad 5 8" xfId="2069"/>
    <cellStyle name="Bad 5 9" xfId="2070"/>
    <cellStyle name="Bad 5_Progress" xfId="2071"/>
    <cellStyle name="Bad 6" xfId="2072"/>
    <cellStyle name="Bad 6 10" xfId="2073"/>
    <cellStyle name="Bad 6 11" xfId="2074"/>
    <cellStyle name="Bad 6 12" xfId="2075"/>
    <cellStyle name="Bad 6 2" xfId="2076"/>
    <cellStyle name="Bad 6 3" xfId="2077"/>
    <cellStyle name="Bad 6 4" xfId="2078"/>
    <cellStyle name="Bad 6 5" xfId="2079"/>
    <cellStyle name="Bad 6 6" xfId="2080"/>
    <cellStyle name="Bad 6 7" xfId="2081"/>
    <cellStyle name="Bad 6 8" xfId="2082"/>
    <cellStyle name="Bad 6 9" xfId="2083"/>
    <cellStyle name="Bad 6_Progress" xfId="2084"/>
    <cellStyle name="Bad 7" xfId="2085"/>
    <cellStyle name="Bad 7 10" xfId="2086"/>
    <cellStyle name="Bad 7 11" xfId="2087"/>
    <cellStyle name="Bad 7 12" xfId="2088"/>
    <cellStyle name="Bad 7 2" xfId="2089"/>
    <cellStyle name="Bad 7 3" xfId="2090"/>
    <cellStyle name="Bad 7 4" xfId="2091"/>
    <cellStyle name="Bad 7 5" xfId="2092"/>
    <cellStyle name="Bad 7 6" xfId="2093"/>
    <cellStyle name="Bad 7 7" xfId="2094"/>
    <cellStyle name="Bad 7 8" xfId="2095"/>
    <cellStyle name="Bad 7 9" xfId="2096"/>
    <cellStyle name="Bad 7_Progress" xfId="2097"/>
    <cellStyle name="Bad 8" xfId="2098"/>
    <cellStyle name="Bad 9" xfId="2099"/>
    <cellStyle name="Calculation 10" xfId="2100"/>
    <cellStyle name="Calculation 11" xfId="2101"/>
    <cellStyle name="Calculation 12" xfId="2102"/>
    <cellStyle name="Calculation 13" xfId="2103"/>
    <cellStyle name="Calculation 14" xfId="2104"/>
    <cellStyle name="Calculation 15" xfId="2105"/>
    <cellStyle name="Calculation 16" xfId="2106"/>
    <cellStyle name="Calculation 16 2" xfId="2107"/>
    <cellStyle name="Calculation 16_Configuration" xfId="2108"/>
    <cellStyle name="Calculation 17" xfId="2109"/>
    <cellStyle name="Calculation 2" xfId="2110"/>
    <cellStyle name="Calculation 2 10" xfId="2111"/>
    <cellStyle name="Calculation 2 11" xfId="2112"/>
    <cellStyle name="Calculation 2 12" xfId="2113"/>
    <cellStyle name="Calculation 2 2" xfId="2114"/>
    <cellStyle name="Calculation 2 2 2" xfId="2115"/>
    <cellStyle name="Calculation 2 2_Admin" xfId="2116"/>
    <cellStyle name="Calculation 2 3" xfId="2117"/>
    <cellStyle name="Calculation 2 4" xfId="2118"/>
    <cellStyle name="Calculation 2 5" xfId="2119"/>
    <cellStyle name="Calculation 2 6" xfId="2120"/>
    <cellStyle name="Calculation 2 7" xfId="2121"/>
    <cellStyle name="Calculation 2 8" xfId="2122"/>
    <cellStyle name="Calculation 2 9" xfId="2123"/>
    <cellStyle name="Calculation 2_LLT Script Reviews" xfId="2124"/>
    <cellStyle name="Calculation 3" xfId="2125"/>
    <cellStyle name="Calculation 3 2" xfId="2126"/>
    <cellStyle name="Calculation 3_Admin" xfId="2127"/>
    <cellStyle name="Calculation 4" xfId="2128"/>
    <cellStyle name="Calculation 4 10" xfId="2129"/>
    <cellStyle name="Calculation 4 11" xfId="2130"/>
    <cellStyle name="Calculation 4 12" xfId="2131"/>
    <cellStyle name="Calculation 4 13" xfId="2132"/>
    <cellStyle name="Calculation 4 14" xfId="2133"/>
    <cellStyle name="Calculation 4 15" xfId="2134"/>
    <cellStyle name="Calculation 4 16" xfId="2135"/>
    <cellStyle name="Calculation 4 2" xfId="2136"/>
    <cellStyle name="Calculation 4 3" xfId="2137"/>
    <cellStyle name="Calculation 4 4" xfId="2138"/>
    <cellStyle name="Calculation 4 5" xfId="2139"/>
    <cellStyle name="Calculation 4 6" xfId="2140"/>
    <cellStyle name="Calculation 4 7" xfId="2141"/>
    <cellStyle name="Calculation 4 8" xfId="2142"/>
    <cellStyle name="Calculation 4 9" xfId="2143"/>
    <cellStyle name="Calculation 5" xfId="2144"/>
    <cellStyle name="Calculation 5 10" xfId="2145"/>
    <cellStyle name="Calculation 5 11" xfId="2146"/>
    <cellStyle name="Calculation 5 12" xfId="2147"/>
    <cellStyle name="Calculation 5 2" xfId="2148"/>
    <cellStyle name="Calculation 5 3" xfId="2149"/>
    <cellStyle name="Calculation 5 4" xfId="2150"/>
    <cellStyle name="Calculation 5 5" xfId="2151"/>
    <cellStyle name="Calculation 5 6" xfId="2152"/>
    <cellStyle name="Calculation 5 7" xfId="2153"/>
    <cellStyle name="Calculation 5 8" xfId="2154"/>
    <cellStyle name="Calculation 5 9" xfId="2155"/>
    <cellStyle name="Calculation 5_Progress" xfId="2156"/>
    <cellStyle name="Calculation 6" xfId="2157"/>
    <cellStyle name="Calculation 6 10" xfId="2158"/>
    <cellStyle name="Calculation 6 11" xfId="2159"/>
    <cellStyle name="Calculation 6 12" xfId="2160"/>
    <cellStyle name="Calculation 6 2" xfId="2161"/>
    <cellStyle name="Calculation 6 3" xfId="2162"/>
    <cellStyle name="Calculation 6 4" xfId="2163"/>
    <cellStyle name="Calculation 6 5" xfId="2164"/>
    <cellStyle name="Calculation 6 6" xfId="2165"/>
    <cellStyle name="Calculation 6 7" xfId="2166"/>
    <cellStyle name="Calculation 6 8" xfId="2167"/>
    <cellStyle name="Calculation 6 9" xfId="2168"/>
    <cellStyle name="Calculation 6_Progress" xfId="2169"/>
    <cellStyle name="Calculation 7" xfId="2170"/>
    <cellStyle name="Calculation 7 10" xfId="2171"/>
    <cellStyle name="Calculation 7 11" xfId="2172"/>
    <cellStyle name="Calculation 7 12" xfId="2173"/>
    <cellStyle name="Calculation 7 2" xfId="2174"/>
    <cellStyle name="Calculation 7 3" xfId="2175"/>
    <cellStyle name="Calculation 7 4" xfId="2176"/>
    <cellStyle name="Calculation 7 5" xfId="2177"/>
    <cellStyle name="Calculation 7 6" xfId="2178"/>
    <cellStyle name="Calculation 7 7" xfId="2179"/>
    <cellStyle name="Calculation 7 8" xfId="2180"/>
    <cellStyle name="Calculation 7 9" xfId="2181"/>
    <cellStyle name="Calculation 7_Progress" xfId="2182"/>
    <cellStyle name="Calculation 8" xfId="2183"/>
    <cellStyle name="Calculation 9" xfId="2184"/>
    <cellStyle name="Check Cell 10" xfId="2185"/>
    <cellStyle name="Check Cell 11" xfId="2186"/>
    <cellStyle name="Check Cell 12" xfId="2187"/>
    <cellStyle name="Check Cell 13" xfId="2188"/>
    <cellStyle name="Check Cell 14" xfId="2189"/>
    <cellStyle name="Check Cell 15" xfId="2190"/>
    <cellStyle name="Check Cell 2" xfId="2191"/>
    <cellStyle name="Check Cell 2 10" xfId="2192"/>
    <cellStyle name="Check Cell 2 11" xfId="2193"/>
    <cellStyle name="Check Cell 2 12" xfId="2194"/>
    <cellStyle name="Check Cell 2 2" xfId="2195"/>
    <cellStyle name="Check Cell 2 3" xfId="2196"/>
    <cellStyle name="Check Cell 2 4" xfId="2197"/>
    <cellStyle name="Check Cell 2 5" xfId="2198"/>
    <cellStyle name="Check Cell 2 6" xfId="2199"/>
    <cellStyle name="Check Cell 2 7" xfId="2200"/>
    <cellStyle name="Check Cell 2 8" xfId="2201"/>
    <cellStyle name="Check Cell 2 9" xfId="2202"/>
    <cellStyle name="Check Cell 3" xfId="2203"/>
    <cellStyle name="Check Cell 4" xfId="2204"/>
    <cellStyle name="Check Cell 5" xfId="2205"/>
    <cellStyle name="Check Cell 6" xfId="2206"/>
    <cellStyle name="Check Cell 7" xfId="2207"/>
    <cellStyle name="Check Cell 8" xfId="2208"/>
    <cellStyle name="Check Cell 9" xfId="2209"/>
    <cellStyle name="Currency 2" xfId="2210"/>
    <cellStyle name="Euro" xfId="2211"/>
    <cellStyle name="Euro 10" xfId="2212"/>
    <cellStyle name="Euro 11" xfId="2213"/>
    <cellStyle name="Euro 12" xfId="2214"/>
    <cellStyle name="Euro 13" xfId="2215"/>
    <cellStyle name="Euro 14" xfId="2216"/>
    <cellStyle name="Euro 14 2" xfId="2217"/>
    <cellStyle name="Euro 14 3" xfId="2218"/>
    <cellStyle name="Euro 14 4" xfId="2219"/>
    <cellStyle name="Euro 14 5" xfId="2220"/>
    <cellStyle name="Euro 14_Review_Checklist" xfId="2221"/>
    <cellStyle name="Euro 15" xfId="2222"/>
    <cellStyle name="Euro 15 2" xfId="2223"/>
    <cellStyle name="Euro 15_Review_Checklist" xfId="2224"/>
    <cellStyle name="Euro 16" xfId="2225"/>
    <cellStyle name="Euro 16 2" xfId="2226"/>
    <cellStyle name="Euro 16_Review_Checklist" xfId="2227"/>
    <cellStyle name="Euro 17" xfId="2228"/>
    <cellStyle name="Euro 17 2" xfId="2229"/>
    <cellStyle name="Euro 17_Review_Checklist" xfId="2230"/>
    <cellStyle name="Euro 18" xfId="2231"/>
    <cellStyle name="Euro 18 2" xfId="2232"/>
    <cellStyle name="Euro 18_Review_Checklist" xfId="2233"/>
    <cellStyle name="Euro 19" xfId="2234"/>
    <cellStyle name="Euro 19 2" xfId="2235"/>
    <cellStyle name="Euro 19_Review_Checklist" xfId="2236"/>
    <cellStyle name="Euro 2" xfId="2237"/>
    <cellStyle name="Euro 2 2" xfId="2238"/>
    <cellStyle name="Euro 2 2 2" xfId="2239"/>
    <cellStyle name="Euro 2 2_Review_Checklist" xfId="2240"/>
    <cellStyle name="Euro 2_Sheet1" xfId="2241"/>
    <cellStyle name="Euro 20" xfId="2242"/>
    <cellStyle name="Euro 20 2" xfId="2243"/>
    <cellStyle name="Euro 20_Review_Checklist" xfId="2244"/>
    <cellStyle name="Euro 21" xfId="2245"/>
    <cellStyle name="Euro 21 2" xfId="2246"/>
    <cellStyle name="Euro 21_Review_Checklist" xfId="2247"/>
    <cellStyle name="Euro 22" xfId="2248"/>
    <cellStyle name="Euro 22 2" xfId="2249"/>
    <cellStyle name="Euro 22_Review_Checklist" xfId="2250"/>
    <cellStyle name="Euro 23" xfId="2251"/>
    <cellStyle name="Euro 23 2" xfId="2252"/>
    <cellStyle name="Euro 23_Review_Checklist" xfId="2253"/>
    <cellStyle name="Euro 24" xfId="2254"/>
    <cellStyle name="Euro 24 2" xfId="2255"/>
    <cellStyle name="Euro 24_Review_Checklist" xfId="2256"/>
    <cellStyle name="Euro 25" xfId="2257"/>
    <cellStyle name="Euro 25 2" xfId="2258"/>
    <cellStyle name="Euro 25_Review_Checklist" xfId="2259"/>
    <cellStyle name="Euro 26" xfId="2260"/>
    <cellStyle name="Euro 26 2" xfId="2261"/>
    <cellStyle name="Euro 26_Review_Checklist" xfId="2262"/>
    <cellStyle name="Euro 27" xfId="2263"/>
    <cellStyle name="Euro 28" xfId="2264"/>
    <cellStyle name="Euro 3" xfId="2265"/>
    <cellStyle name="Euro 4" xfId="2266"/>
    <cellStyle name="Euro 5" xfId="2267"/>
    <cellStyle name="Euro 6" xfId="2268"/>
    <cellStyle name="Euro 7" xfId="2269"/>
    <cellStyle name="Euro 8" xfId="2270"/>
    <cellStyle name="Euro 9" xfId="2271"/>
    <cellStyle name="Euro_LLT Script Reviews" xfId="2272"/>
    <cellStyle name="Excel Built-in Normal" xfId="2273"/>
    <cellStyle name="Explanatory Text 10" xfId="2274"/>
    <cellStyle name="Explanatory Text 11" xfId="2275"/>
    <cellStyle name="Explanatory Text 12" xfId="2276"/>
    <cellStyle name="Explanatory Text 13" xfId="2277"/>
    <cellStyle name="Explanatory Text 14" xfId="2278"/>
    <cellStyle name="Explanatory Text 15" xfId="2279"/>
    <cellStyle name="Explanatory Text 2" xfId="2280"/>
    <cellStyle name="Explanatory Text 2 10" xfId="2281"/>
    <cellStyle name="Explanatory Text 2 11" xfId="2282"/>
    <cellStyle name="Explanatory Text 2 12" xfId="2283"/>
    <cellStyle name="Explanatory Text 2 2" xfId="2284"/>
    <cellStyle name="Explanatory Text 2 3" xfId="2285"/>
    <cellStyle name="Explanatory Text 2 4" xfId="2286"/>
    <cellStyle name="Explanatory Text 2 5" xfId="2287"/>
    <cellStyle name="Explanatory Text 2 6" xfId="2288"/>
    <cellStyle name="Explanatory Text 2 7" xfId="2289"/>
    <cellStyle name="Explanatory Text 2 8" xfId="2290"/>
    <cellStyle name="Explanatory Text 2 9" xfId="2291"/>
    <cellStyle name="Explanatory Text 3" xfId="2292"/>
    <cellStyle name="Explanatory Text 4" xfId="2293"/>
    <cellStyle name="Explanatory Text 5" xfId="2294"/>
    <cellStyle name="Explanatory Text 6" xfId="2295"/>
    <cellStyle name="Explanatory Text 7" xfId="2296"/>
    <cellStyle name="Explanatory Text 8" xfId="2297"/>
    <cellStyle name="Explanatory Text 9" xfId="2298"/>
    <cellStyle name="Good 10" xfId="2299"/>
    <cellStyle name="Good 11" xfId="2300"/>
    <cellStyle name="Good 12" xfId="2301"/>
    <cellStyle name="Good 13" xfId="2302"/>
    <cellStyle name="Good 14" xfId="2303"/>
    <cellStyle name="Good 15" xfId="2304"/>
    <cellStyle name="Good 16" xfId="2305"/>
    <cellStyle name="Good 16 2" xfId="2306"/>
    <cellStyle name="Good 16_Configuration" xfId="2307"/>
    <cellStyle name="Good 17" xfId="2308"/>
    <cellStyle name="Good 2" xfId="2309"/>
    <cellStyle name="Good 2 10" xfId="2310"/>
    <cellStyle name="Good 2 11" xfId="2311"/>
    <cellStyle name="Good 2 12" xfId="2312"/>
    <cellStyle name="Good 2 2" xfId="2313"/>
    <cellStyle name="Good 2 2 2" xfId="2314"/>
    <cellStyle name="Good 2 2_Admin" xfId="2315"/>
    <cellStyle name="Good 2 3" xfId="2316"/>
    <cellStyle name="Good 2 4" xfId="2317"/>
    <cellStyle name="Good 2 5" xfId="2318"/>
    <cellStyle name="Good 2 6" xfId="2319"/>
    <cellStyle name="Good 2 7" xfId="2320"/>
    <cellStyle name="Good 2 8" xfId="2321"/>
    <cellStyle name="Good 2 9" xfId="2322"/>
    <cellStyle name="Good 2_LLT Script Reviews" xfId="2323"/>
    <cellStyle name="Good 3" xfId="2324"/>
    <cellStyle name="Good 3 2" xfId="2325"/>
    <cellStyle name="Good 3_Admin" xfId="2326"/>
    <cellStyle name="Good 4" xfId="2327"/>
    <cellStyle name="Good 4 10" xfId="2328"/>
    <cellStyle name="Good 4 11" xfId="2329"/>
    <cellStyle name="Good 4 12" xfId="2330"/>
    <cellStyle name="Good 4 13" xfId="2331"/>
    <cellStyle name="Good 4 14" xfId="2332"/>
    <cellStyle name="Good 4 15" xfId="2333"/>
    <cellStyle name="Good 4 16" xfId="2334"/>
    <cellStyle name="Good 4 2" xfId="2335"/>
    <cellStyle name="Good 4 3" xfId="2336"/>
    <cellStyle name="Good 4 4" xfId="2337"/>
    <cellStyle name="Good 4 5" xfId="2338"/>
    <cellStyle name="Good 4 6" xfId="2339"/>
    <cellStyle name="Good 4 7" xfId="2340"/>
    <cellStyle name="Good 4 8" xfId="2341"/>
    <cellStyle name="Good 4 9" xfId="2342"/>
    <cellStyle name="Good 5" xfId="2343"/>
    <cellStyle name="Good 5 10" xfId="2344"/>
    <cellStyle name="Good 5 11" xfId="2345"/>
    <cellStyle name="Good 5 12" xfId="2346"/>
    <cellStyle name="Good 5 2" xfId="2347"/>
    <cellStyle name="Good 5 3" xfId="2348"/>
    <cellStyle name="Good 5 4" xfId="2349"/>
    <cellStyle name="Good 5 5" xfId="2350"/>
    <cellStyle name="Good 5 6" xfId="2351"/>
    <cellStyle name="Good 5 7" xfId="2352"/>
    <cellStyle name="Good 5 8" xfId="2353"/>
    <cellStyle name="Good 5 9" xfId="2354"/>
    <cellStyle name="Good 5_Progress" xfId="2355"/>
    <cellStyle name="Good 6" xfId="2356"/>
    <cellStyle name="Good 6 10" xfId="2357"/>
    <cellStyle name="Good 6 11" xfId="2358"/>
    <cellStyle name="Good 6 12" xfId="2359"/>
    <cellStyle name="Good 6 2" xfId="2360"/>
    <cellStyle name="Good 6 3" xfId="2361"/>
    <cellStyle name="Good 6 4" xfId="2362"/>
    <cellStyle name="Good 6 5" xfId="2363"/>
    <cellStyle name="Good 6 6" xfId="2364"/>
    <cellStyle name="Good 6 7" xfId="2365"/>
    <cellStyle name="Good 6 8" xfId="2366"/>
    <cellStyle name="Good 6 9" xfId="2367"/>
    <cellStyle name="Good 6_Progress" xfId="2368"/>
    <cellStyle name="Good 7" xfId="2369"/>
    <cellStyle name="Good 7 10" xfId="2370"/>
    <cellStyle name="Good 7 11" xfId="2371"/>
    <cellStyle name="Good 7 12" xfId="2372"/>
    <cellStyle name="Good 7 2" xfId="2373"/>
    <cellStyle name="Good 7 3" xfId="2374"/>
    <cellStyle name="Good 7 4" xfId="2375"/>
    <cellStyle name="Good 7 5" xfId="2376"/>
    <cellStyle name="Good 7 6" xfId="2377"/>
    <cellStyle name="Good 7 7" xfId="2378"/>
    <cellStyle name="Good 7 8" xfId="2379"/>
    <cellStyle name="Good 7 9" xfId="2380"/>
    <cellStyle name="Good 7_Progress" xfId="2381"/>
    <cellStyle name="Good 8" xfId="2382"/>
    <cellStyle name="Good 9" xfId="2383"/>
    <cellStyle name="Heading 1 10" xfId="2384"/>
    <cellStyle name="Heading 1 11" xfId="2385"/>
    <cellStyle name="Heading 1 12" xfId="2386"/>
    <cellStyle name="Heading 1 13" xfId="2387"/>
    <cellStyle name="Heading 1 14" xfId="2388"/>
    <cellStyle name="Heading 1 15" xfId="2389"/>
    <cellStyle name="Heading 1 16" xfId="2390"/>
    <cellStyle name="Heading 1 16 2" xfId="2391"/>
    <cellStyle name="Heading 1 16 3" xfId="2392"/>
    <cellStyle name="Heading 1 16 3 2" xfId="2393"/>
    <cellStyle name="Heading 1 16 3_Configuration" xfId="2394"/>
    <cellStyle name="Heading 1 16_Configuration" xfId="2395"/>
    <cellStyle name="Heading 1 17" xfId="2396"/>
    <cellStyle name="Heading 1 2" xfId="2397"/>
    <cellStyle name="Heading 1 2 10" xfId="2398"/>
    <cellStyle name="Heading 1 2 11" xfId="2399"/>
    <cellStyle name="Heading 1 2 12" xfId="2400"/>
    <cellStyle name="Heading 1 2 2" xfId="2401"/>
    <cellStyle name="Heading 1 2 2 2" xfId="2402"/>
    <cellStyle name="Heading 1 2 2_Admin" xfId="2403"/>
    <cellStyle name="Heading 1 2 3" xfId="2404"/>
    <cellStyle name="Heading 1 2 4" xfId="2405"/>
    <cellStyle name="Heading 1 2 5" xfId="2406"/>
    <cellStyle name="Heading 1 2 6" xfId="2407"/>
    <cellStyle name="Heading 1 2 7" xfId="2408"/>
    <cellStyle name="Heading 1 2 8" xfId="2409"/>
    <cellStyle name="Heading 1 2 9" xfId="2410"/>
    <cellStyle name="Heading 1 2_LLT Script Reviews" xfId="2411"/>
    <cellStyle name="Heading 1 3" xfId="2412"/>
    <cellStyle name="Heading 1 3 2" xfId="2413"/>
    <cellStyle name="Heading 1 3_Admin" xfId="2414"/>
    <cellStyle name="Heading 1 4" xfId="2415"/>
    <cellStyle name="Heading 1 4 10" xfId="2416"/>
    <cellStyle name="Heading 1 4 11" xfId="2417"/>
    <cellStyle name="Heading 1 4 12" xfId="2418"/>
    <cellStyle name="Heading 1 4 13" xfId="2419"/>
    <cellStyle name="Heading 1 4 14" xfId="2420"/>
    <cellStyle name="Heading 1 4 15" xfId="2421"/>
    <cellStyle name="Heading 1 4 16" xfId="2422"/>
    <cellStyle name="Heading 1 4 2" xfId="2423"/>
    <cellStyle name="Heading 1 4 3" xfId="2424"/>
    <cellStyle name="Heading 1 4 4" xfId="2425"/>
    <cellStyle name="Heading 1 4 5" xfId="2426"/>
    <cellStyle name="Heading 1 4 6" xfId="2427"/>
    <cellStyle name="Heading 1 4 7" xfId="2428"/>
    <cellStyle name="Heading 1 4 8" xfId="2429"/>
    <cellStyle name="Heading 1 4 9" xfId="2430"/>
    <cellStyle name="Heading 1 5" xfId="2431"/>
    <cellStyle name="Heading 1 5 10" xfId="2432"/>
    <cellStyle name="Heading 1 5 11" xfId="2433"/>
    <cellStyle name="Heading 1 5 12" xfId="2434"/>
    <cellStyle name="Heading 1 5 2" xfId="2435"/>
    <cellStyle name="Heading 1 5 3" xfId="2436"/>
    <cellStyle name="Heading 1 5 4" xfId="2437"/>
    <cellStyle name="Heading 1 5 5" xfId="2438"/>
    <cellStyle name="Heading 1 5 6" xfId="2439"/>
    <cellStyle name="Heading 1 5 7" xfId="2440"/>
    <cellStyle name="Heading 1 5 8" xfId="2441"/>
    <cellStyle name="Heading 1 5 9" xfId="2442"/>
    <cellStyle name="Heading 1 5_Progress" xfId="2443"/>
    <cellStyle name="Heading 1 6" xfId="2444"/>
    <cellStyle name="Heading 1 6 10" xfId="2445"/>
    <cellStyle name="Heading 1 6 11" xfId="2446"/>
    <cellStyle name="Heading 1 6 12" xfId="2447"/>
    <cellStyle name="Heading 1 6 2" xfId="2448"/>
    <cellStyle name="Heading 1 6 3" xfId="2449"/>
    <cellStyle name="Heading 1 6 4" xfId="2450"/>
    <cellStyle name="Heading 1 6 5" xfId="2451"/>
    <cellStyle name="Heading 1 6 6" xfId="2452"/>
    <cellStyle name="Heading 1 6 7" xfId="2453"/>
    <cellStyle name="Heading 1 6 8" xfId="2454"/>
    <cellStyle name="Heading 1 6 9" xfId="2455"/>
    <cellStyle name="Heading 1 6_Progress" xfId="2456"/>
    <cellStyle name="Heading 1 7" xfId="2457"/>
    <cellStyle name="Heading 1 7 10" xfId="2458"/>
    <cellStyle name="Heading 1 7 11" xfId="2459"/>
    <cellStyle name="Heading 1 7 12" xfId="2460"/>
    <cellStyle name="Heading 1 7 2" xfId="2461"/>
    <cellStyle name="Heading 1 7 3" xfId="2462"/>
    <cellStyle name="Heading 1 7 4" xfId="2463"/>
    <cellStyle name="Heading 1 7 5" xfId="2464"/>
    <cellStyle name="Heading 1 7 6" xfId="2465"/>
    <cellStyle name="Heading 1 7 7" xfId="2466"/>
    <cellStyle name="Heading 1 7 8" xfId="2467"/>
    <cellStyle name="Heading 1 7 9" xfId="2468"/>
    <cellStyle name="Heading 1 7_Progress" xfId="2469"/>
    <cellStyle name="Heading 1 8" xfId="2470"/>
    <cellStyle name="Heading 1 9" xfId="2471"/>
    <cellStyle name="Heading 2 10" xfId="2472"/>
    <cellStyle name="Heading 2 11" xfId="2473"/>
    <cellStyle name="Heading 2 12" xfId="2474"/>
    <cellStyle name="Heading 2 13" xfId="2475"/>
    <cellStyle name="Heading 2 14" xfId="2476"/>
    <cellStyle name="Heading 2 15" xfId="2477"/>
    <cellStyle name="Heading 2 16" xfId="2478"/>
    <cellStyle name="Heading 2 16 2" xfId="2479"/>
    <cellStyle name="Heading 2 16 3" xfId="2480"/>
    <cellStyle name="Heading 2 16 3 2" xfId="2481"/>
    <cellStyle name="Heading 2 16 3_Configuration" xfId="2482"/>
    <cellStyle name="Heading 2 16_Configuration" xfId="2483"/>
    <cellStyle name="Heading 2 17" xfId="2484"/>
    <cellStyle name="Heading 2 2" xfId="2485"/>
    <cellStyle name="Heading 2 2 10" xfId="2486"/>
    <cellStyle name="Heading 2 2 11" xfId="2487"/>
    <cellStyle name="Heading 2 2 12" xfId="2488"/>
    <cellStyle name="Heading 2 2 2" xfId="2489"/>
    <cellStyle name="Heading 2 2 2 2" xfId="2490"/>
    <cellStyle name="Heading 2 2 2_Admin" xfId="2491"/>
    <cellStyle name="Heading 2 2 3" xfId="2492"/>
    <cellStyle name="Heading 2 2 4" xfId="2493"/>
    <cellStyle name="Heading 2 2 5" xfId="2494"/>
    <cellStyle name="Heading 2 2 6" xfId="2495"/>
    <cellStyle name="Heading 2 2 7" xfId="2496"/>
    <cellStyle name="Heading 2 2 8" xfId="2497"/>
    <cellStyle name="Heading 2 2 9" xfId="2498"/>
    <cellStyle name="Heading 2 2_LLT Script Reviews" xfId="2499"/>
    <cellStyle name="Heading 2 3" xfId="2500"/>
    <cellStyle name="Heading 2 3 2" xfId="2501"/>
    <cellStyle name="Heading 2 3_Admin" xfId="2502"/>
    <cellStyle name="Heading 2 4" xfId="2503"/>
    <cellStyle name="Heading 2 4 10" xfId="2504"/>
    <cellStyle name="Heading 2 4 11" xfId="2505"/>
    <cellStyle name="Heading 2 4 12" xfId="2506"/>
    <cellStyle name="Heading 2 4 13" xfId="2507"/>
    <cellStyle name="Heading 2 4 14" xfId="2508"/>
    <cellStyle name="Heading 2 4 15" xfId="2509"/>
    <cellStyle name="Heading 2 4 16" xfId="2510"/>
    <cellStyle name="Heading 2 4 2" xfId="2511"/>
    <cellStyle name="Heading 2 4 3" xfId="2512"/>
    <cellStyle name="Heading 2 4 4" xfId="2513"/>
    <cellStyle name="Heading 2 4 5" xfId="2514"/>
    <cellStyle name="Heading 2 4 6" xfId="2515"/>
    <cellStyle name="Heading 2 4 7" xfId="2516"/>
    <cellStyle name="Heading 2 4 8" xfId="2517"/>
    <cellStyle name="Heading 2 4 9" xfId="2518"/>
    <cellStyle name="Heading 2 5" xfId="2519"/>
    <cellStyle name="Heading 2 5 10" xfId="2520"/>
    <cellStyle name="Heading 2 5 11" xfId="2521"/>
    <cellStyle name="Heading 2 5 12" xfId="2522"/>
    <cellStyle name="Heading 2 5 2" xfId="2523"/>
    <cellStyle name="Heading 2 5 3" xfId="2524"/>
    <cellStyle name="Heading 2 5 4" xfId="2525"/>
    <cellStyle name="Heading 2 5 5" xfId="2526"/>
    <cellStyle name="Heading 2 5 6" xfId="2527"/>
    <cellStyle name="Heading 2 5 7" xfId="2528"/>
    <cellStyle name="Heading 2 5 8" xfId="2529"/>
    <cellStyle name="Heading 2 5 9" xfId="2530"/>
    <cellStyle name="Heading 2 5_Progress" xfId="2531"/>
    <cellStyle name="Heading 2 6" xfId="2532"/>
    <cellStyle name="Heading 2 6 10" xfId="2533"/>
    <cellStyle name="Heading 2 6 11" xfId="2534"/>
    <cellStyle name="Heading 2 6 12" xfId="2535"/>
    <cellStyle name="Heading 2 6 2" xfId="2536"/>
    <cellStyle name="Heading 2 6 3" xfId="2537"/>
    <cellStyle name="Heading 2 6 4" xfId="2538"/>
    <cellStyle name="Heading 2 6 5" xfId="2539"/>
    <cellStyle name="Heading 2 6 6" xfId="2540"/>
    <cellStyle name="Heading 2 6 7" xfId="2541"/>
    <cellStyle name="Heading 2 6 8" xfId="2542"/>
    <cellStyle name="Heading 2 6 9" xfId="2543"/>
    <cellStyle name="Heading 2 6_Progress" xfId="2544"/>
    <cellStyle name="Heading 2 7" xfId="2545"/>
    <cellStyle name="Heading 2 7 10" xfId="2546"/>
    <cellStyle name="Heading 2 7 11" xfId="2547"/>
    <cellStyle name="Heading 2 7 12" xfId="2548"/>
    <cellStyle name="Heading 2 7 2" xfId="2549"/>
    <cellStyle name="Heading 2 7 3" xfId="2550"/>
    <cellStyle name="Heading 2 7 4" xfId="2551"/>
    <cellStyle name="Heading 2 7 5" xfId="2552"/>
    <cellStyle name="Heading 2 7 6" xfId="2553"/>
    <cellStyle name="Heading 2 7 7" xfId="2554"/>
    <cellStyle name="Heading 2 7 8" xfId="2555"/>
    <cellStyle name="Heading 2 7 9" xfId="2556"/>
    <cellStyle name="Heading 2 7_Progress" xfId="2557"/>
    <cellStyle name="Heading 2 8" xfId="2558"/>
    <cellStyle name="Heading 2 9" xfId="2559"/>
    <cellStyle name="Heading 3 10" xfId="2560"/>
    <cellStyle name="Heading 3 11" xfId="2561"/>
    <cellStyle name="Heading 3 12" xfId="2562"/>
    <cellStyle name="Heading 3 13" xfId="2563"/>
    <cellStyle name="Heading 3 14" xfId="2564"/>
    <cellStyle name="Heading 3 15" xfId="2565"/>
    <cellStyle name="Heading 3 16" xfId="2566"/>
    <cellStyle name="Heading 3 16 2" xfId="2567"/>
    <cellStyle name="Heading 3 16 3" xfId="2568"/>
    <cellStyle name="Heading 3 16 3 2" xfId="2569"/>
    <cellStyle name="Heading 3 16 3_Configuration" xfId="2570"/>
    <cellStyle name="Heading 3 16_Configuration" xfId="2571"/>
    <cellStyle name="Heading 3 17" xfId="2572"/>
    <cellStyle name="Heading 3 2" xfId="2573"/>
    <cellStyle name="Heading 3 2 10" xfId="2574"/>
    <cellStyle name="Heading 3 2 11" xfId="2575"/>
    <cellStyle name="Heading 3 2 12" xfId="2576"/>
    <cellStyle name="Heading 3 2 2" xfId="2577"/>
    <cellStyle name="Heading 3 2 2 2" xfId="2578"/>
    <cellStyle name="Heading 3 2 2_Admin" xfId="2579"/>
    <cellStyle name="Heading 3 2 3" xfId="2580"/>
    <cellStyle name="Heading 3 2 4" xfId="2581"/>
    <cellStyle name="Heading 3 2 5" xfId="2582"/>
    <cellStyle name="Heading 3 2 6" xfId="2583"/>
    <cellStyle name="Heading 3 2 7" xfId="2584"/>
    <cellStyle name="Heading 3 2 8" xfId="2585"/>
    <cellStyle name="Heading 3 2 9" xfId="2586"/>
    <cellStyle name="Heading 3 2_LLT Script Reviews" xfId="2587"/>
    <cellStyle name="Heading 3 3" xfId="2588"/>
    <cellStyle name="Heading 3 3 2" xfId="2589"/>
    <cellStyle name="Heading 3 3_Admin" xfId="2590"/>
    <cellStyle name="Heading 3 4" xfId="2591"/>
    <cellStyle name="Heading 3 4 10" xfId="2592"/>
    <cellStyle name="Heading 3 4 11" xfId="2593"/>
    <cellStyle name="Heading 3 4 12" xfId="2594"/>
    <cellStyle name="Heading 3 4 13" xfId="2595"/>
    <cellStyle name="Heading 3 4 14" xfId="2596"/>
    <cellStyle name="Heading 3 4 15" xfId="2597"/>
    <cellStyle name="Heading 3 4 16" xfId="2598"/>
    <cellStyle name="Heading 3 4 2" xfId="2599"/>
    <cellStyle name="Heading 3 4 3" xfId="2600"/>
    <cellStyle name="Heading 3 4 4" xfId="2601"/>
    <cellStyle name="Heading 3 4 5" xfId="2602"/>
    <cellStyle name="Heading 3 4 6" xfId="2603"/>
    <cellStyle name="Heading 3 4 7" xfId="2604"/>
    <cellStyle name="Heading 3 4 8" xfId="2605"/>
    <cellStyle name="Heading 3 4 9" xfId="2606"/>
    <cellStyle name="Heading 3 5" xfId="2607"/>
    <cellStyle name="Heading 3 5 10" xfId="2608"/>
    <cellStyle name="Heading 3 5 11" xfId="2609"/>
    <cellStyle name="Heading 3 5 12" xfId="2610"/>
    <cellStyle name="Heading 3 5 2" xfId="2611"/>
    <cellStyle name="Heading 3 5 3" xfId="2612"/>
    <cellStyle name="Heading 3 5 4" xfId="2613"/>
    <cellStyle name="Heading 3 5 5" xfId="2614"/>
    <cellStyle name="Heading 3 5 6" xfId="2615"/>
    <cellStyle name="Heading 3 5 7" xfId="2616"/>
    <cellStyle name="Heading 3 5 8" xfId="2617"/>
    <cellStyle name="Heading 3 5 9" xfId="2618"/>
    <cellStyle name="Heading 3 5_Progress" xfId="2619"/>
    <cellStyle name="Heading 3 6" xfId="2620"/>
    <cellStyle name="Heading 3 6 10" xfId="2621"/>
    <cellStyle name="Heading 3 6 11" xfId="2622"/>
    <cellStyle name="Heading 3 6 12" xfId="2623"/>
    <cellStyle name="Heading 3 6 2" xfId="2624"/>
    <cellStyle name="Heading 3 6 3" xfId="2625"/>
    <cellStyle name="Heading 3 6 4" xfId="2626"/>
    <cellStyle name="Heading 3 6 5" xfId="2627"/>
    <cellStyle name="Heading 3 6 6" xfId="2628"/>
    <cellStyle name="Heading 3 6 7" xfId="2629"/>
    <cellStyle name="Heading 3 6 8" xfId="2630"/>
    <cellStyle name="Heading 3 6 9" xfId="2631"/>
    <cellStyle name="Heading 3 6_Progress" xfId="2632"/>
    <cellStyle name="Heading 3 7" xfId="2633"/>
    <cellStyle name="Heading 3 7 10" xfId="2634"/>
    <cellStyle name="Heading 3 7 11" xfId="2635"/>
    <cellStyle name="Heading 3 7 12" xfId="2636"/>
    <cellStyle name="Heading 3 7 2" xfId="2637"/>
    <cellStyle name="Heading 3 7 3" xfId="2638"/>
    <cellStyle name="Heading 3 7 4" xfId="2639"/>
    <cellStyle name="Heading 3 7 5" xfId="2640"/>
    <cellStyle name="Heading 3 7 6" xfId="2641"/>
    <cellStyle name="Heading 3 7 7" xfId="2642"/>
    <cellStyle name="Heading 3 7 8" xfId="2643"/>
    <cellStyle name="Heading 3 7 9" xfId="2644"/>
    <cellStyle name="Heading 3 7_Progress" xfId="2645"/>
    <cellStyle name="Heading 3 8" xfId="2646"/>
    <cellStyle name="Heading 3 9" xfId="2647"/>
    <cellStyle name="Heading 4 10" xfId="2648"/>
    <cellStyle name="Heading 4 11" xfId="2649"/>
    <cellStyle name="Heading 4 12" xfId="2650"/>
    <cellStyle name="Heading 4 13" xfId="2651"/>
    <cellStyle name="Heading 4 14" xfId="2652"/>
    <cellStyle name="Heading 4 15" xfId="2653"/>
    <cellStyle name="Heading 4 16" xfId="2654"/>
    <cellStyle name="Heading 4 16 2" xfId="2655"/>
    <cellStyle name="Heading 4 16 3" xfId="2656"/>
    <cellStyle name="Heading 4 16 3 2" xfId="2657"/>
    <cellStyle name="Heading 4 16 3_Configuration" xfId="2658"/>
    <cellStyle name="Heading 4 16_Configuration" xfId="2659"/>
    <cellStyle name="Heading 4 17" xfId="2660"/>
    <cellStyle name="Heading 4 2" xfId="2661"/>
    <cellStyle name="Heading 4 2 10" xfId="2662"/>
    <cellStyle name="Heading 4 2 11" xfId="2663"/>
    <cellStyle name="Heading 4 2 12" xfId="2664"/>
    <cellStyle name="Heading 4 2 2" xfId="2665"/>
    <cellStyle name="Heading 4 2 2 2" xfId="2666"/>
    <cellStyle name="Heading 4 2 2_Admin" xfId="2667"/>
    <cellStyle name="Heading 4 2 3" xfId="2668"/>
    <cellStyle name="Heading 4 2 4" xfId="2669"/>
    <cellStyle name="Heading 4 2 5" xfId="2670"/>
    <cellStyle name="Heading 4 2 6" xfId="2671"/>
    <cellStyle name="Heading 4 2 7" xfId="2672"/>
    <cellStyle name="Heading 4 2 8" xfId="2673"/>
    <cellStyle name="Heading 4 2 9" xfId="2674"/>
    <cellStyle name="Heading 4 2_LLT Script Reviews" xfId="2675"/>
    <cellStyle name="Heading 4 3" xfId="2676"/>
    <cellStyle name="Heading 4 3 2" xfId="2677"/>
    <cellStyle name="Heading 4 3_Admin" xfId="2678"/>
    <cellStyle name="Heading 4 4" xfId="2679"/>
    <cellStyle name="Heading 4 4 10" xfId="2680"/>
    <cellStyle name="Heading 4 4 11" xfId="2681"/>
    <cellStyle name="Heading 4 4 12" xfId="2682"/>
    <cellStyle name="Heading 4 4 13" xfId="2683"/>
    <cellStyle name="Heading 4 4 14" xfId="2684"/>
    <cellStyle name="Heading 4 4 15" xfId="2685"/>
    <cellStyle name="Heading 4 4 16" xfId="2686"/>
    <cellStyle name="Heading 4 4 2" xfId="2687"/>
    <cellStyle name="Heading 4 4 3" xfId="2688"/>
    <cellStyle name="Heading 4 4 4" xfId="2689"/>
    <cellStyle name="Heading 4 4 5" xfId="2690"/>
    <cellStyle name="Heading 4 4 6" xfId="2691"/>
    <cellStyle name="Heading 4 4 7" xfId="2692"/>
    <cellStyle name="Heading 4 4 8" xfId="2693"/>
    <cellStyle name="Heading 4 4 9" xfId="2694"/>
    <cellStyle name="Heading 4 5" xfId="2695"/>
    <cellStyle name="Heading 4 5 10" xfId="2696"/>
    <cellStyle name="Heading 4 5 11" xfId="2697"/>
    <cellStyle name="Heading 4 5 12" xfId="2698"/>
    <cellStyle name="Heading 4 5 2" xfId="2699"/>
    <cellStyle name="Heading 4 5 3" xfId="2700"/>
    <cellStyle name="Heading 4 5 4" xfId="2701"/>
    <cellStyle name="Heading 4 5 5" xfId="2702"/>
    <cellStyle name="Heading 4 5 6" xfId="2703"/>
    <cellStyle name="Heading 4 5 7" xfId="2704"/>
    <cellStyle name="Heading 4 5 8" xfId="2705"/>
    <cellStyle name="Heading 4 5 9" xfId="2706"/>
    <cellStyle name="Heading 4 5_Progress" xfId="2707"/>
    <cellStyle name="Heading 4 6" xfId="2708"/>
    <cellStyle name="Heading 4 6 10" xfId="2709"/>
    <cellStyle name="Heading 4 6 11" xfId="2710"/>
    <cellStyle name="Heading 4 6 12" xfId="2711"/>
    <cellStyle name="Heading 4 6 2" xfId="2712"/>
    <cellStyle name="Heading 4 6 3" xfId="2713"/>
    <cellStyle name="Heading 4 6 4" xfId="2714"/>
    <cellStyle name="Heading 4 6 5" xfId="2715"/>
    <cellStyle name="Heading 4 6 6" xfId="2716"/>
    <cellStyle name="Heading 4 6 7" xfId="2717"/>
    <cellStyle name="Heading 4 6 8" xfId="2718"/>
    <cellStyle name="Heading 4 6 9" xfId="2719"/>
    <cellStyle name="Heading 4 6_Progress" xfId="2720"/>
    <cellStyle name="Heading 4 7" xfId="2721"/>
    <cellStyle name="Heading 4 7 10" xfId="2722"/>
    <cellStyle name="Heading 4 7 11" xfId="2723"/>
    <cellStyle name="Heading 4 7 12" xfId="2724"/>
    <cellStyle name="Heading 4 7 2" xfId="2725"/>
    <cellStyle name="Heading 4 7 3" xfId="2726"/>
    <cellStyle name="Heading 4 7 4" xfId="2727"/>
    <cellStyle name="Heading 4 7 5" xfId="2728"/>
    <cellStyle name="Heading 4 7 6" xfId="2729"/>
    <cellStyle name="Heading 4 7 7" xfId="2730"/>
    <cellStyle name="Heading 4 7 8" xfId="2731"/>
    <cellStyle name="Heading 4 7 9" xfId="2732"/>
    <cellStyle name="Heading 4 7_Progress" xfId="2733"/>
    <cellStyle name="Heading 4 8" xfId="2734"/>
    <cellStyle name="Heading 4 9" xfId="2735"/>
    <cellStyle name="Hide Errors" xfId="2736"/>
    <cellStyle name="Hyperlink 10" xfId="2737"/>
    <cellStyle name="Hyperlink 2" xfId="2738"/>
    <cellStyle name="Hyperlink 3" xfId="2739"/>
    <cellStyle name="Hyperlink 4" xfId="2740"/>
    <cellStyle name="Hyperlink 5" xfId="2741"/>
    <cellStyle name="Hyperlink 6" xfId="2742"/>
    <cellStyle name="Hyperlink 7" xfId="2743"/>
    <cellStyle name="Hyperlink 8" xfId="2744"/>
    <cellStyle name="Hyperlink 9" xfId="2745"/>
    <cellStyle name="Input 10" xfId="2746"/>
    <cellStyle name="Input 11" xfId="2747"/>
    <cellStyle name="Input 12" xfId="2748"/>
    <cellStyle name="Input 13" xfId="2749"/>
    <cellStyle name="Input 14" xfId="2750"/>
    <cellStyle name="Input 15" xfId="2751"/>
    <cellStyle name="Input 16" xfId="2752"/>
    <cellStyle name="Input 16 2" xfId="2753"/>
    <cellStyle name="Input 16_Configuration" xfId="2754"/>
    <cellStyle name="Input 17" xfId="2755"/>
    <cellStyle name="Input 2" xfId="2756"/>
    <cellStyle name="Input 2 10" xfId="2757"/>
    <cellStyle name="Input 2 11" xfId="2758"/>
    <cellStyle name="Input 2 12" xfId="2759"/>
    <cellStyle name="Input 2 2" xfId="2760"/>
    <cellStyle name="Input 2 2 2" xfId="2761"/>
    <cellStyle name="Input 2 2_Admin" xfId="2762"/>
    <cellStyle name="Input 2 3" xfId="2763"/>
    <cellStyle name="Input 2 4" xfId="2764"/>
    <cellStyle name="Input 2 5" xfId="2765"/>
    <cellStyle name="Input 2 6" xfId="2766"/>
    <cellStyle name="Input 2 7" xfId="2767"/>
    <cellStyle name="Input 2 8" xfId="2768"/>
    <cellStyle name="Input 2 9" xfId="2769"/>
    <cellStyle name="Input 2_LLT Script Reviews" xfId="2770"/>
    <cellStyle name="Input 3" xfId="2771"/>
    <cellStyle name="Input 3 2" xfId="2772"/>
    <cellStyle name="Input 3_Admin" xfId="2773"/>
    <cellStyle name="Input 4" xfId="2774"/>
    <cellStyle name="Input 4 10" xfId="2775"/>
    <cellStyle name="Input 4 11" xfId="2776"/>
    <cellStyle name="Input 4 12" xfId="2777"/>
    <cellStyle name="Input 4 13" xfId="2778"/>
    <cellStyle name="Input 4 14" xfId="2779"/>
    <cellStyle name="Input 4 15" xfId="2780"/>
    <cellStyle name="Input 4 16" xfId="2781"/>
    <cellStyle name="Input 4 2" xfId="2782"/>
    <cellStyle name="Input 4 3" xfId="2783"/>
    <cellStyle name="Input 4 4" xfId="2784"/>
    <cellStyle name="Input 4 5" xfId="2785"/>
    <cellStyle name="Input 4 6" xfId="2786"/>
    <cellStyle name="Input 4 7" xfId="2787"/>
    <cellStyle name="Input 4 8" xfId="2788"/>
    <cellStyle name="Input 4 9" xfId="2789"/>
    <cellStyle name="Input 5" xfId="2790"/>
    <cellStyle name="Input 5 10" xfId="2791"/>
    <cellStyle name="Input 5 11" xfId="2792"/>
    <cellStyle name="Input 5 12" xfId="2793"/>
    <cellStyle name="Input 5 2" xfId="2794"/>
    <cellStyle name="Input 5 3" xfId="2795"/>
    <cellStyle name="Input 5 4" xfId="2796"/>
    <cellStyle name="Input 5 5" xfId="2797"/>
    <cellStyle name="Input 5 6" xfId="2798"/>
    <cellStyle name="Input 5 7" xfId="2799"/>
    <cellStyle name="Input 5 8" xfId="2800"/>
    <cellStyle name="Input 5 9" xfId="2801"/>
    <cellStyle name="Input 5_Progress" xfId="2802"/>
    <cellStyle name="Input 6" xfId="2803"/>
    <cellStyle name="Input 6 10" xfId="2804"/>
    <cellStyle name="Input 6 11" xfId="2805"/>
    <cellStyle name="Input 6 12" xfId="2806"/>
    <cellStyle name="Input 6 2" xfId="2807"/>
    <cellStyle name="Input 6 3" xfId="2808"/>
    <cellStyle name="Input 6 4" xfId="2809"/>
    <cellStyle name="Input 6 5" xfId="2810"/>
    <cellStyle name="Input 6 6" xfId="2811"/>
    <cellStyle name="Input 6 7" xfId="2812"/>
    <cellStyle name="Input 6 8" xfId="2813"/>
    <cellStyle name="Input 6 9" xfId="2814"/>
    <cellStyle name="Input 6_Progress" xfId="2815"/>
    <cellStyle name="Input 7" xfId="2816"/>
    <cellStyle name="Input 7 10" xfId="2817"/>
    <cellStyle name="Input 7 11" xfId="2818"/>
    <cellStyle name="Input 7 12" xfId="2819"/>
    <cellStyle name="Input 7 2" xfId="2820"/>
    <cellStyle name="Input 7 3" xfId="2821"/>
    <cellStyle name="Input 7 4" xfId="2822"/>
    <cellStyle name="Input 7 5" xfId="2823"/>
    <cellStyle name="Input 7 6" xfId="2824"/>
    <cellStyle name="Input 7 7" xfId="2825"/>
    <cellStyle name="Input 7 8" xfId="2826"/>
    <cellStyle name="Input 7 9" xfId="2827"/>
    <cellStyle name="Input 7_Progress" xfId="2828"/>
    <cellStyle name="Input 8" xfId="2829"/>
    <cellStyle name="Input 9" xfId="2830"/>
    <cellStyle name="Leading Zero" xfId="2831"/>
    <cellStyle name="Leading Zero 2" xfId="2832"/>
    <cellStyle name="Leading Zero 2 2" xfId="2833"/>
    <cellStyle name="Leading Zero 2 2 2" xfId="2834"/>
    <cellStyle name="Leading Zero 2 2_AS FULL Tag Trades" xfId="2835"/>
    <cellStyle name="Leading Zero 2 3" xfId="2836"/>
    <cellStyle name="Leading Zero 2 3 2" xfId="2837"/>
    <cellStyle name="Leading Zero 2 3_AS FULL Tag Trades" xfId="2838"/>
    <cellStyle name="Leading Zero 2 4" xfId="2839"/>
    <cellStyle name="Leading Zero 2 4 2" xfId="2840"/>
    <cellStyle name="Leading Zero 2 4_AS FULL Tag Trades" xfId="2841"/>
    <cellStyle name="Leading Zero 2 5" xfId="2842"/>
    <cellStyle name="Leading Zero 2 5 2" xfId="2843"/>
    <cellStyle name="Leading Zero 2 5_AS FULL Tag Trades" xfId="2844"/>
    <cellStyle name="Leading Zero 2 6" xfId="2845"/>
    <cellStyle name="Leading Zero 2 6 2" xfId="2846"/>
    <cellStyle name="Leading Zero 2 6_AS FULL Tag Trades" xfId="2847"/>
    <cellStyle name="Leading Zero 2 7" xfId="2848"/>
    <cellStyle name="Leading Zero 2 7 2" xfId="2849"/>
    <cellStyle name="Leading Zero 2 7_AS FULL Tag Trades" xfId="2850"/>
    <cellStyle name="Leading Zero 2 8" xfId="2851"/>
    <cellStyle name="Leading Zero 2 9" xfId="2852"/>
    <cellStyle name="Leading Zero 2_Admin" xfId="2853"/>
    <cellStyle name="Leading Zero 3" xfId="2854"/>
    <cellStyle name="Leading Zero 3 2" xfId="2855"/>
    <cellStyle name="Leading Zero 3 2 2" xfId="2856"/>
    <cellStyle name="Leading Zero 3 2_AS FULL Tag Trades" xfId="2857"/>
    <cellStyle name="Leading Zero 3 3" xfId="2858"/>
    <cellStyle name="Leading Zero 3 3 2" xfId="2859"/>
    <cellStyle name="Leading Zero 3 3_AS FULL Tag Trades" xfId="2860"/>
    <cellStyle name="Leading Zero 3 4" xfId="2861"/>
    <cellStyle name="Leading Zero 3 4 2" xfId="2862"/>
    <cellStyle name="Leading Zero 3 4_AS FULL Tag Trades" xfId="2863"/>
    <cellStyle name="Leading Zero 3 5" xfId="2864"/>
    <cellStyle name="Leading Zero 3 5 2" xfId="2865"/>
    <cellStyle name="Leading Zero 3 5_AS FULL Tag Trades" xfId="2866"/>
    <cellStyle name="Leading Zero 3 6" xfId="2867"/>
    <cellStyle name="Leading Zero 3 6 2" xfId="2868"/>
    <cellStyle name="Leading Zero 3 6_AS FULL Tag Trades" xfId="2869"/>
    <cellStyle name="Leading Zero 3 7" xfId="2870"/>
    <cellStyle name="Leading Zero 3 7 2" xfId="2871"/>
    <cellStyle name="Leading Zero 3 7_AS FULL Tag Trades" xfId="2872"/>
    <cellStyle name="Leading Zero 3 8" xfId="2873"/>
    <cellStyle name="Leading Zero 3_AS FULL Tag Trades" xfId="2874"/>
    <cellStyle name="Leading Zero 4" xfId="2875"/>
    <cellStyle name="Leading Zero 4 2" xfId="2876"/>
    <cellStyle name="Leading Zero 4 2 2" xfId="2877"/>
    <cellStyle name="Leading Zero 4 2_AS FULL Tag Trades" xfId="2878"/>
    <cellStyle name="Leading Zero 4 3" xfId="2879"/>
    <cellStyle name="Leading Zero 4 3 2" xfId="2880"/>
    <cellStyle name="Leading Zero 4 3_AS FULL Tag Trades" xfId="2881"/>
    <cellStyle name="Leading Zero 4 4" xfId="2882"/>
    <cellStyle name="Leading Zero 4 4 2" xfId="2883"/>
    <cellStyle name="Leading Zero 4 4_AS FULL Tag Trades" xfId="2884"/>
    <cellStyle name="Leading Zero 4 5" xfId="2885"/>
    <cellStyle name="Leading Zero 4 5 2" xfId="2886"/>
    <cellStyle name="Leading Zero 4 5_AS FULL Tag Trades" xfId="2887"/>
    <cellStyle name="Leading Zero 4 6" xfId="2888"/>
    <cellStyle name="Leading Zero 4 6 2" xfId="2889"/>
    <cellStyle name="Leading Zero 4 6_AS FULL Tag Trades" xfId="2890"/>
    <cellStyle name="Leading Zero 4 7" xfId="2891"/>
    <cellStyle name="Leading Zero 4 7 2" xfId="2892"/>
    <cellStyle name="Leading Zero 4 7_AS FULL Tag Trades" xfId="2893"/>
    <cellStyle name="Leading Zero 4 8" xfId="2894"/>
    <cellStyle name="Leading Zero 4_AS FULL Tag Trades" xfId="2895"/>
    <cellStyle name="Leading Zero_Admin" xfId="2896"/>
    <cellStyle name="Linked Cell 10" xfId="2897"/>
    <cellStyle name="Linked Cell 11" xfId="2898"/>
    <cellStyle name="Linked Cell 12" xfId="2899"/>
    <cellStyle name="Linked Cell 13" xfId="2900"/>
    <cellStyle name="Linked Cell 14" xfId="2901"/>
    <cellStyle name="Linked Cell 15" xfId="2902"/>
    <cellStyle name="Linked Cell 16" xfId="2903"/>
    <cellStyle name="Linked Cell 16 2" xfId="2904"/>
    <cellStyle name="Linked Cell 16 3" xfId="2905"/>
    <cellStyle name="Linked Cell 16 3 2" xfId="2906"/>
    <cellStyle name="Linked Cell 16 3_Configuration" xfId="2907"/>
    <cellStyle name="Linked Cell 16_Configuration" xfId="2908"/>
    <cellStyle name="Linked Cell 17" xfId="2909"/>
    <cellStyle name="Linked Cell 2" xfId="2910"/>
    <cellStyle name="Linked Cell 2 10" xfId="2911"/>
    <cellStyle name="Linked Cell 2 11" xfId="2912"/>
    <cellStyle name="Linked Cell 2 12" xfId="2913"/>
    <cellStyle name="Linked Cell 2 2" xfId="2914"/>
    <cellStyle name="Linked Cell 2 2 2" xfId="2915"/>
    <cellStyle name="Linked Cell 2 2_Admin" xfId="2916"/>
    <cellStyle name="Linked Cell 2 3" xfId="2917"/>
    <cellStyle name="Linked Cell 2 4" xfId="2918"/>
    <cellStyle name="Linked Cell 2 5" xfId="2919"/>
    <cellStyle name="Linked Cell 2 6" xfId="2920"/>
    <cellStyle name="Linked Cell 2 7" xfId="2921"/>
    <cellStyle name="Linked Cell 2 8" xfId="2922"/>
    <cellStyle name="Linked Cell 2 9" xfId="2923"/>
    <cellStyle name="Linked Cell 2_LLT Script Reviews" xfId="2924"/>
    <cellStyle name="Linked Cell 3" xfId="2925"/>
    <cellStyle name="Linked Cell 3 2" xfId="2926"/>
    <cellStyle name="Linked Cell 3_Admin" xfId="2927"/>
    <cellStyle name="Linked Cell 4" xfId="2928"/>
    <cellStyle name="Linked Cell 4 10" xfId="2929"/>
    <cellStyle name="Linked Cell 4 11" xfId="2930"/>
    <cellStyle name="Linked Cell 4 12" xfId="2931"/>
    <cellStyle name="Linked Cell 4 13" xfId="2932"/>
    <cellStyle name="Linked Cell 4 14" xfId="2933"/>
    <cellStyle name="Linked Cell 4 15" xfId="2934"/>
    <cellStyle name="Linked Cell 4 16" xfId="2935"/>
    <cellStyle name="Linked Cell 4 2" xfId="2936"/>
    <cellStyle name="Linked Cell 4 3" xfId="2937"/>
    <cellStyle name="Linked Cell 4 4" xfId="2938"/>
    <cellStyle name="Linked Cell 4 5" xfId="2939"/>
    <cellStyle name="Linked Cell 4 6" xfId="2940"/>
    <cellStyle name="Linked Cell 4 7" xfId="2941"/>
    <cellStyle name="Linked Cell 4 8" xfId="2942"/>
    <cellStyle name="Linked Cell 4 9" xfId="2943"/>
    <cellStyle name="Linked Cell 5" xfId="2944"/>
    <cellStyle name="Linked Cell 5 10" xfId="2945"/>
    <cellStyle name="Linked Cell 5 11" xfId="2946"/>
    <cellStyle name="Linked Cell 5 12" xfId="2947"/>
    <cellStyle name="Linked Cell 5 2" xfId="2948"/>
    <cellStyle name="Linked Cell 5 3" xfId="2949"/>
    <cellStyle name="Linked Cell 5 4" xfId="2950"/>
    <cellStyle name="Linked Cell 5 5" xfId="2951"/>
    <cellStyle name="Linked Cell 5 6" xfId="2952"/>
    <cellStyle name="Linked Cell 5 7" xfId="2953"/>
    <cellStyle name="Linked Cell 5 8" xfId="2954"/>
    <cellStyle name="Linked Cell 5 9" xfId="2955"/>
    <cellStyle name="Linked Cell 5_Progress" xfId="2956"/>
    <cellStyle name="Linked Cell 6" xfId="2957"/>
    <cellStyle name="Linked Cell 6 10" xfId="2958"/>
    <cellStyle name="Linked Cell 6 11" xfId="2959"/>
    <cellStyle name="Linked Cell 6 12" xfId="2960"/>
    <cellStyle name="Linked Cell 6 2" xfId="2961"/>
    <cellStyle name="Linked Cell 6 3" xfId="2962"/>
    <cellStyle name="Linked Cell 6 4" xfId="2963"/>
    <cellStyle name="Linked Cell 6 5" xfId="2964"/>
    <cellStyle name="Linked Cell 6 6" xfId="2965"/>
    <cellStyle name="Linked Cell 6 7" xfId="2966"/>
    <cellStyle name="Linked Cell 6 8" xfId="2967"/>
    <cellStyle name="Linked Cell 6 9" xfId="2968"/>
    <cellStyle name="Linked Cell 6_Progress" xfId="2969"/>
    <cellStyle name="Linked Cell 7" xfId="2970"/>
    <cellStyle name="Linked Cell 7 10" xfId="2971"/>
    <cellStyle name="Linked Cell 7 11" xfId="2972"/>
    <cellStyle name="Linked Cell 7 12" xfId="2973"/>
    <cellStyle name="Linked Cell 7 2" xfId="2974"/>
    <cellStyle name="Linked Cell 7 3" xfId="2975"/>
    <cellStyle name="Linked Cell 7 4" xfId="2976"/>
    <cellStyle name="Linked Cell 7 5" xfId="2977"/>
    <cellStyle name="Linked Cell 7 6" xfId="2978"/>
    <cellStyle name="Linked Cell 7 7" xfId="2979"/>
    <cellStyle name="Linked Cell 7 8" xfId="2980"/>
    <cellStyle name="Linked Cell 7 9" xfId="2981"/>
    <cellStyle name="Linked Cell 7_Progress" xfId="2982"/>
    <cellStyle name="Linked Cell 8" xfId="2983"/>
    <cellStyle name="Linked Cell 9" xfId="2984"/>
    <cellStyle name="Minus (0)" xfId="2985"/>
    <cellStyle name="Minus (0) 10" xfId="2986"/>
    <cellStyle name="Minus (0) 10 2" xfId="2987"/>
    <cellStyle name="Minus (0) 10_AS FULL Tag Trades" xfId="2988"/>
    <cellStyle name="Minus (0) 11" xfId="2989"/>
    <cellStyle name="Minus (0) 11 2" xfId="2990"/>
    <cellStyle name="Minus (0) 11_AS FULL Tag Trades" xfId="2991"/>
    <cellStyle name="Minus (0) 12" xfId="2992"/>
    <cellStyle name="Minus (0) 12 2" xfId="2993"/>
    <cellStyle name="Minus (0) 12_AS FULL Tag Trades" xfId="2994"/>
    <cellStyle name="Minus (0) 13" xfId="2995"/>
    <cellStyle name="Minus (0) 13 2" xfId="2996"/>
    <cellStyle name="Minus (0) 13_AS FULL Tag Trades" xfId="2997"/>
    <cellStyle name="Minus (0) 14" xfId="2998"/>
    <cellStyle name="Minus (0) 14 2" xfId="2999"/>
    <cellStyle name="Minus (0) 14_AS FULL Tag Trades" xfId="3000"/>
    <cellStyle name="Minus (0) 15" xfId="3001"/>
    <cellStyle name="Minus (0) 15 2" xfId="3002"/>
    <cellStyle name="Minus (0) 15_AS FULL Tag Trades" xfId="3003"/>
    <cellStyle name="Minus (0) 16" xfId="3004"/>
    <cellStyle name="Minus (0) 17" xfId="3005"/>
    <cellStyle name="Minus (0) 18" xfId="3006"/>
    <cellStyle name="Minus (0) 19" xfId="3007"/>
    <cellStyle name="Minus (0) 2" xfId="3008"/>
    <cellStyle name="Minus (0) 2 10" xfId="3009"/>
    <cellStyle name="Minus (0) 2 10 2" xfId="3010"/>
    <cellStyle name="Minus (0) 2 10_AS FULL Tag Trades" xfId="3011"/>
    <cellStyle name="Minus (0) 2 11" xfId="3012"/>
    <cellStyle name="Minus (0) 2 11 2" xfId="3013"/>
    <cellStyle name="Minus (0) 2 11_AS FULL Tag Trades" xfId="3014"/>
    <cellStyle name="Minus (0) 2 12" xfId="3015"/>
    <cellStyle name="Minus (0) 2 12 2" xfId="3016"/>
    <cellStyle name="Minus (0) 2 12_AS FULL Tag Trades" xfId="3017"/>
    <cellStyle name="Minus (0) 2 13" xfId="3018"/>
    <cellStyle name="Minus (0) 2 13 2" xfId="3019"/>
    <cellStyle name="Minus (0) 2 13_AS FULL Tag Trades" xfId="3020"/>
    <cellStyle name="Minus (0) 2 14" xfId="3021"/>
    <cellStyle name="Minus (0) 2 14 2" xfId="3022"/>
    <cellStyle name="Minus (0) 2 14_AS FULL Tag Trades" xfId="3023"/>
    <cellStyle name="Minus (0) 2 15" xfId="3024"/>
    <cellStyle name="Minus (0) 2 15 2" xfId="3025"/>
    <cellStyle name="Minus (0) 2 15_AS FULL Tag Trades" xfId="3026"/>
    <cellStyle name="Minus (0) 2 16" xfId="3027"/>
    <cellStyle name="Minus (0) 2 2" xfId="3028"/>
    <cellStyle name="Minus (0) 2 2 2" xfId="3029"/>
    <cellStyle name="Minus (0) 2 2 2 2" xfId="3030"/>
    <cellStyle name="Minus (0) 2 2 2_AS FULL Tag Trades" xfId="3031"/>
    <cellStyle name="Minus (0) 2 2 3" xfId="3032"/>
    <cellStyle name="Minus (0) 2 2 4" xfId="3033"/>
    <cellStyle name="Minus (0) 2 2_Admin" xfId="3034"/>
    <cellStyle name="Minus (0) 2 3" xfId="3035"/>
    <cellStyle name="Minus (0) 2 3 2" xfId="3036"/>
    <cellStyle name="Minus (0) 2 3 3" xfId="3037"/>
    <cellStyle name="Minus (0) 2 3_AS FULL Tag Trades" xfId="3038"/>
    <cellStyle name="Minus (0) 2 4" xfId="3039"/>
    <cellStyle name="Minus (0) 2 4 2" xfId="3040"/>
    <cellStyle name="Minus (0) 2 4 3" xfId="3041"/>
    <cellStyle name="Minus (0) 2 4_AS FULL Tag Trades" xfId="3042"/>
    <cellStyle name="Minus (0) 2 5" xfId="3043"/>
    <cellStyle name="Minus (0) 2 5 2" xfId="3044"/>
    <cellStyle name="Minus (0) 2 5 3" xfId="3045"/>
    <cellStyle name="Minus (0) 2 5_AS FULL Tag Trades" xfId="3046"/>
    <cellStyle name="Minus (0) 2 6" xfId="3047"/>
    <cellStyle name="Minus (0) 2 6 2" xfId="3048"/>
    <cellStyle name="Minus (0) 2 6_AS FULL Tag Trades" xfId="3049"/>
    <cellStyle name="Minus (0) 2 7" xfId="3050"/>
    <cellStyle name="Minus (0) 2 7 2" xfId="3051"/>
    <cellStyle name="Minus (0) 2 7_AS FULL Tag Trades" xfId="3052"/>
    <cellStyle name="Minus (0) 2 8" xfId="3053"/>
    <cellStyle name="Minus (0) 2 8 2" xfId="3054"/>
    <cellStyle name="Minus (0) 2 8_Admin" xfId="3055"/>
    <cellStyle name="Minus (0) 2 9" xfId="3056"/>
    <cellStyle name="Minus (0) 2 9 2" xfId="3057"/>
    <cellStyle name="Minus (0) 2 9_Admin" xfId="3058"/>
    <cellStyle name="Minus (0) 2_Admin" xfId="3059"/>
    <cellStyle name="Minus (0) 20" xfId="3060"/>
    <cellStyle name="Minus (0) 21" xfId="3061"/>
    <cellStyle name="Minus (0) 22" xfId="3062"/>
    <cellStyle name="Minus (0) 23" xfId="3063"/>
    <cellStyle name="Minus (0) 24" xfId="3064"/>
    <cellStyle name="Minus (0) 25" xfId="3065"/>
    <cellStyle name="Minus (0) 26" xfId="3066"/>
    <cellStyle name="Minus (0) 27" xfId="3067"/>
    <cellStyle name="Minus (0) 28" xfId="3068"/>
    <cellStyle name="Minus (0) 29" xfId="3069"/>
    <cellStyle name="Minus (0) 3" xfId="3070"/>
    <cellStyle name="Minus (0) 3 2" xfId="3071"/>
    <cellStyle name="Minus (0) 3 2 2" xfId="3072"/>
    <cellStyle name="Minus (0) 3 2 3" xfId="3073"/>
    <cellStyle name="Minus (0) 3 2_AS FULL Tag Trades" xfId="3074"/>
    <cellStyle name="Minus (0) 3 3" xfId="3075"/>
    <cellStyle name="Minus (0) 3 3 2" xfId="3076"/>
    <cellStyle name="Minus (0) 3 3 3" xfId="3077"/>
    <cellStyle name="Minus (0) 3 3_AS FULL Tag Trades" xfId="3078"/>
    <cellStyle name="Minus (0) 3 4" xfId="3079"/>
    <cellStyle name="Minus (0) 3 4 2" xfId="3080"/>
    <cellStyle name="Minus (0) 3 4 3" xfId="3081"/>
    <cellStyle name="Minus (0) 3 4_AS FULL Tag Trades" xfId="3082"/>
    <cellStyle name="Minus (0) 3 5" xfId="3083"/>
    <cellStyle name="Minus (0) 3 5 2" xfId="3084"/>
    <cellStyle name="Minus (0) 3 5 3" xfId="3085"/>
    <cellStyle name="Minus (0) 3 5_AS FULL Tag Trades" xfId="3086"/>
    <cellStyle name="Minus (0) 3 6" xfId="3087"/>
    <cellStyle name="Minus (0) 3 6 2" xfId="3088"/>
    <cellStyle name="Minus (0) 3 6_AS FULL Tag Trades" xfId="3089"/>
    <cellStyle name="Minus (0) 3 7" xfId="3090"/>
    <cellStyle name="Minus (0) 3 7 2" xfId="3091"/>
    <cellStyle name="Minus (0) 3 7_AS FULL Tag Trades" xfId="3092"/>
    <cellStyle name="Minus (0) 3 8" xfId="3093"/>
    <cellStyle name="Minus (0) 3 9" xfId="3094"/>
    <cellStyle name="Minus (0) 3_Admin" xfId="3095"/>
    <cellStyle name="Minus (0) 30" xfId="3096"/>
    <cellStyle name="Minus (0) 31" xfId="3097"/>
    <cellStyle name="Minus (0) 32" xfId="3098"/>
    <cellStyle name="Minus (0) 33" xfId="3099"/>
    <cellStyle name="Minus (0) 34" xfId="3100"/>
    <cellStyle name="Minus (0) 4" xfId="3101"/>
    <cellStyle name="Minus (0) 4 2" xfId="3102"/>
    <cellStyle name="Minus (0) 4 2 2" xfId="3103"/>
    <cellStyle name="Minus (0) 4 2 3" xfId="3104"/>
    <cellStyle name="Minus (0) 4 2_AS FULL Tag Trades" xfId="3105"/>
    <cellStyle name="Minus (0) 4 3" xfId="3106"/>
    <cellStyle name="Minus (0) 4 3 2" xfId="3107"/>
    <cellStyle name="Minus (0) 4 3 3" xfId="3108"/>
    <cellStyle name="Minus (0) 4 3_AS FULL Tag Trades" xfId="3109"/>
    <cellStyle name="Minus (0) 4 4" xfId="3110"/>
    <cellStyle name="Minus (0) 4 4 2" xfId="3111"/>
    <cellStyle name="Minus (0) 4 4 3" xfId="3112"/>
    <cellStyle name="Minus (0) 4 4_AS FULL Tag Trades" xfId="3113"/>
    <cellStyle name="Minus (0) 4 5" xfId="3114"/>
    <cellStyle name="Minus (0) 4 5 2" xfId="3115"/>
    <cellStyle name="Minus (0) 4 5 3" xfId="3116"/>
    <cellStyle name="Minus (0) 4 5_AS FULL Tag Trades" xfId="3117"/>
    <cellStyle name="Minus (0) 4 6" xfId="3118"/>
    <cellStyle name="Minus (0) 4 6 2" xfId="3119"/>
    <cellStyle name="Minus (0) 4 6_AS FULL Tag Trades" xfId="3120"/>
    <cellStyle name="Minus (0) 4 7" xfId="3121"/>
    <cellStyle name="Minus (0) 4 7 2" xfId="3122"/>
    <cellStyle name="Minus (0) 4 7_AS FULL Tag Trades" xfId="3123"/>
    <cellStyle name="Minus (0) 4 8" xfId="3124"/>
    <cellStyle name="Minus (0) 4_AS FULL Tag Trades" xfId="3125"/>
    <cellStyle name="Minus (0) 5" xfId="3126"/>
    <cellStyle name="Minus (0) 5 2" xfId="3127"/>
    <cellStyle name="Minus (0) 5_AS FULL Tag Trades" xfId="3128"/>
    <cellStyle name="Minus (0) 6" xfId="3129"/>
    <cellStyle name="Minus (0) 6 2" xfId="3130"/>
    <cellStyle name="Minus (0) 6_Admin" xfId="3131"/>
    <cellStyle name="Minus (0) 7" xfId="3132"/>
    <cellStyle name="Minus (0) 7 2" xfId="3133"/>
    <cellStyle name="Minus (0) 7_AS FULL Tag Trades" xfId="3134"/>
    <cellStyle name="Minus (0) 8" xfId="3135"/>
    <cellStyle name="Minus (0) 8 2" xfId="3136"/>
    <cellStyle name="Minus (0) 8_AS FULL Tag Trades" xfId="3137"/>
    <cellStyle name="Minus (0) 9" xfId="3138"/>
    <cellStyle name="Minus (0) 9 2" xfId="3139"/>
    <cellStyle name="Minus (0) 9_AS FULL Tag Trades" xfId="3140"/>
    <cellStyle name="Minus (0)_Admin" xfId="3141"/>
    <cellStyle name="Minus (0.0)" xfId="3142"/>
    <cellStyle name="Minus (0.0) 2" xfId="3143"/>
    <cellStyle name="Minus (0.0) 2 2" xfId="3144"/>
    <cellStyle name="Minus (0.0) 2 2 2" xfId="3145"/>
    <cellStyle name="Minus (0.0) 2 2_AS FULL Tag Trades" xfId="3146"/>
    <cellStyle name="Minus (0.0) 2 3" xfId="3147"/>
    <cellStyle name="Minus (0.0) 2 3 2" xfId="3148"/>
    <cellStyle name="Minus (0.0) 2 3_AS FULL Tag Trades" xfId="3149"/>
    <cellStyle name="Minus (0.0) 2 4" xfId="3150"/>
    <cellStyle name="Minus (0.0) 2 4 2" xfId="3151"/>
    <cellStyle name="Minus (0.0) 2 4_AS FULL Tag Trades" xfId="3152"/>
    <cellStyle name="Minus (0.0) 2 5" xfId="3153"/>
    <cellStyle name="Minus (0.0) 2 5 2" xfId="3154"/>
    <cellStyle name="Minus (0.0) 2 5_AS FULL Tag Trades" xfId="3155"/>
    <cellStyle name="Minus (0.0) 2 6" xfId="3156"/>
    <cellStyle name="Minus (0.0) 2 6 2" xfId="3157"/>
    <cellStyle name="Minus (0.0) 2 6_AS FULL Tag Trades" xfId="3158"/>
    <cellStyle name="Minus (0.0) 2 7" xfId="3159"/>
    <cellStyle name="Minus (0.0) 2 7 2" xfId="3160"/>
    <cellStyle name="Minus (0.0) 2 7_AS FULL Tag Trades" xfId="3161"/>
    <cellStyle name="Minus (0.0) 2 8" xfId="3162"/>
    <cellStyle name="Minus (0.0) 2 9" xfId="3163"/>
    <cellStyle name="Minus (0.0) 2_Admin" xfId="3164"/>
    <cellStyle name="Minus (0.0) 3" xfId="3165"/>
    <cellStyle name="Minus (0.0) 3 2" xfId="3166"/>
    <cellStyle name="Minus (0.0) 3 2 2" xfId="3167"/>
    <cellStyle name="Minus (0.0) 3 2_AS FULL Tag Trades" xfId="3168"/>
    <cellStyle name="Minus (0.0) 3 3" xfId="3169"/>
    <cellStyle name="Minus (0.0) 3 3 2" xfId="3170"/>
    <cellStyle name="Minus (0.0) 3 3_AS FULL Tag Trades" xfId="3171"/>
    <cellStyle name="Minus (0.0) 3 4" xfId="3172"/>
    <cellStyle name="Minus (0.0) 3 4 2" xfId="3173"/>
    <cellStyle name="Minus (0.0) 3 4_AS FULL Tag Trades" xfId="3174"/>
    <cellStyle name="Minus (0.0) 3 5" xfId="3175"/>
    <cellStyle name="Minus (0.0) 3 5 2" xfId="3176"/>
    <cellStyle name="Minus (0.0) 3 5_AS FULL Tag Trades" xfId="3177"/>
    <cellStyle name="Minus (0.0) 3 6" xfId="3178"/>
    <cellStyle name="Minus (0.0) 3 6 2" xfId="3179"/>
    <cellStyle name="Minus (0.0) 3 6_AS FULL Tag Trades" xfId="3180"/>
    <cellStyle name="Minus (0.0) 3 7" xfId="3181"/>
    <cellStyle name="Minus (0.0) 3 7 2" xfId="3182"/>
    <cellStyle name="Minus (0.0) 3 7_AS FULL Tag Trades" xfId="3183"/>
    <cellStyle name="Minus (0.0) 3 8" xfId="3184"/>
    <cellStyle name="Minus (0.0) 3_AS FULL Tag Trades" xfId="3185"/>
    <cellStyle name="Minus (0.0) 4" xfId="3186"/>
    <cellStyle name="Minus (0.0) 4 2" xfId="3187"/>
    <cellStyle name="Minus (0.0) 4 2 2" xfId="3188"/>
    <cellStyle name="Minus (0.0) 4 2_AS FULL Tag Trades" xfId="3189"/>
    <cellStyle name="Minus (0.0) 4 3" xfId="3190"/>
    <cellStyle name="Minus (0.0) 4 3 2" xfId="3191"/>
    <cellStyle name="Minus (0.0) 4 3_AS FULL Tag Trades" xfId="3192"/>
    <cellStyle name="Minus (0.0) 4 4" xfId="3193"/>
    <cellStyle name="Minus (0.0) 4 4 2" xfId="3194"/>
    <cellStyle name="Minus (0.0) 4 4_AS FULL Tag Trades" xfId="3195"/>
    <cellStyle name="Minus (0.0) 4 5" xfId="3196"/>
    <cellStyle name="Minus (0.0) 4 5 2" xfId="3197"/>
    <cellStyle name="Minus (0.0) 4 5_AS FULL Tag Trades" xfId="3198"/>
    <cellStyle name="Minus (0.0) 4 6" xfId="3199"/>
    <cellStyle name="Minus (0.0) 4 6 2" xfId="3200"/>
    <cellStyle name="Minus (0.0) 4 6_AS FULL Tag Trades" xfId="3201"/>
    <cellStyle name="Minus (0.0) 4 7" xfId="3202"/>
    <cellStyle name="Minus (0.0) 4 7 2" xfId="3203"/>
    <cellStyle name="Minus (0.0) 4 7_AS FULL Tag Trades" xfId="3204"/>
    <cellStyle name="Minus (0.0) 4 8" xfId="3205"/>
    <cellStyle name="Minus (0.0) 4_AS FULL Tag Trades" xfId="3206"/>
    <cellStyle name="Minus (0.0)_Admin" xfId="3207"/>
    <cellStyle name="Minus (0.00)" xfId="3208"/>
    <cellStyle name="Minus (0.00) 10" xfId="3209"/>
    <cellStyle name="Minus (0.00) 10 2" xfId="3210"/>
    <cellStyle name="Minus (0.00) 10_AS FULL Tag Trades" xfId="3211"/>
    <cellStyle name="Minus (0.00) 11" xfId="3212"/>
    <cellStyle name="Minus (0.00) 11 2" xfId="3213"/>
    <cellStyle name="Minus (0.00) 11_AS FULL Tag Trades" xfId="3214"/>
    <cellStyle name="Minus (0.00) 12" xfId="3215"/>
    <cellStyle name="Minus (0.00) 12 2" xfId="3216"/>
    <cellStyle name="Minus (0.00) 12_AS FULL Tag Trades" xfId="3217"/>
    <cellStyle name="Minus (0.00) 13" xfId="3218"/>
    <cellStyle name="Minus (0.00) 13 2" xfId="3219"/>
    <cellStyle name="Minus (0.00) 13_AS FULL Tag Trades" xfId="3220"/>
    <cellStyle name="Minus (0.00) 14" xfId="3221"/>
    <cellStyle name="Minus (0.00) 14 2" xfId="3222"/>
    <cellStyle name="Minus (0.00) 14_AS FULL Tag Trades" xfId="3223"/>
    <cellStyle name="Minus (0.00) 15" xfId="3224"/>
    <cellStyle name="Minus (0.00) 15 2" xfId="3225"/>
    <cellStyle name="Minus (0.00) 15_AS FULL Tag Trades" xfId="3226"/>
    <cellStyle name="Minus (0.00) 16" xfId="3227"/>
    <cellStyle name="Minus (0.00) 17" xfId="3228"/>
    <cellStyle name="Minus (0.00) 18" xfId="3229"/>
    <cellStyle name="Minus (0.00) 19" xfId="3230"/>
    <cellStyle name="Minus (0.00) 2" xfId="3231"/>
    <cellStyle name="Minus (0.00) 2 10" xfId="3232"/>
    <cellStyle name="Minus (0.00) 2 10 2" xfId="3233"/>
    <cellStyle name="Minus (0.00) 2 10_AS FULL Tag Trades" xfId="3234"/>
    <cellStyle name="Minus (0.00) 2 11" xfId="3235"/>
    <cellStyle name="Minus (0.00) 2 11 2" xfId="3236"/>
    <cellStyle name="Minus (0.00) 2 11_AS FULL Tag Trades" xfId="3237"/>
    <cellStyle name="Minus (0.00) 2 12" xfId="3238"/>
    <cellStyle name="Minus (0.00) 2 12 2" xfId="3239"/>
    <cellStyle name="Minus (0.00) 2 12_AS FULL Tag Trades" xfId="3240"/>
    <cellStyle name="Minus (0.00) 2 13" xfId="3241"/>
    <cellStyle name="Minus (0.00) 2 13 2" xfId="3242"/>
    <cellStyle name="Minus (0.00) 2 13_AS FULL Tag Trades" xfId="3243"/>
    <cellStyle name="Minus (0.00) 2 14" xfId="3244"/>
    <cellStyle name="Minus (0.00) 2 14 2" xfId="3245"/>
    <cellStyle name="Minus (0.00) 2 14_AS FULL Tag Trades" xfId="3246"/>
    <cellStyle name="Minus (0.00) 2 15" xfId="3247"/>
    <cellStyle name="Minus (0.00) 2 15 2" xfId="3248"/>
    <cellStyle name="Minus (0.00) 2 15_AS FULL Tag Trades" xfId="3249"/>
    <cellStyle name="Minus (0.00) 2 16" xfId="3250"/>
    <cellStyle name="Minus (0.00) 2 2" xfId="3251"/>
    <cellStyle name="Minus (0.00) 2 2 2" xfId="3252"/>
    <cellStyle name="Minus (0.00) 2 2 2 2" xfId="3253"/>
    <cellStyle name="Minus (0.00) 2 2 2_AS FULL Tag Trades" xfId="3254"/>
    <cellStyle name="Minus (0.00) 2 2 3" xfId="3255"/>
    <cellStyle name="Minus (0.00) 2 2 4" xfId="3256"/>
    <cellStyle name="Minus (0.00) 2 2_Admin" xfId="3257"/>
    <cellStyle name="Minus (0.00) 2 3" xfId="3258"/>
    <cellStyle name="Minus (0.00) 2 3 2" xfId="3259"/>
    <cellStyle name="Minus (0.00) 2 3 3" xfId="3260"/>
    <cellStyle name="Minus (0.00) 2 3_AS FULL Tag Trades" xfId="3261"/>
    <cellStyle name="Minus (0.00) 2 4" xfId="3262"/>
    <cellStyle name="Minus (0.00) 2 4 2" xfId="3263"/>
    <cellStyle name="Minus (0.00) 2 4 3" xfId="3264"/>
    <cellStyle name="Minus (0.00) 2 4_AS FULL Tag Trades" xfId="3265"/>
    <cellStyle name="Minus (0.00) 2 5" xfId="3266"/>
    <cellStyle name="Minus (0.00) 2 5 2" xfId="3267"/>
    <cellStyle name="Minus (0.00) 2 5 3" xfId="3268"/>
    <cellStyle name="Minus (0.00) 2 5_AS FULL Tag Trades" xfId="3269"/>
    <cellStyle name="Minus (0.00) 2 6" xfId="3270"/>
    <cellStyle name="Minus (0.00) 2 6 2" xfId="3271"/>
    <cellStyle name="Minus (0.00) 2 6_AS FULL Tag Trades" xfId="3272"/>
    <cellStyle name="Minus (0.00) 2 7" xfId="3273"/>
    <cellStyle name="Minus (0.00) 2 7 2" xfId="3274"/>
    <cellStyle name="Minus (0.00) 2 7_AS FULL Tag Trades" xfId="3275"/>
    <cellStyle name="Minus (0.00) 2 8" xfId="3276"/>
    <cellStyle name="Minus (0.00) 2 8 2" xfId="3277"/>
    <cellStyle name="Minus (0.00) 2 8_Admin" xfId="3278"/>
    <cellStyle name="Minus (0.00) 2 9" xfId="3279"/>
    <cellStyle name="Minus (0.00) 2 9 2" xfId="3280"/>
    <cellStyle name="Minus (0.00) 2 9_Admin" xfId="3281"/>
    <cellStyle name="Minus (0.00) 2_Admin" xfId="3282"/>
    <cellStyle name="Minus (0.00) 20" xfId="3283"/>
    <cellStyle name="Minus (0.00) 21" xfId="3284"/>
    <cellStyle name="Minus (0.00) 22" xfId="3285"/>
    <cellStyle name="Minus (0.00) 23" xfId="3286"/>
    <cellStyle name="Minus (0.00) 24" xfId="3287"/>
    <cellStyle name="Minus (0.00) 25" xfId="3288"/>
    <cellStyle name="Minus (0.00) 26" xfId="3289"/>
    <cellStyle name="Minus (0.00) 27" xfId="3290"/>
    <cellStyle name="Minus (0.00) 28" xfId="3291"/>
    <cellStyle name="Minus (0.00) 29" xfId="3292"/>
    <cellStyle name="Minus (0.00) 3" xfId="3293"/>
    <cellStyle name="Minus (0.00) 3 2" xfId="3294"/>
    <cellStyle name="Minus (0.00) 3 2 2" xfId="3295"/>
    <cellStyle name="Minus (0.00) 3 2 3" xfId="3296"/>
    <cellStyle name="Minus (0.00) 3 2_AS FULL Tag Trades" xfId="3297"/>
    <cellStyle name="Minus (0.00) 3 3" xfId="3298"/>
    <cellStyle name="Minus (0.00) 3 3 2" xfId="3299"/>
    <cellStyle name="Minus (0.00) 3 3 3" xfId="3300"/>
    <cellStyle name="Minus (0.00) 3 3_AS FULL Tag Trades" xfId="3301"/>
    <cellStyle name="Minus (0.00) 3 4" xfId="3302"/>
    <cellStyle name="Minus (0.00) 3 4 2" xfId="3303"/>
    <cellStyle name="Minus (0.00) 3 4 3" xfId="3304"/>
    <cellStyle name="Minus (0.00) 3 4_AS FULL Tag Trades" xfId="3305"/>
    <cellStyle name="Minus (0.00) 3 5" xfId="3306"/>
    <cellStyle name="Minus (0.00) 3 5 2" xfId="3307"/>
    <cellStyle name="Minus (0.00) 3 5 3" xfId="3308"/>
    <cellStyle name="Minus (0.00) 3 5_AS FULL Tag Trades" xfId="3309"/>
    <cellStyle name="Minus (0.00) 3 6" xfId="3310"/>
    <cellStyle name="Minus (0.00) 3 6 2" xfId="3311"/>
    <cellStyle name="Minus (0.00) 3 6_AS FULL Tag Trades" xfId="3312"/>
    <cellStyle name="Minus (0.00) 3 7" xfId="3313"/>
    <cellStyle name="Minus (0.00) 3 7 2" xfId="3314"/>
    <cellStyle name="Minus (0.00) 3 7_AS FULL Tag Trades" xfId="3315"/>
    <cellStyle name="Minus (0.00) 3 8" xfId="3316"/>
    <cellStyle name="Minus (0.00) 3 9" xfId="3317"/>
    <cellStyle name="Minus (0.00) 3_Admin" xfId="3318"/>
    <cellStyle name="Minus (0.00) 30" xfId="3319"/>
    <cellStyle name="Minus (0.00) 31" xfId="3320"/>
    <cellStyle name="Minus (0.00) 32" xfId="3321"/>
    <cellStyle name="Minus (0.00) 33" xfId="3322"/>
    <cellStyle name="Minus (0.00) 34" xfId="3323"/>
    <cellStyle name="Minus (0.00) 4" xfId="3324"/>
    <cellStyle name="Minus (0.00) 4 2" xfId="3325"/>
    <cellStyle name="Minus (0.00) 4 2 2" xfId="3326"/>
    <cellStyle name="Minus (0.00) 4 2 3" xfId="3327"/>
    <cellStyle name="Minus (0.00) 4 2_AS FULL Tag Trades" xfId="3328"/>
    <cellStyle name="Minus (0.00) 4 3" xfId="3329"/>
    <cellStyle name="Minus (0.00) 4 3 2" xfId="3330"/>
    <cellStyle name="Minus (0.00) 4 3 3" xfId="3331"/>
    <cellStyle name="Minus (0.00) 4 3_AS FULL Tag Trades" xfId="3332"/>
    <cellStyle name="Minus (0.00) 4 4" xfId="3333"/>
    <cellStyle name="Minus (0.00) 4 4 2" xfId="3334"/>
    <cellStyle name="Minus (0.00) 4 4 3" xfId="3335"/>
    <cellStyle name="Minus (0.00) 4 4_AS FULL Tag Trades" xfId="3336"/>
    <cellStyle name="Minus (0.00) 4 5" xfId="3337"/>
    <cellStyle name="Minus (0.00) 4 5 2" xfId="3338"/>
    <cellStyle name="Minus (0.00) 4 5 3" xfId="3339"/>
    <cellStyle name="Minus (0.00) 4 5_AS FULL Tag Trades" xfId="3340"/>
    <cellStyle name="Minus (0.00) 4 6" xfId="3341"/>
    <cellStyle name="Minus (0.00) 4 6 2" xfId="3342"/>
    <cellStyle name="Minus (0.00) 4 6_AS FULL Tag Trades" xfId="3343"/>
    <cellStyle name="Minus (0.00) 4 7" xfId="3344"/>
    <cellStyle name="Minus (0.00) 4 7 2" xfId="3345"/>
    <cellStyle name="Minus (0.00) 4 7_AS FULL Tag Trades" xfId="3346"/>
    <cellStyle name="Minus (0.00) 4 8" xfId="3347"/>
    <cellStyle name="Minus (0.00) 4_AS FULL Tag Trades" xfId="3348"/>
    <cellStyle name="Minus (0.00) 5" xfId="3349"/>
    <cellStyle name="Minus (0.00) 5 2" xfId="3350"/>
    <cellStyle name="Minus (0.00) 5_AS FULL Tag Trades" xfId="3351"/>
    <cellStyle name="Minus (0.00) 6" xfId="3352"/>
    <cellStyle name="Minus (0.00) 6 2" xfId="3353"/>
    <cellStyle name="Minus (0.00) 6_Admin" xfId="3354"/>
    <cellStyle name="Minus (0.00) 7" xfId="3355"/>
    <cellStyle name="Minus (0.00) 7 2" xfId="3356"/>
    <cellStyle name="Minus (0.00) 7_AS FULL Tag Trades" xfId="3357"/>
    <cellStyle name="Minus (0.00) 8" xfId="3358"/>
    <cellStyle name="Minus (0.00) 8 2" xfId="3359"/>
    <cellStyle name="Minus (0.00) 8_AS FULL Tag Trades" xfId="3360"/>
    <cellStyle name="Minus (0.00) 9" xfId="3361"/>
    <cellStyle name="Minus (0.00) 9 2" xfId="3362"/>
    <cellStyle name="Minus (0.00) 9_AS FULL Tag Trades" xfId="3363"/>
    <cellStyle name="Minus (0.00)_Admin" xfId="3364"/>
    <cellStyle name="Neutral 10" xfId="3365"/>
    <cellStyle name="Neutral 11" xfId="3366"/>
    <cellStyle name="Neutral 12" xfId="3367"/>
    <cellStyle name="Neutral 13" xfId="3368"/>
    <cellStyle name="Neutral 14" xfId="3369"/>
    <cellStyle name="Neutral 15" xfId="3370"/>
    <cellStyle name="Neutral 16" xfId="3371"/>
    <cellStyle name="Neutral 16 2" xfId="3372"/>
    <cellStyle name="Neutral 16_Configuration" xfId="3373"/>
    <cellStyle name="Neutral 17" xfId="3374"/>
    <cellStyle name="Neutral 2" xfId="3375"/>
    <cellStyle name="Neutral 2 10" xfId="3376"/>
    <cellStyle name="Neutral 2 11" xfId="3377"/>
    <cellStyle name="Neutral 2 12" xfId="3378"/>
    <cellStyle name="Neutral 2 2" xfId="3379"/>
    <cellStyle name="Neutral 2 2 2" xfId="3380"/>
    <cellStyle name="Neutral 2 2_Admin" xfId="3381"/>
    <cellStyle name="Neutral 2 3" xfId="3382"/>
    <cellStyle name="Neutral 2 4" xfId="3383"/>
    <cellStyle name="Neutral 2 5" xfId="3384"/>
    <cellStyle name="Neutral 2 6" xfId="3385"/>
    <cellStyle name="Neutral 2 7" xfId="3386"/>
    <cellStyle name="Neutral 2 8" xfId="3387"/>
    <cellStyle name="Neutral 2 9" xfId="3388"/>
    <cellStyle name="Neutral 2_LLT Script Reviews" xfId="3389"/>
    <cellStyle name="Neutral 3" xfId="3390"/>
    <cellStyle name="Neutral 3 2" xfId="3391"/>
    <cellStyle name="Neutral 3_Admin" xfId="3392"/>
    <cellStyle name="Neutral 4" xfId="3393"/>
    <cellStyle name="Neutral 4 10" xfId="3394"/>
    <cellStyle name="Neutral 4 11" xfId="3395"/>
    <cellStyle name="Neutral 4 12" xfId="3396"/>
    <cellStyle name="Neutral 4 13" xfId="3397"/>
    <cellStyle name="Neutral 4 14" xfId="3398"/>
    <cellStyle name="Neutral 4 15" xfId="3399"/>
    <cellStyle name="Neutral 4 16" xfId="3400"/>
    <cellStyle name="Neutral 4 2" xfId="3401"/>
    <cellStyle name="Neutral 4 3" xfId="3402"/>
    <cellStyle name="Neutral 4 4" xfId="3403"/>
    <cellStyle name="Neutral 4 5" xfId="3404"/>
    <cellStyle name="Neutral 4 6" xfId="3405"/>
    <cellStyle name="Neutral 4 7" xfId="3406"/>
    <cellStyle name="Neutral 4 8" xfId="3407"/>
    <cellStyle name="Neutral 4 9" xfId="3408"/>
    <cellStyle name="Neutral 5" xfId="3409"/>
    <cellStyle name="Neutral 5 10" xfId="3410"/>
    <cellStyle name="Neutral 5 11" xfId="3411"/>
    <cellStyle name="Neutral 5 12" xfId="3412"/>
    <cellStyle name="Neutral 5 2" xfId="3413"/>
    <cellStyle name="Neutral 5 3" xfId="3414"/>
    <cellStyle name="Neutral 5 4" xfId="3415"/>
    <cellStyle name="Neutral 5 5" xfId="3416"/>
    <cellStyle name="Neutral 5 6" xfId="3417"/>
    <cellStyle name="Neutral 5 7" xfId="3418"/>
    <cellStyle name="Neutral 5 8" xfId="3419"/>
    <cellStyle name="Neutral 5 9" xfId="3420"/>
    <cellStyle name="Neutral 5_Progress" xfId="3421"/>
    <cellStyle name="Neutral 6" xfId="3422"/>
    <cellStyle name="Neutral 6 10" xfId="3423"/>
    <cellStyle name="Neutral 6 11" xfId="3424"/>
    <cellStyle name="Neutral 6 12" xfId="3425"/>
    <cellStyle name="Neutral 6 2" xfId="3426"/>
    <cellStyle name="Neutral 6 3" xfId="3427"/>
    <cellStyle name="Neutral 6 4" xfId="3428"/>
    <cellStyle name="Neutral 6 5" xfId="3429"/>
    <cellStyle name="Neutral 6 6" xfId="3430"/>
    <cellStyle name="Neutral 6 7" xfId="3431"/>
    <cellStyle name="Neutral 6 8" xfId="3432"/>
    <cellStyle name="Neutral 6 9" xfId="3433"/>
    <cellStyle name="Neutral 6_Progress" xfId="3434"/>
    <cellStyle name="Neutral 7" xfId="3435"/>
    <cellStyle name="Neutral 7 10" xfId="3436"/>
    <cellStyle name="Neutral 7 11" xfId="3437"/>
    <cellStyle name="Neutral 7 12" xfId="3438"/>
    <cellStyle name="Neutral 7 2" xfId="3439"/>
    <cellStyle name="Neutral 7 3" xfId="3440"/>
    <cellStyle name="Neutral 7 4" xfId="3441"/>
    <cellStyle name="Neutral 7 5" xfId="3442"/>
    <cellStyle name="Neutral 7 6" xfId="3443"/>
    <cellStyle name="Neutral 7 7" xfId="3444"/>
    <cellStyle name="Neutral 7 8" xfId="3445"/>
    <cellStyle name="Neutral 7 9" xfId="3446"/>
    <cellStyle name="Neutral 7_Progress" xfId="3447"/>
    <cellStyle name="Neutral 8" xfId="3448"/>
    <cellStyle name="Neutral 9" xfId="3449"/>
    <cellStyle name="Normal" xfId="0" builtinId="0"/>
    <cellStyle name="Normal 10" xfId="3450"/>
    <cellStyle name="Normal 10 10" xfId="3451"/>
    <cellStyle name="Normal 10 11" xfId="3452"/>
    <cellStyle name="Normal 10 12" xfId="3453"/>
    <cellStyle name="Normal 10 13" xfId="3454"/>
    <cellStyle name="Normal 10 14" xfId="3455"/>
    <cellStyle name="Normal 10 15" xfId="3456"/>
    <cellStyle name="Normal 10 16" xfId="3457"/>
    <cellStyle name="Normal 10 17" xfId="3458"/>
    <cellStyle name="Normal 10 18" xfId="3459"/>
    <cellStyle name="Normal 10 2" xfId="3460"/>
    <cellStyle name="Normal 10 2 2" xfId="3461"/>
    <cellStyle name="Normal 10 2_Admin" xfId="3462"/>
    <cellStyle name="Normal 10 24" xfId="3463"/>
    <cellStyle name="Normal 10 3" xfId="3464"/>
    <cellStyle name="Normal 10 3 2" xfId="3465"/>
    <cellStyle name="Normal 10 3_Admin" xfId="3466"/>
    <cellStyle name="Normal 10 4" xfId="3467"/>
    <cellStyle name="Normal 10 4 2" xfId="3468"/>
    <cellStyle name="Normal 10 4_Admin" xfId="3469"/>
    <cellStyle name="Normal 10 5" xfId="3470"/>
    <cellStyle name="Normal 10 6" xfId="3471"/>
    <cellStyle name="Normal 10 7" xfId="3472"/>
    <cellStyle name="Normal 10 8" xfId="3473"/>
    <cellStyle name="Normal 10 9" xfId="3474"/>
    <cellStyle name="Normal 10_Admin" xfId="3475"/>
    <cellStyle name="Normal 11" xfId="3476"/>
    <cellStyle name="Normal 11 2" xfId="3477"/>
    <cellStyle name="Normal 11 3" xfId="3478"/>
    <cellStyle name="Normal 11 4" xfId="3479"/>
    <cellStyle name="Normal 11_Admin" xfId="3480"/>
    <cellStyle name="Normal 12" xfId="3481"/>
    <cellStyle name="Normal 12 2" xfId="3482"/>
    <cellStyle name="Normal 13" xfId="3483"/>
    <cellStyle name="Normal 13 2" xfId="3484"/>
    <cellStyle name="Normal 13 2 2" xfId="3485"/>
    <cellStyle name="Normal 13 2_Admin" xfId="3486"/>
    <cellStyle name="Normal 13 3" xfId="3487"/>
    <cellStyle name="Normal 13_Admin" xfId="3488"/>
    <cellStyle name="Normal 14" xfId="3489"/>
    <cellStyle name="Normal 14 2" xfId="3490"/>
    <cellStyle name="Normal 14 3" xfId="3491"/>
    <cellStyle name="Normal 14_Admin" xfId="3492"/>
    <cellStyle name="Normal 15" xfId="3493"/>
    <cellStyle name="Normal 15 2" xfId="3494"/>
    <cellStyle name="Normal 16" xfId="3495"/>
    <cellStyle name="Normal 16 2" xfId="3496"/>
    <cellStyle name="Normal 17" xfId="3497"/>
    <cellStyle name="Normal 17 2" xfId="3498"/>
    <cellStyle name="Normal 17_Admin" xfId="3499"/>
    <cellStyle name="Normal 18" xfId="3500"/>
    <cellStyle name="Normal 18 2" xfId="3501"/>
    <cellStyle name="Normal 18 3" xfId="3502"/>
    <cellStyle name="Normal 18_Admin" xfId="3503"/>
    <cellStyle name="Normal 19" xfId="3504"/>
    <cellStyle name="Normal 19 2" xfId="3505"/>
    <cellStyle name="Normal 19 3" xfId="3506"/>
    <cellStyle name="Normal 19_Admin" xfId="3507"/>
    <cellStyle name="Normal 2" xfId="3508"/>
    <cellStyle name="Normal 2 10" xfId="3509"/>
    <cellStyle name="Normal 2 10 2" xfId="3510"/>
    <cellStyle name="Normal 2 10_Admin" xfId="3511"/>
    <cellStyle name="Normal 2 11" xfId="3512"/>
    <cellStyle name="Normal 2 11 2" xfId="3513"/>
    <cellStyle name="Normal 2 12" xfId="3514"/>
    <cellStyle name="Normal 2 13" xfId="3515"/>
    <cellStyle name="Normal 2 14" xfId="3516"/>
    <cellStyle name="Normal 2 15" xfId="3517"/>
    <cellStyle name="Normal 2 16" xfId="3518"/>
    <cellStyle name="Normal 2 17" xfId="3519"/>
    <cellStyle name="Normal 2 18" xfId="3520"/>
    <cellStyle name="Normal 2 19" xfId="3521"/>
    <cellStyle name="Normal 2 2" xfId="1"/>
    <cellStyle name="Normal 2 2 10" xfId="3522"/>
    <cellStyle name="Normal 2 2 11" xfId="3523"/>
    <cellStyle name="Normal 2 2 12" xfId="3524"/>
    <cellStyle name="Normal 2 2 2" xfId="3525"/>
    <cellStyle name="Normal 2 2 2 10" xfId="3526"/>
    <cellStyle name="Normal 2 2 2 11" xfId="3527"/>
    <cellStyle name="Normal 2 2 2 12" xfId="3528"/>
    <cellStyle name="Normal 2 2 2 13" xfId="3529"/>
    <cellStyle name="Normal 2 2 2 2" xfId="3530"/>
    <cellStyle name="Normal 2 2 2 2 10" xfId="3531"/>
    <cellStyle name="Normal 2 2 2 2 11" xfId="3532"/>
    <cellStyle name="Normal 2 2 2 2 12" xfId="3533"/>
    <cellStyle name="Normal 2 2 2 2 2" xfId="3534"/>
    <cellStyle name="Normal 2 2 2 2 2 10" xfId="3535"/>
    <cellStyle name="Normal 2 2 2 2 2 11" xfId="3536"/>
    <cellStyle name="Normal 2 2 2 2 2 2" xfId="3537"/>
    <cellStyle name="Normal 2 2 2 2 2 2 10" xfId="3538"/>
    <cellStyle name="Normal 2 2 2 2 2 2 2" xfId="3539"/>
    <cellStyle name="Normal 2 2 2 2 2 2 3" xfId="3540"/>
    <cellStyle name="Normal 2 2 2 2 2 2 4" xfId="3541"/>
    <cellStyle name="Normal 2 2 2 2 2 2 5" xfId="3542"/>
    <cellStyle name="Normal 2 2 2 2 2 2 6" xfId="3543"/>
    <cellStyle name="Normal 2 2 2 2 2 2 7" xfId="3544"/>
    <cellStyle name="Normal 2 2 2 2 2 2 8" xfId="3545"/>
    <cellStyle name="Normal 2 2 2 2 2 2 9" xfId="3546"/>
    <cellStyle name="Normal 2 2 2 2 2 2_Sheet2" xfId="3547"/>
    <cellStyle name="Normal 2 2 2 2 2 3" xfId="3548"/>
    <cellStyle name="Normal 2 2 2 2 2 4" xfId="3549"/>
    <cellStyle name="Normal 2 2 2 2 2 5" xfId="3550"/>
    <cellStyle name="Normal 2 2 2 2 2 6" xfId="3551"/>
    <cellStyle name="Normal 2 2 2 2 2 7" xfId="3552"/>
    <cellStyle name="Normal 2 2 2 2 2 8" xfId="3553"/>
    <cellStyle name="Normal 2 2 2 2 2 9" xfId="3554"/>
    <cellStyle name="Normal 2 2 2 2 3" xfId="3555"/>
    <cellStyle name="Normal 2 2 2 2 4" xfId="3556"/>
    <cellStyle name="Normal 2 2 2 2 5" xfId="3557"/>
    <cellStyle name="Normal 2 2 2 2 6" xfId="3558"/>
    <cellStyle name="Normal 2 2 2 2 7" xfId="3559"/>
    <cellStyle name="Normal 2 2 2 2 8" xfId="3560"/>
    <cellStyle name="Normal 2 2 2 2 9" xfId="3561"/>
    <cellStyle name="Normal 2 2 2 2_Sheet2" xfId="3562"/>
    <cellStyle name="Normal 2 2 2 3" xfId="3563"/>
    <cellStyle name="Normal 2 2 2 3 2" xfId="3564"/>
    <cellStyle name="Normal 2 2 2 3 2 2" xfId="3565"/>
    <cellStyle name="Normal 2 2 2 4" xfId="3566"/>
    <cellStyle name="Normal 2 2 2 4 2" xfId="3567"/>
    <cellStyle name="Normal 2 2 2 5" xfId="3568"/>
    <cellStyle name="Normal 2 2 2 6" xfId="3569"/>
    <cellStyle name="Normal 2 2 2 7" xfId="3570"/>
    <cellStyle name="Normal 2 2 2 8" xfId="3571"/>
    <cellStyle name="Normal 2 2 2 9" xfId="3572"/>
    <cellStyle name="Normal 2 2 3" xfId="3573"/>
    <cellStyle name="Normal 2 2 3 2" xfId="3574"/>
    <cellStyle name="Normal 2 2 3 3" xfId="3575"/>
    <cellStyle name="Normal 2 2 3_Sheet2" xfId="3576"/>
    <cellStyle name="Normal 2 2 4" xfId="3577"/>
    <cellStyle name="Normal 2 2 5" xfId="3578"/>
    <cellStyle name="Normal 2 2 6" xfId="3579"/>
    <cellStyle name="Normal 2 2 7" xfId="3580"/>
    <cellStyle name="Normal 2 2 8" xfId="3581"/>
    <cellStyle name="Normal 2 2 9" xfId="3582"/>
    <cellStyle name="Normal 2 2_Admin" xfId="3583"/>
    <cellStyle name="Normal 2 20" xfId="3584"/>
    <cellStyle name="Normal 2 21" xfId="3585"/>
    <cellStyle name="Normal 2 3" xfId="3586"/>
    <cellStyle name="Normal 2 3 2" xfId="3587"/>
    <cellStyle name="Normal 2 3 3" xfId="3588"/>
    <cellStyle name="Normal 2 3_Admin" xfId="3589"/>
    <cellStyle name="Normal 2 4" xfId="3590"/>
    <cellStyle name="Normal 2 5" xfId="3591"/>
    <cellStyle name="Normal 2 5 2" xfId="3592"/>
    <cellStyle name="Normal 2 5_Admin" xfId="3593"/>
    <cellStyle name="Normal 2 6" xfId="3594"/>
    <cellStyle name="Normal 2 6 2" xfId="3595"/>
    <cellStyle name="Normal 2 6_Admin" xfId="3596"/>
    <cellStyle name="Normal 2 7" xfId="3597"/>
    <cellStyle name="Normal 2 7 2" xfId="3598"/>
    <cellStyle name="Normal 2 7 2 2" xfId="3599"/>
    <cellStyle name="Normal 2 7 3" xfId="3600"/>
    <cellStyle name="Normal 2 7_Admin" xfId="3601"/>
    <cellStyle name="Normal 2 8" xfId="3602"/>
    <cellStyle name="Normal 2 8 2" xfId="3603"/>
    <cellStyle name="Normal 2 8_Admin" xfId="3604"/>
    <cellStyle name="Normal 2 9" xfId="3605"/>
    <cellStyle name="Normal 2 9 2" xfId="3606"/>
    <cellStyle name="Normal 2 9_Admin" xfId="3607"/>
    <cellStyle name="Normal 2_Admin" xfId="3608"/>
    <cellStyle name="Normal 20" xfId="3609"/>
    <cellStyle name="Normal 20 10" xfId="3610"/>
    <cellStyle name="Normal 20 10 2" xfId="3611"/>
    <cellStyle name="Normal 20 10_AS FULL Tag Trades" xfId="3612"/>
    <cellStyle name="Normal 20 11" xfId="3613"/>
    <cellStyle name="Normal 20 2" xfId="3614"/>
    <cellStyle name="Normal 20 2 2" xfId="3615"/>
    <cellStyle name="Normal 20 2_AS FULL Tag Trades" xfId="3616"/>
    <cellStyle name="Normal 20 3" xfId="3617"/>
    <cellStyle name="Normal 20 3 2" xfId="3618"/>
    <cellStyle name="Normal 20 3_AS FULL Tag Trades" xfId="3619"/>
    <cellStyle name="Normal 20 4" xfId="3620"/>
    <cellStyle name="Normal 20 4 2" xfId="3621"/>
    <cellStyle name="Normal 20 4_AS FULL Tag Trades" xfId="3622"/>
    <cellStyle name="Normal 20 5" xfId="3623"/>
    <cellStyle name="Normal 20 5 2" xfId="3624"/>
    <cellStyle name="Normal 20 5_AS FULL Tag Trades" xfId="3625"/>
    <cellStyle name="Normal 20 6" xfId="3626"/>
    <cellStyle name="Normal 20 6 2" xfId="3627"/>
    <cellStyle name="Normal 20 6_AS FULL Tag Trades" xfId="3628"/>
    <cellStyle name="Normal 20 7" xfId="3629"/>
    <cellStyle name="Normal 20 7 2" xfId="3630"/>
    <cellStyle name="Normal 20 7_AS FULL Tag Trades" xfId="3631"/>
    <cellStyle name="Normal 20 8" xfId="3632"/>
    <cellStyle name="Normal 20 8 2" xfId="3633"/>
    <cellStyle name="Normal 20 8_AS FULL Tag Trades" xfId="3634"/>
    <cellStyle name="Normal 20 9" xfId="3635"/>
    <cellStyle name="Normal 20 9 2" xfId="3636"/>
    <cellStyle name="Normal 20 9_AS FULL Tag Trades" xfId="3637"/>
    <cellStyle name="Normal 20_Admin" xfId="3638"/>
    <cellStyle name="Normal 21" xfId="3639"/>
    <cellStyle name="Normal 21 2" xfId="3640"/>
    <cellStyle name="Normal 21 3" xfId="3641"/>
    <cellStyle name="Normal 21_Admin" xfId="3642"/>
    <cellStyle name="Normal 22" xfId="3643"/>
    <cellStyle name="Normal 22 2" xfId="3644"/>
    <cellStyle name="Normal 22 3" xfId="3645"/>
    <cellStyle name="Normal 22_Admin" xfId="3646"/>
    <cellStyle name="Normal 23" xfId="3647"/>
    <cellStyle name="Normal 23 2" xfId="3648"/>
    <cellStyle name="Normal 23 3" xfId="3649"/>
    <cellStyle name="Normal 23_Admin" xfId="3650"/>
    <cellStyle name="Normal 24" xfId="3651"/>
    <cellStyle name="Normal 24 2" xfId="3652"/>
    <cellStyle name="Normal 24_Admin" xfId="3653"/>
    <cellStyle name="Normal 25" xfId="3654"/>
    <cellStyle name="Normal 26" xfId="3655"/>
    <cellStyle name="Normal 27" xfId="3656"/>
    <cellStyle name="Normal 28" xfId="3657"/>
    <cellStyle name="Normal 29" xfId="3658"/>
    <cellStyle name="Normal 3" xfId="3659"/>
    <cellStyle name="Normal 3 10" xfId="3660"/>
    <cellStyle name="Normal 3 11" xfId="3661"/>
    <cellStyle name="Normal 3 12" xfId="3662"/>
    <cellStyle name="Normal 3 13" xfId="3663"/>
    <cellStyle name="Normal 3 14" xfId="3664"/>
    <cellStyle name="Normal 3 2" xfId="3665"/>
    <cellStyle name="Normal 3 2 10" xfId="3666"/>
    <cellStyle name="Normal 3 2 11" xfId="3667"/>
    <cellStyle name="Normal 3 2 12" xfId="3668"/>
    <cellStyle name="Normal 3 2 2" xfId="3669"/>
    <cellStyle name="Normal 3 2 3" xfId="3670"/>
    <cellStyle name="Normal 3 2 4" xfId="3671"/>
    <cellStyle name="Normal 3 2 5" xfId="3672"/>
    <cellStyle name="Normal 3 2 6" xfId="3673"/>
    <cellStyle name="Normal 3 2 7" xfId="3674"/>
    <cellStyle name="Normal 3 2 8" xfId="3675"/>
    <cellStyle name="Normal 3 2 9" xfId="3676"/>
    <cellStyle name="Normal 3 2_Admin" xfId="3677"/>
    <cellStyle name="Normal 3 3" xfId="3678"/>
    <cellStyle name="Normal 3 3 2" xfId="3679"/>
    <cellStyle name="Normal 3 3_Admin" xfId="3680"/>
    <cellStyle name="Normal 3 4" xfId="3681"/>
    <cellStyle name="Normal 3 5" xfId="3682"/>
    <cellStyle name="Normal 3 6" xfId="3683"/>
    <cellStyle name="Normal 3 7" xfId="3684"/>
    <cellStyle name="Normal 3 8" xfId="3685"/>
    <cellStyle name="Normal 3 9" xfId="3686"/>
    <cellStyle name="Normal 3_Admin" xfId="3687"/>
    <cellStyle name="Normal 30" xfId="3688"/>
    <cellStyle name="Normal 31" xfId="3689"/>
    <cellStyle name="Normal 32" xfId="3690"/>
    <cellStyle name="Normal 33" xfId="3691"/>
    <cellStyle name="Normal 34" xfId="3692"/>
    <cellStyle name="Normal 35" xfId="3693"/>
    <cellStyle name="Normal 36" xfId="3694"/>
    <cellStyle name="Normal 37" xfId="3695"/>
    <cellStyle name="Normal 38" xfId="3696"/>
    <cellStyle name="Normal 39" xfId="3697"/>
    <cellStyle name="Normal 4" xfId="3698"/>
    <cellStyle name="Normal 4 2" xfId="3699"/>
    <cellStyle name="Normal 4 2 2" xfId="3700"/>
    <cellStyle name="Normal 4 2 3" xfId="3701"/>
    <cellStyle name="Normal 4 2_Admin" xfId="3702"/>
    <cellStyle name="Normal 4 3" xfId="3703"/>
    <cellStyle name="Normal 4 4" xfId="3704"/>
    <cellStyle name="Normal 4_All" xfId="3705"/>
    <cellStyle name="Normal 40" xfId="3706"/>
    <cellStyle name="Normal 41" xfId="3707"/>
    <cellStyle name="Normal 42" xfId="3708"/>
    <cellStyle name="Normal 43" xfId="3709"/>
    <cellStyle name="Normal 44" xfId="3710"/>
    <cellStyle name="Normal 45" xfId="3711"/>
    <cellStyle name="Normal 46" xfId="3712"/>
    <cellStyle name="Normal 47" xfId="3713"/>
    <cellStyle name="Normal 48" xfId="3714"/>
    <cellStyle name="Normal 49" xfId="3715"/>
    <cellStyle name="Normal 5" xfId="3716"/>
    <cellStyle name="Normal 5 2" xfId="3717"/>
    <cellStyle name="Normal 5 2 2" xfId="3718"/>
    <cellStyle name="Normal 5 2 3" xfId="3719"/>
    <cellStyle name="Normal 5 2_Admin" xfId="3720"/>
    <cellStyle name="Normal 5 3" xfId="3721"/>
    <cellStyle name="Normal 5 4" xfId="3722"/>
    <cellStyle name="Normal 5_Admin" xfId="3723"/>
    <cellStyle name="Normal 50" xfId="3724"/>
    <cellStyle name="Normal 51" xfId="3725"/>
    <cellStyle name="Normal 52" xfId="3726"/>
    <cellStyle name="Normal 53" xfId="3727"/>
    <cellStyle name="Normal 6" xfId="3728"/>
    <cellStyle name="Normal 6 2" xfId="3729"/>
    <cellStyle name="Normal 6 2 2" xfId="3730"/>
    <cellStyle name="Normal 6 2_Admin" xfId="3731"/>
    <cellStyle name="Normal 6 3" xfId="3732"/>
    <cellStyle name="Normal 6 4" xfId="3733"/>
    <cellStyle name="Normal 6 5" xfId="3734"/>
    <cellStyle name="Normal 6_Admin" xfId="3735"/>
    <cellStyle name="Normal 7" xfId="3736"/>
    <cellStyle name="Normal 7 2" xfId="3737"/>
    <cellStyle name="Normal 7 2 2" xfId="3738"/>
    <cellStyle name="Normal 7 2 3" xfId="3739"/>
    <cellStyle name="Normal 7 2_Admin" xfId="3740"/>
    <cellStyle name="Normal 7 3" xfId="3741"/>
    <cellStyle name="Normal 7 4" xfId="3742"/>
    <cellStyle name="Normal 7 5" xfId="3743"/>
    <cellStyle name="Normal 7 6" xfId="3744"/>
    <cellStyle name="Normal 7_Admin" xfId="3745"/>
    <cellStyle name="Normal 8" xfId="3746"/>
    <cellStyle name="Normal 8 2" xfId="3747"/>
    <cellStyle name="Normal 8 2 2" xfId="3748"/>
    <cellStyle name="Normal 8 2_Admin" xfId="3749"/>
    <cellStyle name="Normal 8 3" xfId="3750"/>
    <cellStyle name="Normal 8 3 2" xfId="3751"/>
    <cellStyle name="Normal 8 4" xfId="3752"/>
    <cellStyle name="Normal 8 5" xfId="3753"/>
    <cellStyle name="Normal 8_Admin" xfId="3754"/>
    <cellStyle name="Normal 9" xfId="3755"/>
    <cellStyle name="Normal 9 2" xfId="3756"/>
    <cellStyle name="Normal 9 2 2" xfId="3757"/>
    <cellStyle name="Normal 9 2_Admin" xfId="3758"/>
    <cellStyle name="Normal 9 3" xfId="3759"/>
    <cellStyle name="Normal 9 4" xfId="3760"/>
    <cellStyle name="Normal 9_Admin" xfId="3761"/>
    <cellStyle name="Note 10" xfId="3762"/>
    <cellStyle name="Note 10 2" xfId="3763"/>
    <cellStyle name="Note 10 3" xfId="3764"/>
    <cellStyle name="Note 10 4" xfId="3765"/>
    <cellStyle name="Note 10 5" xfId="3766"/>
    <cellStyle name="Note 11" xfId="3767"/>
    <cellStyle name="Note 11 2" xfId="3768"/>
    <cellStyle name="Note 11 3" xfId="3769"/>
    <cellStyle name="Note 11 4" xfId="3770"/>
    <cellStyle name="Note 11 5" xfId="3771"/>
    <cellStyle name="Note 12" xfId="3772"/>
    <cellStyle name="Note 12 2" xfId="3773"/>
    <cellStyle name="Note 12 3" xfId="3774"/>
    <cellStyle name="Note 12 4" xfId="3775"/>
    <cellStyle name="Note 12 5" xfId="3776"/>
    <cellStyle name="Note 13" xfId="3777"/>
    <cellStyle name="Note 13 2" xfId="3778"/>
    <cellStyle name="Note 13 3" xfId="3779"/>
    <cellStyle name="Note 13 4" xfId="3780"/>
    <cellStyle name="Note 13 5" xfId="3781"/>
    <cellStyle name="Note 14" xfId="3782"/>
    <cellStyle name="Note 14 2" xfId="3783"/>
    <cellStyle name="Note 14 3" xfId="3784"/>
    <cellStyle name="Note 14 4" xfId="3785"/>
    <cellStyle name="Note 14 5" xfId="3786"/>
    <cellStyle name="Note 15" xfId="3787"/>
    <cellStyle name="Note 15 2" xfId="3788"/>
    <cellStyle name="Note 15 2 2" xfId="3789"/>
    <cellStyle name="Note 15 3" xfId="3790"/>
    <cellStyle name="Note 15 3 2" xfId="3791"/>
    <cellStyle name="Note 15 4" xfId="3792"/>
    <cellStyle name="Note 15 4 2" xfId="3793"/>
    <cellStyle name="Note 15 5" xfId="3794"/>
    <cellStyle name="Note 15_Admin" xfId="3795"/>
    <cellStyle name="Note 16" xfId="3796"/>
    <cellStyle name="Note 16 2" xfId="3797"/>
    <cellStyle name="Note 16 2 2" xfId="3798"/>
    <cellStyle name="Note 16 3" xfId="3799"/>
    <cellStyle name="Note 16 3 2" xfId="3800"/>
    <cellStyle name="Note 16 4" xfId="3801"/>
    <cellStyle name="Note 16 4 2" xfId="3802"/>
    <cellStyle name="Note 16 5" xfId="3803"/>
    <cellStyle name="Note 17" xfId="3804"/>
    <cellStyle name="Note 17 2" xfId="3805"/>
    <cellStyle name="Note 17 2 2" xfId="3806"/>
    <cellStyle name="Note 17 3" xfId="3807"/>
    <cellStyle name="Note 17 3 2" xfId="3808"/>
    <cellStyle name="Note 17 4" xfId="3809"/>
    <cellStyle name="Note 17 4 2" xfId="3810"/>
    <cellStyle name="Note 17 5" xfId="3811"/>
    <cellStyle name="Note 18" xfId="3812"/>
    <cellStyle name="Note 18 2" xfId="3813"/>
    <cellStyle name="Note 19" xfId="3814"/>
    <cellStyle name="Note 19 2" xfId="3815"/>
    <cellStyle name="Note 2" xfId="3816"/>
    <cellStyle name="Note 2 10" xfId="3817"/>
    <cellStyle name="Note 2 11" xfId="3818"/>
    <cellStyle name="Note 2 12" xfId="3819"/>
    <cellStyle name="Note 2 13" xfId="3820"/>
    <cellStyle name="Note 2 2" xfId="3821"/>
    <cellStyle name="Note 2 3" xfId="3822"/>
    <cellStyle name="Note 2 3 2" xfId="3823"/>
    <cellStyle name="Note 2 4" xfId="3824"/>
    <cellStyle name="Note 2 5" xfId="3825"/>
    <cellStyle name="Note 2 5 2" xfId="3826"/>
    <cellStyle name="Note 2 6" xfId="3827"/>
    <cellStyle name="Note 2 7" xfId="3828"/>
    <cellStyle name="Note 2 8" xfId="3829"/>
    <cellStyle name="Note 2 9" xfId="3830"/>
    <cellStyle name="Note 20" xfId="3831"/>
    <cellStyle name="Note 20 2" xfId="3832"/>
    <cellStyle name="Note 21" xfId="3833"/>
    <cellStyle name="Note 21 2" xfId="3834"/>
    <cellStyle name="Note 22" xfId="3835"/>
    <cellStyle name="Note 22 2" xfId="3836"/>
    <cellStyle name="Note 23" xfId="3837"/>
    <cellStyle name="Note 23 2" xfId="3838"/>
    <cellStyle name="Note 24" xfId="3839"/>
    <cellStyle name="Note 24 2" xfId="3840"/>
    <cellStyle name="Note 25" xfId="3841"/>
    <cellStyle name="Note 25 2" xfId="3842"/>
    <cellStyle name="Note 25 2 2" xfId="3843"/>
    <cellStyle name="Note 25 3" xfId="3844"/>
    <cellStyle name="Note 26" xfId="3845"/>
    <cellStyle name="Note 26 2" xfId="3846"/>
    <cellStyle name="Note 27" xfId="3847"/>
    <cellStyle name="Note 28" xfId="3848"/>
    <cellStyle name="Note 29" xfId="3849"/>
    <cellStyle name="Note 3" xfId="3850"/>
    <cellStyle name="Note 3 2" xfId="3851"/>
    <cellStyle name="Note 3 2 2" xfId="3852"/>
    <cellStyle name="Note 3 2 3" xfId="3853"/>
    <cellStyle name="Note 3 3" xfId="3854"/>
    <cellStyle name="Note 3 3 2" xfId="3855"/>
    <cellStyle name="Note 3 4" xfId="3856"/>
    <cellStyle name="Note 3 5" xfId="3857"/>
    <cellStyle name="Note 3 6" xfId="3858"/>
    <cellStyle name="Note 3 7" xfId="3859"/>
    <cellStyle name="Note 30" xfId="3860"/>
    <cellStyle name="Note 4" xfId="3861"/>
    <cellStyle name="Note 4 2" xfId="3862"/>
    <cellStyle name="Note 4 3" xfId="3863"/>
    <cellStyle name="Note 4 4" xfId="3864"/>
    <cellStyle name="Note 4 5" xfId="3865"/>
    <cellStyle name="Note 5" xfId="3866"/>
    <cellStyle name="Note 5 2" xfId="3867"/>
    <cellStyle name="Note 5 3" xfId="3868"/>
    <cellStyle name="Note 5 4" xfId="3869"/>
    <cellStyle name="Note 5 5" xfId="3870"/>
    <cellStyle name="Note 6" xfId="3871"/>
    <cellStyle name="Note 6 2" xfId="3872"/>
    <cellStyle name="Note 6 3" xfId="3873"/>
    <cellStyle name="Note 6 4" xfId="3874"/>
    <cellStyle name="Note 6 5" xfId="3875"/>
    <cellStyle name="Note 6 6" xfId="3876"/>
    <cellStyle name="Note 6_Admin" xfId="3877"/>
    <cellStyle name="Note 7" xfId="3878"/>
    <cellStyle name="Note 7 2" xfId="3879"/>
    <cellStyle name="Note 7 3" xfId="3880"/>
    <cellStyle name="Note 7 4" xfId="3881"/>
    <cellStyle name="Note 7 5" xfId="3882"/>
    <cellStyle name="Note 8" xfId="3883"/>
    <cellStyle name="Note 8 2" xfId="3884"/>
    <cellStyle name="Note 8 3" xfId="3885"/>
    <cellStyle name="Note 8 4" xfId="3886"/>
    <cellStyle name="Note 8 5" xfId="3887"/>
    <cellStyle name="Note 9" xfId="3888"/>
    <cellStyle name="Note 9 2" xfId="3889"/>
    <cellStyle name="Note 9 3" xfId="3890"/>
    <cellStyle name="Note 9 4" xfId="3891"/>
    <cellStyle name="Note 9 5" xfId="3892"/>
    <cellStyle name="Output 10" xfId="3893"/>
    <cellStyle name="Output 11" xfId="3894"/>
    <cellStyle name="Output 12" xfId="3895"/>
    <cellStyle name="Output 13" xfId="3896"/>
    <cellStyle name="Output 14" xfId="3897"/>
    <cellStyle name="Output 15" xfId="3898"/>
    <cellStyle name="Output 16" xfId="3899"/>
    <cellStyle name="Output 16 2" xfId="3900"/>
    <cellStyle name="Output 16_Configuration" xfId="3901"/>
    <cellStyle name="Output 17" xfId="3902"/>
    <cellStyle name="Output 2" xfId="3903"/>
    <cellStyle name="Output 2 10" xfId="3904"/>
    <cellStyle name="Output 2 11" xfId="3905"/>
    <cellStyle name="Output 2 12" xfId="3906"/>
    <cellStyle name="Output 2 2" xfId="3907"/>
    <cellStyle name="Output 2 2 2" xfId="3908"/>
    <cellStyle name="Output 2 2_Admin" xfId="3909"/>
    <cellStyle name="Output 2 3" xfId="3910"/>
    <cellStyle name="Output 2 4" xfId="3911"/>
    <cellStyle name="Output 2 5" xfId="3912"/>
    <cellStyle name="Output 2 6" xfId="3913"/>
    <cellStyle name="Output 2 7" xfId="3914"/>
    <cellStyle name="Output 2 8" xfId="3915"/>
    <cellStyle name="Output 2 9" xfId="3916"/>
    <cellStyle name="Output 2_LLT Script Reviews" xfId="3917"/>
    <cellStyle name="Output 3" xfId="3918"/>
    <cellStyle name="Output 3 2" xfId="3919"/>
    <cellStyle name="Output 3_Admin" xfId="3920"/>
    <cellStyle name="Output 4" xfId="3921"/>
    <cellStyle name="Output 4 10" xfId="3922"/>
    <cellStyle name="Output 4 11" xfId="3923"/>
    <cellStyle name="Output 4 12" xfId="3924"/>
    <cellStyle name="Output 4 13" xfId="3925"/>
    <cellStyle name="Output 4 14" xfId="3926"/>
    <cellStyle name="Output 4 15" xfId="3927"/>
    <cellStyle name="Output 4 16" xfId="3928"/>
    <cellStyle name="Output 4 2" xfId="3929"/>
    <cellStyle name="Output 4 3" xfId="3930"/>
    <cellStyle name="Output 4 4" xfId="3931"/>
    <cellStyle name="Output 4 5" xfId="3932"/>
    <cellStyle name="Output 4 6" xfId="3933"/>
    <cellStyle name="Output 4 7" xfId="3934"/>
    <cellStyle name="Output 4 8" xfId="3935"/>
    <cellStyle name="Output 4 9" xfId="3936"/>
    <cellStyle name="Output 5" xfId="3937"/>
    <cellStyle name="Output 5 10" xfId="3938"/>
    <cellStyle name="Output 5 11" xfId="3939"/>
    <cellStyle name="Output 5 12" xfId="3940"/>
    <cellStyle name="Output 5 2" xfId="3941"/>
    <cellStyle name="Output 5 3" xfId="3942"/>
    <cellStyle name="Output 5 4" xfId="3943"/>
    <cellStyle name="Output 5 5" xfId="3944"/>
    <cellStyle name="Output 5 6" xfId="3945"/>
    <cellStyle name="Output 5 7" xfId="3946"/>
    <cellStyle name="Output 5 8" xfId="3947"/>
    <cellStyle name="Output 5 9" xfId="3948"/>
    <cellStyle name="Output 5_Progress" xfId="3949"/>
    <cellStyle name="Output 6" xfId="3950"/>
    <cellStyle name="Output 6 10" xfId="3951"/>
    <cellStyle name="Output 6 11" xfId="3952"/>
    <cellStyle name="Output 6 12" xfId="3953"/>
    <cellStyle name="Output 6 2" xfId="3954"/>
    <cellStyle name="Output 6 3" xfId="3955"/>
    <cellStyle name="Output 6 4" xfId="3956"/>
    <cellStyle name="Output 6 5" xfId="3957"/>
    <cellStyle name="Output 6 6" xfId="3958"/>
    <cellStyle name="Output 6 7" xfId="3959"/>
    <cellStyle name="Output 6 8" xfId="3960"/>
    <cellStyle name="Output 6 9" xfId="3961"/>
    <cellStyle name="Output 6_Progress" xfId="3962"/>
    <cellStyle name="Output 7" xfId="3963"/>
    <cellStyle name="Output 7 10" xfId="3964"/>
    <cellStyle name="Output 7 11" xfId="3965"/>
    <cellStyle name="Output 7 12" xfId="3966"/>
    <cellStyle name="Output 7 2" xfId="3967"/>
    <cellStyle name="Output 7 3" xfId="3968"/>
    <cellStyle name="Output 7 4" xfId="3969"/>
    <cellStyle name="Output 7 5" xfId="3970"/>
    <cellStyle name="Output 7 6" xfId="3971"/>
    <cellStyle name="Output 7 7" xfId="3972"/>
    <cellStyle name="Output 7 8" xfId="3973"/>
    <cellStyle name="Output 7 9" xfId="3974"/>
    <cellStyle name="Output 7_Progress" xfId="3975"/>
    <cellStyle name="Output 8" xfId="3976"/>
    <cellStyle name="Output 9" xfId="3977"/>
    <cellStyle name="Percent 12" xfId="3978"/>
    <cellStyle name="Percent 2" xfId="3979"/>
    <cellStyle name="Percent 2 2" xfId="3980"/>
    <cellStyle name="Percent 3" xfId="3981"/>
    <cellStyle name="Title 10" xfId="3982"/>
    <cellStyle name="Title 11" xfId="3983"/>
    <cellStyle name="Title 12" xfId="3984"/>
    <cellStyle name="Title 13" xfId="3985"/>
    <cellStyle name="Title 14" xfId="3986"/>
    <cellStyle name="Title 15" xfId="3987"/>
    <cellStyle name="Title 16" xfId="3988"/>
    <cellStyle name="Title 16 2" xfId="3989"/>
    <cellStyle name="Title 16 3" xfId="3990"/>
    <cellStyle name="Title 16 3 2" xfId="3991"/>
    <cellStyle name="Title 16 3_Configuration" xfId="3992"/>
    <cellStyle name="Title 16_Configuration" xfId="3993"/>
    <cellStyle name="Title 17" xfId="3994"/>
    <cellStyle name="Title 2" xfId="3995"/>
    <cellStyle name="Title 2 10" xfId="3996"/>
    <cellStyle name="Title 2 11" xfId="3997"/>
    <cellStyle name="Title 2 12" xfId="3998"/>
    <cellStyle name="Title 2 2" xfId="3999"/>
    <cellStyle name="Title 2 2 2" xfId="4000"/>
    <cellStyle name="Title 2 2_Admin" xfId="4001"/>
    <cellStyle name="Title 2 3" xfId="4002"/>
    <cellStyle name="Title 2 4" xfId="4003"/>
    <cellStyle name="Title 2 5" xfId="4004"/>
    <cellStyle name="Title 2 6" xfId="4005"/>
    <cellStyle name="Title 2 7" xfId="4006"/>
    <cellStyle name="Title 2 8" xfId="4007"/>
    <cellStyle name="Title 2 9" xfId="4008"/>
    <cellStyle name="Title 2_LLT Script Reviews" xfId="4009"/>
    <cellStyle name="Title 3" xfId="4010"/>
    <cellStyle name="Title 3 2" xfId="4011"/>
    <cellStyle name="Title 3 3" xfId="4012"/>
    <cellStyle name="Title 3_Admin" xfId="4013"/>
    <cellStyle name="Title 4" xfId="4014"/>
    <cellStyle name="Title 4 10" xfId="4015"/>
    <cellStyle name="Title 4 11" xfId="4016"/>
    <cellStyle name="Title 4 12" xfId="4017"/>
    <cellStyle name="Title 4 13" xfId="4018"/>
    <cellStyle name="Title 4 14" xfId="4019"/>
    <cellStyle name="Title 4 15" xfId="4020"/>
    <cellStyle name="Title 4 16" xfId="4021"/>
    <cellStyle name="Title 4 2" xfId="4022"/>
    <cellStyle name="Title 4 3" xfId="4023"/>
    <cellStyle name="Title 4 4" xfId="4024"/>
    <cellStyle name="Title 4 5" xfId="4025"/>
    <cellStyle name="Title 4 6" xfId="4026"/>
    <cellStyle name="Title 4 7" xfId="4027"/>
    <cellStyle name="Title 4 8" xfId="4028"/>
    <cellStyle name="Title 4 9" xfId="4029"/>
    <cellStyle name="Title 5" xfId="4030"/>
    <cellStyle name="Title 5 10" xfId="4031"/>
    <cellStyle name="Title 5 11" xfId="4032"/>
    <cellStyle name="Title 5 12" xfId="4033"/>
    <cellStyle name="Title 5 2" xfId="4034"/>
    <cellStyle name="Title 5 3" xfId="4035"/>
    <cellStyle name="Title 5 4" xfId="4036"/>
    <cellStyle name="Title 5 5" xfId="4037"/>
    <cellStyle name="Title 5 6" xfId="4038"/>
    <cellStyle name="Title 5 7" xfId="4039"/>
    <cellStyle name="Title 5 8" xfId="4040"/>
    <cellStyle name="Title 5 9" xfId="4041"/>
    <cellStyle name="Title 5_Progress" xfId="4042"/>
    <cellStyle name="Title 6" xfId="4043"/>
    <cellStyle name="Title 6 10" xfId="4044"/>
    <cellStyle name="Title 6 11" xfId="4045"/>
    <cellStyle name="Title 6 12" xfId="4046"/>
    <cellStyle name="Title 6 2" xfId="4047"/>
    <cellStyle name="Title 6 3" xfId="4048"/>
    <cellStyle name="Title 6 4" xfId="4049"/>
    <cellStyle name="Title 6 5" xfId="4050"/>
    <cellStyle name="Title 6 6" xfId="4051"/>
    <cellStyle name="Title 6 7" xfId="4052"/>
    <cellStyle name="Title 6 8" xfId="4053"/>
    <cellStyle name="Title 6 9" xfId="4054"/>
    <cellStyle name="Title 6_Progress" xfId="4055"/>
    <cellStyle name="Title 7" xfId="4056"/>
    <cellStyle name="Title 7 10" xfId="4057"/>
    <cellStyle name="Title 7 11" xfId="4058"/>
    <cellStyle name="Title 7 12" xfId="4059"/>
    <cellStyle name="Title 7 2" xfId="4060"/>
    <cellStyle name="Title 7 3" xfId="4061"/>
    <cellStyle name="Title 7 4" xfId="4062"/>
    <cellStyle name="Title 7 5" xfId="4063"/>
    <cellStyle name="Title 7 6" xfId="4064"/>
    <cellStyle name="Title 7 7" xfId="4065"/>
    <cellStyle name="Title 7 8" xfId="4066"/>
    <cellStyle name="Title 7 9" xfId="4067"/>
    <cellStyle name="Title 7_Progress" xfId="4068"/>
    <cellStyle name="Title 8" xfId="4069"/>
    <cellStyle name="Title 9" xfId="4070"/>
    <cellStyle name="Total 10" xfId="4071"/>
    <cellStyle name="Total 11" xfId="4072"/>
    <cellStyle name="Total 12" xfId="4073"/>
    <cellStyle name="Total 13" xfId="4074"/>
    <cellStyle name="Total 14" xfId="4075"/>
    <cellStyle name="Total 15" xfId="4076"/>
    <cellStyle name="Total 16" xfId="4077"/>
    <cellStyle name="Total 16 2" xfId="4078"/>
    <cellStyle name="Total 16 3" xfId="4079"/>
    <cellStyle name="Total 16_Configuration" xfId="4080"/>
    <cellStyle name="Total 17" xfId="4081"/>
    <cellStyle name="Total 2" xfId="4082"/>
    <cellStyle name="Total 2 10" xfId="4083"/>
    <cellStyle name="Total 2 11" xfId="4084"/>
    <cellStyle name="Total 2 12" xfId="4085"/>
    <cellStyle name="Total 2 13" xfId="4086"/>
    <cellStyle name="Total 2 2" xfId="4087"/>
    <cellStyle name="Total 2 2 2" xfId="4088"/>
    <cellStyle name="Total 2 2_Admin" xfId="4089"/>
    <cellStyle name="Total 2 3" xfId="4090"/>
    <cellStyle name="Total 2 4" xfId="4091"/>
    <cellStyle name="Total 2 5" xfId="4092"/>
    <cellStyle name="Total 2 6" xfId="4093"/>
    <cellStyle name="Total 2 7" xfId="4094"/>
    <cellStyle name="Total 2 8" xfId="4095"/>
    <cellStyle name="Total 2 9" xfId="4096"/>
    <cellStyle name="Total 2_LLT Script Reviews" xfId="4097"/>
    <cellStyle name="Total 3" xfId="4098"/>
    <cellStyle name="Total 3 2" xfId="4099"/>
    <cellStyle name="Total 3 3" xfId="4100"/>
    <cellStyle name="Total 3_Admin" xfId="4101"/>
    <cellStyle name="Total 4" xfId="4102"/>
    <cellStyle name="Total 4 10" xfId="4103"/>
    <cellStyle name="Total 4 11" xfId="4104"/>
    <cellStyle name="Total 4 12" xfId="4105"/>
    <cellStyle name="Total 4 13" xfId="4106"/>
    <cellStyle name="Total 4 14" xfId="4107"/>
    <cellStyle name="Total 4 15" xfId="4108"/>
    <cellStyle name="Total 4 16" xfId="4109"/>
    <cellStyle name="Total 4 2" xfId="4110"/>
    <cellStyle name="Total 4 3" xfId="4111"/>
    <cellStyle name="Total 4 4" xfId="4112"/>
    <cellStyle name="Total 4 5" xfId="4113"/>
    <cellStyle name="Total 4 6" xfId="4114"/>
    <cellStyle name="Total 4 7" xfId="4115"/>
    <cellStyle name="Total 4 8" xfId="4116"/>
    <cellStyle name="Total 4 9" xfId="4117"/>
    <cellStyle name="Total 5" xfId="4118"/>
    <cellStyle name="Total 5 10" xfId="4119"/>
    <cellStyle name="Total 5 11" xfId="4120"/>
    <cellStyle name="Total 5 12" xfId="4121"/>
    <cellStyle name="Total 5 2" xfId="4122"/>
    <cellStyle name="Total 5 3" xfId="4123"/>
    <cellStyle name="Total 5 4" xfId="4124"/>
    <cellStyle name="Total 5 5" xfId="4125"/>
    <cellStyle name="Total 5 6" xfId="4126"/>
    <cellStyle name="Total 5 7" xfId="4127"/>
    <cellStyle name="Total 5 8" xfId="4128"/>
    <cellStyle name="Total 5 9" xfId="4129"/>
    <cellStyle name="Total 5_Progress" xfId="4130"/>
    <cellStyle name="Total 6" xfId="4131"/>
    <cellStyle name="Total 6 10" xfId="4132"/>
    <cellStyle name="Total 6 11" xfId="4133"/>
    <cellStyle name="Total 6 12" xfId="4134"/>
    <cellStyle name="Total 6 2" xfId="4135"/>
    <cellStyle name="Total 6 3" xfId="4136"/>
    <cellStyle name="Total 6 4" xfId="4137"/>
    <cellStyle name="Total 6 5" xfId="4138"/>
    <cellStyle name="Total 6 6" xfId="4139"/>
    <cellStyle name="Total 6 7" xfId="4140"/>
    <cellStyle name="Total 6 8" xfId="4141"/>
    <cellStyle name="Total 6 9" xfId="4142"/>
    <cellStyle name="Total 6_Progress" xfId="4143"/>
    <cellStyle name="Total 7" xfId="4144"/>
    <cellStyle name="Total 7 10" xfId="4145"/>
    <cellStyle name="Total 7 11" xfId="4146"/>
    <cellStyle name="Total 7 12" xfId="4147"/>
    <cellStyle name="Total 7 2" xfId="4148"/>
    <cellStyle name="Total 7 3" xfId="4149"/>
    <cellStyle name="Total 7 4" xfId="4150"/>
    <cellStyle name="Total 7 5" xfId="4151"/>
    <cellStyle name="Total 7 6" xfId="4152"/>
    <cellStyle name="Total 7 7" xfId="4153"/>
    <cellStyle name="Total 7 8" xfId="4154"/>
    <cellStyle name="Total 7 9" xfId="4155"/>
    <cellStyle name="Total 7_Progress" xfId="4156"/>
    <cellStyle name="Total 8" xfId="4157"/>
    <cellStyle name="Total 9" xfId="4158"/>
    <cellStyle name="Warning Text 10" xfId="4159"/>
    <cellStyle name="Warning Text 11" xfId="4160"/>
    <cellStyle name="Warning Text 12" xfId="4161"/>
    <cellStyle name="Warning Text 13" xfId="4162"/>
    <cellStyle name="Warning Text 14" xfId="4163"/>
    <cellStyle name="Warning Text 15" xfId="4164"/>
    <cellStyle name="Warning Text 2" xfId="4165"/>
    <cellStyle name="Warning Text 2 10" xfId="4166"/>
    <cellStyle name="Warning Text 2 11" xfId="4167"/>
    <cellStyle name="Warning Text 2 12" xfId="4168"/>
    <cellStyle name="Warning Text 2 13" xfId="4169"/>
    <cellStyle name="Warning Text 2 2" xfId="4170"/>
    <cellStyle name="Warning Text 2 3" xfId="4171"/>
    <cellStyle name="Warning Text 2 4" xfId="4172"/>
    <cellStyle name="Warning Text 2 5" xfId="4173"/>
    <cellStyle name="Warning Text 2 6" xfId="4174"/>
    <cellStyle name="Warning Text 2 7" xfId="4175"/>
    <cellStyle name="Warning Text 2 8" xfId="4176"/>
    <cellStyle name="Warning Text 2 9" xfId="4177"/>
    <cellStyle name="Warning Text 3" xfId="4178"/>
    <cellStyle name="Warning Text 3 2" xfId="4179"/>
    <cellStyle name="Warning Text 4" xfId="4180"/>
    <cellStyle name="Warning Text 5" xfId="4181"/>
    <cellStyle name="Warning Text 6" xfId="4182"/>
    <cellStyle name="Warning Text 7" xfId="4183"/>
    <cellStyle name="Warning Text 8" xfId="4184"/>
    <cellStyle name="Warning Text 9" xfId="4185"/>
    <cellStyle name="坘彂啃䕔偟潲牧獥彳敒潰瑲彳弳爰彳ⴭ彀‭ⴢ㼢弿㬭ⵟ彀‭†††††††††††" xfId="4186"/>
  </cellStyles>
  <dxfs count="10"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ill>
        <patternFill>
          <bgColor indexed="51"/>
        </patternFill>
      </fill>
    </dxf>
    <dxf>
      <fill>
        <patternFill>
          <bgColor indexed="9"/>
        </patternFill>
      </fill>
      <border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WB-6.0%20Delivery%20Progress%20Chart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PR Allocation List"/>
      <sheetName val="Plan"/>
      <sheetName val="Delivery Docs Plan"/>
      <sheetName val="PR Matrix"/>
      <sheetName val="Allocation"/>
      <sheetName val="SRS Reviews"/>
      <sheetName val="Estimates"/>
      <sheetName val="HistoryStore"/>
      <sheetName val="Open SWPRs"/>
      <sheetName val="ETC Data"/>
      <sheetName val="Build Plan"/>
      <sheetName val="Names Key"/>
    </sheetNames>
    <sheetDataSet>
      <sheetData sheetId="0"/>
      <sheetData sheetId="1"/>
      <sheetData sheetId="2">
        <row r="1">
          <cell r="A1" t="str">
            <v>%</v>
          </cell>
          <cell r="B1"/>
          <cell r="C1"/>
          <cell r="D1"/>
          <cell r="E1" t="str">
            <v>Filter on:</v>
          </cell>
          <cell r="F1"/>
          <cell r="H1" t="str">
            <v>pr</v>
          </cell>
          <cell r="I1"/>
          <cell r="J1"/>
          <cell r="K1"/>
          <cell r="L1"/>
          <cell r="M1"/>
          <cell r="N1"/>
          <cell r="O1"/>
          <cell r="P1"/>
          <cell r="Q1"/>
          <cell r="R1"/>
          <cell r="U1"/>
          <cell r="W1" t="str">
            <v>Architecture</v>
          </cell>
          <cell r="X1"/>
          <cell r="Y1"/>
          <cell r="Z1"/>
          <cell r="AA1"/>
          <cell r="AB1"/>
          <cell r="AC1"/>
          <cell r="AD1">
            <v>16</v>
          </cell>
          <cell r="AE1"/>
          <cell r="AF1" t="str">
            <v>Design</v>
          </cell>
          <cell r="AG1"/>
          <cell r="AH1"/>
          <cell r="AI1"/>
          <cell r="AJ1"/>
          <cell r="AK1"/>
          <cell r="AL1">
            <v>0</v>
          </cell>
          <cell r="AM1">
            <v>16</v>
          </cell>
          <cell r="AN1"/>
          <cell r="AO1"/>
          <cell r="AP1">
            <v>20</v>
          </cell>
          <cell r="AQ1"/>
          <cell r="AR1">
            <v>29</v>
          </cell>
          <cell r="AS1"/>
          <cell r="AT1">
            <v>29</v>
          </cell>
          <cell r="AV1" t="str">
            <v>Code</v>
          </cell>
          <cell r="AW1"/>
          <cell r="AX1"/>
          <cell r="AY1"/>
          <cell r="AZ1"/>
          <cell r="BA1">
            <v>27</v>
          </cell>
          <cell r="BB1"/>
          <cell r="BC1"/>
          <cell r="BD1"/>
        </row>
        <row r="2">
          <cell r="A2" t="str">
            <v>Non-100% Filters:                                                   Sgl-click unsets 100% filters, Dbl-click clears all filters</v>
          </cell>
          <cell r="B2"/>
          <cell r="C2"/>
          <cell r="D2"/>
          <cell r="E2" t="str">
            <v>Author</v>
          </cell>
          <cell r="F2" t="str">
            <v>Reviewer</v>
          </cell>
          <cell r="G2" t="str">
            <v>Either</v>
          </cell>
          <cell r="H2"/>
          <cell r="I2"/>
          <cell r="J2"/>
          <cell r="K2"/>
          <cell r="L2"/>
          <cell r="M2"/>
          <cell r="N2"/>
          <cell r="O2"/>
          <cell r="P2"/>
          <cell r="Q2"/>
          <cell r="R2"/>
          <cell r="U2"/>
          <cell r="W2"/>
          <cell r="X2"/>
          <cell r="Y2"/>
          <cell r="Z2"/>
          <cell r="AA2"/>
          <cell r="AB2"/>
          <cell r="AC2"/>
          <cell r="AD2"/>
          <cell r="AE2"/>
          <cell r="AF2"/>
          <cell r="AG2"/>
          <cell r="AH2"/>
          <cell r="AI2"/>
          <cell r="AJ2"/>
          <cell r="AK2"/>
          <cell r="AL2"/>
          <cell r="AM2"/>
          <cell r="AN2"/>
          <cell r="AO2"/>
          <cell r="AP2"/>
          <cell r="AQ2"/>
          <cell r="AR2"/>
          <cell r="AS2"/>
          <cell r="AT2"/>
          <cell r="AV2"/>
          <cell r="AW2"/>
          <cell r="AX2"/>
          <cell r="AY2"/>
          <cell r="AZ2"/>
          <cell r="BA2"/>
          <cell r="BB2"/>
          <cell r="BC2"/>
          <cell r="BD2"/>
        </row>
        <row r="3">
          <cell r="A3" t="str">
            <v>Impact status (percent):</v>
          </cell>
          <cell r="B3"/>
          <cell r="C3"/>
          <cell r="D3"/>
          <cell r="E3"/>
          <cell r="F3"/>
          <cell r="G3"/>
          <cell r="H3"/>
          <cell r="I3"/>
          <cell r="J3"/>
          <cell r="K3"/>
          <cell r="L3"/>
          <cell r="M3"/>
          <cell r="N3"/>
          <cell r="O3"/>
          <cell r="P3"/>
          <cell r="Q3"/>
          <cell r="R3"/>
          <cell r="U3"/>
          <cell r="W3" t="str">
            <v>Beans</v>
          </cell>
          <cell r="X3"/>
          <cell r="Y3"/>
          <cell r="Z3">
            <v>9</v>
          </cell>
          <cell r="AA3">
            <v>9</v>
          </cell>
          <cell r="AB3">
            <v>9</v>
          </cell>
          <cell r="AC3">
            <v>9</v>
          </cell>
          <cell r="AD3">
            <v>9</v>
          </cell>
          <cell r="AE3"/>
          <cell r="AF3" t="str">
            <v>Beans</v>
          </cell>
          <cell r="AG3"/>
          <cell r="AH3"/>
          <cell r="AI3">
            <v>13</v>
          </cell>
          <cell r="AJ3">
            <v>13</v>
          </cell>
          <cell r="AK3">
            <v>13</v>
          </cell>
          <cell r="AL3">
            <v>0</v>
          </cell>
          <cell r="AM3">
            <v>9</v>
          </cell>
          <cell r="AN3">
            <v>0</v>
          </cell>
          <cell r="AO3">
            <v>9</v>
          </cell>
          <cell r="AP3">
            <v>13</v>
          </cell>
          <cell r="AQ3">
            <v>22</v>
          </cell>
          <cell r="AR3">
            <v>22</v>
          </cell>
          <cell r="AS3">
            <v>22</v>
          </cell>
          <cell r="AT3">
            <v>22</v>
          </cell>
          <cell r="AV3" t="str">
            <v>Beans</v>
          </cell>
          <cell r="AW3"/>
          <cell r="AX3"/>
          <cell r="AY3">
            <v>17</v>
          </cell>
          <cell r="AZ3">
            <v>0</v>
          </cell>
          <cell r="BA3">
            <v>17</v>
          </cell>
          <cell r="BB3">
            <v>17</v>
          </cell>
          <cell r="BC3">
            <v>17</v>
          </cell>
          <cell r="BD3">
            <v>17</v>
          </cell>
        </row>
        <row r="4">
          <cell r="A4" t="str">
            <v/>
          </cell>
          <cell r="D4"/>
          <cell r="E4"/>
          <cell r="F4"/>
          <cell r="G4" t="str">
            <v>#</v>
          </cell>
          <cell r="H4">
            <v>26</v>
          </cell>
          <cell r="I4">
            <v>2</v>
          </cell>
          <cell r="J4">
            <v>0</v>
          </cell>
          <cell r="K4"/>
          <cell r="L4">
            <v>0</v>
          </cell>
          <cell r="M4">
            <v>16</v>
          </cell>
          <cell r="N4">
            <v>20</v>
          </cell>
          <cell r="O4">
            <v>29</v>
          </cell>
          <cell r="P4">
            <v>27</v>
          </cell>
          <cell r="Q4">
            <v>3</v>
          </cell>
          <cell r="R4"/>
          <cell r="U4"/>
          <cell r="V4">
            <v>2</v>
          </cell>
          <cell r="W4" t="str">
            <v>%</v>
          </cell>
          <cell r="X4"/>
          <cell r="Y4"/>
          <cell r="Z4">
            <v>56</v>
          </cell>
          <cell r="AA4">
            <v>56</v>
          </cell>
          <cell r="AB4">
            <v>56</v>
          </cell>
          <cell r="AC4">
            <v>56</v>
          </cell>
          <cell r="AD4">
            <v>56</v>
          </cell>
          <cell r="AE4"/>
          <cell r="AF4" t="str">
            <v>%</v>
          </cell>
          <cell r="AG4"/>
          <cell r="AH4"/>
          <cell r="AI4">
            <v>65</v>
          </cell>
          <cell r="AJ4">
            <v>65</v>
          </cell>
          <cell r="AK4">
            <v>65</v>
          </cell>
          <cell r="AL4" t="str">
            <v>N/A</v>
          </cell>
          <cell r="AM4">
            <v>56</v>
          </cell>
          <cell r="AN4" t="str">
            <v>N/A</v>
          </cell>
          <cell r="AO4">
            <v>56</v>
          </cell>
          <cell r="AP4">
            <v>65</v>
          </cell>
          <cell r="AQ4">
            <v>75</v>
          </cell>
          <cell r="AR4">
            <v>75</v>
          </cell>
          <cell r="AS4">
            <v>75</v>
          </cell>
          <cell r="AT4">
            <v>75</v>
          </cell>
          <cell r="AV4" t="str">
            <v>%</v>
          </cell>
          <cell r="AW4"/>
          <cell r="AX4"/>
          <cell r="AY4">
            <v>62</v>
          </cell>
          <cell r="AZ4">
            <v>0</v>
          </cell>
          <cell r="BA4">
            <v>62</v>
          </cell>
          <cell r="BB4">
            <v>62</v>
          </cell>
          <cell r="BC4">
            <v>62</v>
          </cell>
          <cell r="BD4">
            <v>62</v>
          </cell>
        </row>
        <row r="5">
          <cell r="A5" t="str">
            <v>Item (Artisan Folder)</v>
          </cell>
          <cell r="B5" t="str">
            <v>Oversight Review</v>
          </cell>
          <cell r="C5" t="str">
            <v>Verification Review Required</v>
          </cell>
          <cell r="D5" t="str">
            <v>NFPRs</v>
          </cell>
          <cell r="E5" t="str">
            <v>PRs to draft</v>
          </cell>
          <cell r="F5" t="str">
            <v>PRs drafted</v>
          </cell>
          <cell r="G5" t="str">
            <v>Sub-Team</v>
          </cell>
          <cell r="H5" t="str">
            <v>In</v>
          </cell>
          <cell r="I5" t="str">
            <v>DV Impact</v>
          </cell>
          <cell r="J5" t="str">
            <v>GD Impact</v>
          </cell>
          <cell r="K5" t="str">
            <v>NVM Tool Update</v>
          </cell>
          <cell r="L5" t="str">
            <v>All Affected</v>
          </cell>
          <cell r="M5" t="str">
            <v>Architecture Affected</v>
          </cell>
          <cell r="N5" t="str">
            <v>Design Affected</v>
          </cell>
          <cell r="O5" t="str">
            <v>Traceability Affected</v>
          </cell>
          <cell r="P5" t="str">
            <v>Code Affected</v>
          </cell>
          <cell r="Q5" t="str">
            <v>Timing Affected</v>
          </cell>
          <cell r="R5" t="str">
            <v>Priority</v>
          </cell>
          <cell r="S5" t="str">
            <v>Author Applicable</v>
          </cell>
          <cell r="T5" t="str">
            <v>Reviewer Applicable</v>
          </cell>
          <cell r="U5" t="str">
            <v>Subsystem Applicable</v>
          </cell>
          <cell r="V5" t="str">
            <v>Integ Build</v>
          </cell>
          <cell r="W5" t="str">
            <v>Architecture Author</v>
          </cell>
          <cell r="X5" t="str">
            <v>Architecture Reviewer</v>
          </cell>
          <cell r="Y5" t="str">
            <v>HL
JXW
No.</v>
          </cell>
          <cell r="Z5" t="str">
            <v>Architecture Drafted</v>
          </cell>
          <cell r="AA5" t="str">
            <v>Architecture Reviewed</v>
          </cell>
          <cell r="AB5" t="str">
            <v>Architecture Reworked</v>
          </cell>
          <cell r="AC5" t="str">
            <v>Architecture Re-Reviewed</v>
          </cell>
          <cell r="AD5" t="str">
            <v>Architecture Approved</v>
          </cell>
          <cell r="AE5"/>
          <cell r="AF5" t="str">
            <v>Design Author</v>
          </cell>
          <cell r="AG5" t="str">
            <v>Design Reviewer</v>
          </cell>
          <cell r="AH5" t="str">
            <v>LL
JXW
No.</v>
          </cell>
          <cell r="AI5" t="str">
            <v>SDD Drafted</v>
          </cell>
          <cell r="AJ5" t="str">
            <v>SDD Reviewed</v>
          </cell>
          <cell r="AK5" t="str">
            <v>SDD Reworked</v>
          </cell>
          <cell r="AL5" t="str">
            <v>Sent to Systems</v>
          </cell>
          <cell r="AM5" t="str">
            <v>Sent to Verification</v>
          </cell>
          <cell r="AN5" t="str">
            <v>Reply from Systems</v>
          </cell>
          <cell r="AO5" t="str">
            <v>Reply from Verification</v>
          </cell>
          <cell r="AP5" t="str">
            <v>SDD Re-reviewed</v>
          </cell>
          <cell r="AQ5" t="str">
            <v>Traceability Added</v>
          </cell>
          <cell r="AR5" t="str">
            <v>Traceability Reviewed</v>
          </cell>
          <cell r="AS5" t="str">
            <v>TEAM LEAD Approved</v>
          </cell>
          <cell r="AT5" t="str">
            <v>Design Approved</v>
          </cell>
          <cell r="AU5"/>
          <cell r="AV5" t="str">
            <v>Code Author</v>
          </cell>
          <cell r="AW5" t="str">
            <v>Timing Author</v>
          </cell>
          <cell r="AX5" t="str">
            <v>Code Reviewer</v>
          </cell>
          <cell r="AY5" t="str">
            <v>Code Drafted</v>
          </cell>
          <cell r="AZ5" t="str">
            <v>Timing Drafted</v>
          </cell>
          <cell r="BA5" t="str">
            <v>Code Reviewed</v>
          </cell>
          <cell r="BB5" t="str">
            <v>Code Reworked</v>
          </cell>
          <cell r="BC5" t="str">
            <v>Code Passed Find &amp; Fix</v>
          </cell>
          <cell r="BD5" t="str">
            <v>Code Re-reviewed</v>
          </cell>
        </row>
        <row r="6">
          <cell r="A6" t="str">
            <v>Common\Application_Blackboard</v>
          </cell>
          <cell r="B6" t="str">
            <v>N</v>
          </cell>
          <cell r="C6" t="str">
            <v>N</v>
          </cell>
          <cell r="D6"/>
          <cell r="E6"/>
          <cell r="F6"/>
          <cell r="G6" t="str">
            <v>CN</v>
          </cell>
          <cell r="H6" t="str">
            <v>N</v>
          </cell>
          <cell r="I6"/>
          <cell r="J6"/>
          <cell r="K6"/>
          <cell r="L6" t="str">
            <v>Y</v>
          </cell>
          <cell r="M6"/>
          <cell r="N6"/>
          <cell r="O6"/>
          <cell r="P6"/>
          <cell r="Q6"/>
          <cell r="R6"/>
          <cell r="S6" t="b">
            <v>1</v>
          </cell>
          <cell r="T6" t="b">
            <v>1</v>
          </cell>
          <cell r="U6" t="b">
            <v>1</v>
          </cell>
          <cell r="V6"/>
          <cell r="W6"/>
          <cell r="X6"/>
          <cell r="Y6" t="str">
            <v>n/a</v>
          </cell>
          <cell r="Z6"/>
          <cell r="AA6"/>
          <cell r="AB6"/>
          <cell r="AC6"/>
          <cell r="AD6"/>
          <cell r="AE6"/>
          <cell r="AF6"/>
          <cell r="AG6"/>
          <cell r="AH6" t="str">
            <v>n/a</v>
          </cell>
          <cell r="AI6"/>
          <cell r="AJ6"/>
          <cell r="AK6"/>
          <cell r="AL6"/>
          <cell r="AM6"/>
          <cell r="AN6"/>
          <cell r="AO6"/>
          <cell r="AP6"/>
          <cell r="AQ6"/>
          <cell r="AR6"/>
          <cell r="AS6"/>
          <cell r="AT6"/>
          <cell r="AU6"/>
          <cell r="AV6"/>
          <cell r="AW6"/>
          <cell r="AX6"/>
          <cell r="AY6"/>
          <cell r="AZ6"/>
          <cell r="BA6"/>
          <cell r="BB6"/>
          <cell r="BC6"/>
          <cell r="BD6"/>
        </row>
        <row r="7">
          <cell r="A7" t="str">
            <v>Common\Engine_Variant</v>
          </cell>
          <cell r="B7" t="str">
            <v>N</v>
          </cell>
          <cell r="C7" t="str">
            <v>N</v>
          </cell>
          <cell r="D7"/>
          <cell r="E7"/>
          <cell r="F7"/>
          <cell r="G7" t="str">
            <v>CN</v>
          </cell>
          <cell r="H7" t="str">
            <v>N</v>
          </cell>
          <cell r="I7"/>
          <cell r="J7"/>
          <cell r="K7"/>
          <cell r="L7"/>
          <cell r="M7"/>
          <cell r="N7"/>
          <cell r="O7"/>
          <cell r="P7" t="str">
            <v>Y</v>
          </cell>
          <cell r="Q7" t="str">
            <v>Y</v>
          </cell>
          <cell r="R7"/>
          <cell r="S7" t="b">
            <v>1</v>
          </cell>
          <cell r="T7" t="b">
            <v>1</v>
          </cell>
          <cell r="U7" t="b">
            <v>1</v>
          </cell>
          <cell r="V7"/>
          <cell r="W7"/>
          <cell r="X7"/>
          <cell r="Y7" t="str">
            <v>n/a</v>
          </cell>
          <cell r="Z7"/>
          <cell r="AA7"/>
          <cell r="AB7"/>
          <cell r="AC7"/>
          <cell r="AD7"/>
          <cell r="AE7"/>
          <cell r="AF7"/>
          <cell r="AG7"/>
          <cell r="AH7" t="str">
            <v>n/a</v>
          </cell>
          <cell r="AI7"/>
          <cell r="AJ7"/>
          <cell r="AK7"/>
          <cell r="AL7"/>
          <cell r="AM7"/>
          <cell r="AN7"/>
          <cell r="AO7"/>
          <cell r="AP7"/>
          <cell r="AQ7"/>
          <cell r="AR7"/>
          <cell r="AS7"/>
          <cell r="AT7"/>
          <cell r="AU7"/>
          <cell r="AV7"/>
          <cell r="AW7"/>
          <cell r="AX7"/>
          <cell r="AY7"/>
          <cell r="AZ7"/>
          <cell r="BA7"/>
          <cell r="BB7"/>
          <cell r="BC7"/>
          <cell r="BD7"/>
        </row>
        <row r="8">
          <cell r="A8" t="str">
            <v>Common\Hardware_Interfaces\HAL_Interfaces</v>
          </cell>
          <cell r="B8" t="str">
            <v>N</v>
          </cell>
          <cell r="C8" t="str">
            <v>N</v>
          </cell>
          <cell r="D8"/>
          <cell r="E8"/>
          <cell r="F8"/>
          <cell r="G8" t="str">
            <v>CN</v>
          </cell>
          <cell r="H8" t="str">
            <v>N</v>
          </cell>
          <cell r="I8"/>
          <cell r="J8"/>
          <cell r="K8"/>
          <cell r="L8"/>
          <cell r="M8"/>
          <cell r="N8"/>
          <cell r="O8"/>
          <cell r="P8" t="str">
            <v>Y</v>
          </cell>
          <cell r="Q8" t="str">
            <v>Y</v>
          </cell>
          <cell r="R8"/>
          <cell r="S8" t="b">
            <v>1</v>
          </cell>
          <cell r="T8" t="b">
            <v>1</v>
          </cell>
          <cell r="U8" t="b">
            <v>1</v>
          </cell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>
            <v>1850</v>
          </cell>
          <cell r="AI8"/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</row>
        <row r="9">
          <cell r="A9" t="str">
            <v>Common\Hardware_Interfaces\HEL_Interfaces</v>
          </cell>
          <cell r="B9" t="str">
            <v>N</v>
          </cell>
          <cell r="C9" t="str">
            <v>Y</v>
          </cell>
          <cell r="D9"/>
          <cell r="E9"/>
          <cell r="F9"/>
          <cell r="G9" t="str">
            <v>CN</v>
          </cell>
          <cell r="H9" t="str">
            <v>N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 t="b">
            <v>1</v>
          </cell>
          <cell r="T9" t="b">
            <v>1</v>
          </cell>
          <cell r="U9" t="b">
            <v>1</v>
          </cell>
          <cell r="V9"/>
          <cell r="W9"/>
          <cell r="X9"/>
          <cell r="Y9" t="str">
            <v>n/a</v>
          </cell>
          <cell r="Z9"/>
          <cell r="AA9"/>
          <cell r="AB9"/>
          <cell r="AC9"/>
          <cell r="AD9"/>
          <cell r="AE9"/>
          <cell r="AF9"/>
          <cell r="AG9"/>
          <cell r="AH9">
            <v>2508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</row>
        <row r="10">
          <cell r="A10" t="str">
            <v>Common\Operating_Software\Modulated_Air_System_Valve_Controller</v>
          </cell>
          <cell r="B10" t="str">
            <v>N</v>
          </cell>
          <cell r="C10" t="str">
            <v>Y</v>
          </cell>
          <cell r="D10"/>
          <cell r="E10"/>
          <cell r="F10"/>
          <cell r="G10" t="str">
            <v>CN</v>
          </cell>
          <cell r="H10" t="str">
            <v>N</v>
          </cell>
          <cell r="I10"/>
          <cell r="J10"/>
          <cell r="K10"/>
          <cell r="L10"/>
          <cell r="M10"/>
          <cell r="N10"/>
          <cell r="O10"/>
          <cell r="P10"/>
          <cell r="Q10"/>
          <cell r="R10"/>
          <cell r="S10" t="b">
            <v>1</v>
          </cell>
          <cell r="T10" t="b">
            <v>1</v>
          </cell>
          <cell r="U10" t="b">
            <v>1</v>
          </cell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</row>
        <row r="11">
          <cell r="A11" t="str">
            <v>Common\Prerequisites\Fault_Utilities\Fault_Reporting</v>
          </cell>
          <cell r="B11" t="str">
            <v>N</v>
          </cell>
          <cell r="C11" t="str">
            <v>Y</v>
          </cell>
          <cell r="E11"/>
          <cell r="F11"/>
          <cell r="G11" t="str">
            <v>CN</v>
          </cell>
          <cell r="H11" t="str">
            <v>N</v>
          </cell>
          <cell r="I11"/>
          <cell r="J11"/>
          <cell r="K11"/>
          <cell r="L11"/>
          <cell r="M11"/>
          <cell r="N11"/>
          <cell r="O11"/>
          <cell r="P11"/>
          <cell r="Q11"/>
          <cell r="R11"/>
          <cell r="S11" t="b">
            <v>1</v>
          </cell>
          <cell r="T11" t="b">
            <v>1</v>
          </cell>
          <cell r="U11" t="b">
            <v>1</v>
          </cell>
          <cell r="V11"/>
          <cell r="W11"/>
          <cell r="X11"/>
          <cell r="Y11">
            <v>2336</v>
          </cell>
          <cell r="Z11"/>
          <cell r="AA11"/>
          <cell r="AB11"/>
          <cell r="AC11"/>
          <cell r="AD11"/>
          <cell r="AE11"/>
          <cell r="AF11"/>
          <cell r="AG11"/>
          <cell r="AH11">
            <v>556</v>
          </cell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</row>
        <row r="12">
          <cell r="A12" t="str">
            <v>Common\Prerequisites\Memory_Utilities</v>
          </cell>
          <cell r="B12" t="str">
            <v>N</v>
          </cell>
          <cell r="C12" t="str">
            <v>Y</v>
          </cell>
          <cell r="D12"/>
          <cell r="E12"/>
          <cell r="F12"/>
          <cell r="G12" t="str">
            <v>CN</v>
          </cell>
          <cell r="H12" t="str">
            <v>N</v>
          </cell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 t="b">
            <v>1</v>
          </cell>
          <cell r="T12" t="b">
            <v>1</v>
          </cell>
          <cell r="U12" t="b">
            <v>1</v>
          </cell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>
            <v>1690</v>
          </cell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</row>
        <row r="13">
          <cell r="A13" t="str">
            <v>Common\Prerequisites\OS_Utilities</v>
          </cell>
          <cell r="B13" t="str">
            <v>N</v>
          </cell>
          <cell r="C13" t="str">
            <v>N</v>
          </cell>
          <cell r="D13"/>
          <cell r="E13"/>
          <cell r="F13">
            <v>6207</v>
          </cell>
          <cell r="G13" t="str">
            <v>CN</v>
          </cell>
          <cell r="H13" t="str">
            <v>Y</v>
          </cell>
          <cell r="I13"/>
          <cell r="J13"/>
          <cell r="K13"/>
          <cell r="L13"/>
          <cell r="M13" t="str">
            <v>Y</v>
          </cell>
          <cell r="N13" t="str">
            <v>Y</v>
          </cell>
          <cell r="O13" t="str">
            <v>Y</v>
          </cell>
          <cell r="P13" t="str">
            <v>Y</v>
          </cell>
          <cell r="Q13"/>
          <cell r="R13"/>
          <cell r="S13" t="b">
            <v>1</v>
          </cell>
          <cell r="T13" t="b">
            <v>1</v>
          </cell>
          <cell r="U13" t="b">
            <v>1</v>
          </cell>
          <cell r="V13">
            <v>1</v>
          </cell>
          <cell r="W13" t="str">
            <v>PR</v>
          </cell>
          <cell r="X13" t="str">
            <v>SP</v>
          </cell>
          <cell r="Y13"/>
          <cell r="Z13">
            <v>100</v>
          </cell>
          <cell r="AA13">
            <v>100</v>
          </cell>
          <cell r="AB13">
            <v>100</v>
          </cell>
          <cell r="AC13">
            <v>100</v>
          </cell>
          <cell r="AD13" t="str">
            <v>Y</v>
          </cell>
          <cell r="AE13"/>
          <cell r="AF13" t="str">
            <v>PR</v>
          </cell>
          <cell r="AG13" t="str">
            <v>SP</v>
          </cell>
          <cell r="AH13">
            <v>558</v>
          </cell>
          <cell r="AI13">
            <v>100</v>
          </cell>
          <cell r="AJ13">
            <v>100</v>
          </cell>
          <cell r="AK13">
            <v>100</v>
          </cell>
          <cell r="AL13"/>
          <cell r="AM13"/>
          <cell r="AN13"/>
          <cell r="AO13"/>
          <cell r="AP13">
            <v>100</v>
          </cell>
          <cell r="AQ13">
            <v>100</v>
          </cell>
          <cell r="AR13">
            <v>100</v>
          </cell>
          <cell r="AS13" t="str">
            <v>Y</v>
          </cell>
          <cell r="AT13" t="str">
            <v>Y</v>
          </cell>
          <cell r="AU13"/>
          <cell r="AV13" t="str">
            <v>PR</v>
          </cell>
          <cell r="AW13"/>
          <cell r="AX13" t="str">
            <v>SP</v>
          </cell>
          <cell r="AY13">
            <v>100</v>
          </cell>
          <cell r="AZ13"/>
          <cell r="BA13">
            <v>100</v>
          </cell>
          <cell r="BB13">
            <v>100</v>
          </cell>
          <cell r="BC13" t="str">
            <v>Y</v>
          </cell>
          <cell r="BD13">
            <v>100</v>
          </cell>
        </row>
        <row r="14">
          <cell r="A14" t="str">
            <v>Common\Prerequisites\Scheduler\Kernel</v>
          </cell>
          <cell r="B14" t="str">
            <v>N</v>
          </cell>
          <cell r="C14" t="str">
            <v>Y</v>
          </cell>
          <cell r="D14"/>
          <cell r="E14"/>
          <cell r="F14"/>
          <cell r="G14" t="str">
            <v>CN</v>
          </cell>
          <cell r="H14" t="str">
            <v>N</v>
          </cell>
          <cell r="I14"/>
          <cell r="J14"/>
          <cell r="K14"/>
          <cell r="L14"/>
          <cell r="M14"/>
          <cell r="N14"/>
          <cell r="O14"/>
          <cell r="P14"/>
          <cell r="Q14"/>
          <cell r="R14"/>
          <cell r="S14" t="b">
            <v>1</v>
          </cell>
          <cell r="T14" t="b">
            <v>1</v>
          </cell>
          <cell r="U14" t="b">
            <v>1</v>
          </cell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>
            <v>560</v>
          </cell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</row>
        <row r="15">
          <cell r="A15" t="str">
            <v>Common\Prerequisites\Types</v>
          </cell>
          <cell r="B15" t="str">
            <v>N</v>
          </cell>
          <cell r="C15" t="str">
            <v>Y</v>
          </cell>
          <cell r="D15"/>
          <cell r="E15"/>
          <cell r="F15"/>
          <cell r="G15" t="str">
            <v>CN</v>
          </cell>
          <cell r="H15" t="str">
            <v>N</v>
          </cell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 t="b">
            <v>1</v>
          </cell>
          <cell r="T15" t="b">
            <v>1</v>
          </cell>
          <cell r="U15" t="b">
            <v>1</v>
          </cell>
          <cell r="V15">
            <v>3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>
            <v>561</v>
          </cell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</row>
        <row r="16">
          <cell r="A16" t="str">
            <v>Common\Prerequisites\Utilities</v>
          </cell>
          <cell r="B16" t="str">
            <v>N</v>
          </cell>
          <cell r="C16" t="str">
            <v>Y</v>
          </cell>
          <cell r="D16"/>
          <cell r="E16"/>
          <cell r="F16"/>
          <cell r="G16" t="str">
            <v>CN</v>
          </cell>
          <cell r="H16" t="str">
            <v>N</v>
          </cell>
          <cell r="I16"/>
          <cell r="J16"/>
          <cell r="K16"/>
          <cell r="L16"/>
          <cell r="M16"/>
          <cell r="N16"/>
          <cell r="O16"/>
          <cell r="P16" t="str">
            <v>Y</v>
          </cell>
          <cell r="Q16" t="str">
            <v>Y</v>
          </cell>
          <cell r="R16"/>
          <cell r="S16" t="b">
            <v>1</v>
          </cell>
          <cell r="T16" t="b">
            <v>1</v>
          </cell>
          <cell r="U16" t="b">
            <v>1</v>
          </cell>
          <cell r="V16"/>
          <cell r="W16"/>
          <cell r="X16"/>
          <cell r="Y16">
            <v>2253</v>
          </cell>
          <cell r="Z16"/>
          <cell r="AA16"/>
          <cell r="AB16"/>
          <cell r="AC16"/>
          <cell r="AD16"/>
          <cell r="AE16"/>
          <cell r="AF16"/>
          <cell r="AG16"/>
          <cell r="AH16">
            <v>562</v>
          </cell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</row>
        <row r="17">
          <cell r="A17" t="str">
            <v>Common\Service_Interfaces</v>
          </cell>
          <cell r="B17" t="str">
            <v>N</v>
          </cell>
          <cell r="C17" t="str">
            <v>N</v>
          </cell>
          <cell r="D17"/>
          <cell r="E17"/>
          <cell r="F17"/>
          <cell r="G17" t="str">
            <v>CN</v>
          </cell>
          <cell r="H17" t="str">
            <v>N</v>
          </cell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 t="b">
            <v>1</v>
          </cell>
          <cell r="T17" t="b">
            <v>1</v>
          </cell>
          <cell r="U17" t="b">
            <v>1</v>
          </cell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>
            <v>1849</v>
          </cell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</row>
        <row r="18">
          <cell r="A18" t="str">
            <v>Common\Service_Layer\Box_Faults_Monitoring</v>
          </cell>
          <cell r="B18" t="str">
            <v>N</v>
          </cell>
          <cell r="C18" t="str">
            <v>Y</v>
          </cell>
          <cell r="D18"/>
          <cell r="E18"/>
          <cell r="F18"/>
          <cell r="G18" t="str">
            <v>CN</v>
          </cell>
          <cell r="H18" t="str">
            <v>N</v>
          </cell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 t="b">
            <v>1</v>
          </cell>
          <cell r="T18" t="b">
            <v>1</v>
          </cell>
          <cell r="U18" t="b">
            <v>1</v>
          </cell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>
            <v>1141</v>
          </cell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</row>
        <row r="19">
          <cell r="A19" t="str">
            <v>Common\Service_Layer\Inter-CPU_Comms\Direct_Comms_Common</v>
          </cell>
          <cell r="B19" t="str">
            <v>N</v>
          </cell>
          <cell r="C19" t="str">
            <v>N</v>
          </cell>
          <cell r="D19"/>
          <cell r="E19"/>
          <cell r="F19"/>
          <cell r="G19" t="str">
            <v>CN</v>
          </cell>
          <cell r="H19" t="str">
            <v>N</v>
          </cell>
          <cell r="I19"/>
          <cell r="J19"/>
          <cell r="K19"/>
          <cell r="L19"/>
          <cell r="M19"/>
          <cell r="N19"/>
          <cell r="O19"/>
          <cell r="P19"/>
          <cell r="Q19"/>
          <cell r="R19"/>
          <cell r="S19" t="b">
            <v>1</v>
          </cell>
          <cell r="T19" t="b">
            <v>1</v>
          </cell>
          <cell r="U19" t="b">
            <v>1</v>
          </cell>
          <cell r="V19"/>
          <cell r="W19"/>
          <cell r="X19"/>
          <cell r="Y19">
            <v>2257</v>
          </cell>
          <cell r="Z19"/>
          <cell r="AA19"/>
          <cell r="AB19"/>
          <cell r="AC19"/>
          <cell r="AD19"/>
          <cell r="AE19"/>
          <cell r="AF19"/>
          <cell r="AG19"/>
          <cell r="AH19">
            <v>1603</v>
          </cell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</row>
        <row r="20">
          <cell r="A20" t="str">
            <v>Common\Service_Layer\NVM\NVMUtilities</v>
          </cell>
          <cell r="B20" t="str">
            <v>N</v>
          </cell>
          <cell r="C20" t="str">
            <v>Y</v>
          </cell>
          <cell r="D20"/>
          <cell r="E20"/>
          <cell r="F20"/>
          <cell r="G20" t="str">
            <v>CN</v>
          </cell>
          <cell r="H20" t="str">
            <v>N</v>
          </cell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 t="b">
            <v>1</v>
          </cell>
          <cell r="T20" t="b">
            <v>1</v>
          </cell>
          <cell r="U20" t="b">
            <v>1</v>
          </cell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>
            <v>1565</v>
          </cell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</row>
        <row r="21">
          <cell r="A21" t="str">
            <v>Common\System_Interfaces</v>
          </cell>
          <cell r="B21" t="str">
            <v>N</v>
          </cell>
          <cell r="C21" t="str">
            <v>N</v>
          </cell>
          <cell r="D21"/>
          <cell r="E21"/>
          <cell r="F21" t="str">
            <v>6275, 6247</v>
          </cell>
          <cell r="G21" t="str">
            <v>CN</v>
          </cell>
          <cell r="H21" t="str">
            <v>Y</v>
          </cell>
          <cell r="I21"/>
          <cell r="J21"/>
          <cell r="K21"/>
          <cell r="L21"/>
          <cell r="M21"/>
          <cell r="N21"/>
          <cell r="O21"/>
          <cell r="P21" t="str">
            <v>Y</v>
          </cell>
          <cell r="Q21"/>
          <cell r="R21"/>
          <cell r="S21" t="b">
            <v>1</v>
          </cell>
          <cell r="T21" t="b">
            <v>1</v>
          </cell>
          <cell r="U21" t="b">
            <v>1</v>
          </cell>
          <cell r="V21">
            <v>2</v>
          </cell>
          <cell r="W21"/>
          <cell r="X21"/>
          <cell r="Y21" t="str">
            <v>n/a</v>
          </cell>
          <cell r="Z21"/>
          <cell r="AA21"/>
          <cell r="AB21"/>
          <cell r="AC21"/>
          <cell r="AD21"/>
          <cell r="AE21"/>
          <cell r="AF21"/>
          <cell r="AG21"/>
          <cell r="AH21" t="str">
            <v>n/a</v>
          </cell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 t="str">
            <v>AU</v>
          </cell>
          <cell r="AW21"/>
          <cell r="AX21" t="str">
            <v>SP</v>
          </cell>
          <cell r="AY21">
            <v>100</v>
          </cell>
          <cell r="AZ21"/>
          <cell r="BA21">
            <v>100</v>
          </cell>
          <cell r="BB21">
            <v>100</v>
          </cell>
          <cell r="BC21" t="str">
            <v>Y</v>
          </cell>
          <cell r="BD21">
            <v>100</v>
          </cell>
        </row>
        <row r="22">
          <cell r="A22" t="str">
            <v>Common\System_Layer\Actuation\LVDT_Actuation_Library</v>
          </cell>
          <cell r="B22" t="str">
            <v>N</v>
          </cell>
          <cell r="C22" t="str">
            <v>Y</v>
          </cell>
          <cell r="D22"/>
          <cell r="E22"/>
          <cell r="F22"/>
          <cell r="G22" t="str">
            <v>CN</v>
          </cell>
          <cell r="H22" t="str">
            <v>N</v>
          </cell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 t="b">
            <v>1</v>
          </cell>
          <cell r="T22" t="b">
            <v>1</v>
          </cell>
          <cell r="U22" t="b">
            <v>1</v>
          </cell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>
            <v>802</v>
          </cell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</row>
        <row r="23">
          <cell r="A23" t="str">
            <v>Common\System_Layer\Actuation\Modulated_Air_System_Actuation</v>
          </cell>
          <cell r="B23" t="str">
            <v>N</v>
          </cell>
          <cell r="C23" t="str">
            <v>N</v>
          </cell>
          <cell r="D23"/>
          <cell r="E23"/>
          <cell r="F23"/>
          <cell r="G23" t="str">
            <v>CN</v>
          </cell>
          <cell r="H23" t="str">
            <v>N</v>
          </cell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 t="b">
            <v>1</v>
          </cell>
          <cell r="T23" t="b">
            <v>1</v>
          </cell>
          <cell r="U23" t="b">
            <v>1</v>
          </cell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>
            <v>802</v>
          </cell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</row>
        <row r="24">
          <cell r="A24" t="str">
            <v>Common\System_Layer\Validation\Duplex_Validation_Library</v>
          </cell>
          <cell r="B24" t="str">
            <v>N</v>
          </cell>
          <cell r="C24" t="str">
            <v>Y</v>
          </cell>
          <cell r="D24"/>
          <cell r="E24"/>
          <cell r="F24"/>
          <cell r="G24" t="str">
            <v>CN</v>
          </cell>
          <cell r="H24" t="str">
            <v>N</v>
          </cell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 t="b">
            <v>1</v>
          </cell>
          <cell r="T24" t="b">
            <v>1</v>
          </cell>
          <cell r="U24" t="b">
            <v>1</v>
          </cell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>
            <v>595</v>
          </cell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</row>
        <row r="25">
          <cell r="A25" t="str">
            <v>Common\System_Layer\Validation\LVDT_Validation_Library</v>
          </cell>
          <cell r="B25" t="str">
            <v>N</v>
          </cell>
          <cell r="C25" t="str">
            <v>Y</v>
          </cell>
          <cell r="D25"/>
          <cell r="E25"/>
          <cell r="F25"/>
          <cell r="G25" t="str">
            <v>CN</v>
          </cell>
          <cell r="H25" t="str">
            <v>N</v>
          </cell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 t="b">
            <v>1</v>
          </cell>
          <cell r="T25" t="b">
            <v>1</v>
          </cell>
          <cell r="U25" t="b">
            <v>1</v>
          </cell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>
            <v>665</v>
          </cell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</row>
        <row r="26">
          <cell r="A26" t="str">
            <v>Common\System_Layer\Validation\Speeds_Validation_Library</v>
          </cell>
          <cell r="B26" t="str">
            <v>N</v>
          </cell>
          <cell r="C26" t="str">
            <v>Y</v>
          </cell>
          <cell r="D26"/>
          <cell r="E26"/>
          <cell r="F26"/>
          <cell r="G26" t="str">
            <v>CN</v>
          </cell>
          <cell r="H26" t="str">
            <v>N</v>
          </cell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 t="b">
            <v>1</v>
          </cell>
          <cell r="T26" t="b">
            <v>1</v>
          </cell>
          <cell r="U26" t="b">
            <v>1</v>
          </cell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>
            <v>1504</v>
          </cell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</row>
        <row r="27">
          <cell r="A27" t="str">
            <v>Common\System_Layer\Validation\Validate_Channel_AB_Identity</v>
          </cell>
          <cell r="B27" t="str">
            <v>N</v>
          </cell>
          <cell r="C27" t="str">
            <v>Y</v>
          </cell>
          <cell r="D27"/>
          <cell r="E27"/>
          <cell r="F27"/>
          <cell r="G27" t="str">
            <v>CN</v>
          </cell>
          <cell r="H27" t="str">
            <v>N</v>
          </cell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 t="b">
            <v>1</v>
          </cell>
          <cell r="T27" t="b">
            <v>1</v>
          </cell>
          <cell r="U27" t="b">
            <v>1</v>
          </cell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>
            <v>832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</row>
        <row r="28">
          <cell r="A28" t="str">
            <v>Common\System_Layer\Validation\Validate_Channel_In_Control</v>
          </cell>
          <cell r="B28" t="str">
            <v>N</v>
          </cell>
          <cell r="C28" t="str">
            <v>Y</v>
          </cell>
          <cell r="D28"/>
          <cell r="E28"/>
          <cell r="F28"/>
          <cell r="G28" t="str">
            <v>CN</v>
          </cell>
          <cell r="H28" t="str">
            <v>N</v>
          </cell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 t="b">
            <v>1</v>
          </cell>
          <cell r="T28" t="b">
            <v>1</v>
          </cell>
          <cell r="U28" t="b">
            <v>1</v>
          </cell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>
            <v>831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</row>
        <row r="29">
          <cell r="A29" t="str">
            <v>Common\System_Layer\Validation\Validate_Hardwired_Master_Lever_Position</v>
          </cell>
          <cell r="B29" t="str">
            <v>N</v>
          </cell>
          <cell r="C29" t="str">
            <v>Y</v>
          </cell>
          <cell r="D29"/>
          <cell r="E29"/>
          <cell r="F29"/>
          <cell r="G29" t="str">
            <v>CN</v>
          </cell>
          <cell r="H29" t="str">
            <v>N</v>
          </cell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 t="b">
            <v>1</v>
          </cell>
          <cell r="T29" t="b">
            <v>1</v>
          </cell>
          <cell r="U29" t="b">
            <v>1</v>
          </cell>
          <cell r="V29"/>
          <cell r="W29"/>
          <cell r="X29"/>
          <cell r="Y29">
            <v>2353</v>
          </cell>
          <cell r="Z29"/>
          <cell r="AA29"/>
          <cell r="AB29"/>
          <cell r="AC29"/>
          <cell r="AD29"/>
          <cell r="AE29"/>
          <cell r="AF29"/>
          <cell r="AG29"/>
          <cell r="AH29">
            <v>669</v>
          </cell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</row>
        <row r="30">
          <cell r="A30" t="str">
            <v>Common\System_Layer\Validation\Validate_Master_Lever_Position</v>
          </cell>
          <cell r="B30" t="str">
            <v>N</v>
          </cell>
          <cell r="C30" t="str">
            <v>Y</v>
          </cell>
          <cell r="D30"/>
          <cell r="E30"/>
          <cell r="F30"/>
          <cell r="G30" t="str">
            <v>CN</v>
          </cell>
          <cell r="H30" t="str">
            <v>N</v>
          </cell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 t="b">
            <v>1</v>
          </cell>
          <cell r="T30" t="b">
            <v>1</v>
          </cell>
          <cell r="U30" t="b">
            <v>1</v>
          </cell>
          <cell r="V30"/>
          <cell r="W30"/>
          <cell r="X30"/>
          <cell r="Y30">
            <v>2354</v>
          </cell>
          <cell r="Z30"/>
          <cell r="AA30"/>
          <cell r="AB30"/>
          <cell r="AC30"/>
          <cell r="AD30"/>
          <cell r="AE30"/>
          <cell r="AF30"/>
          <cell r="AG30"/>
          <cell r="AH30">
            <v>671</v>
          </cell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</row>
        <row r="31">
          <cell r="A31" t="str">
            <v>Common\System_Layer\Validation\Validate_TCAR_for_MAS</v>
          </cell>
          <cell r="B31" t="str">
            <v>N</v>
          </cell>
          <cell r="C31" t="str">
            <v>N</v>
          </cell>
          <cell r="D31"/>
          <cell r="E31"/>
          <cell r="F31"/>
          <cell r="G31" t="str">
            <v>CN</v>
          </cell>
          <cell r="H31" t="str">
            <v>N</v>
          </cell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>
            <v>454</v>
          </cell>
          <cell r="Z31"/>
          <cell r="AA31"/>
          <cell r="AB31"/>
          <cell r="AC31"/>
          <cell r="AD31"/>
          <cell r="AE31"/>
          <cell r="AF31"/>
          <cell r="AG31"/>
          <cell r="AH31">
            <v>452</v>
          </cell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</row>
        <row r="32">
          <cell r="A32" t="str">
            <v>Control_CPU\Application_Blackboard</v>
          </cell>
          <cell r="B32" t="str">
            <v>N</v>
          </cell>
          <cell r="C32" t="str">
            <v>N</v>
          </cell>
          <cell r="D32"/>
          <cell r="E32"/>
          <cell r="F32"/>
          <cell r="G32" t="str">
            <v>CN</v>
          </cell>
          <cell r="H32" t="str">
            <v>N</v>
          </cell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 t="b">
            <v>1</v>
          </cell>
          <cell r="T32" t="b">
            <v>1</v>
          </cell>
          <cell r="U32" t="b">
            <v>1</v>
          </cell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</row>
        <row r="33">
          <cell r="A33" t="str">
            <v>Control_CPU\Application_Layer\Bleed_Valve_Control\ESSAI_Handling_Bleed_Valve_Control</v>
          </cell>
          <cell r="B33" t="str">
            <v>N</v>
          </cell>
          <cell r="C33" t="str">
            <v>Y</v>
          </cell>
          <cell r="D33"/>
          <cell r="E33"/>
          <cell r="F33"/>
          <cell r="G33" t="str">
            <v>CN</v>
          </cell>
          <cell r="H33" t="str">
            <v>N</v>
          </cell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 t="b">
            <v>1</v>
          </cell>
          <cell r="T33" t="b">
            <v>1</v>
          </cell>
          <cell r="U33" t="b">
            <v>1</v>
          </cell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>
            <v>1312</v>
          </cell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</row>
        <row r="34">
          <cell r="A34" t="str">
            <v>Control_CPU\Application_Layer\Bleed_Valve_Control\Handling_Bleed_Valve_Control</v>
          </cell>
          <cell r="B34" t="str">
            <v>N</v>
          </cell>
          <cell r="C34" t="str">
            <v>Y</v>
          </cell>
          <cell r="D34"/>
          <cell r="E34"/>
          <cell r="F34"/>
          <cell r="G34" t="str">
            <v>CN</v>
          </cell>
          <cell r="H34" t="str">
            <v>N</v>
          </cell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 t="b">
            <v>1</v>
          </cell>
          <cell r="T34" t="b">
            <v>1</v>
          </cell>
          <cell r="U34" t="b">
            <v>1</v>
          </cell>
          <cell r="V34"/>
          <cell r="W34"/>
          <cell r="X34"/>
          <cell r="Y34">
            <v>2265</v>
          </cell>
          <cell r="Z34"/>
          <cell r="AA34"/>
          <cell r="AB34"/>
          <cell r="AC34"/>
          <cell r="AD34"/>
          <cell r="AE34"/>
          <cell r="AF34"/>
          <cell r="AG34"/>
          <cell r="AH34">
            <v>570</v>
          </cell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</row>
        <row r="35">
          <cell r="A35" t="str">
            <v>Control_CPU\Application_Layer\Bleed_Valve_Control\Handling_Bleed_Valve_Internal_Interfaces</v>
          </cell>
          <cell r="B35" t="str">
            <v>N</v>
          </cell>
          <cell r="C35" t="str">
            <v>Y</v>
          </cell>
          <cell r="D35"/>
          <cell r="E35"/>
          <cell r="F35"/>
          <cell r="G35" t="str">
            <v>CN</v>
          </cell>
          <cell r="H35" t="str">
            <v>N</v>
          </cell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 t="b">
            <v>1</v>
          </cell>
          <cell r="T35" t="b">
            <v>1</v>
          </cell>
          <cell r="U35" t="b">
            <v>1</v>
          </cell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 t="str">
            <v>n/a</v>
          </cell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</row>
        <row r="36">
          <cell r="A36" t="str">
            <v>Control_CPU\Application_Layer\Bleed_Valve_Control\HP31_Handling_Bleed_Valve_Control</v>
          </cell>
          <cell r="B36" t="str">
            <v>N</v>
          </cell>
          <cell r="C36" t="str">
            <v>Y</v>
          </cell>
          <cell r="D36"/>
          <cell r="E36"/>
          <cell r="F36"/>
          <cell r="G36" t="str">
            <v>CN</v>
          </cell>
          <cell r="H36" t="str">
            <v>N</v>
          </cell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 t="b">
            <v>1</v>
          </cell>
          <cell r="T36" t="b">
            <v>1</v>
          </cell>
          <cell r="U36" t="b">
            <v>1</v>
          </cell>
          <cell r="V36"/>
          <cell r="W36"/>
          <cell r="X36"/>
          <cell r="Y36">
            <v>1305</v>
          </cell>
          <cell r="Z36"/>
          <cell r="AA36"/>
          <cell r="AB36"/>
          <cell r="AC36"/>
          <cell r="AD36"/>
          <cell r="AE36"/>
          <cell r="AF36"/>
          <cell r="AG36"/>
          <cell r="AH36">
            <v>1306</v>
          </cell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</row>
        <row r="37">
          <cell r="A37" t="str">
            <v>Control_CPU\Application_Layer\Bleed_Valve_Control\HP32_Handling_Bleed_Valve_Control</v>
          </cell>
          <cell r="B37" t="str">
            <v>N</v>
          </cell>
          <cell r="C37" t="str">
            <v>Y</v>
          </cell>
          <cell r="D37"/>
          <cell r="E37"/>
          <cell r="F37"/>
          <cell r="G37" t="str">
            <v>CN</v>
          </cell>
          <cell r="H37" t="str">
            <v>N</v>
          </cell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 t="b">
            <v>1</v>
          </cell>
          <cell r="T37" t="b">
            <v>1</v>
          </cell>
          <cell r="U37" t="b">
            <v>1</v>
          </cell>
          <cell r="V37"/>
          <cell r="W37"/>
          <cell r="X37"/>
          <cell r="Y37">
            <v>1305</v>
          </cell>
          <cell r="Z37"/>
          <cell r="AA37"/>
          <cell r="AB37"/>
          <cell r="AC37"/>
          <cell r="AD37"/>
          <cell r="AE37"/>
          <cell r="AF37"/>
          <cell r="AG37"/>
          <cell r="AH37">
            <v>1307</v>
          </cell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</row>
        <row r="38">
          <cell r="A38" t="str">
            <v>Control_CPU\Application_Layer\Bleed_Valve_Control\HP33_Handling_Bleed_Valve_Control</v>
          </cell>
          <cell r="B38" t="str">
            <v>N</v>
          </cell>
          <cell r="C38" t="str">
            <v>Y</v>
          </cell>
          <cell r="D38"/>
          <cell r="E38"/>
          <cell r="F38"/>
          <cell r="G38" t="str">
            <v>CN</v>
          </cell>
          <cell r="H38" t="str">
            <v>N</v>
          </cell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 t="b">
            <v>1</v>
          </cell>
          <cell r="T38" t="b">
            <v>1</v>
          </cell>
          <cell r="U38" t="b">
            <v>1</v>
          </cell>
          <cell r="V38"/>
          <cell r="W38"/>
          <cell r="X38"/>
          <cell r="Y38">
            <v>1305</v>
          </cell>
          <cell r="Z38"/>
          <cell r="AA38"/>
          <cell r="AB38"/>
          <cell r="AC38"/>
          <cell r="AD38"/>
          <cell r="AE38"/>
          <cell r="AF38"/>
          <cell r="AG38"/>
          <cell r="AH38">
            <v>1308</v>
          </cell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</row>
        <row r="39">
          <cell r="A39" t="str">
            <v>Control_CPU\Application_Layer\Bleed_Valve_Control\IP81_Handling_Bleed_Valve_Control</v>
          </cell>
          <cell r="B39" t="str">
            <v>N</v>
          </cell>
          <cell r="C39" t="str">
            <v>N</v>
          </cell>
          <cell r="D39"/>
          <cell r="E39"/>
          <cell r="F39"/>
          <cell r="G39" t="str">
            <v>CN</v>
          </cell>
          <cell r="H39" t="str">
            <v>N</v>
          </cell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 t="b">
            <v>1</v>
          </cell>
          <cell r="T39" t="b">
            <v>1</v>
          </cell>
          <cell r="U39" t="b">
            <v>1</v>
          </cell>
          <cell r="V39"/>
          <cell r="W39"/>
          <cell r="X39"/>
          <cell r="Y39">
            <v>2280</v>
          </cell>
          <cell r="Z39"/>
          <cell r="AA39"/>
          <cell r="AB39"/>
          <cell r="AC39"/>
          <cell r="AD39"/>
          <cell r="AE39"/>
          <cell r="AF39"/>
          <cell r="AG39"/>
          <cell r="AH39">
            <v>1309</v>
          </cell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</row>
        <row r="40">
          <cell r="A40" t="str">
            <v>Control_CPU\Application_Layer\Bleed_Valve_Control\IP83_Handling_Bleed_Valve_Control</v>
          </cell>
          <cell r="B40" t="str">
            <v>N</v>
          </cell>
          <cell r="C40" t="str">
            <v>Y</v>
          </cell>
          <cell r="D40"/>
          <cell r="E40"/>
          <cell r="F40"/>
          <cell r="G40" t="str">
            <v>CN</v>
          </cell>
          <cell r="H40" t="str">
            <v>N</v>
          </cell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 t="b">
            <v>1</v>
          </cell>
          <cell r="T40" t="b">
            <v>1</v>
          </cell>
          <cell r="U40" t="b">
            <v>1</v>
          </cell>
          <cell r="V40"/>
          <cell r="W40"/>
          <cell r="X40"/>
          <cell r="Y40">
            <v>1305</v>
          </cell>
          <cell r="Z40"/>
          <cell r="AA40"/>
          <cell r="AB40"/>
          <cell r="AC40"/>
          <cell r="AD40"/>
          <cell r="AE40"/>
          <cell r="AF40"/>
          <cell r="AG40"/>
          <cell r="AH40">
            <v>1310</v>
          </cell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</row>
        <row r="41">
          <cell r="A41" t="str">
            <v>Control_CPU\Application_Layer\Bleed_Valve_Control\IP84_Handling_Bleed_Valve_Control</v>
          </cell>
          <cell r="B41" t="str">
            <v>N</v>
          </cell>
          <cell r="C41" t="str">
            <v>Y</v>
          </cell>
          <cell r="D41"/>
          <cell r="E41"/>
          <cell r="F41"/>
          <cell r="G41" t="str">
            <v>CN</v>
          </cell>
          <cell r="H41" t="str">
            <v>N</v>
          </cell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 t="b">
            <v>1</v>
          </cell>
          <cell r="T41" t="b">
            <v>1</v>
          </cell>
          <cell r="U41" t="b">
            <v>1</v>
          </cell>
          <cell r="V41"/>
          <cell r="W41"/>
          <cell r="X41"/>
          <cell r="Y41">
            <v>1305</v>
          </cell>
          <cell r="Z41"/>
          <cell r="AA41"/>
          <cell r="AB41"/>
          <cell r="AC41"/>
          <cell r="AD41"/>
          <cell r="AE41"/>
          <cell r="AF41"/>
          <cell r="AG41"/>
          <cell r="AH41">
            <v>1311</v>
          </cell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</row>
        <row r="42">
          <cell r="A42" t="str">
            <v>Control_CPU\Application_Layer\Engine_Events\Flight_Phase_Detection</v>
          </cell>
          <cell r="B42" t="str">
            <v>N</v>
          </cell>
          <cell r="C42" t="str">
            <v>Y</v>
          </cell>
          <cell r="D42"/>
          <cell r="E42"/>
          <cell r="F42"/>
          <cell r="G42" t="str">
            <v>CN</v>
          </cell>
          <cell r="H42" t="str">
            <v>N</v>
          </cell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 t="b">
            <v>1</v>
          </cell>
          <cell r="T42" t="b">
            <v>1</v>
          </cell>
          <cell r="U42" t="b">
            <v>1</v>
          </cell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>
            <v>563</v>
          </cell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</row>
        <row r="43">
          <cell r="A43" t="str">
            <v>Control_CPU\Application_Layer\Engine_Events\Ice_Shedding_Detection</v>
          </cell>
          <cell r="B43" t="str">
            <v>N</v>
          </cell>
          <cell r="C43" t="str">
            <v>Y</v>
          </cell>
          <cell r="D43"/>
          <cell r="E43"/>
          <cell r="F43"/>
          <cell r="G43" t="str">
            <v>CN</v>
          </cell>
          <cell r="H43" t="str">
            <v>N</v>
          </cell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 t="b">
            <v>1</v>
          </cell>
          <cell r="T43" t="b">
            <v>1</v>
          </cell>
          <cell r="U43" t="b">
            <v>1</v>
          </cell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>
            <v>564</v>
          </cell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</row>
        <row r="44">
          <cell r="A44" t="str">
            <v>Control_CPU\Application_Layer\Engine_Events\Stall_Detection</v>
          </cell>
          <cell r="B44" t="str">
            <v>N</v>
          </cell>
          <cell r="C44" t="str">
            <v>Y</v>
          </cell>
          <cell r="D44"/>
          <cell r="E44"/>
          <cell r="F44"/>
          <cell r="G44" t="str">
            <v>CN</v>
          </cell>
          <cell r="H44" t="str">
            <v>N</v>
          </cell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 t="b">
            <v>1</v>
          </cell>
          <cell r="T44" t="b">
            <v>1</v>
          </cell>
          <cell r="U44" t="b">
            <v>1</v>
          </cell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>
            <v>565</v>
          </cell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</row>
        <row r="45">
          <cell r="A45" t="str">
            <v>Control_CPU\Application_Layer\Engine_Events\Start_Condition_Detection</v>
          </cell>
          <cell r="B45" t="str">
            <v>N</v>
          </cell>
          <cell r="C45" t="str">
            <v>N</v>
          </cell>
          <cell r="D45"/>
          <cell r="E45"/>
          <cell r="F45"/>
          <cell r="G45" t="str">
            <v>CN</v>
          </cell>
          <cell r="H45" t="str">
            <v>N</v>
          </cell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 t="b">
            <v>1</v>
          </cell>
          <cell r="T45" t="b">
            <v>1</v>
          </cell>
          <cell r="U45" t="b">
            <v>1</v>
          </cell>
          <cell r="V45"/>
          <cell r="W45"/>
          <cell r="X45"/>
          <cell r="Y45">
            <v>2443</v>
          </cell>
          <cell r="Z45"/>
          <cell r="AA45"/>
          <cell r="AB45"/>
          <cell r="AC45"/>
          <cell r="AD45"/>
          <cell r="AE45"/>
          <cell r="AF45"/>
          <cell r="AG45"/>
          <cell r="AH45">
            <v>566</v>
          </cell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</row>
        <row r="46">
          <cell r="A46" t="str">
            <v>Control_CPU\Application_Layer\Engine_Events\Surge_Detection</v>
          </cell>
          <cell r="B46" t="str">
            <v>N</v>
          </cell>
          <cell r="C46" t="str">
            <v>Y</v>
          </cell>
          <cell r="D46"/>
          <cell r="E46"/>
          <cell r="F46"/>
          <cell r="G46" t="str">
            <v>CN</v>
          </cell>
          <cell r="H46" t="str">
            <v>N</v>
          </cell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 t="b">
            <v>1</v>
          </cell>
          <cell r="T46" t="b">
            <v>1</v>
          </cell>
          <cell r="U46" t="b">
            <v>1</v>
          </cell>
          <cell r="V46"/>
          <cell r="W46"/>
          <cell r="X46"/>
          <cell r="Y46">
            <v>2454</v>
          </cell>
          <cell r="Z46"/>
          <cell r="AA46"/>
          <cell r="AB46"/>
          <cell r="AC46"/>
          <cell r="AD46"/>
          <cell r="AE46"/>
          <cell r="AF46"/>
          <cell r="AG46"/>
          <cell r="AH46">
            <v>567</v>
          </cell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</row>
        <row r="47">
          <cell r="A47" t="str">
            <v>Control_CPU\Application_Layer\Engine_Events\Transient_and_Steady_State_Detection</v>
          </cell>
          <cell r="B47" t="str">
            <v>N</v>
          </cell>
          <cell r="C47" t="str">
            <v>Y</v>
          </cell>
          <cell r="D47"/>
          <cell r="E47"/>
          <cell r="F47"/>
          <cell r="G47" t="str">
            <v>CN</v>
          </cell>
          <cell r="H47" t="str">
            <v>N</v>
          </cell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 t="b">
            <v>1</v>
          </cell>
          <cell r="T47" t="b">
            <v>1</v>
          </cell>
          <cell r="U47" t="b">
            <v>1</v>
          </cell>
          <cell r="V47"/>
          <cell r="W47"/>
          <cell r="X47"/>
          <cell r="Y47">
            <v>2464</v>
          </cell>
          <cell r="Z47"/>
          <cell r="AA47"/>
          <cell r="AB47"/>
          <cell r="AC47"/>
          <cell r="AD47"/>
          <cell r="AE47"/>
          <cell r="AF47"/>
          <cell r="AG47"/>
          <cell r="AH47">
            <v>568</v>
          </cell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</row>
        <row r="48">
          <cell r="A48" t="str">
            <v>Control_CPU\Application_Layer\Engine_Events\Water_Ingestion_Detection</v>
          </cell>
          <cell r="B48" t="str">
            <v>N</v>
          </cell>
          <cell r="C48" t="str">
            <v>Y</v>
          </cell>
          <cell r="D48"/>
          <cell r="E48"/>
          <cell r="F48"/>
          <cell r="G48" t="str">
            <v>CN</v>
          </cell>
          <cell r="H48" t="str">
            <v>N</v>
          </cell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 t="b">
            <v>1</v>
          </cell>
          <cell r="T48" t="b">
            <v>1</v>
          </cell>
          <cell r="U48" t="b">
            <v>1</v>
          </cell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>
            <v>569</v>
          </cell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</row>
        <row r="49">
          <cell r="A49" t="str">
            <v>Control_CPU\Application_Layer\ESS_Anti_Ice_Control</v>
          </cell>
          <cell r="B49" t="str">
            <v>N</v>
          </cell>
          <cell r="C49" t="str">
            <v>Y</v>
          </cell>
          <cell r="D49"/>
          <cell r="E49"/>
          <cell r="F49"/>
          <cell r="G49" t="str">
            <v>CN</v>
          </cell>
          <cell r="H49" t="str">
            <v>N</v>
          </cell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 t="b">
            <v>1</v>
          </cell>
          <cell r="T49" t="b">
            <v>1</v>
          </cell>
          <cell r="U49" t="b">
            <v>1</v>
          </cell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>
            <v>828</v>
          </cell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</row>
        <row r="50">
          <cell r="A50" t="str">
            <v>Control_CPU\Application_Layer\Front_Bearing_Housing_Oil_Bypass_Valve_Control</v>
          </cell>
          <cell r="B50" t="str">
            <v>N</v>
          </cell>
          <cell r="C50" t="str">
            <v>Y</v>
          </cell>
          <cell r="D50"/>
          <cell r="E50"/>
          <cell r="F50"/>
          <cell r="G50" t="str">
            <v>CN</v>
          </cell>
          <cell r="H50" t="str">
            <v>N</v>
          </cell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 t="b">
            <v>1</v>
          </cell>
          <cell r="T50" t="b">
            <v>1</v>
          </cell>
          <cell r="U50" t="b">
            <v>1</v>
          </cell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>
            <v>626</v>
          </cell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</row>
        <row r="51">
          <cell r="A51" t="str">
            <v>Control_CPU\Application_Layer\Heat_Management\Engine_Oil_Bypass_Valve_Control</v>
          </cell>
          <cell r="B51" t="str">
            <v>N</v>
          </cell>
          <cell r="C51" t="str">
            <v>Y</v>
          </cell>
          <cell r="D51"/>
          <cell r="E51"/>
          <cell r="F51"/>
          <cell r="G51" t="str">
            <v>CN</v>
          </cell>
          <cell r="H51" t="str">
            <v>N</v>
          </cell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 t="b">
            <v>1</v>
          </cell>
          <cell r="T51" t="b">
            <v>1</v>
          </cell>
          <cell r="U51" t="b">
            <v>1</v>
          </cell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>
            <v>627</v>
          </cell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</row>
        <row r="52">
          <cell r="A52" t="str">
            <v>Control_CPU\Application_Layer\Heat_Management\Generator_Oil_Bypass_Valve_Control</v>
          </cell>
          <cell r="B52" t="str">
            <v>N</v>
          </cell>
          <cell r="C52" t="str">
            <v>Y</v>
          </cell>
          <cell r="D52"/>
          <cell r="E52"/>
          <cell r="F52"/>
          <cell r="G52" t="str">
            <v>CN</v>
          </cell>
          <cell r="H52" t="str">
            <v>N</v>
          </cell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 t="b">
            <v>1</v>
          </cell>
          <cell r="T52" t="b">
            <v>1</v>
          </cell>
          <cell r="U52" t="b">
            <v>1</v>
          </cell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>
            <v>628</v>
          </cell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</row>
        <row r="53">
          <cell r="A53" t="str">
            <v>Control_CPU\Application_Layer\HP3_Pipefail_Detection\Flight_Phase_Determination</v>
          </cell>
          <cell r="B53" t="str">
            <v>N</v>
          </cell>
          <cell r="C53" t="str">
            <v>Y</v>
          </cell>
          <cell r="D53"/>
          <cell r="E53"/>
          <cell r="F53"/>
          <cell r="G53" t="str">
            <v>CN</v>
          </cell>
          <cell r="H53" t="str">
            <v>N</v>
          </cell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 t="b">
            <v>1</v>
          </cell>
          <cell r="T53" t="b">
            <v>1</v>
          </cell>
          <cell r="U53" t="b">
            <v>1</v>
          </cell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>
            <v>805</v>
          </cell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</row>
        <row r="54">
          <cell r="A54" t="str">
            <v>Control_CPU\Application_Layer\HP3_Pipefail_Detection\HP3_Pipefail_Detn_Internal_Ifs</v>
          </cell>
          <cell r="B54" t="str">
            <v>N</v>
          </cell>
          <cell r="C54" t="str">
            <v>N</v>
          </cell>
          <cell r="D54"/>
          <cell r="E54"/>
          <cell r="F54"/>
          <cell r="G54" t="str">
            <v>CN</v>
          </cell>
          <cell r="H54" t="str">
            <v>N</v>
          </cell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 t="b">
            <v>1</v>
          </cell>
          <cell r="T54" t="b">
            <v>1</v>
          </cell>
          <cell r="U54" t="b">
            <v>1</v>
          </cell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>
            <v>805</v>
          </cell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</row>
        <row r="55">
          <cell r="A55" t="str">
            <v>Control_CPU\Application_Layer\HP3_Pipefail_Detection\HP3_Pipefail_Logic</v>
          </cell>
          <cell r="B55" t="str">
            <v>N</v>
          </cell>
          <cell r="C55" t="str">
            <v>Y</v>
          </cell>
          <cell r="D55"/>
          <cell r="E55"/>
          <cell r="F55"/>
          <cell r="G55" t="str">
            <v>CN</v>
          </cell>
          <cell r="H55" t="str">
            <v>N</v>
          </cell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 t="b">
            <v>1</v>
          </cell>
          <cell r="T55" t="b">
            <v>1</v>
          </cell>
          <cell r="U55" t="b">
            <v>1</v>
          </cell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>
            <v>805</v>
          </cell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</row>
        <row r="56">
          <cell r="A56" t="str">
            <v>Control_CPU\Application_Layer\HP3_Pipefail_Detection\Snapshot_Fns</v>
          </cell>
          <cell r="B56" t="str">
            <v>N</v>
          </cell>
          <cell r="C56" t="str">
            <v>Y</v>
          </cell>
          <cell r="D56"/>
          <cell r="E56"/>
          <cell r="F56"/>
          <cell r="G56" t="str">
            <v>CN</v>
          </cell>
          <cell r="H56" t="str">
            <v>N</v>
          </cell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 t="b">
            <v>1</v>
          </cell>
          <cell r="T56" t="b">
            <v>1</v>
          </cell>
          <cell r="U56" t="b">
            <v>1</v>
          </cell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>
            <v>805</v>
          </cell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</row>
        <row r="57">
          <cell r="A57" t="str">
            <v>Control_CPU\Application_Layer\Igniter_Control</v>
          </cell>
          <cell r="B57" t="str">
            <v>N</v>
          </cell>
          <cell r="C57" t="str">
            <v>Y</v>
          </cell>
          <cell r="D57"/>
          <cell r="E57"/>
          <cell r="F57"/>
          <cell r="G57" t="str">
            <v>CN</v>
          </cell>
          <cell r="H57" t="str">
            <v>N</v>
          </cell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 t="b">
            <v>1</v>
          </cell>
          <cell r="T57" t="b">
            <v>1</v>
          </cell>
          <cell r="U57" t="b">
            <v>1</v>
          </cell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>
            <v>805</v>
          </cell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</row>
        <row r="58">
          <cell r="A58" t="str">
            <v>Control_CPU\Application_Layer\Modulated_Air_System_Control</v>
          </cell>
          <cell r="B58" t="str">
            <v>N</v>
          </cell>
          <cell r="C58" t="str">
            <v>N</v>
          </cell>
          <cell r="D58"/>
          <cell r="E58"/>
          <cell r="F58"/>
          <cell r="G58" t="str">
            <v>CN</v>
          </cell>
          <cell r="H58" t="str">
            <v>N</v>
          </cell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 t="b">
            <v>1</v>
          </cell>
          <cell r="T58" t="b">
            <v>1</v>
          </cell>
          <cell r="U58" t="b">
            <v>1</v>
          </cell>
          <cell r="V58"/>
          <cell r="W58"/>
          <cell r="X58"/>
          <cell r="Y58">
            <v>188</v>
          </cell>
          <cell r="Z58"/>
          <cell r="AA58"/>
          <cell r="AB58"/>
          <cell r="AC58"/>
          <cell r="AD58"/>
          <cell r="AE58"/>
          <cell r="AF58"/>
          <cell r="AG58"/>
          <cell r="AH58">
            <v>189</v>
          </cell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</row>
        <row r="59">
          <cell r="A59" t="str">
            <v>Control_CPU\Application_Layer\Protection\NH_Dot_Support</v>
          </cell>
          <cell r="B59" t="str">
            <v>N</v>
          </cell>
          <cell r="C59" t="str">
            <v>Y</v>
          </cell>
          <cell r="D59"/>
          <cell r="E59"/>
          <cell r="F59"/>
          <cell r="G59" t="str">
            <v>CN</v>
          </cell>
          <cell r="H59" t="str">
            <v>N</v>
          </cell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 t="b">
            <v>1</v>
          </cell>
          <cell r="T59" t="b">
            <v>1</v>
          </cell>
          <cell r="U59" t="b">
            <v>1</v>
          </cell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>
            <v>571</v>
          </cell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</row>
        <row r="60">
          <cell r="A60" t="str">
            <v>Control_CPU\Application_Layer\Special_Functions\Fuel_Spiking_and_Dipping</v>
          </cell>
          <cell r="B60" t="str">
            <v>N</v>
          </cell>
          <cell r="C60" t="str">
            <v>Y</v>
          </cell>
          <cell r="D60"/>
          <cell r="E60"/>
          <cell r="F60"/>
          <cell r="G60" t="str">
            <v>CN</v>
          </cell>
          <cell r="H60" t="str">
            <v>N</v>
          </cell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 t="b">
            <v>1</v>
          </cell>
          <cell r="T60" t="b">
            <v>1</v>
          </cell>
          <cell r="U60" t="b">
            <v>1</v>
          </cell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>
            <v>571</v>
          </cell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</row>
        <row r="61">
          <cell r="A61" t="str">
            <v>Control_CPU\Application_Layer\Special_Functions\Manual_Fuel_Control</v>
          </cell>
          <cell r="B61" t="str">
            <v>N</v>
          </cell>
          <cell r="C61" t="str">
            <v>Y</v>
          </cell>
          <cell r="D61"/>
          <cell r="E61"/>
          <cell r="F61"/>
          <cell r="G61" t="str">
            <v>CN</v>
          </cell>
          <cell r="H61" t="str">
            <v>N</v>
          </cell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 t="b">
            <v>1</v>
          </cell>
          <cell r="T61" t="b">
            <v>1</v>
          </cell>
          <cell r="U61" t="b">
            <v>1</v>
          </cell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>
            <v>572</v>
          </cell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</row>
        <row r="62">
          <cell r="A62" t="str">
            <v>Control_CPU\Application_Layer\Special_Functions\Special_Functions</v>
          </cell>
          <cell r="B62" t="str">
            <v>N</v>
          </cell>
          <cell r="C62" t="str">
            <v>Y</v>
          </cell>
          <cell r="D62"/>
          <cell r="E62"/>
          <cell r="F62"/>
          <cell r="G62" t="str">
            <v>CN</v>
          </cell>
          <cell r="H62" t="str">
            <v>N</v>
          </cell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 t="b">
            <v>1</v>
          </cell>
          <cell r="T62" t="b">
            <v>1</v>
          </cell>
          <cell r="U62" t="b">
            <v>1</v>
          </cell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>
            <v>573</v>
          </cell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</row>
        <row r="63">
          <cell r="A63" t="str">
            <v>Control_CPU\Application_Layer\Starting\Auto_Relight</v>
          </cell>
          <cell r="B63" t="str">
            <v>N</v>
          </cell>
          <cell r="C63" t="str">
            <v>N</v>
          </cell>
          <cell r="D63"/>
          <cell r="E63"/>
          <cell r="F63"/>
          <cell r="G63" t="str">
            <v>CN</v>
          </cell>
          <cell r="H63" t="str">
            <v>N</v>
          </cell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 t="b">
            <v>1</v>
          </cell>
          <cell r="T63" t="b">
            <v>1</v>
          </cell>
          <cell r="U63" t="b">
            <v>1</v>
          </cell>
          <cell r="V63"/>
          <cell r="W63"/>
          <cell r="X63"/>
          <cell r="Y63">
            <v>2575</v>
          </cell>
          <cell r="Z63"/>
          <cell r="AA63"/>
          <cell r="AB63"/>
          <cell r="AC63"/>
          <cell r="AD63"/>
          <cell r="AE63"/>
          <cell r="AF63"/>
          <cell r="AG63"/>
          <cell r="AH63">
            <v>942</v>
          </cell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</row>
        <row r="64">
          <cell r="A64" t="str">
            <v>Control_CPU\Application_Layer\Starting\Ground_Autostart</v>
          </cell>
          <cell r="B64" t="str">
            <v>N</v>
          </cell>
          <cell r="C64" t="str">
            <v>Y</v>
          </cell>
          <cell r="D64"/>
          <cell r="E64"/>
          <cell r="F64">
            <v>6247</v>
          </cell>
          <cell r="G64" t="str">
            <v>CN</v>
          </cell>
          <cell r="H64" t="str">
            <v>Y</v>
          </cell>
          <cell r="I64" t="str">
            <v>Y</v>
          </cell>
          <cell r="J64"/>
          <cell r="K64"/>
          <cell r="L64"/>
          <cell r="M64" t="str">
            <v>Y</v>
          </cell>
          <cell r="N64" t="str">
            <v>Y</v>
          </cell>
          <cell r="O64" t="str">
            <v>Y</v>
          </cell>
          <cell r="P64" t="str">
            <v>Y</v>
          </cell>
          <cell r="Q64"/>
          <cell r="R64"/>
          <cell r="S64" t="b">
            <v>1</v>
          </cell>
          <cell r="T64" t="b">
            <v>1</v>
          </cell>
          <cell r="U64" t="b">
            <v>1</v>
          </cell>
          <cell r="V64">
            <v>3</v>
          </cell>
          <cell r="W64" t="str">
            <v>HG</v>
          </cell>
          <cell r="X64" t="str">
            <v>SP</v>
          </cell>
          <cell r="Y64">
            <v>377</v>
          </cell>
          <cell r="Z64">
            <v>100</v>
          </cell>
          <cell r="AA64">
            <v>100</v>
          </cell>
          <cell r="AB64">
            <v>100</v>
          </cell>
          <cell r="AC64">
            <v>100</v>
          </cell>
          <cell r="AD64" t="str">
            <v>Y</v>
          </cell>
          <cell r="AE64"/>
          <cell r="AF64" t="str">
            <v>HG</v>
          </cell>
          <cell r="AG64" t="str">
            <v>SP</v>
          </cell>
          <cell r="AH64">
            <v>378</v>
          </cell>
          <cell r="AI64">
            <v>100</v>
          </cell>
          <cell r="AJ64">
            <v>100</v>
          </cell>
          <cell r="AK64">
            <v>100</v>
          </cell>
          <cell r="AL64"/>
          <cell r="AM64" t="str">
            <v>Y</v>
          </cell>
          <cell r="AN64"/>
          <cell r="AO64" t="str">
            <v>Y</v>
          </cell>
          <cell r="AP64">
            <v>100</v>
          </cell>
          <cell r="AQ64">
            <v>100</v>
          </cell>
          <cell r="AR64">
            <v>100</v>
          </cell>
          <cell r="AS64" t="str">
            <v>Y</v>
          </cell>
          <cell r="AT64" t="str">
            <v>Y</v>
          </cell>
          <cell r="AU64"/>
          <cell r="AV64" t="str">
            <v>HG</v>
          </cell>
          <cell r="AW64"/>
          <cell r="AX64" t="str">
            <v>SP</v>
          </cell>
          <cell r="AY64">
            <v>100</v>
          </cell>
          <cell r="AZ64"/>
          <cell r="BA64">
            <v>100</v>
          </cell>
          <cell r="BB64">
            <v>100</v>
          </cell>
          <cell r="BC64" t="str">
            <v>Y</v>
          </cell>
          <cell r="BD64">
            <v>100</v>
          </cell>
        </row>
        <row r="65">
          <cell r="A65" t="str">
            <v>Control_CPU\Application_Layer\Starting\InFlight_Autostart</v>
          </cell>
          <cell r="B65" t="str">
            <v>N</v>
          </cell>
          <cell r="C65" t="str">
            <v>N</v>
          </cell>
          <cell r="D65"/>
          <cell r="E65"/>
          <cell r="F65"/>
          <cell r="G65" t="str">
            <v>CN</v>
          </cell>
          <cell r="H65" t="str">
            <v>N</v>
          </cell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 t="b">
            <v>1</v>
          </cell>
          <cell r="T65" t="b">
            <v>1</v>
          </cell>
          <cell r="U65" t="b">
            <v>1</v>
          </cell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>
            <v>703</v>
          </cell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</row>
        <row r="66">
          <cell r="A66" t="str">
            <v>Control_CPU\Application_Layer\Starting\Manual_Start</v>
          </cell>
          <cell r="B66" t="str">
            <v>N</v>
          </cell>
          <cell r="C66" t="str">
            <v>Y</v>
          </cell>
          <cell r="D66"/>
          <cell r="E66"/>
          <cell r="F66"/>
          <cell r="G66" t="str">
            <v>CN</v>
          </cell>
          <cell r="H66" t="str">
            <v>N</v>
          </cell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 t="b">
            <v>1</v>
          </cell>
          <cell r="T66" t="b">
            <v>1</v>
          </cell>
          <cell r="U66" t="b">
            <v>1</v>
          </cell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>
            <v>637</v>
          </cell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</row>
        <row r="67">
          <cell r="A67" t="str">
            <v>Control_CPU\Application_Layer\Starting\Quick_Relight</v>
          </cell>
          <cell r="B67" t="str">
            <v>N</v>
          </cell>
          <cell r="C67" t="str">
            <v>Y</v>
          </cell>
          <cell r="D67"/>
          <cell r="E67"/>
          <cell r="F67"/>
          <cell r="G67" t="str">
            <v>CN</v>
          </cell>
          <cell r="H67" t="str">
            <v>N</v>
          </cell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 t="b">
            <v>1</v>
          </cell>
          <cell r="T67" t="b">
            <v>1</v>
          </cell>
          <cell r="U67" t="b">
            <v>1</v>
          </cell>
          <cell r="V67"/>
          <cell r="W67"/>
          <cell r="X67"/>
          <cell r="Y67">
            <v>2577</v>
          </cell>
          <cell r="Z67"/>
          <cell r="AA67"/>
          <cell r="AB67"/>
          <cell r="AC67"/>
          <cell r="AD67"/>
          <cell r="AE67"/>
          <cell r="AF67"/>
          <cell r="AG67"/>
          <cell r="AH67">
            <v>997</v>
          </cell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</row>
        <row r="68">
          <cell r="A68" t="str">
            <v>Control_CPU\Application_Layer\Starting\Internal Starting Interfaces</v>
          </cell>
          <cell r="B68" t="str">
            <v>N</v>
          </cell>
          <cell r="C68" t="str">
            <v>Y</v>
          </cell>
          <cell r="D68"/>
          <cell r="E68"/>
          <cell r="F68"/>
          <cell r="G68" t="str">
            <v>CN</v>
          </cell>
          <cell r="H68" t="str">
            <v>N</v>
          </cell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 t="b">
            <v>1</v>
          </cell>
          <cell r="T68" t="b">
            <v>1</v>
          </cell>
          <cell r="U68" t="b">
            <v>1</v>
          </cell>
          <cell r="V68"/>
          <cell r="W68"/>
          <cell r="X68"/>
          <cell r="Y68">
            <v>391</v>
          </cell>
          <cell r="Z68"/>
          <cell r="AA68"/>
          <cell r="AB68"/>
          <cell r="AC68"/>
          <cell r="AD68"/>
          <cell r="AE68"/>
          <cell r="AF68"/>
          <cell r="AG68"/>
          <cell r="AH68">
            <v>392</v>
          </cell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</row>
        <row r="69">
          <cell r="A69" t="str">
            <v>Control_CPU\Application_Layer\Starting\Starting</v>
          </cell>
          <cell r="B69" t="str">
            <v>N</v>
          </cell>
          <cell r="C69" t="str">
            <v>N</v>
          </cell>
          <cell r="D69"/>
          <cell r="E69"/>
          <cell r="F69"/>
          <cell r="G69" t="str">
            <v>CN</v>
          </cell>
          <cell r="H69" t="str">
            <v>N</v>
          </cell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 t="b">
            <v>1</v>
          </cell>
          <cell r="T69" t="b">
            <v>1</v>
          </cell>
          <cell r="U69" t="b">
            <v>1</v>
          </cell>
          <cell r="V69">
            <v>3</v>
          </cell>
          <cell r="W69"/>
          <cell r="X69"/>
          <cell r="Y69">
            <v>391</v>
          </cell>
          <cell r="Z69"/>
          <cell r="AA69"/>
          <cell r="AB69"/>
          <cell r="AC69"/>
          <cell r="AD69"/>
          <cell r="AE69"/>
          <cell r="AF69"/>
          <cell r="AG69"/>
          <cell r="AH69">
            <v>392</v>
          </cell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</row>
        <row r="70">
          <cell r="A70" t="str">
            <v>Control_CPU\Application_Layer\Starting\Starting_Common</v>
          </cell>
          <cell r="B70" t="str">
            <v>N</v>
          </cell>
          <cell r="C70" t="str">
            <v>N</v>
          </cell>
          <cell r="D70"/>
          <cell r="E70"/>
          <cell r="F70"/>
          <cell r="G70" t="str">
            <v>CN</v>
          </cell>
          <cell r="H70" t="str">
            <v>N</v>
          </cell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 t="b">
            <v>1</v>
          </cell>
          <cell r="T70" t="b">
            <v>1</v>
          </cell>
          <cell r="U70" t="b">
            <v>1</v>
          </cell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>
            <v>639</v>
          </cell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</row>
        <row r="71">
          <cell r="A71" t="str">
            <v>Control_CPU\Application_Layer\Thrust_Control\Control_Loop_Mode_Controller</v>
          </cell>
          <cell r="B71" t="str">
            <v>N</v>
          </cell>
          <cell r="C71" t="str">
            <v>Y</v>
          </cell>
          <cell r="D71"/>
          <cell r="E71"/>
          <cell r="F71"/>
          <cell r="G71" t="str">
            <v>CN</v>
          </cell>
          <cell r="H71" t="str">
            <v>N</v>
          </cell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 t="b">
            <v>1</v>
          </cell>
          <cell r="T71" t="b">
            <v>1</v>
          </cell>
          <cell r="U71" t="b">
            <v>1</v>
          </cell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>
            <v>1269</v>
          </cell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</row>
        <row r="72">
          <cell r="A72" t="str">
            <v>Control_CPU\Application_Layer\Thrust_Control\Fuel_Dip</v>
          </cell>
          <cell r="B72" t="str">
            <v>N</v>
          </cell>
          <cell r="C72" t="str">
            <v>Y</v>
          </cell>
          <cell r="D72"/>
          <cell r="E72"/>
          <cell r="F72"/>
          <cell r="G72" t="str">
            <v>CN</v>
          </cell>
          <cell r="H72" t="str">
            <v>N</v>
          </cell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 t="b">
            <v>1</v>
          </cell>
          <cell r="T72" t="b">
            <v>1</v>
          </cell>
          <cell r="U72" t="b">
            <v>1</v>
          </cell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>
            <v>575</v>
          </cell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</row>
        <row r="73">
          <cell r="A73" t="str">
            <v>Control_CPU\Application_Layer\Thrust_Control\Fuel_Index</v>
          </cell>
          <cell r="B73" t="str">
            <v>N</v>
          </cell>
          <cell r="C73" t="str">
            <v>Y</v>
          </cell>
          <cell r="D73"/>
          <cell r="E73"/>
          <cell r="F73">
            <v>6216</v>
          </cell>
          <cell r="G73" t="str">
            <v>CN</v>
          </cell>
          <cell r="H73" t="str">
            <v>Y</v>
          </cell>
          <cell r="I73"/>
          <cell r="J73"/>
          <cell r="K73"/>
          <cell r="L73"/>
          <cell r="M73"/>
          <cell r="N73" t="str">
            <v>Y</v>
          </cell>
          <cell r="O73" t="str">
            <v>Y</v>
          </cell>
          <cell r="P73" t="str">
            <v>Y</v>
          </cell>
          <cell r="Q73"/>
          <cell r="R73"/>
          <cell r="S73" t="b">
            <v>1</v>
          </cell>
          <cell r="T73" t="b">
            <v>1</v>
          </cell>
          <cell r="U73" t="b">
            <v>1</v>
          </cell>
          <cell r="V73">
            <v>1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 t="str">
            <v>SP</v>
          </cell>
          <cell r="AG73" t="str">
            <v>HG</v>
          </cell>
          <cell r="AH73">
            <v>576</v>
          </cell>
          <cell r="AI73">
            <v>100</v>
          </cell>
          <cell r="AJ73">
            <v>100</v>
          </cell>
          <cell r="AK73">
            <v>100</v>
          </cell>
          <cell r="AL73"/>
          <cell r="AM73" t="str">
            <v>Y</v>
          </cell>
          <cell r="AN73"/>
          <cell r="AO73" t="str">
            <v>Y</v>
          </cell>
          <cell r="AP73">
            <v>100</v>
          </cell>
          <cell r="AQ73">
            <v>100</v>
          </cell>
          <cell r="AR73">
            <v>100</v>
          </cell>
          <cell r="AS73" t="str">
            <v>Y</v>
          </cell>
          <cell r="AT73" t="str">
            <v>Y</v>
          </cell>
          <cell r="AU73"/>
          <cell r="AV73" t="str">
            <v>SP</v>
          </cell>
          <cell r="AW73"/>
          <cell r="AX73" t="str">
            <v>HG</v>
          </cell>
          <cell r="AY73">
            <v>100</v>
          </cell>
          <cell r="AZ73"/>
          <cell r="BA73">
            <v>100</v>
          </cell>
          <cell r="BB73">
            <v>100</v>
          </cell>
          <cell r="BC73" t="str">
            <v>Y</v>
          </cell>
          <cell r="BD73">
            <v>100</v>
          </cell>
        </row>
        <row r="74">
          <cell r="A74" t="str">
            <v>Control_CPU\Application_Layer\Thrust_Control\PassiveHPTOS</v>
          </cell>
          <cell r="B74" t="str">
            <v>N</v>
          </cell>
          <cell r="C74" t="str">
            <v>Y</v>
          </cell>
          <cell r="D74"/>
          <cell r="E74"/>
          <cell r="F74"/>
          <cell r="G74" t="str">
            <v>CN</v>
          </cell>
          <cell r="H74" t="str">
            <v>N</v>
          </cell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 t="b">
            <v>1</v>
          </cell>
          <cell r="T74" t="b">
            <v>1</v>
          </cell>
          <cell r="U74" t="b">
            <v>1</v>
          </cell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>
            <v>576</v>
          </cell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</row>
        <row r="75">
          <cell r="A75" t="str">
            <v>Control_CPU\Application_Layer\Thrust_Control\Limit_Fuel_Flow</v>
          </cell>
          <cell r="B75" t="str">
            <v>N</v>
          </cell>
          <cell r="C75" t="str">
            <v>Y</v>
          </cell>
          <cell r="D75"/>
          <cell r="E75"/>
          <cell r="F75"/>
          <cell r="G75" t="str">
            <v>CN</v>
          </cell>
          <cell r="H75" t="str">
            <v>N</v>
          </cell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 t="b">
            <v>1</v>
          </cell>
          <cell r="T75" t="b">
            <v>1</v>
          </cell>
          <cell r="U75" t="b">
            <v>1</v>
          </cell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>
            <v>577</v>
          </cell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</row>
        <row r="76">
          <cell r="A76" t="str">
            <v>Control_CPU\Application_Layer\Thrust_Control\Loop_Gains</v>
          </cell>
          <cell r="B76" t="str">
            <v>N</v>
          </cell>
          <cell r="C76" t="str">
            <v>Y</v>
          </cell>
          <cell r="D76"/>
          <cell r="E76"/>
          <cell r="F76"/>
          <cell r="G76" t="str">
            <v>CN</v>
          </cell>
          <cell r="H76" t="str">
            <v>N</v>
          </cell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 t="b">
            <v>1</v>
          </cell>
          <cell r="T76" t="b">
            <v>1</v>
          </cell>
          <cell r="U76" t="b">
            <v>1</v>
          </cell>
          <cell r="V76"/>
          <cell r="W76"/>
          <cell r="X76"/>
          <cell r="Y76">
            <v>455</v>
          </cell>
          <cell r="Z76"/>
          <cell r="AA76"/>
          <cell r="AB76"/>
          <cell r="AC76"/>
          <cell r="AD76"/>
          <cell r="AE76"/>
          <cell r="AF76"/>
          <cell r="AG76"/>
          <cell r="AH76">
            <v>456</v>
          </cell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</row>
        <row r="77">
          <cell r="A77" t="str">
            <v>Control_CPU\Application_Layer\Thrust_Control\Loops</v>
          </cell>
          <cell r="B77" t="str">
            <v>N</v>
          </cell>
          <cell r="C77" t="str">
            <v>Y</v>
          </cell>
          <cell r="D77"/>
          <cell r="E77"/>
          <cell r="F77" t="str">
            <v>6216, NFPR_2299</v>
          </cell>
          <cell r="G77" t="str">
            <v>CN</v>
          </cell>
          <cell r="H77" t="str">
            <v>Y</v>
          </cell>
          <cell r="I77"/>
          <cell r="J77"/>
          <cell r="K77"/>
          <cell r="L77"/>
          <cell r="M77" t="str">
            <v>Y</v>
          </cell>
          <cell r="N77" t="str">
            <v>Y</v>
          </cell>
          <cell r="O77" t="str">
            <v>Y</v>
          </cell>
          <cell r="P77" t="str">
            <v>Y</v>
          </cell>
          <cell r="Q77"/>
          <cell r="R77"/>
          <cell r="S77" t="b">
            <v>1</v>
          </cell>
          <cell r="T77" t="b">
            <v>1</v>
          </cell>
          <cell r="U77" t="b">
            <v>1</v>
          </cell>
          <cell r="V77">
            <v>1</v>
          </cell>
          <cell r="W77" t="str">
            <v>SP</v>
          </cell>
          <cell r="X77" t="str">
            <v>HG</v>
          </cell>
          <cell r="Y77">
            <v>459</v>
          </cell>
          <cell r="Z77">
            <v>100</v>
          </cell>
          <cell r="AA77">
            <v>100</v>
          </cell>
          <cell r="AB77">
            <v>100</v>
          </cell>
          <cell r="AC77">
            <v>100</v>
          </cell>
          <cell r="AD77" t="str">
            <v>Y</v>
          </cell>
          <cell r="AE77"/>
          <cell r="AF77" t="str">
            <v>SP</v>
          </cell>
          <cell r="AG77" t="str">
            <v>HG</v>
          </cell>
          <cell r="AH77">
            <v>460</v>
          </cell>
          <cell r="AI77">
            <v>100</v>
          </cell>
          <cell r="AJ77">
            <v>100</v>
          </cell>
          <cell r="AK77">
            <v>100</v>
          </cell>
          <cell r="AL77"/>
          <cell r="AM77" t="str">
            <v>Y</v>
          </cell>
          <cell r="AN77"/>
          <cell r="AO77" t="str">
            <v>Y</v>
          </cell>
          <cell r="AP77">
            <v>100</v>
          </cell>
          <cell r="AQ77">
            <v>100</v>
          </cell>
          <cell r="AR77">
            <v>100</v>
          </cell>
          <cell r="AS77" t="str">
            <v>Y</v>
          </cell>
          <cell r="AT77" t="str">
            <v>Y</v>
          </cell>
          <cell r="AU77"/>
          <cell r="AV77" t="str">
            <v>SP</v>
          </cell>
          <cell r="AW77"/>
          <cell r="AX77" t="str">
            <v>HG</v>
          </cell>
          <cell r="AY77">
            <v>100</v>
          </cell>
          <cell r="AZ77"/>
          <cell r="BA77">
            <v>100</v>
          </cell>
          <cell r="BB77">
            <v>100</v>
          </cell>
          <cell r="BC77" t="str">
            <v>Y</v>
          </cell>
          <cell r="BD77">
            <v>100</v>
          </cell>
        </row>
        <row r="78">
          <cell r="A78" t="str">
            <v>Control_CPU\Application_Layer\Thrust_Control\LSL_and_RRIM</v>
          </cell>
          <cell r="B78" t="str">
            <v>N</v>
          </cell>
          <cell r="C78" t="str">
            <v>Y</v>
          </cell>
          <cell r="D78"/>
          <cell r="E78"/>
          <cell r="F78"/>
          <cell r="G78" t="str">
            <v>CN</v>
          </cell>
          <cell r="H78" t="str">
            <v>N</v>
          </cell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 t="b">
            <v>1</v>
          </cell>
          <cell r="T78" t="b">
            <v>1</v>
          </cell>
          <cell r="U78" t="b">
            <v>1</v>
          </cell>
          <cell r="V78"/>
          <cell r="W78"/>
          <cell r="X78"/>
          <cell r="Y78">
            <v>2706</v>
          </cell>
          <cell r="Z78"/>
          <cell r="AA78"/>
          <cell r="AB78"/>
          <cell r="AC78"/>
          <cell r="AD78"/>
          <cell r="AE78"/>
          <cell r="AF78"/>
          <cell r="AG78"/>
          <cell r="AH78">
            <v>580</v>
          </cell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</row>
        <row r="79">
          <cell r="A79" t="str">
            <v>Control_CPU\Application_Layer\Thrust_Control\Manifold_Drain</v>
          </cell>
          <cell r="B79" t="str">
            <v>N</v>
          </cell>
          <cell r="C79" t="str">
            <v>Y</v>
          </cell>
          <cell r="D79"/>
          <cell r="E79"/>
          <cell r="F79"/>
          <cell r="G79" t="str">
            <v>CN</v>
          </cell>
          <cell r="H79" t="str">
            <v>N</v>
          </cell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 t="b">
            <v>1</v>
          </cell>
          <cell r="T79" t="b">
            <v>1</v>
          </cell>
          <cell r="U79" t="b">
            <v>1</v>
          </cell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>
            <v>581</v>
          </cell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</row>
        <row r="80">
          <cell r="A80" t="str">
            <v>Control_CPU\Application_Layer\Thrust_Control\Thrust_Control</v>
          </cell>
          <cell r="B80" t="str">
            <v>N</v>
          </cell>
          <cell r="C80" t="str">
            <v>N</v>
          </cell>
          <cell r="D80"/>
          <cell r="E80"/>
          <cell r="F80"/>
          <cell r="G80" t="str">
            <v>CN</v>
          </cell>
          <cell r="H80" t="str">
            <v>N</v>
          </cell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 t="b">
            <v>1</v>
          </cell>
          <cell r="T80" t="b">
            <v>1</v>
          </cell>
          <cell r="U80" t="b">
            <v>1</v>
          </cell>
          <cell r="V80"/>
          <cell r="W80"/>
          <cell r="X80"/>
          <cell r="Y80">
            <v>457</v>
          </cell>
          <cell r="Z80"/>
          <cell r="AA80"/>
          <cell r="AB80"/>
          <cell r="AC80"/>
          <cell r="AD80"/>
          <cell r="AE80"/>
          <cell r="AF80"/>
          <cell r="AG80"/>
          <cell r="AH80">
            <v>458</v>
          </cell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</row>
        <row r="81">
          <cell r="A81" t="str">
            <v>Control_CPU\Application_Layer\Thrust_Control\Thrust_Control_Conditioning</v>
          </cell>
          <cell r="B81" t="str">
            <v>N</v>
          </cell>
          <cell r="C81" t="str">
            <v>Y</v>
          </cell>
          <cell r="D81"/>
          <cell r="E81"/>
          <cell r="F81"/>
          <cell r="G81" t="str">
            <v>CN</v>
          </cell>
          <cell r="H81" t="str">
            <v>N</v>
          </cell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 t="b">
            <v>1</v>
          </cell>
          <cell r="T81" t="b">
            <v>1</v>
          </cell>
          <cell r="U81" t="b">
            <v>1</v>
          </cell>
          <cell r="V81"/>
          <cell r="W81"/>
          <cell r="X81"/>
          <cell r="Y81">
            <v>3089</v>
          </cell>
          <cell r="Z81"/>
          <cell r="AA81"/>
          <cell r="AB81"/>
          <cell r="AC81"/>
          <cell r="AD81"/>
          <cell r="AE81"/>
          <cell r="AF81"/>
          <cell r="AG81"/>
          <cell r="AH81">
            <v>574</v>
          </cell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</row>
        <row r="82">
          <cell r="A82" t="str">
            <v>Control_CPU\Application_Layer\Thrust_Limit_Conditions\Control_Limit_Detection</v>
          </cell>
          <cell r="B82" t="str">
            <v>N</v>
          </cell>
          <cell r="C82" t="str">
            <v>Y</v>
          </cell>
          <cell r="D82"/>
          <cell r="E82"/>
          <cell r="F82"/>
          <cell r="G82" t="str">
            <v>CN</v>
          </cell>
          <cell r="H82" t="str">
            <v>N</v>
          </cell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 t="b">
            <v>1</v>
          </cell>
          <cell r="T82" t="b">
            <v>1</v>
          </cell>
          <cell r="U82" t="b">
            <v>1</v>
          </cell>
          <cell r="V82"/>
          <cell r="W82"/>
          <cell r="X82"/>
          <cell r="Y82">
            <v>2473</v>
          </cell>
          <cell r="Z82"/>
          <cell r="AA82"/>
          <cell r="AB82"/>
          <cell r="AC82"/>
          <cell r="AD82"/>
          <cell r="AE82"/>
          <cell r="AF82"/>
          <cell r="AG82"/>
          <cell r="AH82">
            <v>1023</v>
          </cell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</row>
        <row r="83">
          <cell r="A83" t="str">
            <v>Control_CPU\Application_Layer\Thrust_Limit_Conditions\Idle_Detection</v>
          </cell>
          <cell r="B83" t="str">
            <v>N</v>
          </cell>
          <cell r="C83" t="str">
            <v>Y</v>
          </cell>
          <cell r="D83"/>
          <cell r="E83"/>
          <cell r="F83"/>
          <cell r="G83" t="str">
            <v>CN</v>
          </cell>
          <cell r="H83" t="str">
            <v>N</v>
          </cell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 t="b">
            <v>1</v>
          </cell>
          <cell r="T83" t="b">
            <v>1</v>
          </cell>
          <cell r="U83" t="b">
            <v>1</v>
          </cell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>
            <v>583</v>
          </cell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</row>
        <row r="84">
          <cell r="A84" t="str">
            <v>Control_CPU\Application_Layer\Thrust_Settings_and_Ratings\ACUTE</v>
          </cell>
          <cell r="B84" t="str">
            <v>N</v>
          </cell>
          <cell r="C84" t="str">
            <v>Y</v>
          </cell>
          <cell r="D84"/>
          <cell r="E84"/>
          <cell r="F84"/>
          <cell r="G84" t="str">
            <v>CN</v>
          </cell>
          <cell r="H84" t="str">
            <v>N</v>
          </cell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 t="b">
            <v>1</v>
          </cell>
          <cell r="T84" t="b">
            <v>1</v>
          </cell>
          <cell r="U84" t="b">
            <v>1</v>
          </cell>
          <cell r="V84"/>
          <cell r="W84"/>
          <cell r="X84"/>
          <cell r="Y84">
            <v>2347</v>
          </cell>
          <cell r="Z84"/>
          <cell r="AA84"/>
          <cell r="AB84"/>
          <cell r="AC84"/>
          <cell r="AD84"/>
          <cell r="AE84"/>
          <cell r="AF84"/>
          <cell r="AG84"/>
          <cell r="AH84">
            <v>910</v>
          </cell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</row>
        <row r="85">
          <cell r="A85" t="str">
            <v>Control_CPU\Application_Layer\Thrust_Settings_and_Ratings\Autothrust</v>
          </cell>
          <cell r="B85" t="str">
            <v>N</v>
          </cell>
          <cell r="C85" t="str">
            <v>Y</v>
          </cell>
          <cell r="D85"/>
          <cell r="E85"/>
          <cell r="F85"/>
          <cell r="G85" t="str">
            <v>CN</v>
          </cell>
          <cell r="H85" t="str">
            <v>N</v>
          </cell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 t="b">
            <v>1</v>
          </cell>
          <cell r="T85" t="b">
            <v>1</v>
          </cell>
          <cell r="U85" t="b">
            <v>1</v>
          </cell>
          <cell r="V85"/>
          <cell r="W85"/>
          <cell r="X85"/>
          <cell r="Y85">
            <v>2584</v>
          </cell>
          <cell r="Z85"/>
          <cell r="AA85"/>
          <cell r="AB85"/>
          <cell r="AC85"/>
          <cell r="AD85"/>
          <cell r="AE85"/>
          <cell r="AF85"/>
          <cell r="AG85"/>
          <cell r="AH85">
            <v>1482</v>
          </cell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</row>
        <row r="86">
          <cell r="A86" t="str">
            <v>Control_CPU\Application_Layer\Thrust_Settings_and_Ratings\Int_Thrust_Settings_Ratings</v>
          </cell>
          <cell r="B86" t="str">
            <v>N</v>
          </cell>
          <cell r="C86" t="str">
            <v>N</v>
          </cell>
          <cell r="D86"/>
          <cell r="E86"/>
          <cell r="F86"/>
          <cell r="G86" t="str">
            <v>CN</v>
          </cell>
          <cell r="H86" t="str">
            <v>N</v>
          </cell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 t="b">
            <v>1</v>
          </cell>
          <cell r="T86" t="b">
            <v>1</v>
          </cell>
          <cell r="U86" t="b">
            <v>1</v>
          </cell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 t="str">
            <v>n/a</v>
          </cell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</row>
        <row r="87">
          <cell r="A87" t="str">
            <v>Control_CPU\Application_Layer\Thrust_Settings_and_Ratings\NL_Thrust_Demand</v>
          </cell>
          <cell r="B87" t="str">
            <v>N</v>
          </cell>
          <cell r="C87" t="str">
            <v>Y</v>
          </cell>
          <cell r="D87"/>
          <cell r="F87"/>
          <cell r="G87" t="str">
            <v>CN</v>
          </cell>
          <cell r="H87" t="str">
            <v>N</v>
          </cell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 t="b">
            <v>1</v>
          </cell>
          <cell r="T87" t="b">
            <v>1</v>
          </cell>
          <cell r="U87" t="b">
            <v>1</v>
          </cell>
          <cell r="V87"/>
          <cell r="W87"/>
          <cell r="X87"/>
          <cell r="Y87">
            <v>2247</v>
          </cell>
          <cell r="Z87"/>
          <cell r="AA87"/>
          <cell r="AB87"/>
          <cell r="AC87"/>
          <cell r="AD87"/>
          <cell r="AE87"/>
          <cell r="AF87"/>
          <cell r="AG87"/>
          <cell r="AH87">
            <v>640</v>
          </cell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</row>
        <row r="88">
          <cell r="A88" t="str">
            <v>Control_CPU\Application_Layer\Thrust_Settings_and_Ratings\Thrust_Ratings</v>
          </cell>
          <cell r="B88" t="str">
            <v>N</v>
          </cell>
          <cell r="C88" t="str">
            <v>Y</v>
          </cell>
          <cell r="D88"/>
          <cell r="E88"/>
          <cell r="F88"/>
          <cell r="G88" t="str">
            <v>CN</v>
          </cell>
          <cell r="H88" t="str">
            <v>N</v>
          </cell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 t="b">
            <v>1</v>
          </cell>
          <cell r="T88" t="b">
            <v>1</v>
          </cell>
          <cell r="U88" t="b">
            <v>1</v>
          </cell>
          <cell r="V88"/>
          <cell r="W88"/>
          <cell r="X88"/>
          <cell r="Y88">
            <v>2258</v>
          </cell>
          <cell r="Z88"/>
          <cell r="AA88"/>
          <cell r="AB88"/>
          <cell r="AC88"/>
          <cell r="AD88"/>
          <cell r="AE88"/>
          <cell r="AF88"/>
          <cell r="AG88"/>
          <cell r="AH88">
            <v>966</v>
          </cell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</row>
        <row r="89">
          <cell r="A89" t="str">
            <v>Control_CPU\Application_Layer\Thrust_Settings_and_Ratings\Thrust_Settings</v>
          </cell>
          <cell r="B89" t="str">
            <v>N</v>
          </cell>
          <cell r="C89" t="str">
            <v>Y</v>
          </cell>
          <cell r="D89"/>
          <cell r="E89"/>
          <cell r="F89"/>
          <cell r="G89" t="str">
            <v>CN</v>
          </cell>
          <cell r="H89" t="str">
            <v>N</v>
          </cell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 t="b">
            <v>1</v>
          </cell>
          <cell r="T89" t="b">
            <v>1</v>
          </cell>
          <cell r="U89" t="b">
            <v>1</v>
          </cell>
          <cell r="V89"/>
          <cell r="W89"/>
          <cell r="X89"/>
          <cell r="Y89">
            <v>2249</v>
          </cell>
          <cell r="Z89"/>
          <cell r="AA89"/>
          <cell r="AB89"/>
          <cell r="AC89"/>
          <cell r="AD89"/>
          <cell r="AE89"/>
          <cell r="AF89"/>
          <cell r="AG89"/>
          <cell r="AH89">
            <v>642</v>
          </cell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</row>
        <row r="90">
          <cell r="A90" t="str">
            <v>Control_CPU\Application_Layer\Turbine_Case_Cooling_Control\HP_Turbine_Case_Cooling_Deterioration</v>
          </cell>
          <cell r="B90" t="str">
            <v>N</v>
          </cell>
          <cell r="C90" t="str">
            <v>Y</v>
          </cell>
          <cell r="D90"/>
          <cell r="E90"/>
          <cell r="F90"/>
          <cell r="G90" t="str">
            <v>CN</v>
          </cell>
          <cell r="H90" t="str">
            <v>N</v>
          </cell>
          <cell r="I90"/>
          <cell r="J90"/>
          <cell r="K90"/>
          <cell r="L90"/>
          <cell r="M90" t="str">
            <v>Y</v>
          </cell>
          <cell r="N90" t="str">
            <v>Y</v>
          </cell>
          <cell r="O90" t="str">
            <v>Y</v>
          </cell>
          <cell r="P90" t="str">
            <v>Y</v>
          </cell>
          <cell r="Q90"/>
          <cell r="R90"/>
          <cell r="S90" t="b">
            <v>1</v>
          </cell>
          <cell r="T90" t="b">
            <v>1</v>
          </cell>
          <cell r="U90" t="b">
            <v>1</v>
          </cell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>
            <v>1258</v>
          </cell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</row>
        <row r="91">
          <cell r="A91" t="str">
            <v>Control_CPU\Application_Layer\Turbine_Case_Cooling_Control\HP_Turbine_Case_Cooling_Control</v>
          </cell>
          <cell r="B91" t="str">
            <v>N</v>
          </cell>
          <cell r="C91" t="str">
            <v>Y</v>
          </cell>
          <cell r="D91"/>
          <cell r="E91"/>
          <cell r="F91"/>
          <cell r="G91" t="str">
            <v>CN</v>
          </cell>
          <cell r="H91" t="str">
            <v>N</v>
          </cell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 t="b">
            <v>1</v>
          </cell>
          <cell r="T91" t="b">
            <v>1</v>
          </cell>
          <cell r="U91" t="b">
            <v>1</v>
          </cell>
          <cell r="V91"/>
          <cell r="W91"/>
          <cell r="X91"/>
          <cell r="Y91">
            <v>403</v>
          </cell>
          <cell r="Z91"/>
          <cell r="AA91"/>
          <cell r="AB91"/>
          <cell r="AC91"/>
          <cell r="AD91"/>
          <cell r="AE91"/>
          <cell r="AF91"/>
          <cell r="AG91"/>
          <cell r="AH91">
            <v>405</v>
          </cell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</row>
        <row r="92">
          <cell r="A92" t="str">
            <v>Control_CPU\Application_Layer\Turbine_Case_Cooling_Control\IP_Turbine_Case_Cooling_Deterioration</v>
          </cell>
          <cell r="B92" t="str">
            <v>N</v>
          </cell>
          <cell r="C92" t="str">
            <v>Y</v>
          </cell>
          <cell r="D92"/>
          <cell r="E92"/>
          <cell r="F92"/>
          <cell r="G92" t="str">
            <v>CN</v>
          </cell>
          <cell r="H92" t="str">
            <v>N</v>
          </cell>
          <cell r="I92"/>
          <cell r="J92"/>
          <cell r="K92"/>
          <cell r="L92"/>
          <cell r="M92" t="str">
            <v>Y</v>
          </cell>
          <cell r="N92" t="str">
            <v>Y</v>
          </cell>
          <cell r="O92" t="str">
            <v>Y</v>
          </cell>
          <cell r="P92" t="str">
            <v>Y</v>
          </cell>
          <cell r="Q92"/>
          <cell r="R92"/>
          <cell r="S92" t="b">
            <v>1</v>
          </cell>
          <cell r="T92" t="b">
            <v>1</v>
          </cell>
          <cell r="U92" t="b">
            <v>1</v>
          </cell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>
            <v>1260</v>
          </cell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</row>
        <row r="93">
          <cell r="A93" t="str">
            <v>Control_CPU\Application_Layer\Turbine_Case_Cooling_Control\IP_Turbine_Case_Cooling_Control</v>
          </cell>
          <cell r="B93" t="str">
            <v>N</v>
          </cell>
          <cell r="C93" t="str">
            <v>Y</v>
          </cell>
          <cell r="D93"/>
          <cell r="E93"/>
          <cell r="F93"/>
          <cell r="G93" t="str">
            <v>CN</v>
          </cell>
          <cell r="H93" t="str">
            <v>N</v>
          </cell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 t="b">
            <v>1</v>
          </cell>
          <cell r="T93" t="b">
            <v>1</v>
          </cell>
          <cell r="U93" t="b">
            <v>1</v>
          </cell>
          <cell r="V93"/>
          <cell r="W93"/>
          <cell r="X93"/>
          <cell r="Y93">
            <v>404</v>
          </cell>
          <cell r="Z93"/>
          <cell r="AA93"/>
          <cell r="AB93"/>
          <cell r="AC93"/>
          <cell r="AD93"/>
          <cell r="AE93"/>
          <cell r="AF93"/>
          <cell r="AG93"/>
          <cell r="AH93">
            <v>406</v>
          </cell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</row>
        <row r="94">
          <cell r="A94" t="str">
            <v>Control_CPU\Application_Layer\Turbine_Case_Cooling_Control\Turbine_Case_Cooling_Manager</v>
          </cell>
          <cell r="B94" t="str">
            <v>N</v>
          </cell>
          <cell r="C94" t="str">
            <v>Y</v>
          </cell>
          <cell r="D94"/>
          <cell r="E94"/>
          <cell r="F94"/>
          <cell r="G94" t="str">
            <v>CN</v>
          </cell>
          <cell r="H94" t="str">
            <v>N</v>
          </cell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 t="b">
            <v>1</v>
          </cell>
          <cell r="T94" t="b">
            <v>1</v>
          </cell>
          <cell r="U94" t="b">
            <v>1</v>
          </cell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>
            <v>1262</v>
          </cell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</row>
        <row r="95">
          <cell r="A95" t="str">
            <v>Control_CPU\Application_Layer\Turbine_Rim_Cooling_Control</v>
          </cell>
          <cell r="B95" t="str">
            <v>N</v>
          </cell>
          <cell r="C95" t="str">
            <v>Y</v>
          </cell>
          <cell r="D95"/>
          <cell r="E95"/>
          <cell r="F95"/>
          <cell r="G95" t="str">
            <v>CN</v>
          </cell>
          <cell r="H95" t="str">
            <v>N</v>
          </cell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 t="b">
            <v>1</v>
          </cell>
          <cell r="T95" t="b">
            <v>1</v>
          </cell>
          <cell r="U95" t="b">
            <v>1</v>
          </cell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>
            <v>643</v>
          </cell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</row>
        <row r="96">
          <cell r="A96" t="str">
            <v>Control_CPU\Application_Layer\VSV_Schedule</v>
          </cell>
          <cell r="B96" t="str">
            <v>N</v>
          </cell>
          <cell r="C96" t="str">
            <v>Y</v>
          </cell>
          <cell r="D96"/>
          <cell r="E96"/>
          <cell r="F96"/>
          <cell r="G96" t="str">
            <v>CN</v>
          </cell>
          <cell r="H96" t="str">
            <v>N</v>
          </cell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 t="b">
            <v>1</v>
          </cell>
          <cell r="T96" t="b">
            <v>1</v>
          </cell>
          <cell r="U96" t="b">
            <v>1</v>
          </cell>
          <cell r="V96"/>
          <cell r="W96"/>
          <cell r="X96"/>
          <cell r="Y96">
            <v>2281</v>
          </cell>
          <cell r="Z96"/>
          <cell r="AA96"/>
          <cell r="AB96"/>
          <cell r="AC96"/>
          <cell r="AD96"/>
          <cell r="AE96"/>
          <cell r="AF96"/>
          <cell r="AG96"/>
          <cell r="AH96">
            <v>584</v>
          </cell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</row>
        <row r="97">
          <cell r="A97" t="str">
            <v>Control_CPU\Combined_Entry_Points</v>
          </cell>
          <cell r="B97" t="str">
            <v>N</v>
          </cell>
          <cell r="C97" t="str">
            <v>Y</v>
          </cell>
          <cell r="D97"/>
          <cell r="E97"/>
          <cell r="F97"/>
          <cell r="G97" t="str">
            <v>CN</v>
          </cell>
          <cell r="H97" t="str">
            <v>N</v>
          </cell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 t="b">
            <v>1</v>
          </cell>
          <cell r="T97" t="b">
            <v>1</v>
          </cell>
          <cell r="U97" t="b">
            <v>1</v>
          </cell>
          <cell r="V97"/>
          <cell r="W97"/>
          <cell r="X97"/>
          <cell r="Y97">
            <v>2291</v>
          </cell>
          <cell r="Z97"/>
          <cell r="AA97"/>
          <cell r="AB97"/>
          <cell r="AC97"/>
          <cell r="AD97"/>
          <cell r="AE97"/>
          <cell r="AF97"/>
          <cell r="AG97"/>
          <cell r="AH97">
            <v>2163</v>
          </cell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</row>
        <row r="98">
          <cell r="A98" t="str">
            <v>Control_CPU\Engine_Variant</v>
          </cell>
          <cell r="B98" t="str">
            <v>N</v>
          </cell>
          <cell r="C98" t="str">
            <v>Y</v>
          </cell>
          <cell r="D98"/>
          <cell r="E98"/>
          <cell r="F98"/>
          <cell r="G98" t="str">
            <v>CN</v>
          </cell>
          <cell r="H98" t="str">
            <v>N</v>
          </cell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 t="b">
            <v>1</v>
          </cell>
          <cell r="T98" t="b">
            <v>1</v>
          </cell>
          <cell r="U98" t="b">
            <v>1</v>
          </cell>
          <cell r="V98"/>
          <cell r="W98"/>
          <cell r="X98"/>
          <cell r="Y98">
            <v>193</v>
          </cell>
          <cell r="Z98"/>
          <cell r="AA98"/>
          <cell r="AB98"/>
          <cell r="AC98"/>
          <cell r="AD98"/>
          <cell r="AE98"/>
          <cell r="AF98"/>
          <cell r="AG98"/>
          <cell r="AH98">
            <v>194</v>
          </cell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</row>
        <row r="99">
          <cell r="A99" t="str">
            <v>Control_CPU\Hardware_Interfaces\ASCommand</v>
          </cell>
          <cell r="B99" t="str">
            <v>N</v>
          </cell>
          <cell r="C99" t="str">
            <v>Y</v>
          </cell>
          <cell r="D99"/>
          <cell r="E99"/>
          <cell r="F99"/>
          <cell r="G99" t="str">
            <v>CN</v>
          </cell>
          <cell r="H99" t="str">
            <v>N</v>
          </cell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 t="b">
            <v>1</v>
          </cell>
          <cell r="T99" t="b">
            <v>1</v>
          </cell>
          <cell r="U99" t="b">
            <v>1</v>
          </cell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 t="str">
            <v>n/a</v>
          </cell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</row>
        <row r="100">
          <cell r="A100" t="str">
            <v>Control_CPU\Hardware_Interfaces\HAL_Types</v>
          </cell>
          <cell r="B100" t="str">
            <v>N</v>
          </cell>
          <cell r="C100" t="str">
            <v>Y</v>
          </cell>
          <cell r="D100"/>
          <cell r="E100"/>
          <cell r="F100"/>
          <cell r="G100" t="str">
            <v>CN</v>
          </cell>
          <cell r="H100" t="str">
            <v>N</v>
          </cell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 t="b">
            <v>1</v>
          </cell>
          <cell r="T100" t="b">
            <v>1</v>
          </cell>
          <cell r="U100" t="b">
            <v>1</v>
          </cell>
          <cell r="V100"/>
          <cell r="W100"/>
          <cell r="X100"/>
          <cell r="Y100" t="str">
            <v>n/a</v>
          </cell>
          <cell r="Z100"/>
          <cell r="AA100"/>
          <cell r="AB100"/>
          <cell r="AC100"/>
          <cell r="AD100"/>
          <cell r="AE100"/>
          <cell r="AF100"/>
          <cell r="AG100"/>
          <cell r="AH100" t="str">
            <v>n/a</v>
          </cell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</row>
        <row r="101">
          <cell r="A101" t="str">
            <v>Control_CPU\Operating_Software\Modulated_Air_System_Sensors</v>
          </cell>
          <cell r="B101" t="str">
            <v>N</v>
          </cell>
          <cell r="C101" t="str">
            <v>Y</v>
          </cell>
          <cell r="D101"/>
          <cell r="E101"/>
          <cell r="F101"/>
          <cell r="G101" t="str">
            <v>CN</v>
          </cell>
          <cell r="H101" t="str">
            <v>N</v>
          </cell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 t="b">
            <v>1</v>
          </cell>
          <cell r="T101" t="b">
            <v>1</v>
          </cell>
          <cell r="U101" t="b">
            <v>1</v>
          </cell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</row>
        <row r="102">
          <cell r="A102" t="str">
            <v>Control_CPU\OS_Entry_Points\Combined_OS_Entry_Points</v>
          </cell>
          <cell r="B102" t="str">
            <v>N</v>
          </cell>
          <cell r="C102" t="str">
            <v>N</v>
          </cell>
          <cell r="D102"/>
          <cell r="E102"/>
          <cell r="F102"/>
          <cell r="G102" t="str">
            <v>CN</v>
          </cell>
          <cell r="H102" t="str">
            <v>N</v>
          </cell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 t="b">
            <v>1</v>
          </cell>
          <cell r="T102" t="b">
            <v>1</v>
          </cell>
          <cell r="U102" t="b">
            <v>1</v>
          </cell>
          <cell r="V102"/>
          <cell r="W102"/>
          <cell r="X102"/>
          <cell r="Y102">
            <v>2289</v>
          </cell>
          <cell r="Z102"/>
          <cell r="AA102"/>
          <cell r="AB102"/>
          <cell r="AC102"/>
          <cell r="AD102"/>
          <cell r="AE102"/>
          <cell r="AF102"/>
          <cell r="AG102"/>
          <cell r="AH102">
            <v>1033</v>
          </cell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</row>
        <row r="103">
          <cell r="A103" t="str">
            <v>Control_CPU\Prerequisites\Busy_Wait</v>
          </cell>
          <cell r="B103" t="str">
            <v>N</v>
          </cell>
          <cell r="C103" t="str">
            <v>Y</v>
          </cell>
          <cell r="D103"/>
          <cell r="E103"/>
          <cell r="F103"/>
          <cell r="G103" t="str">
            <v>CN</v>
          </cell>
          <cell r="H103" t="str">
            <v>N</v>
          </cell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 t="b">
            <v>1</v>
          </cell>
          <cell r="T103" t="b">
            <v>1</v>
          </cell>
          <cell r="U103" t="b">
            <v>1</v>
          </cell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>
            <v>858</v>
          </cell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</row>
        <row r="104">
          <cell r="A104" t="str">
            <v>Control_CPU\Prerequisites\Determine_Software_Dataload_State</v>
          </cell>
          <cell r="B104" t="str">
            <v>N</v>
          </cell>
          <cell r="C104" t="str">
            <v>Y</v>
          </cell>
          <cell r="D104"/>
          <cell r="E104"/>
          <cell r="F104"/>
          <cell r="G104" t="str">
            <v>CN</v>
          </cell>
          <cell r="H104" t="str">
            <v>N</v>
          </cell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 t="b">
            <v>1</v>
          </cell>
          <cell r="T104" t="b">
            <v>1</v>
          </cell>
          <cell r="U104" t="b">
            <v>1</v>
          </cell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>
            <v>1817</v>
          </cell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</row>
        <row r="105">
          <cell r="A105" t="str">
            <v>Control_CPU\Prerequisites\Dispatcher</v>
          </cell>
          <cell r="B105" t="str">
            <v>N</v>
          </cell>
          <cell r="C105" t="str">
            <v>Y</v>
          </cell>
          <cell r="D105"/>
          <cell r="E105"/>
          <cell r="F105"/>
          <cell r="G105" t="str">
            <v>CN</v>
          </cell>
          <cell r="H105" t="str">
            <v>N</v>
          </cell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 t="b">
            <v>1</v>
          </cell>
          <cell r="T105" t="b">
            <v>1</v>
          </cell>
          <cell r="U105" t="b">
            <v>1</v>
          </cell>
          <cell r="V105"/>
          <cell r="W105"/>
          <cell r="X105"/>
          <cell r="Y105">
            <v>2292</v>
          </cell>
          <cell r="Z105"/>
          <cell r="AA105"/>
          <cell r="AB105"/>
          <cell r="AC105"/>
          <cell r="AD105"/>
          <cell r="AE105"/>
          <cell r="AF105"/>
          <cell r="AG105"/>
          <cell r="AH105">
            <v>559</v>
          </cell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</row>
        <row r="106">
          <cell r="A106" t="str">
            <v>Control_CPU\Prerequisites\EEC_Operating_Modes</v>
          </cell>
          <cell r="B106" t="str">
            <v>N</v>
          </cell>
          <cell r="C106" t="str">
            <v>Y</v>
          </cell>
          <cell r="D106"/>
          <cell r="E106"/>
          <cell r="F106"/>
          <cell r="G106" t="str">
            <v>CN</v>
          </cell>
          <cell r="H106" t="str">
            <v>N</v>
          </cell>
          <cell r="I106"/>
          <cell r="J106"/>
          <cell r="K106"/>
          <cell r="L106"/>
          <cell r="M106"/>
          <cell r="N106"/>
          <cell r="O106"/>
          <cell r="P106"/>
          <cell r="Q106"/>
          <cell r="R106"/>
          <cell r="S106" t="b">
            <v>1</v>
          </cell>
          <cell r="T106" t="b">
            <v>1</v>
          </cell>
          <cell r="U106" t="b">
            <v>1</v>
          </cell>
          <cell r="V106"/>
          <cell r="W106"/>
          <cell r="X106"/>
          <cell r="Y106">
            <v>2741</v>
          </cell>
          <cell r="Z106"/>
          <cell r="AA106"/>
          <cell r="AB106"/>
          <cell r="AC106"/>
          <cell r="AD106"/>
          <cell r="AE106"/>
          <cell r="AF106"/>
          <cell r="AG106"/>
          <cell r="AH106">
            <v>557</v>
          </cell>
          <cell r="AI106"/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</row>
        <row r="107">
          <cell r="A107" t="str">
            <v>Control_CPU\Prerequisites\Fault_Utilities\Fault_Collation</v>
          </cell>
          <cell r="B107" t="str">
            <v>N</v>
          </cell>
          <cell r="C107" t="str">
            <v>Y</v>
          </cell>
          <cell r="D107"/>
          <cell r="E107"/>
          <cell r="F107"/>
          <cell r="G107" t="str">
            <v>CN</v>
          </cell>
          <cell r="H107" t="str">
            <v>N</v>
          </cell>
          <cell r="I107"/>
          <cell r="J107"/>
          <cell r="K107"/>
          <cell r="L107"/>
          <cell r="M107"/>
          <cell r="N107"/>
          <cell r="O107"/>
          <cell r="P107"/>
          <cell r="Q107"/>
          <cell r="R107"/>
          <cell r="S107" t="b">
            <v>1</v>
          </cell>
          <cell r="T107" t="b">
            <v>1</v>
          </cell>
          <cell r="U107" t="b">
            <v>1</v>
          </cell>
          <cell r="V107"/>
          <cell r="W107"/>
          <cell r="X107"/>
          <cell r="Y107">
            <v>2335</v>
          </cell>
          <cell r="Z107"/>
          <cell r="AA107"/>
          <cell r="AB107"/>
          <cell r="AC107"/>
          <cell r="AD107"/>
          <cell r="AE107"/>
          <cell r="AF107"/>
          <cell r="AG107"/>
          <cell r="AH107">
            <v>555</v>
          </cell>
          <cell r="AI107"/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</row>
        <row r="108">
          <cell r="A108" t="str">
            <v>Control_CPU\Service_Interfaces</v>
          </cell>
          <cell r="B108" t="str">
            <v>N</v>
          </cell>
          <cell r="C108" t="str">
            <v>Y</v>
          </cell>
          <cell r="D108"/>
          <cell r="E108"/>
          <cell r="F108"/>
          <cell r="G108" t="str">
            <v>CN</v>
          </cell>
          <cell r="H108" t="str">
            <v>N</v>
          </cell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 t="b">
            <v>1</v>
          </cell>
          <cell r="T108" t="b">
            <v>1</v>
          </cell>
          <cell r="U108" t="b">
            <v>1</v>
          </cell>
          <cell r="V108"/>
          <cell r="W108"/>
          <cell r="X108"/>
          <cell r="Y108">
            <v>2302</v>
          </cell>
          <cell r="Z108"/>
          <cell r="AA108"/>
          <cell r="AB108"/>
          <cell r="AC108"/>
          <cell r="AD108"/>
          <cell r="AE108"/>
          <cell r="AF108"/>
          <cell r="AG108"/>
          <cell r="AH108">
            <v>1149</v>
          </cell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</row>
        <row r="109">
          <cell r="A109" t="str">
            <v>Control_CPU\Service_Layer\Airframe_Comms\Airframe_Data_Transformations</v>
          </cell>
          <cell r="B109" t="str">
            <v>N</v>
          </cell>
          <cell r="C109" t="str">
            <v>Y</v>
          </cell>
          <cell r="D109"/>
          <cell r="E109"/>
          <cell r="F109"/>
          <cell r="G109" t="str">
            <v>CN</v>
          </cell>
          <cell r="H109" t="str">
            <v>N</v>
          </cell>
          <cell r="I109"/>
          <cell r="J109"/>
          <cell r="K109"/>
          <cell r="L109"/>
          <cell r="M109"/>
          <cell r="N109"/>
          <cell r="O109"/>
          <cell r="P109"/>
          <cell r="Q109"/>
          <cell r="R109"/>
          <cell r="S109" t="b">
            <v>1</v>
          </cell>
          <cell r="T109" t="b">
            <v>1</v>
          </cell>
          <cell r="U109" t="b">
            <v>1</v>
          </cell>
          <cell r="V109"/>
          <cell r="W109"/>
          <cell r="X109"/>
          <cell r="Y109">
            <v>2302</v>
          </cell>
          <cell r="Z109"/>
          <cell r="AA109"/>
          <cell r="AB109"/>
          <cell r="AC109"/>
          <cell r="AD109"/>
          <cell r="AE109"/>
          <cell r="AF109"/>
          <cell r="AG109"/>
          <cell r="AH109">
            <v>1149</v>
          </cell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</row>
        <row r="110">
          <cell r="A110" t="str">
            <v>Control_CPU\Service_Layer\Airframe_Comms\Airframe_Maint_Reporting</v>
          </cell>
          <cell r="B110" t="str">
            <v>N</v>
          </cell>
          <cell r="C110" t="str">
            <v>Y</v>
          </cell>
          <cell r="D110"/>
          <cell r="E110"/>
          <cell r="F110"/>
          <cell r="G110" t="str">
            <v>CN</v>
          </cell>
          <cell r="H110" t="str">
            <v>N</v>
          </cell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 t="b">
            <v>1</v>
          </cell>
          <cell r="T110" t="b">
            <v>1</v>
          </cell>
          <cell r="U110" t="b">
            <v>1</v>
          </cell>
          <cell r="V110"/>
          <cell r="W110"/>
          <cell r="X110"/>
          <cell r="Y110">
            <v>2357</v>
          </cell>
          <cell r="Z110"/>
          <cell r="AA110"/>
          <cell r="AB110"/>
          <cell r="AC110"/>
          <cell r="AD110"/>
          <cell r="AE110"/>
          <cell r="AF110"/>
          <cell r="AG110"/>
          <cell r="AH110">
            <v>1150</v>
          </cell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</row>
        <row r="111">
          <cell r="A111" t="str">
            <v>Control_CPU\Service_Layer\Airframe_Comms\Data_Boundary</v>
          </cell>
          <cell r="B111" t="str">
            <v>N</v>
          </cell>
          <cell r="C111" t="str">
            <v>Y</v>
          </cell>
          <cell r="D111"/>
          <cell r="E111"/>
          <cell r="F111"/>
          <cell r="G111" t="str">
            <v>CN</v>
          </cell>
          <cell r="H111" t="str">
            <v>N</v>
          </cell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 t="b">
            <v>1</v>
          </cell>
          <cell r="T111" t="b">
            <v>1</v>
          </cell>
          <cell r="U111" t="b">
            <v>1</v>
          </cell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>
            <v>1151</v>
          </cell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</row>
        <row r="112">
          <cell r="A112" t="str">
            <v>Control_CPU\Service_Layer\Airframe_Comms\Data_Handler\AC_Data_Handler_Types\From_AC_Data_Handler_Types</v>
          </cell>
          <cell r="B112" t="str">
            <v>N</v>
          </cell>
          <cell r="C112" t="str">
            <v>Y</v>
          </cell>
          <cell r="D112"/>
          <cell r="E112"/>
          <cell r="F112"/>
          <cell r="G112" t="str">
            <v>CN</v>
          </cell>
          <cell r="H112" t="str">
            <v>N</v>
          </cell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 t="b">
            <v>1</v>
          </cell>
          <cell r="T112" t="b">
            <v>1</v>
          </cell>
          <cell r="U112" t="b">
            <v>1</v>
          </cell>
          <cell r="V112"/>
          <cell r="W112"/>
          <cell r="X112"/>
          <cell r="Y112">
            <v>2597</v>
          </cell>
          <cell r="Z112"/>
          <cell r="AA112"/>
          <cell r="AB112"/>
          <cell r="AC112"/>
          <cell r="AD112"/>
          <cell r="AE112"/>
          <cell r="AF112"/>
          <cell r="AG112"/>
          <cell r="AH112">
            <v>2006</v>
          </cell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</row>
        <row r="113">
          <cell r="A113" t="str">
            <v>Control_CPU\Service_Layer\Airframe_Comms\Data_Handler\AC_Data_Handler_Types\To_AC_Data_Handler_Types</v>
          </cell>
          <cell r="B113" t="str">
            <v>N</v>
          </cell>
          <cell r="C113" t="str">
            <v>Y</v>
          </cell>
          <cell r="D113"/>
          <cell r="E113"/>
          <cell r="F113"/>
          <cell r="G113" t="str">
            <v>CN</v>
          </cell>
          <cell r="H113" t="str">
            <v>N</v>
          </cell>
          <cell r="I113"/>
          <cell r="J113"/>
          <cell r="K113"/>
          <cell r="L113"/>
          <cell r="M113"/>
          <cell r="N113"/>
          <cell r="O113"/>
          <cell r="P113"/>
          <cell r="Q113"/>
          <cell r="R113"/>
          <cell r="S113" t="b">
            <v>1</v>
          </cell>
          <cell r="T113" t="b">
            <v>1</v>
          </cell>
          <cell r="U113" t="b">
            <v>1</v>
          </cell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>
            <v>184</v>
          </cell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</row>
        <row r="114">
          <cell r="A114" t="str">
            <v>Control_CPU\Service_Layer\Airframe_Comms\Data_Handler\AC_Data_Handler_Utils</v>
          </cell>
          <cell r="B114" t="str">
            <v>N</v>
          </cell>
          <cell r="C114" t="str">
            <v>Y</v>
          </cell>
          <cell r="D114"/>
          <cell r="E114"/>
          <cell r="F114"/>
          <cell r="G114" t="str">
            <v>CN</v>
          </cell>
          <cell r="H114" t="str">
            <v>N</v>
          </cell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 t="b">
            <v>1</v>
          </cell>
          <cell r="T114" t="b">
            <v>1</v>
          </cell>
          <cell r="U114" t="b">
            <v>1</v>
          </cell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>
            <v>1155</v>
          </cell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</row>
        <row r="115">
          <cell r="A115" t="str">
            <v>Control_CPU\Service_Layer\Airframe_Comms\Data_Handler\From_AC_Data_Handler</v>
          </cell>
          <cell r="B115" t="str">
            <v>N</v>
          </cell>
          <cell r="C115" t="str">
            <v>N</v>
          </cell>
          <cell r="D115"/>
          <cell r="E115"/>
          <cell r="F115"/>
          <cell r="G115" t="str">
            <v>CN</v>
          </cell>
          <cell r="H115" t="str">
            <v>N</v>
          </cell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 t="b">
            <v>1</v>
          </cell>
          <cell r="T115" t="b">
            <v>1</v>
          </cell>
          <cell r="U115" t="b">
            <v>1</v>
          </cell>
          <cell r="V115"/>
          <cell r="W115"/>
          <cell r="X115"/>
          <cell r="Y115">
            <v>2595</v>
          </cell>
          <cell r="Z115"/>
          <cell r="AA115"/>
          <cell r="AB115"/>
          <cell r="AC115"/>
          <cell r="AD115"/>
          <cell r="AE115"/>
          <cell r="AF115"/>
          <cell r="AG115"/>
          <cell r="AH115">
            <v>2005</v>
          </cell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</row>
        <row r="116">
          <cell r="A116" t="str">
            <v>Control_CPU\Service_Layer\Airframe_Comms\Data_Handler\From_AC_Data_Handler_A350_Group_1_Control</v>
          </cell>
          <cell r="B116" t="str">
            <v>N</v>
          </cell>
          <cell r="C116" t="str">
            <v>Y</v>
          </cell>
          <cell r="D116"/>
          <cell r="E116"/>
          <cell r="F116"/>
          <cell r="G116" t="str">
            <v>CN</v>
          </cell>
          <cell r="H116" t="str">
            <v>N</v>
          </cell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 t="b">
            <v>1</v>
          </cell>
          <cell r="T116" t="b">
            <v>1</v>
          </cell>
          <cell r="U116" t="b">
            <v>1</v>
          </cell>
          <cell r="V116"/>
          <cell r="W116"/>
          <cell r="X116"/>
          <cell r="Y116">
            <v>2596</v>
          </cell>
          <cell r="Z116"/>
          <cell r="AA116"/>
          <cell r="AB116"/>
          <cell r="AC116"/>
          <cell r="AD116"/>
          <cell r="AE116"/>
          <cell r="AF116"/>
          <cell r="AG116"/>
          <cell r="AH116">
            <v>2169</v>
          </cell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</row>
        <row r="117">
          <cell r="A117" t="str">
            <v>Control_CPU\Service_Layer\Airframe_Comms\Data_Handler\From_AC_Data_Handler_RS422_Group_1</v>
          </cell>
          <cell r="B117" t="str">
            <v>N</v>
          </cell>
          <cell r="C117" t="str">
            <v>Y</v>
          </cell>
          <cell r="D117"/>
          <cell r="E117"/>
          <cell r="F117"/>
          <cell r="G117" t="str">
            <v>CN</v>
          </cell>
          <cell r="H117" t="str">
            <v>N</v>
          </cell>
          <cell r="I117"/>
          <cell r="J117"/>
          <cell r="K117"/>
          <cell r="L117"/>
          <cell r="M117"/>
          <cell r="N117"/>
          <cell r="O117"/>
          <cell r="P117"/>
          <cell r="Q117"/>
          <cell r="R117"/>
          <cell r="S117" t="b">
            <v>1</v>
          </cell>
          <cell r="T117" t="b">
            <v>1</v>
          </cell>
          <cell r="U117" t="b">
            <v>1</v>
          </cell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>
            <v>2007</v>
          </cell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</row>
        <row r="118">
          <cell r="A118" t="str">
            <v>Control_CPU\Service_Layer\Airframe_Comms\Data_Handler\To_AC_Data_Handler</v>
          </cell>
          <cell r="B118" t="str">
            <v>N</v>
          </cell>
          <cell r="C118" t="str">
            <v>Y</v>
          </cell>
          <cell r="D118"/>
          <cell r="E118"/>
          <cell r="F118"/>
          <cell r="G118" t="str">
            <v>CN</v>
          </cell>
          <cell r="H118" t="str">
            <v>N</v>
          </cell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 t="b">
            <v>1</v>
          </cell>
          <cell r="T118" t="b">
            <v>1</v>
          </cell>
          <cell r="U118" t="b">
            <v>1</v>
          </cell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>
            <v>1152</v>
          </cell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</row>
        <row r="119">
          <cell r="A119" t="str">
            <v>Control_CPU\Service_Layer\Airframe_Comms\Data_Handler\To_AC_Data_Handler_RS422_Group_1</v>
          </cell>
          <cell r="B119" t="str">
            <v>N</v>
          </cell>
          <cell r="C119" t="str">
            <v>Y</v>
          </cell>
          <cell r="D119"/>
          <cell r="E119"/>
          <cell r="F119"/>
          <cell r="G119" t="str">
            <v>CN</v>
          </cell>
          <cell r="H119" t="str">
            <v>N</v>
          </cell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 t="b">
            <v>1</v>
          </cell>
          <cell r="T119" t="b">
            <v>1</v>
          </cell>
          <cell r="U119" t="b">
            <v>1</v>
          </cell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>
            <v>1152</v>
          </cell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</row>
        <row r="120">
          <cell r="A120" t="str">
            <v>Control_CPU\Service_Layer\Airframe_Comms\Data_Handler\To_AC_Data_Handler_RS422_Group_2</v>
          </cell>
          <cell r="B120" t="str">
            <v>N</v>
          </cell>
          <cell r="C120" t="str">
            <v>Y</v>
          </cell>
          <cell r="D120"/>
          <cell r="E120"/>
          <cell r="F120"/>
          <cell r="G120" t="str">
            <v>CN</v>
          </cell>
          <cell r="H120" t="str">
            <v>N</v>
          </cell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 t="b">
            <v>1</v>
          </cell>
          <cell r="T120" t="b">
            <v>1</v>
          </cell>
          <cell r="U120" t="b">
            <v>1</v>
          </cell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>
            <v>1152</v>
          </cell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</row>
        <row r="121">
          <cell r="A121" t="str">
            <v>Control_CPU\Service_Layer\Airframe_Comms\Data_Handler\To_AC_Data_Handler_RS422_Group_3</v>
          </cell>
          <cell r="B121" t="str">
            <v>N</v>
          </cell>
          <cell r="C121" t="str">
            <v>Y</v>
          </cell>
          <cell r="D121"/>
          <cell r="E121"/>
          <cell r="F121"/>
          <cell r="G121" t="str">
            <v>CN</v>
          </cell>
          <cell r="H121" t="str">
            <v>N</v>
          </cell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 t="b">
            <v>1</v>
          </cell>
          <cell r="T121" t="b">
            <v>1</v>
          </cell>
          <cell r="U121" t="b">
            <v>1</v>
          </cell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>
            <v>1152</v>
          </cell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</row>
        <row r="122">
          <cell r="A122" t="str">
            <v>Control_CPU\Service_Layer\Airframe_Comms\Internal_Comms_Interfaces</v>
          </cell>
          <cell r="B122" t="str">
            <v>N</v>
          </cell>
          <cell r="C122" t="str">
            <v>N</v>
          </cell>
          <cell r="D122"/>
          <cell r="E122"/>
          <cell r="F122"/>
          <cell r="G122" t="str">
            <v>CN</v>
          </cell>
          <cell r="H122" t="str">
            <v>N</v>
          </cell>
          <cell r="I122"/>
          <cell r="J122"/>
          <cell r="K122"/>
          <cell r="L122"/>
          <cell r="M122"/>
          <cell r="N122"/>
          <cell r="O122"/>
          <cell r="P122"/>
          <cell r="Q122"/>
          <cell r="R122"/>
          <cell r="S122" t="b">
            <v>1</v>
          </cell>
          <cell r="T122" t="b">
            <v>1</v>
          </cell>
          <cell r="U122" t="b">
            <v>1</v>
          </cell>
          <cell r="V122"/>
          <cell r="W122"/>
          <cell r="X122"/>
          <cell r="Y122" t="str">
            <v>n/a</v>
          </cell>
          <cell r="Z122"/>
          <cell r="AA122"/>
          <cell r="AB122"/>
          <cell r="AC122"/>
          <cell r="AD122"/>
          <cell r="AE122"/>
          <cell r="AF122"/>
          <cell r="AG122"/>
          <cell r="AH122" t="str">
            <v>n/a</v>
          </cell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</row>
        <row r="123">
          <cell r="A123" t="str">
            <v>Control_CPU\Service_Layer\Airframe_Comms\Internal_Comms_Manager\From_AC_Internal_Comms_Manager</v>
          </cell>
          <cell r="B123" t="str">
            <v>N</v>
          </cell>
          <cell r="C123" t="str">
            <v>Y</v>
          </cell>
          <cell r="D123"/>
          <cell r="E123"/>
          <cell r="F123"/>
          <cell r="G123" t="str">
            <v>CN</v>
          </cell>
          <cell r="H123" t="str">
            <v>N</v>
          </cell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 t="b">
            <v>1</v>
          </cell>
          <cell r="T123" t="b">
            <v>1</v>
          </cell>
          <cell r="U123" t="b">
            <v>1</v>
          </cell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</row>
        <row r="124">
          <cell r="A124" t="str">
            <v>Control_CPU\Service_Layer\Airframe_Comms\Message_Controllers\From_AC_Int_Ethernet_Mess_Controller</v>
          </cell>
          <cell r="B124" t="str">
            <v>N</v>
          </cell>
          <cell r="C124" t="str">
            <v>Y</v>
          </cell>
          <cell r="D124"/>
          <cell r="E124"/>
          <cell r="F124"/>
          <cell r="G124" t="str">
            <v>CN</v>
          </cell>
          <cell r="H124" t="str">
            <v>N</v>
          </cell>
          <cell r="I124"/>
          <cell r="J124"/>
          <cell r="K124"/>
          <cell r="L124"/>
          <cell r="M124"/>
          <cell r="N124"/>
          <cell r="O124"/>
          <cell r="P124"/>
          <cell r="Q124"/>
          <cell r="R124"/>
          <cell r="S124" t="b">
            <v>1</v>
          </cell>
          <cell r="T124" t="b">
            <v>1</v>
          </cell>
          <cell r="U124" t="b">
            <v>1</v>
          </cell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</row>
        <row r="125">
          <cell r="A125" t="str">
            <v>Control_CPU\Service_Layer\Airframe_Comms\Message_Controllers\From_RS422_Mess_Controller</v>
          </cell>
          <cell r="B125" t="str">
            <v>N</v>
          </cell>
          <cell r="C125" t="str">
            <v>Y</v>
          </cell>
          <cell r="D125"/>
          <cell r="E125"/>
          <cell r="F125"/>
          <cell r="G125" t="str">
            <v>CN</v>
          </cell>
          <cell r="H125" t="str">
            <v>N</v>
          </cell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 t="b">
            <v>1</v>
          </cell>
          <cell r="T125" t="b">
            <v>1</v>
          </cell>
          <cell r="U125" t="b">
            <v>1</v>
          </cell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>
            <v>2009</v>
          </cell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</row>
        <row r="126">
          <cell r="A126" t="str">
            <v>Control_CPU\Service_Layer\Airframe_Comms\Message_Controllers\Message_Store\From_AC_Int_Message_Store</v>
          </cell>
          <cell r="B126" t="str">
            <v>N</v>
          </cell>
          <cell r="C126" t="str">
            <v>Y</v>
          </cell>
          <cell r="D126"/>
          <cell r="E126"/>
          <cell r="F126"/>
          <cell r="G126" t="str">
            <v>CN</v>
          </cell>
          <cell r="H126" t="str">
            <v>N</v>
          </cell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 t="b">
            <v>1</v>
          </cell>
          <cell r="T126" t="b">
            <v>1</v>
          </cell>
          <cell r="U126" t="b">
            <v>1</v>
          </cell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>
            <v>796</v>
          </cell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</row>
        <row r="127">
          <cell r="A127" t="str">
            <v>Control_CPU\Service_Layer\Airframe_Comms\Message_Controllers\To_RS422_Mess_Controller</v>
          </cell>
          <cell r="B127" t="str">
            <v>N</v>
          </cell>
          <cell r="C127" t="str">
            <v>Y</v>
          </cell>
          <cell r="D127"/>
          <cell r="E127"/>
          <cell r="F127"/>
          <cell r="G127" t="str">
            <v>CN</v>
          </cell>
          <cell r="H127" t="str">
            <v>N</v>
          </cell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 t="b">
            <v>1</v>
          </cell>
          <cell r="T127" t="b">
            <v>1</v>
          </cell>
          <cell r="U127" t="b">
            <v>1</v>
          </cell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</row>
        <row r="128">
          <cell r="A128" t="str">
            <v>Control_CPU\Service_Layer\Airframe_Comms\Scheduler\From_Ac_Scheduler</v>
          </cell>
          <cell r="B128" t="str">
            <v>N</v>
          </cell>
          <cell r="C128" t="str">
            <v>Y</v>
          </cell>
          <cell r="D128"/>
          <cell r="E128"/>
          <cell r="F128"/>
          <cell r="G128" t="str">
            <v>CN</v>
          </cell>
          <cell r="H128" t="str">
            <v>N</v>
          </cell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 t="b">
            <v>1</v>
          </cell>
          <cell r="T128" t="b">
            <v>1</v>
          </cell>
          <cell r="U128" t="b">
            <v>1</v>
          </cell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>
            <v>2008</v>
          </cell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</row>
        <row r="129">
          <cell r="A129" t="str">
            <v>Control_CPU\Service_Layer\Airframe_Comms\Scheduler\To_Ac_Scheduler</v>
          </cell>
          <cell r="B129" t="str">
            <v>N</v>
          </cell>
          <cell r="C129" t="str">
            <v>N</v>
          </cell>
          <cell r="D129"/>
          <cell r="E129"/>
          <cell r="F129"/>
          <cell r="G129" t="str">
            <v>CN</v>
          </cell>
          <cell r="H129" t="str">
            <v>N</v>
          </cell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 t="b">
            <v>1</v>
          </cell>
          <cell r="T129" t="b">
            <v>1</v>
          </cell>
          <cell r="U129" t="b">
            <v>1</v>
          </cell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>
            <v>796</v>
          </cell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</row>
        <row r="130">
          <cell r="A130" t="str">
            <v>Control_CPU\Service_Layer\Airframe_Comms\Validate Inputs\Validate_Airframe_Inputs_Control</v>
          </cell>
          <cell r="B130" t="str">
            <v>N</v>
          </cell>
          <cell r="C130" t="str">
            <v>Y</v>
          </cell>
          <cell r="D130"/>
          <cell r="E130"/>
          <cell r="F130"/>
          <cell r="G130" t="str">
            <v>CN</v>
          </cell>
          <cell r="H130" t="str">
            <v>N</v>
          </cell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 t="b">
            <v>1</v>
          </cell>
          <cell r="T130" t="b">
            <v>1</v>
          </cell>
          <cell r="U130" t="b">
            <v>1</v>
          </cell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>
            <v>2186</v>
          </cell>
          <cell r="AI130"/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</row>
        <row r="131">
          <cell r="A131" t="str">
            <v>Control_CPU\Service_Layer\Channel_Control</v>
          </cell>
          <cell r="B131" t="str">
            <v>N</v>
          </cell>
          <cell r="C131" t="str">
            <v>Y</v>
          </cell>
          <cell r="D131"/>
          <cell r="E131"/>
          <cell r="F131"/>
          <cell r="G131" t="str">
            <v>CN</v>
          </cell>
          <cell r="H131" t="str">
            <v>N</v>
          </cell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 t="b">
            <v>1</v>
          </cell>
          <cell r="T131" t="b">
            <v>1</v>
          </cell>
          <cell r="U131" t="b">
            <v>1</v>
          </cell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>
            <v>692</v>
          </cell>
          <cell r="AI131"/>
          <cell r="AJ131"/>
          <cell r="AK131"/>
          <cell r="AL131"/>
          <cell r="AM131"/>
          <cell r="AN131"/>
          <cell r="AO131"/>
          <cell r="AP131"/>
          <cell r="AQ131"/>
          <cell r="AR131"/>
          <cell r="AS131"/>
          <cell r="AT131"/>
          <cell r="AU131"/>
          <cell r="AV131"/>
          <cell r="AW131"/>
          <cell r="AX131"/>
          <cell r="AY131"/>
          <cell r="AZ131"/>
          <cell r="BA131"/>
          <cell r="BB131"/>
          <cell r="BC131"/>
          <cell r="BD131"/>
        </row>
        <row r="132">
          <cell r="A132" t="str">
            <v>Control_CPU\Service_Layer\Health</v>
          </cell>
          <cell r="B132" t="str">
            <v>N</v>
          </cell>
          <cell r="C132" t="str">
            <v>N</v>
          </cell>
          <cell r="D132"/>
          <cell r="E132"/>
          <cell r="F132"/>
          <cell r="G132" t="str">
            <v>CN</v>
          </cell>
          <cell r="H132" t="str">
            <v>N</v>
          </cell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 t="b">
            <v>1</v>
          </cell>
          <cell r="T132" t="b">
            <v>1</v>
          </cell>
          <cell r="U132" t="b">
            <v>1</v>
          </cell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>
            <v>625</v>
          </cell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</row>
        <row r="133">
          <cell r="A133" t="str">
            <v>Control_CPU\Service_Layer\Inter_CPU_Comms\Direct_Comms_Control</v>
          </cell>
          <cell r="B133" t="str">
            <v>N</v>
          </cell>
          <cell r="C133" t="str">
            <v>N</v>
          </cell>
          <cell r="D133"/>
          <cell r="E133"/>
          <cell r="F133"/>
          <cell r="G133" t="str">
            <v>CN</v>
          </cell>
          <cell r="H133" t="str">
            <v>N</v>
          </cell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 t="b">
            <v>1</v>
          </cell>
          <cell r="T133" t="b">
            <v>1</v>
          </cell>
          <cell r="U133" t="b">
            <v>1</v>
          </cell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>
            <v>860</v>
          </cell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</row>
        <row r="134">
          <cell r="A134" t="str">
            <v>Control_CPU\Service_Layer\Inter_CPU_Comms\Inter-CPU_Comms_Internal_Boundaries</v>
          </cell>
          <cell r="B134" t="str">
            <v>N</v>
          </cell>
          <cell r="C134" t="str">
            <v>Y</v>
          </cell>
          <cell r="D134"/>
          <cell r="E134"/>
          <cell r="F134"/>
          <cell r="G134" t="str">
            <v>CN</v>
          </cell>
          <cell r="H134" t="str">
            <v>N</v>
          </cell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 t="b">
            <v>1</v>
          </cell>
          <cell r="T134" t="b">
            <v>1</v>
          </cell>
          <cell r="U134" t="b">
            <v>1</v>
          </cell>
          <cell r="V134"/>
          <cell r="W134"/>
          <cell r="X134"/>
          <cell r="Y134" t="str">
            <v>n/a</v>
          </cell>
          <cell r="Z134"/>
          <cell r="AA134"/>
          <cell r="AB134"/>
          <cell r="AC134"/>
          <cell r="AD134"/>
          <cell r="AE134"/>
          <cell r="AF134"/>
          <cell r="AG134"/>
          <cell r="AH134" t="str">
            <v>n/a</v>
          </cell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</row>
        <row r="135">
          <cell r="A135" t="str">
            <v>Control_CPU\Service_Layer\Inter_CPU_Comms\Other_Channel_Comms</v>
          </cell>
          <cell r="B135" t="str">
            <v>N</v>
          </cell>
          <cell r="C135" t="str">
            <v>N</v>
          </cell>
          <cell r="D135"/>
          <cell r="E135"/>
          <cell r="F135" t="str">
            <v>6207, 6247</v>
          </cell>
          <cell r="G135" t="str">
            <v>CN</v>
          </cell>
          <cell r="H135" t="str">
            <v>Y</v>
          </cell>
          <cell r="I135"/>
          <cell r="J135"/>
          <cell r="K135"/>
          <cell r="L135"/>
          <cell r="M135" t="str">
            <v>Y</v>
          </cell>
          <cell r="N135" t="str">
            <v>Y</v>
          </cell>
          <cell r="O135" t="str">
            <v>Y</v>
          </cell>
          <cell r="P135" t="str">
            <v>Y</v>
          </cell>
          <cell r="Q135"/>
          <cell r="R135"/>
          <cell r="S135" t="b">
            <v>1</v>
          </cell>
          <cell r="T135" t="b">
            <v>1</v>
          </cell>
          <cell r="U135" t="b">
            <v>1</v>
          </cell>
          <cell r="V135" t="str">
            <v>1,2</v>
          </cell>
          <cell r="W135" t="str">
            <v>PR</v>
          </cell>
          <cell r="X135" t="str">
            <v>SP</v>
          </cell>
          <cell r="Y135">
            <v>2312</v>
          </cell>
          <cell r="Z135">
            <v>100</v>
          </cell>
          <cell r="AA135">
            <v>100</v>
          </cell>
          <cell r="AB135">
            <v>100</v>
          </cell>
          <cell r="AC135">
            <v>100</v>
          </cell>
          <cell r="AD135" t="str">
            <v>Y</v>
          </cell>
          <cell r="AE135"/>
          <cell r="AF135" t="str">
            <v>PR</v>
          </cell>
          <cell r="AG135" t="str">
            <v>SP</v>
          </cell>
          <cell r="AH135">
            <v>696</v>
          </cell>
          <cell r="AI135">
            <v>100</v>
          </cell>
          <cell r="AJ135">
            <v>100</v>
          </cell>
          <cell r="AK135">
            <v>100</v>
          </cell>
          <cell r="AL135"/>
          <cell r="AM135"/>
          <cell r="AN135"/>
          <cell r="AO135"/>
          <cell r="AP135">
            <v>100</v>
          </cell>
          <cell r="AQ135">
            <v>100</v>
          </cell>
          <cell r="AR135">
            <v>100</v>
          </cell>
          <cell r="AS135" t="str">
            <v>Y</v>
          </cell>
          <cell r="AT135" t="str">
            <v>Y</v>
          </cell>
          <cell r="AU135"/>
          <cell r="AV135" t="str">
            <v>PR</v>
          </cell>
          <cell r="AW135"/>
          <cell r="AX135" t="str">
            <v>SP</v>
          </cell>
          <cell r="AY135">
            <v>100</v>
          </cell>
          <cell r="AZ135"/>
          <cell r="BA135">
            <v>100</v>
          </cell>
          <cell r="BB135">
            <v>100</v>
          </cell>
          <cell r="BC135" t="str">
            <v>Y</v>
          </cell>
          <cell r="BD135">
            <v>100</v>
          </cell>
        </row>
        <row r="136">
          <cell r="A136" t="str">
            <v>Control_CPU\Service_Layer\Inter_CPU_Comms\Other_Processor_Comms</v>
          </cell>
          <cell r="B136" t="str">
            <v>N</v>
          </cell>
          <cell r="C136" t="str">
            <v>N</v>
          </cell>
          <cell r="D136"/>
          <cell r="E136"/>
          <cell r="F136">
            <v>6207</v>
          </cell>
          <cell r="G136" t="str">
            <v>CN</v>
          </cell>
          <cell r="H136" t="str">
            <v>Y</v>
          </cell>
          <cell r="I136"/>
          <cell r="J136"/>
          <cell r="K136"/>
          <cell r="L136"/>
          <cell r="M136" t="str">
            <v>Y</v>
          </cell>
          <cell r="N136" t="str">
            <v>Y</v>
          </cell>
          <cell r="O136" t="str">
            <v>Y</v>
          </cell>
          <cell r="P136" t="str">
            <v>Y</v>
          </cell>
          <cell r="Q136"/>
          <cell r="R136"/>
          <cell r="S136" t="b">
            <v>1</v>
          </cell>
          <cell r="T136" t="b">
            <v>1</v>
          </cell>
          <cell r="U136" t="b">
            <v>1</v>
          </cell>
          <cell r="V136">
            <v>1</v>
          </cell>
          <cell r="W136" t="str">
            <v>PR</v>
          </cell>
          <cell r="X136" t="str">
            <v>SP</v>
          </cell>
          <cell r="Y136">
            <v>2313</v>
          </cell>
          <cell r="Z136">
            <v>100</v>
          </cell>
          <cell r="AA136">
            <v>100</v>
          </cell>
          <cell r="AB136">
            <v>100</v>
          </cell>
          <cell r="AC136">
            <v>100</v>
          </cell>
          <cell r="AD136" t="str">
            <v>Y</v>
          </cell>
          <cell r="AE136"/>
          <cell r="AF136" t="str">
            <v>PR</v>
          </cell>
          <cell r="AG136" t="str">
            <v>SP</v>
          </cell>
          <cell r="AH136">
            <v>698</v>
          </cell>
          <cell r="AI136">
            <v>100</v>
          </cell>
          <cell r="AJ136">
            <v>100</v>
          </cell>
          <cell r="AK136">
            <v>100</v>
          </cell>
          <cell r="AL136"/>
          <cell r="AM136"/>
          <cell r="AN136"/>
          <cell r="AO136"/>
          <cell r="AP136">
            <v>100</v>
          </cell>
          <cell r="AQ136">
            <v>100</v>
          </cell>
          <cell r="AR136">
            <v>100</v>
          </cell>
          <cell r="AS136" t="str">
            <v>Y</v>
          </cell>
          <cell r="AT136" t="str">
            <v>Y</v>
          </cell>
          <cell r="AU136"/>
          <cell r="AV136" t="str">
            <v>PR</v>
          </cell>
          <cell r="AW136"/>
          <cell r="AX136" t="str">
            <v>SP</v>
          </cell>
          <cell r="AY136">
            <v>100</v>
          </cell>
          <cell r="AZ136"/>
          <cell r="BA136">
            <v>100</v>
          </cell>
          <cell r="BB136">
            <v>100</v>
          </cell>
          <cell r="BC136" t="str">
            <v>Y</v>
          </cell>
          <cell r="BD136">
            <v>100</v>
          </cell>
        </row>
        <row r="137">
          <cell r="A137" t="str">
            <v>Control_CPU\Service_Layer\Maintenance\Int_Maintenance</v>
          </cell>
          <cell r="B137" t="str">
            <v>N</v>
          </cell>
          <cell r="C137" t="str">
            <v>N</v>
          </cell>
          <cell r="D137"/>
          <cell r="E137"/>
          <cell r="F137">
            <v>6207</v>
          </cell>
          <cell r="G137" t="str">
            <v>CN</v>
          </cell>
          <cell r="H137" t="str">
            <v>N</v>
          </cell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>
            <v>1555</v>
          </cell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</row>
        <row r="138">
          <cell r="A138" t="str">
            <v>Control_CPU\Service_Layer\Maintenance\Failure_Message_Generator</v>
          </cell>
          <cell r="B138" t="str">
            <v>N</v>
          </cell>
          <cell r="C138" t="str">
            <v>Y</v>
          </cell>
          <cell r="D138"/>
          <cell r="E138"/>
          <cell r="F138" t="str">
            <v>6207</v>
          </cell>
          <cell r="G138" t="str">
            <v>CN</v>
          </cell>
          <cell r="H138" t="str">
            <v>N</v>
          </cell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 t="b">
            <v>1</v>
          </cell>
          <cell r="T138" t="b">
            <v>1</v>
          </cell>
          <cell r="U138" t="b">
            <v>1</v>
          </cell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>
            <v>1555</v>
          </cell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</row>
        <row r="139">
          <cell r="A139" t="str">
            <v>Control_CPU\Service_Layer\Monitor_HMU_Status</v>
          </cell>
          <cell r="B139" t="str">
            <v>N</v>
          </cell>
          <cell r="C139" t="str">
            <v>Y</v>
          </cell>
          <cell r="D139"/>
          <cell r="E139"/>
          <cell r="F139"/>
          <cell r="G139" t="str">
            <v>CN</v>
          </cell>
          <cell r="H139" t="str">
            <v>N</v>
          </cell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 t="b">
            <v>1</v>
          </cell>
          <cell r="T139" t="b">
            <v>1</v>
          </cell>
          <cell r="U139" t="b">
            <v>1</v>
          </cell>
          <cell r="V139"/>
          <cell r="W139"/>
          <cell r="X139"/>
          <cell r="Y139">
            <v>289</v>
          </cell>
          <cell r="Z139"/>
          <cell r="AA139"/>
          <cell r="AB139"/>
          <cell r="AC139"/>
          <cell r="AD139"/>
          <cell r="AE139"/>
          <cell r="AF139"/>
          <cell r="AG139"/>
          <cell r="AH139">
            <v>290</v>
          </cell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</row>
        <row r="140">
          <cell r="A140" t="str">
            <v>Control_CPU\Service_Layer\NVM\NVM_Manager_App_Data_Control</v>
          </cell>
          <cell r="B140" t="str">
            <v>N</v>
          </cell>
          <cell r="C140" t="str">
            <v>Y</v>
          </cell>
          <cell r="D140"/>
          <cell r="E140"/>
          <cell r="F140"/>
          <cell r="G140" t="str">
            <v>CN</v>
          </cell>
          <cell r="H140" t="str">
            <v>N</v>
          </cell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 t="b">
            <v>1</v>
          </cell>
          <cell r="T140" t="b">
            <v>1</v>
          </cell>
          <cell r="U140" t="b">
            <v>1</v>
          </cell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>
            <v>1555</v>
          </cell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</row>
        <row r="141">
          <cell r="A141" t="str">
            <v>Control_CPU\Service_Layer\NVM\NVM_Manager_HP3_Pipefail_Data</v>
          </cell>
          <cell r="B141" t="str">
            <v>N</v>
          </cell>
          <cell r="C141" t="str">
            <v>Y</v>
          </cell>
          <cell r="D141"/>
          <cell r="E141"/>
          <cell r="F141"/>
          <cell r="G141" t="str">
            <v>CN</v>
          </cell>
          <cell r="H141" t="str">
            <v>N</v>
          </cell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 t="b">
            <v>1</v>
          </cell>
          <cell r="T141" t="b">
            <v>1</v>
          </cell>
          <cell r="U141" t="b">
            <v>1</v>
          </cell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>
            <v>1554</v>
          </cell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</row>
        <row r="142">
          <cell r="A142" t="str">
            <v>Control_CPU\Service_Layer\NVM\NVM_Manager_Conf_Data_Control</v>
          </cell>
          <cell r="B142" t="str">
            <v>N</v>
          </cell>
          <cell r="C142" t="str">
            <v>Y</v>
          </cell>
          <cell r="D142"/>
          <cell r="E142"/>
          <cell r="F142"/>
          <cell r="G142" t="str">
            <v>CN</v>
          </cell>
          <cell r="H142" t="str">
            <v>N</v>
          </cell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 t="b">
            <v>1</v>
          </cell>
          <cell r="T142" t="b">
            <v>1</v>
          </cell>
          <cell r="U142" t="b">
            <v>1</v>
          </cell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>
            <v>1554</v>
          </cell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</row>
        <row r="143">
          <cell r="A143" t="str">
            <v>Control_CPU\Service_Layer\Power_Monitoring</v>
          </cell>
          <cell r="B143" t="str">
            <v>N</v>
          </cell>
          <cell r="C143" t="str">
            <v>Y</v>
          </cell>
          <cell r="D143"/>
          <cell r="E143"/>
          <cell r="F143"/>
          <cell r="G143" t="str">
            <v>CN</v>
          </cell>
          <cell r="H143" t="str">
            <v>N</v>
          </cell>
          <cell r="I143"/>
          <cell r="J143"/>
          <cell r="K143"/>
          <cell r="L143"/>
          <cell r="M143"/>
          <cell r="N143"/>
          <cell r="O143"/>
          <cell r="P143"/>
          <cell r="Q143"/>
          <cell r="R143"/>
          <cell r="S143" t="b">
            <v>1</v>
          </cell>
          <cell r="T143" t="b">
            <v>1</v>
          </cell>
          <cell r="U143" t="b">
            <v>1</v>
          </cell>
          <cell r="V143"/>
          <cell r="W143"/>
          <cell r="X143"/>
          <cell r="Y143">
            <v>2361</v>
          </cell>
          <cell r="Z143"/>
          <cell r="AA143"/>
          <cell r="AB143"/>
          <cell r="AC143"/>
          <cell r="AD143"/>
          <cell r="AE143"/>
          <cell r="AF143"/>
          <cell r="AG143"/>
          <cell r="AH143">
            <v>700</v>
          </cell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</row>
        <row r="144">
          <cell r="A144" t="str">
            <v>Control_CPU\Service_Layer\Processor_Identification</v>
          </cell>
          <cell r="B144" t="str">
            <v>N</v>
          </cell>
          <cell r="C144" t="str">
            <v>Y</v>
          </cell>
          <cell r="D144"/>
          <cell r="E144"/>
          <cell r="F144"/>
          <cell r="G144" t="str">
            <v>CN</v>
          </cell>
          <cell r="H144" t="str">
            <v>N</v>
          </cell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 t="b">
            <v>1</v>
          </cell>
          <cell r="T144" t="b">
            <v>1</v>
          </cell>
          <cell r="U144" t="b">
            <v>1</v>
          </cell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>
            <v>701</v>
          </cell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</row>
        <row r="145">
          <cell r="A145" t="str">
            <v>Control_CPU\System_Interfaces</v>
          </cell>
          <cell r="B145" t="str">
            <v>N</v>
          </cell>
          <cell r="C145" t="str">
            <v>N</v>
          </cell>
          <cell r="D145"/>
          <cell r="E145"/>
          <cell r="F145"/>
          <cell r="G145" t="str">
            <v>CN</v>
          </cell>
          <cell r="H145" t="str">
            <v>N</v>
          </cell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 t="b">
            <v>1</v>
          </cell>
          <cell r="T145" t="b">
            <v>1</v>
          </cell>
          <cell r="U145" t="b">
            <v>1</v>
          </cell>
          <cell r="V145"/>
          <cell r="W145"/>
          <cell r="X145"/>
          <cell r="Y145" t="str">
            <v>n/a</v>
          </cell>
          <cell r="Z145"/>
          <cell r="AA145"/>
          <cell r="AB145"/>
          <cell r="AC145"/>
          <cell r="AD145"/>
          <cell r="AE145"/>
          <cell r="AF145"/>
          <cell r="AG145"/>
          <cell r="AH145" t="str">
            <v>n/a</v>
          </cell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</row>
        <row r="146">
          <cell r="A146" t="str">
            <v>Control_CPU\System_Layer\Actuation\Engine_Oil_Bypass_Valve_Actuation</v>
          </cell>
          <cell r="B146" t="str">
            <v>N</v>
          </cell>
          <cell r="C146" t="str">
            <v>N</v>
          </cell>
          <cell r="D146"/>
          <cell r="E146"/>
          <cell r="F146"/>
          <cell r="G146" t="str">
            <v>CN</v>
          </cell>
          <cell r="H146" t="str">
            <v>N</v>
          </cell>
          <cell r="I146"/>
          <cell r="J146"/>
          <cell r="K146"/>
          <cell r="L146"/>
          <cell r="M146"/>
          <cell r="N146"/>
          <cell r="O146"/>
          <cell r="P146"/>
          <cell r="Q146"/>
          <cell r="R146"/>
          <cell r="S146" t="b">
            <v>1</v>
          </cell>
          <cell r="T146" t="b">
            <v>1</v>
          </cell>
          <cell r="U146" t="b">
            <v>1</v>
          </cell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>
            <v>644</v>
          </cell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</row>
        <row r="147">
          <cell r="A147" t="str">
            <v>Control_CPU\System_Layer\Actuation\ESS_Anti_Ice_Valve_Actuation</v>
          </cell>
          <cell r="B147" t="str">
            <v>N</v>
          </cell>
          <cell r="C147" t="str">
            <v>Y</v>
          </cell>
          <cell r="D147"/>
          <cell r="E147"/>
          <cell r="F147"/>
          <cell r="G147" t="str">
            <v>CN</v>
          </cell>
          <cell r="H147" t="str">
            <v>N</v>
          </cell>
          <cell r="I147"/>
          <cell r="J147"/>
          <cell r="K147"/>
          <cell r="L147"/>
          <cell r="M147"/>
          <cell r="N147"/>
          <cell r="O147"/>
          <cell r="P147"/>
          <cell r="Q147"/>
          <cell r="R147"/>
          <cell r="S147" t="b">
            <v>1</v>
          </cell>
          <cell r="T147" t="b">
            <v>1</v>
          </cell>
          <cell r="U147" t="b">
            <v>1</v>
          </cell>
          <cell r="V147"/>
          <cell r="W147"/>
          <cell r="X147"/>
          <cell r="Y147">
            <v>2288</v>
          </cell>
          <cell r="Z147"/>
          <cell r="AA147"/>
          <cell r="AB147"/>
          <cell r="AC147"/>
          <cell r="AD147"/>
          <cell r="AE147"/>
          <cell r="AF147"/>
          <cell r="AG147"/>
          <cell r="AH147">
            <v>645</v>
          </cell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</row>
        <row r="148">
          <cell r="A148" t="str">
            <v>Control_CPU\System_Layer\Actuation\Handling_Bleed_Valve_Actuation</v>
          </cell>
          <cell r="B148" t="str">
            <v>N</v>
          </cell>
          <cell r="C148" t="str">
            <v>Y</v>
          </cell>
          <cell r="D148"/>
          <cell r="E148"/>
          <cell r="F148"/>
          <cell r="G148" t="str">
            <v>CN</v>
          </cell>
          <cell r="H148" t="str">
            <v>N</v>
          </cell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 t="b">
            <v>1</v>
          </cell>
          <cell r="T148" t="b">
            <v>1</v>
          </cell>
          <cell r="U148" t="b">
            <v>1</v>
          </cell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>
            <v>585</v>
          </cell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</row>
        <row r="149">
          <cell r="A149" t="str">
            <v>Control_CPU\System_Layer\Actuation\Igniter_Actuation</v>
          </cell>
          <cell r="B149" t="str">
            <v>N</v>
          </cell>
          <cell r="C149" t="str">
            <v>Y</v>
          </cell>
          <cell r="D149"/>
          <cell r="E149"/>
          <cell r="F149"/>
          <cell r="G149" t="str">
            <v>CN</v>
          </cell>
          <cell r="H149" t="str">
            <v>N</v>
          </cell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 t="b">
            <v>1</v>
          </cell>
          <cell r="T149" t="b">
            <v>1</v>
          </cell>
          <cell r="U149" t="b">
            <v>1</v>
          </cell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>
            <v>586</v>
          </cell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</row>
        <row r="150">
          <cell r="A150" t="str">
            <v>Control_CPU\System_Layer\Actuation\Modulated_Air_System_Actuation</v>
          </cell>
          <cell r="B150" t="str">
            <v>N</v>
          </cell>
          <cell r="C150" t="str">
            <v>N</v>
          </cell>
          <cell r="D150"/>
          <cell r="E150"/>
          <cell r="F150"/>
          <cell r="G150" t="str">
            <v>CN</v>
          </cell>
          <cell r="H150" t="str">
            <v>N</v>
          </cell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 t="b">
            <v>1</v>
          </cell>
          <cell r="T150" t="b">
            <v>1</v>
          </cell>
          <cell r="U150" t="b">
            <v>1</v>
          </cell>
          <cell r="V150"/>
          <cell r="W150"/>
          <cell r="X150"/>
          <cell r="Y150">
            <v>462</v>
          </cell>
          <cell r="Z150"/>
          <cell r="AA150"/>
          <cell r="AB150"/>
          <cell r="AC150"/>
          <cell r="AD150"/>
          <cell r="AE150"/>
          <cell r="AF150"/>
          <cell r="AG150"/>
          <cell r="AH150">
            <v>463</v>
          </cell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/>
          <cell r="BC150"/>
          <cell r="BD150"/>
        </row>
        <row r="151">
          <cell r="A151" t="str">
            <v>Control_CPU\System_Layer\Actuation\Protection_TM_Actuation</v>
          </cell>
          <cell r="B151" t="str">
            <v>N</v>
          </cell>
          <cell r="C151" t="str">
            <v>Y</v>
          </cell>
          <cell r="D151"/>
          <cell r="E151"/>
          <cell r="F151"/>
          <cell r="G151" t="str">
            <v>CN</v>
          </cell>
          <cell r="H151" t="str">
            <v>N</v>
          </cell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 t="b">
            <v>1</v>
          </cell>
          <cell r="T151" t="b">
            <v>1</v>
          </cell>
          <cell r="U151" t="b">
            <v>1</v>
          </cell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>
            <v>1542</v>
          </cell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</row>
        <row r="152">
          <cell r="A152" t="str">
            <v>Control_CPU\System_Layer\Actuation\Starter_Air_Valve_Actuation</v>
          </cell>
          <cell r="B152" t="str">
            <v>N</v>
          </cell>
          <cell r="C152" t="str">
            <v>Y</v>
          </cell>
          <cell r="D152"/>
          <cell r="E152"/>
          <cell r="F152"/>
          <cell r="G152" t="str">
            <v>CN</v>
          </cell>
          <cell r="H152" t="str">
            <v>N</v>
          </cell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 t="b">
            <v>1</v>
          </cell>
          <cell r="T152" t="b">
            <v>1</v>
          </cell>
          <cell r="U152" t="b">
            <v>1</v>
          </cell>
          <cell r="V152">
            <v>3</v>
          </cell>
          <cell r="W152"/>
          <cell r="X152"/>
          <cell r="Y152">
            <v>2442</v>
          </cell>
          <cell r="Z152"/>
          <cell r="AA152"/>
          <cell r="AB152"/>
          <cell r="AC152"/>
          <cell r="AD152"/>
          <cell r="AE152"/>
          <cell r="AF152"/>
          <cell r="AG152"/>
          <cell r="AH152">
            <v>650</v>
          </cell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</row>
        <row r="153">
          <cell r="A153" t="str">
            <v>Control_CPU\System_Layer\Actuation\Turbine_Case_Cooling_Actuation\HP_Turbine_Case_Cooling_Actuation</v>
          </cell>
          <cell r="B153" t="str">
            <v>N</v>
          </cell>
          <cell r="C153" t="str">
            <v>Y</v>
          </cell>
          <cell r="D153"/>
          <cell r="E153"/>
          <cell r="F153"/>
          <cell r="G153" t="str">
            <v>CN</v>
          </cell>
          <cell r="H153" t="str">
            <v>N</v>
          </cell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 t="b">
            <v>1</v>
          </cell>
          <cell r="T153" t="b">
            <v>1</v>
          </cell>
          <cell r="U153" t="b">
            <v>1</v>
          </cell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>
            <v>1259</v>
          </cell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</row>
        <row r="154">
          <cell r="A154" t="str">
            <v>Control_CPU\System_Layer\Actuation\Turbine_Case_Cooling_Actuation\IP_Turbine_Case_Cooling_Actuation</v>
          </cell>
          <cell r="B154" t="str">
            <v>N</v>
          </cell>
          <cell r="C154" t="str">
            <v>Y</v>
          </cell>
          <cell r="D154"/>
          <cell r="E154"/>
          <cell r="F154"/>
          <cell r="G154" t="str">
            <v>CN</v>
          </cell>
          <cell r="H154" t="str">
            <v>N</v>
          </cell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 t="b">
            <v>1</v>
          </cell>
          <cell r="T154" t="b">
            <v>1</v>
          </cell>
          <cell r="U154" t="b">
            <v>1</v>
          </cell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>
            <v>1261</v>
          </cell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</row>
        <row r="155">
          <cell r="A155" t="str">
            <v>Control_CPU\System_Layer\Actuation\Turbine_Rim_Cooling_Actuation</v>
          </cell>
          <cell r="B155" t="str">
            <v>N</v>
          </cell>
          <cell r="C155" t="str">
            <v>Y</v>
          </cell>
          <cell r="D155"/>
          <cell r="E155"/>
          <cell r="F155"/>
          <cell r="G155" t="str">
            <v>CN</v>
          </cell>
          <cell r="H155" t="str">
            <v>N</v>
          </cell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 t="b">
            <v>1</v>
          </cell>
          <cell r="T155" t="b">
            <v>1</v>
          </cell>
          <cell r="U155" t="b">
            <v>1</v>
          </cell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>
            <v>651</v>
          </cell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/>
          <cell r="AV155"/>
          <cell r="AW155"/>
          <cell r="AX155"/>
          <cell r="AY155"/>
          <cell r="AZ155"/>
          <cell r="BA155"/>
          <cell r="BB155"/>
          <cell r="BC155"/>
          <cell r="BD155"/>
        </row>
        <row r="156">
          <cell r="A156" t="str">
            <v>Control_CPU\System_Layer\Actuation\VSV_Actuation</v>
          </cell>
          <cell r="B156" t="str">
            <v>N</v>
          </cell>
          <cell r="C156" t="str">
            <v>Y</v>
          </cell>
          <cell r="D156"/>
          <cell r="E156"/>
          <cell r="F156"/>
          <cell r="G156" t="str">
            <v>CN</v>
          </cell>
          <cell r="H156" t="str">
            <v>N</v>
          </cell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 t="b">
            <v>1</v>
          </cell>
          <cell r="T156" t="b">
            <v>1</v>
          </cell>
          <cell r="U156" t="b">
            <v>1</v>
          </cell>
          <cell r="V156"/>
          <cell r="W156"/>
          <cell r="X156"/>
          <cell r="Y156">
            <v>2278</v>
          </cell>
          <cell r="Z156"/>
          <cell r="AA156"/>
          <cell r="AB156"/>
          <cell r="AC156"/>
          <cell r="AD156"/>
          <cell r="AE156"/>
          <cell r="AF156"/>
          <cell r="AG156"/>
          <cell r="AH156">
            <v>830</v>
          </cell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</row>
        <row r="157">
          <cell r="A157" t="str">
            <v>Control_CPU\System_Layer\Calculate_Fuel_Used</v>
          </cell>
          <cell r="B157" t="str">
            <v>N</v>
          </cell>
          <cell r="C157" t="str">
            <v>Y</v>
          </cell>
          <cell r="D157"/>
          <cell r="E157"/>
          <cell r="F157"/>
          <cell r="G157" t="str">
            <v>CN</v>
          </cell>
          <cell r="H157" t="str">
            <v>N</v>
          </cell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 t="b">
            <v>1</v>
          </cell>
          <cell r="T157" t="b">
            <v>1</v>
          </cell>
          <cell r="U157" t="b">
            <v>1</v>
          </cell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>
            <v>652</v>
          </cell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</row>
        <row r="158">
          <cell r="A158" t="str">
            <v>Control_CPU\System_Layer\Derive_and_Modelled_Parameters\Derive_Air_Data</v>
          </cell>
          <cell r="B158" t="str">
            <v>N</v>
          </cell>
          <cell r="C158" t="str">
            <v>N</v>
          </cell>
          <cell r="D158"/>
          <cell r="E158"/>
          <cell r="F158"/>
          <cell r="G158" t="str">
            <v>CN</v>
          </cell>
          <cell r="H158" t="str">
            <v>N</v>
          </cell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 t="b">
            <v>1</v>
          </cell>
          <cell r="T158" t="b">
            <v>1</v>
          </cell>
          <cell r="U158" t="b">
            <v>1</v>
          </cell>
          <cell r="V158"/>
          <cell r="W158"/>
          <cell r="X158"/>
          <cell r="Y158">
            <v>2254</v>
          </cell>
          <cell r="Z158"/>
          <cell r="AA158"/>
          <cell r="AB158"/>
          <cell r="AC158"/>
          <cell r="AD158"/>
          <cell r="AE158"/>
          <cell r="AF158"/>
          <cell r="AG158"/>
          <cell r="AH158">
            <v>587</v>
          </cell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</row>
        <row r="159">
          <cell r="A159" t="str">
            <v>Control_CPU\System_Layer\Derive_and_Modelled_Parameters\Derive_Aircraft_State</v>
          </cell>
          <cell r="B159" t="str">
            <v>N</v>
          </cell>
          <cell r="C159" t="str">
            <v>Y</v>
          </cell>
          <cell r="D159"/>
          <cell r="E159"/>
          <cell r="F159"/>
          <cell r="G159" t="str">
            <v>CN</v>
          </cell>
          <cell r="H159" t="str">
            <v>N</v>
          </cell>
          <cell r="I159"/>
          <cell r="J159"/>
          <cell r="K159"/>
          <cell r="L159"/>
          <cell r="M159"/>
          <cell r="N159"/>
          <cell r="O159"/>
          <cell r="P159"/>
          <cell r="Q159"/>
          <cell r="R159"/>
          <cell r="S159" t="b">
            <v>1</v>
          </cell>
          <cell r="T159" t="b">
            <v>1</v>
          </cell>
          <cell r="U159" t="b">
            <v>1</v>
          </cell>
          <cell r="V159"/>
          <cell r="W159"/>
          <cell r="X159"/>
          <cell r="Y159">
            <v>2325</v>
          </cell>
          <cell r="Z159"/>
          <cell r="AA159"/>
          <cell r="AB159"/>
          <cell r="AC159"/>
          <cell r="AD159"/>
          <cell r="AE159"/>
          <cell r="AF159"/>
          <cell r="AG159"/>
          <cell r="AH159">
            <v>588</v>
          </cell>
          <cell r="AI159"/>
          <cell r="AJ159"/>
          <cell r="AK159"/>
          <cell r="AL159"/>
          <cell r="AM159"/>
          <cell r="AN159"/>
          <cell r="AO159"/>
          <cell r="AP159"/>
          <cell r="AQ159"/>
          <cell r="AR159"/>
          <cell r="AS159"/>
          <cell r="AT159"/>
          <cell r="AU159"/>
          <cell r="AV159"/>
          <cell r="AW159"/>
          <cell r="AX159"/>
          <cell r="AY159"/>
          <cell r="AZ159"/>
          <cell r="BA159"/>
          <cell r="BB159"/>
          <cell r="BC159"/>
          <cell r="BD159"/>
        </row>
        <row r="160">
          <cell r="A160" t="str">
            <v>Control_CPU\System_Layer\Derive_and_Modelled_Parameters\Derive_Engine_Pressures</v>
          </cell>
          <cell r="B160" t="str">
            <v>N</v>
          </cell>
          <cell r="C160" t="str">
            <v>Y</v>
          </cell>
          <cell r="D160"/>
          <cell r="E160"/>
          <cell r="F160"/>
          <cell r="G160" t="str">
            <v>CN</v>
          </cell>
          <cell r="H160" t="str">
            <v>N</v>
          </cell>
          <cell r="I160"/>
          <cell r="J160"/>
          <cell r="K160"/>
          <cell r="L160"/>
          <cell r="M160"/>
          <cell r="N160"/>
          <cell r="O160"/>
          <cell r="P160"/>
          <cell r="Q160"/>
          <cell r="R160"/>
          <cell r="S160" t="b">
            <v>1</v>
          </cell>
          <cell r="T160" t="b">
            <v>1</v>
          </cell>
          <cell r="U160" t="b">
            <v>1</v>
          </cell>
          <cell r="V160"/>
          <cell r="W160"/>
          <cell r="X160"/>
          <cell r="Y160">
            <v>2801</v>
          </cell>
          <cell r="Z160"/>
          <cell r="AA160"/>
          <cell r="AB160"/>
          <cell r="AC160"/>
          <cell r="AD160"/>
          <cell r="AE160"/>
          <cell r="AF160"/>
          <cell r="AG160"/>
          <cell r="AH160">
            <v>590</v>
          </cell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 t="str">
            <v>RRB</v>
          </cell>
          <cell r="AW160"/>
          <cell r="AX160" t="str">
            <v>DBY</v>
          </cell>
          <cell r="AY160"/>
          <cell r="AZ160"/>
          <cell r="BA160"/>
          <cell r="BB160"/>
          <cell r="BC160"/>
          <cell r="BD160"/>
        </row>
        <row r="161">
          <cell r="A161" t="str">
            <v>Control_CPU\System_Layer\Derive_and_Modelled_Parameters\Derive_Engine_Temperatures</v>
          </cell>
          <cell r="B161" t="str">
            <v>N</v>
          </cell>
          <cell r="C161" t="str">
            <v>N</v>
          </cell>
          <cell r="D161"/>
          <cell r="E161"/>
          <cell r="F161"/>
          <cell r="G161" t="str">
            <v>CN</v>
          </cell>
          <cell r="H161" t="str">
            <v>N</v>
          </cell>
          <cell r="I161"/>
          <cell r="J161"/>
          <cell r="K161"/>
          <cell r="L161"/>
          <cell r="M161"/>
          <cell r="N161"/>
          <cell r="O161"/>
          <cell r="P161"/>
          <cell r="Q161"/>
          <cell r="R161"/>
          <cell r="S161" t="b">
            <v>1</v>
          </cell>
          <cell r="T161" t="b">
            <v>1</v>
          </cell>
          <cell r="U161" t="b">
            <v>1</v>
          </cell>
          <cell r="V161"/>
          <cell r="W161"/>
          <cell r="X161"/>
          <cell r="Y161">
            <v>2667</v>
          </cell>
          <cell r="Z161"/>
          <cell r="AA161"/>
          <cell r="AB161"/>
          <cell r="AC161"/>
          <cell r="AD161"/>
          <cell r="AE161"/>
          <cell r="AF161"/>
          <cell r="AG161"/>
          <cell r="AH161">
            <v>591</v>
          </cell>
          <cell r="AI161"/>
          <cell r="AJ161"/>
          <cell r="AK161"/>
          <cell r="AL161"/>
          <cell r="AM161"/>
          <cell r="AN161"/>
          <cell r="AO161"/>
          <cell r="AP161"/>
          <cell r="AQ161"/>
          <cell r="AR161"/>
          <cell r="AS161"/>
          <cell r="AT161"/>
          <cell r="AU161"/>
          <cell r="AV161"/>
          <cell r="AW161"/>
          <cell r="AX161"/>
          <cell r="AY161"/>
          <cell r="AZ161"/>
          <cell r="BA161"/>
          <cell r="BB161"/>
          <cell r="BC161"/>
          <cell r="BD161"/>
        </row>
        <row r="162">
          <cell r="A162" t="str">
            <v>Control_CPU\System_Layer\Derive_and_Modelled_Parameters\Derive_Fuel_Flow</v>
          </cell>
          <cell r="B162" t="str">
            <v>N</v>
          </cell>
          <cell r="C162" t="str">
            <v>Y</v>
          </cell>
          <cell r="D162"/>
          <cell r="E162"/>
          <cell r="F162"/>
          <cell r="G162" t="str">
            <v>CN</v>
          </cell>
          <cell r="H162" t="str">
            <v>N</v>
          </cell>
          <cell r="I162"/>
          <cell r="J162"/>
          <cell r="K162"/>
          <cell r="L162"/>
          <cell r="M162"/>
          <cell r="N162"/>
          <cell r="O162"/>
          <cell r="P162"/>
          <cell r="Q162"/>
          <cell r="R162"/>
          <cell r="S162" t="b">
            <v>1</v>
          </cell>
          <cell r="T162" t="b">
            <v>1</v>
          </cell>
          <cell r="U162" t="b">
            <v>1</v>
          </cell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>
            <v>1487</v>
          </cell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/>
          <cell r="AX162"/>
          <cell r="AY162"/>
          <cell r="AZ162"/>
          <cell r="BA162"/>
          <cell r="BB162"/>
          <cell r="BC162"/>
          <cell r="BD162"/>
        </row>
        <row r="163">
          <cell r="A163" t="str">
            <v>Control_CPU\System_Layer\Derive_and_Modelled_Parameters\Derive_Heat_Soakage</v>
          </cell>
          <cell r="B163" t="str">
            <v>N</v>
          </cell>
          <cell r="C163" t="str">
            <v>N</v>
          </cell>
          <cell r="D163"/>
          <cell r="E163"/>
          <cell r="F163"/>
          <cell r="G163" t="str">
            <v>CN</v>
          </cell>
          <cell r="H163" t="str">
            <v>N</v>
          </cell>
          <cell r="I163"/>
          <cell r="J163"/>
          <cell r="K163"/>
          <cell r="L163"/>
          <cell r="M163"/>
          <cell r="N163"/>
          <cell r="O163"/>
          <cell r="P163"/>
          <cell r="Q163"/>
          <cell r="R163"/>
          <cell r="S163" t="b">
            <v>1</v>
          </cell>
          <cell r="T163" t="b">
            <v>1</v>
          </cell>
          <cell r="U163" t="b">
            <v>1</v>
          </cell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>
            <v>592</v>
          </cell>
          <cell r="AI163"/>
          <cell r="AJ163"/>
          <cell r="AK163"/>
          <cell r="AL163"/>
          <cell r="AM163"/>
          <cell r="AN163"/>
          <cell r="AO163"/>
          <cell r="AP163"/>
          <cell r="AQ163"/>
          <cell r="AR163"/>
          <cell r="AS163"/>
          <cell r="AT163"/>
          <cell r="AU163"/>
          <cell r="AV163"/>
          <cell r="AW163"/>
          <cell r="AX163"/>
          <cell r="AY163"/>
          <cell r="AZ163"/>
          <cell r="BA163"/>
          <cell r="BB163"/>
          <cell r="BC163"/>
          <cell r="BD163"/>
        </row>
        <row r="164">
          <cell r="A164" t="str">
            <v>Control_CPU\System_Layer\Derive_and_Modelled_Parameters\Derive_Power_Offtake</v>
          </cell>
          <cell r="B164" t="str">
            <v>N</v>
          </cell>
          <cell r="C164" t="str">
            <v>Y</v>
          </cell>
          <cell r="D164"/>
          <cell r="E164"/>
          <cell r="F164"/>
          <cell r="G164" t="str">
            <v>CN</v>
          </cell>
          <cell r="H164" t="str">
            <v>N</v>
          </cell>
          <cell r="I164"/>
          <cell r="J164"/>
          <cell r="K164"/>
          <cell r="L164"/>
          <cell r="M164"/>
          <cell r="N164"/>
          <cell r="O164"/>
          <cell r="P164"/>
          <cell r="Q164"/>
          <cell r="R164"/>
          <cell r="S164" t="b">
            <v>1</v>
          </cell>
          <cell r="T164" t="b">
            <v>1</v>
          </cell>
          <cell r="U164" t="b">
            <v>1</v>
          </cell>
          <cell r="V164"/>
          <cell r="W164"/>
          <cell r="X164"/>
          <cell r="Y164">
            <v>2669</v>
          </cell>
          <cell r="Z164"/>
          <cell r="AA164"/>
          <cell r="AB164"/>
          <cell r="AC164"/>
          <cell r="AD164"/>
          <cell r="AE164"/>
          <cell r="AF164"/>
          <cell r="AG164"/>
          <cell r="AH164">
            <v>1300</v>
          </cell>
          <cell r="AI164"/>
          <cell r="AJ164"/>
          <cell r="AK164"/>
          <cell r="AL164"/>
          <cell r="AM164"/>
          <cell r="AN164"/>
          <cell r="AO164"/>
          <cell r="AP164"/>
          <cell r="AQ164"/>
          <cell r="AR164"/>
          <cell r="AS164"/>
          <cell r="AT164"/>
          <cell r="AU164"/>
          <cell r="AV164"/>
          <cell r="AW164"/>
          <cell r="AX164"/>
          <cell r="AY164"/>
          <cell r="AZ164"/>
          <cell r="BA164"/>
          <cell r="BB164"/>
          <cell r="BC164"/>
          <cell r="BD164"/>
        </row>
        <row r="165">
          <cell r="A165" t="str">
            <v>Control_CPU\System_Layer\Derive_and_Modelled_Parameters\Derive_Pressure_Ratios</v>
          </cell>
          <cell r="B165" t="str">
            <v>N</v>
          </cell>
          <cell r="C165" t="str">
            <v>Y</v>
          </cell>
          <cell r="D165"/>
          <cell r="E165"/>
          <cell r="F165"/>
          <cell r="G165" t="str">
            <v>CN</v>
          </cell>
          <cell r="H165" t="str">
            <v>N</v>
          </cell>
          <cell r="I165"/>
          <cell r="J165"/>
          <cell r="K165"/>
          <cell r="L165"/>
          <cell r="M165"/>
          <cell r="N165"/>
          <cell r="O165"/>
          <cell r="P165"/>
          <cell r="Q165"/>
          <cell r="R165"/>
          <cell r="S165" t="b">
            <v>1</v>
          </cell>
          <cell r="T165" t="b">
            <v>1</v>
          </cell>
          <cell r="U165" t="b">
            <v>1</v>
          </cell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>
            <v>593</v>
          </cell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/>
          <cell r="AZ165"/>
          <cell r="BA165"/>
          <cell r="BB165"/>
          <cell r="BC165"/>
          <cell r="BD165"/>
        </row>
        <row r="166">
          <cell r="A166" t="str">
            <v>Control_CPU\System_Layer\Derive_and_Modelled_Parameters\Derive_Shaft_Speeds</v>
          </cell>
          <cell r="B166" t="str">
            <v>N</v>
          </cell>
          <cell r="C166" t="str">
            <v>Y</v>
          </cell>
          <cell r="D166"/>
          <cell r="E166"/>
          <cell r="F166"/>
          <cell r="G166" t="str">
            <v>CN</v>
          </cell>
          <cell r="H166" t="str">
            <v>N</v>
          </cell>
          <cell r="I166"/>
          <cell r="J166"/>
          <cell r="K166"/>
          <cell r="L166"/>
          <cell r="M166"/>
          <cell r="N166"/>
          <cell r="O166"/>
          <cell r="P166"/>
          <cell r="Q166"/>
          <cell r="R166"/>
          <cell r="S166" t="b">
            <v>1</v>
          </cell>
          <cell r="T166" t="b">
            <v>1</v>
          </cell>
          <cell r="U166" t="b">
            <v>1</v>
          </cell>
          <cell r="V166"/>
          <cell r="W166"/>
          <cell r="X166"/>
          <cell r="Y166">
            <v>2267</v>
          </cell>
          <cell r="Z166"/>
          <cell r="AA166"/>
          <cell r="AB166"/>
          <cell r="AC166"/>
          <cell r="AD166"/>
          <cell r="AE166"/>
          <cell r="AF166"/>
          <cell r="AG166"/>
          <cell r="AH166">
            <v>594</v>
          </cell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 t="str">
            <v>RRB</v>
          </cell>
          <cell r="AW166"/>
          <cell r="AX166" t="str">
            <v>DBY</v>
          </cell>
          <cell r="AY166"/>
          <cell r="AZ166"/>
          <cell r="BA166"/>
          <cell r="BB166"/>
          <cell r="BC166"/>
          <cell r="BD166"/>
        </row>
        <row r="167">
          <cell r="A167" t="str">
            <v>Control_CPU\System_Layer\Generate_Test_Commands\Generate_ESSAI_Test_Commands</v>
          </cell>
          <cell r="B167" t="str">
            <v>N</v>
          </cell>
          <cell r="C167" t="str">
            <v>Y</v>
          </cell>
          <cell r="D167"/>
          <cell r="E167"/>
          <cell r="F167"/>
          <cell r="G167" t="str">
            <v>CN</v>
          </cell>
          <cell r="H167" t="str">
            <v>N</v>
          </cell>
          <cell r="I167"/>
          <cell r="J167"/>
          <cell r="K167"/>
          <cell r="L167"/>
          <cell r="M167"/>
          <cell r="N167"/>
          <cell r="O167"/>
          <cell r="P167"/>
          <cell r="Q167"/>
          <cell r="R167"/>
          <cell r="S167" t="b">
            <v>1</v>
          </cell>
          <cell r="T167" t="b">
            <v>1</v>
          </cell>
          <cell r="U167" t="b">
            <v>1</v>
          </cell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>
            <v>653</v>
          </cell>
          <cell r="AI167"/>
          <cell r="AJ167"/>
          <cell r="AK167"/>
          <cell r="AL167"/>
          <cell r="AM167"/>
          <cell r="AN167"/>
          <cell r="AO167"/>
          <cell r="AP167"/>
          <cell r="AQ167"/>
          <cell r="AR167"/>
          <cell r="AS167"/>
          <cell r="AT167"/>
          <cell r="AU167"/>
          <cell r="AV167"/>
          <cell r="AW167"/>
          <cell r="AX167"/>
          <cell r="AY167"/>
          <cell r="AZ167"/>
          <cell r="BA167"/>
          <cell r="BB167"/>
          <cell r="BC167"/>
          <cell r="BD167"/>
        </row>
        <row r="168">
          <cell r="A168" t="str">
            <v>Control_CPU\System_Layer\Generate_Test_Commands\Generate_HBV_Test_Commands</v>
          </cell>
          <cell r="B168" t="str">
            <v>N</v>
          </cell>
          <cell r="C168" t="str">
            <v>Y</v>
          </cell>
          <cell r="D168"/>
          <cell r="F168">
            <v>6275</v>
          </cell>
          <cell r="G168" t="str">
            <v>CN</v>
          </cell>
          <cell r="H168" t="str">
            <v>Y</v>
          </cell>
          <cell r="I168" t="str">
            <v>Y</v>
          </cell>
          <cell r="J168"/>
          <cell r="K168"/>
          <cell r="L168"/>
          <cell r="M168" t="str">
            <v>Y</v>
          </cell>
          <cell r="N168" t="str">
            <v>Y</v>
          </cell>
          <cell r="O168" t="str">
            <v>Y</v>
          </cell>
          <cell r="P168" t="str">
            <v>Y</v>
          </cell>
          <cell r="Q168"/>
          <cell r="R168"/>
          <cell r="S168" t="b">
            <v>1</v>
          </cell>
          <cell r="T168" t="b">
            <v>1</v>
          </cell>
          <cell r="U168" t="b">
            <v>1</v>
          </cell>
          <cell r="V168">
            <v>2</v>
          </cell>
          <cell r="W168" t="str">
            <v>NT</v>
          </cell>
          <cell r="X168" t="str">
            <v>LC</v>
          </cell>
          <cell r="Y168"/>
          <cell r="Z168">
            <v>100</v>
          </cell>
          <cell r="AA168">
            <v>100</v>
          </cell>
          <cell r="AB168">
            <v>100</v>
          </cell>
          <cell r="AC168">
            <v>100</v>
          </cell>
          <cell r="AD168" t="str">
            <v>Y</v>
          </cell>
          <cell r="AE168"/>
          <cell r="AF168" t="str">
            <v>NT</v>
          </cell>
          <cell r="AG168" t="str">
            <v>LC</v>
          </cell>
          <cell r="AH168">
            <v>654</v>
          </cell>
          <cell r="AI168">
            <v>100</v>
          </cell>
          <cell r="AJ168">
            <v>100</v>
          </cell>
          <cell r="AK168">
            <v>100</v>
          </cell>
          <cell r="AL168"/>
          <cell r="AM168" t="str">
            <v>Y</v>
          </cell>
          <cell r="AN168"/>
          <cell r="AO168" t="str">
            <v>Y</v>
          </cell>
          <cell r="AP168">
            <v>100</v>
          </cell>
          <cell r="AQ168">
            <v>100</v>
          </cell>
          <cell r="AR168">
            <v>100</v>
          </cell>
          <cell r="AS168" t="str">
            <v>Y</v>
          </cell>
          <cell r="AT168" t="str">
            <v>Y</v>
          </cell>
          <cell r="AU168"/>
          <cell r="AV168" t="str">
            <v>NT</v>
          </cell>
          <cell r="AW168"/>
          <cell r="AX168" t="str">
            <v>LC</v>
          </cell>
          <cell r="AY168">
            <v>100</v>
          </cell>
          <cell r="AZ168"/>
          <cell r="BA168">
            <v>100</v>
          </cell>
          <cell r="BB168">
            <v>100</v>
          </cell>
          <cell r="BC168" t="str">
            <v>Y</v>
          </cell>
          <cell r="BD168">
            <v>100</v>
          </cell>
        </row>
        <row r="169">
          <cell r="A169" t="str">
            <v>Control_CPU\System_Layer\Generate_Test_Commands\Generate_MAS_Test_Commands</v>
          </cell>
          <cell r="B169" t="str">
            <v>N</v>
          </cell>
          <cell r="C169" t="str">
            <v>Y</v>
          </cell>
          <cell r="D169"/>
          <cell r="E169"/>
          <cell r="F169"/>
          <cell r="G169" t="str">
            <v>CN</v>
          </cell>
          <cell r="H169" t="str">
            <v>N</v>
          </cell>
          <cell r="I169"/>
          <cell r="J169"/>
          <cell r="K169"/>
          <cell r="L169"/>
          <cell r="M169"/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>
            <v>577</v>
          </cell>
          <cell r="Z169"/>
          <cell r="AA169"/>
          <cell r="AB169"/>
          <cell r="AC169"/>
          <cell r="AD169"/>
          <cell r="AE169"/>
          <cell r="AF169"/>
          <cell r="AG169"/>
          <cell r="AH169">
            <v>576</v>
          </cell>
          <cell r="AI169"/>
          <cell r="AJ169"/>
          <cell r="AK169"/>
          <cell r="AL169"/>
          <cell r="AM169"/>
          <cell r="AN169"/>
          <cell r="AO169"/>
          <cell r="AP169"/>
          <cell r="AQ169"/>
          <cell r="AR169"/>
          <cell r="AS169"/>
          <cell r="AT169"/>
          <cell r="AU169"/>
          <cell r="AV169"/>
          <cell r="AW169"/>
          <cell r="AX169"/>
          <cell r="AY169"/>
          <cell r="AZ169"/>
          <cell r="BA169"/>
          <cell r="BB169"/>
          <cell r="BC169"/>
          <cell r="BD169"/>
        </row>
        <row r="170">
          <cell r="A170" t="str">
            <v>Control_CPU\System_Layer\Minor_Loops\FMV_Minor_Loop</v>
          </cell>
          <cell r="B170" t="str">
            <v>N</v>
          </cell>
          <cell r="C170" t="str">
            <v>Y</v>
          </cell>
          <cell r="D170"/>
          <cell r="F170" t="str">
            <v>6247,NFPR2342</v>
          </cell>
          <cell r="G170" t="str">
            <v>CN</v>
          </cell>
          <cell r="H170" t="str">
            <v>Y</v>
          </cell>
          <cell r="I170"/>
          <cell r="J170"/>
          <cell r="K170"/>
          <cell r="L170"/>
          <cell r="M170" t="str">
            <v>Y</v>
          </cell>
          <cell r="N170" t="str">
            <v>Y</v>
          </cell>
          <cell r="O170" t="str">
            <v>Y</v>
          </cell>
          <cell r="P170" t="str">
            <v>Y</v>
          </cell>
          <cell r="Q170"/>
          <cell r="R170"/>
          <cell r="S170" t="b">
            <v>1</v>
          </cell>
          <cell r="T170" t="b">
            <v>1</v>
          </cell>
          <cell r="U170" t="b">
            <v>1</v>
          </cell>
          <cell r="V170">
            <v>2</v>
          </cell>
          <cell r="W170" t="str">
            <v>KV</v>
          </cell>
          <cell r="X170" t="str">
            <v>DHB</v>
          </cell>
          <cell r="Y170">
            <v>2269</v>
          </cell>
          <cell r="Z170">
            <v>100</v>
          </cell>
          <cell r="AA170">
            <v>100</v>
          </cell>
          <cell r="AB170">
            <v>100</v>
          </cell>
          <cell r="AC170">
            <v>100</v>
          </cell>
          <cell r="AD170" t="str">
            <v>Y</v>
          </cell>
          <cell r="AE170"/>
          <cell r="AF170" t="str">
            <v>KV</v>
          </cell>
          <cell r="AG170" t="str">
            <v>DHB</v>
          </cell>
          <cell r="AH170">
            <v>655</v>
          </cell>
          <cell r="AI170">
            <v>100</v>
          </cell>
          <cell r="AJ170">
            <v>100</v>
          </cell>
          <cell r="AK170">
            <v>100</v>
          </cell>
          <cell r="AL170"/>
          <cell r="AM170" t="str">
            <v>Y</v>
          </cell>
          <cell r="AN170"/>
          <cell r="AO170" t="str">
            <v>Y</v>
          </cell>
          <cell r="AP170">
            <v>100</v>
          </cell>
          <cell r="AQ170">
            <v>100</v>
          </cell>
          <cell r="AR170">
            <v>100</v>
          </cell>
          <cell r="AS170" t="str">
            <v>Y</v>
          </cell>
          <cell r="AT170" t="str">
            <v>Y</v>
          </cell>
          <cell r="AU170"/>
          <cell r="AV170" t="str">
            <v>KV</v>
          </cell>
          <cell r="AW170"/>
          <cell r="AX170" t="str">
            <v>DHB</v>
          </cell>
          <cell r="AY170">
            <v>100</v>
          </cell>
          <cell r="AZ170"/>
          <cell r="BA170">
            <v>100</v>
          </cell>
          <cell r="BB170">
            <v>100</v>
          </cell>
          <cell r="BC170" t="str">
            <v>Y</v>
          </cell>
          <cell r="BD170">
            <v>100</v>
          </cell>
        </row>
        <row r="171">
          <cell r="A171" t="str">
            <v>Control_CPU\System_Layer\Minor_Loops\HP_TCC_Minor_Loop</v>
          </cell>
          <cell r="B171" t="str">
            <v>N</v>
          </cell>
          <cell r="C171" t="str">
            <v>Y</v>
          </cell>
          <cell r="D171"/>
          <cell r="E171"/>
          <cell r="F171">
            <v>6233</v>
          </cell>
          <cell r="G171" t="str">
            <v>CN</v>
          </cell>
          <cell r="H171" t="str">
            <v>Y</v>
          </cell>
          <cell r="I171"/>
          <cell r="J171"/>
          <cell r="K171"/>
          <cell r="L171"/>
          <cell r="M171"/>
          <cell r="N171"/>
          <cell r="O171" t="str">
            <v>Y</v>
          </cell>
          <cell r="P171"/>
          <cell r="Q171"/>
          <cell r="R171"/>
          <cell r="S171" t="b">
            <v>1</v>
          </cell>
          <cell r="T171" t="b">
            <v>1</v>
          </cell>
          <cell r="U171" t="b">
            <v>1</v>
          </cell>
          <cell r="V171">
            <v>1</v>
          </cell>
          <cell r="W171"/>
          <cell r="X171"/>
          <cell r="Y171">
            <v>2382</v>
          </cell>
          <cell r="Z171"/>
          <cell r="AA171"/>
          <cell r="AB171"/>
          <cell r="AC171"/>
          <cell r="AD171"/>
          <cell r="AE171"/>
          <cell r="AF171" t="str">
            <v>DHB</v>
          </cell>
          <cell r="AG171" t="str">
            <v>AV</v>
          </cell>
          <cell r="AH171">
            <v>656</v>
          </cell>
          <cell r="AI171"/>
          <cell r="AJ171"/>
          <cell r="AK171"/>
          <cell r="AL171"/>
          <cell r="AM171"/>
          <cell r="AN171"/>
          <cell r="AO171"/>
          <cell r="AP171"/>
          <cell r="AQ171">
            <v>100</v>
          </cell>
          <cell r="AR171">
            <v>100</v>
          </cell>
          <cell r="AS171" t="str">
            <v>Y</v>
          </cell>
          <cell r="AT171" t="str">
            <v>Y</v>
          </cell>
          <cell r="AU171"/>
          <cell r="AV171"/>
          <cell r="AW171"/>
          <cell r="AX171"/>
          <cell r="AY171"/>
          <cell r="AZ171"/>
          <cell r="BA171"/>
          <cell r="BB171"/>
          <cell r="BC171"/>
          <cell r="BD171"/>
        </row>
        <row r="172">
          <cell r="A172" t="str">
            <v>Control_CPU\System_Layer\Minor_Loops\IP_TCC_Minor_Loop</v>
          </cell>
          <cell r="B172" t="str">
            <v>N</v>
          </cell>
          <cell r="C172" t="str">
            <v>Y</v>
          </cell>
          <cell r="D172"/>
          <cell r="E172"/>
          <cell r="F172">
            <v>6233</v>
          </cell>
          <cell r="G172" t="str">
            <v>CN</v>
          </cell>
          <cell r="H172" t="str">
            <v>Y</v>
          </cell>
          <cell r="I172"/>
          <cell r="J172"/>
          <cell r="K172"/>
          <cell r="L172"/>
          <cell r="M172"/>
          <cell r="N172"/>
          <cell r="O172" t="str">
            <v>Y</v>
          </cell>
          <cell r="P172"/>
          <cell r="Q172"/>
          <cell r="R172"/>
          <cell r="S172" t="b">
            <v>1</v>
          </cell>
          <cell r="T172" t="b">
            <v>1</v>
          </cell>
          <cell r="U172" t="b">
            <v>1</v>
          </cell>
          <cell r="V172">
            <v>1</v>
          </cell>
          <cell r="W172"/>
          <cell r="X172"/>
          <cell r="Y172">
            <v>2381</v>
          </cell>
          <cell r="Z172"/>
          <cell r="AA172"/>
          <cell r="AB172"/>
          <cell r="AC172"/>
          <cell r="AD172"/>
          <cell r="AE172"/>
          <cell r="AF172" t="str">
            <v>RS</v>
          </cell>
          <cell r="AG172" t="str">
            <v>JR</v>
          </cell>
          <cell r="AH172">
            <v>657</v>
          </cell>
          <cell r="AI172"/>
          <cell r="AJ172"/>
          <cell r="AK172"/>
          <cell r="AL172"/>
          <cell r="AM172"/>
          <cell r="AN172"/>
          <cell r="AO172"/>
          <cell r="AP172"/>
          <cell r="AQ172">
            <v>100</v>
          </cell>
          <cell r="AR172">
            <v>100</v>
          </cell>
          <cell r="AS172" t="str">
            <v>Y</v>
          </cell>
          <cell r="AT172" t="str">
            <v>Y</v>
          </cell>
          <cell r="AU172"/>
          <cell r="AV172"/>
          <cell r="AW172"/>
          <cell r="AX172"/>
          <cell r="AY172"/>
          <cell r="AZ172"/>
          <cell r="BA172"/>
          <cell r="BB172"/>
          <cell r="BC172"/>
          <cell r="BD172"/>
        </row>
        <row r="173">
          <cell r="A173" t="str">
            <v>Control_CPU\System_Layer\Minor_Loops\Minor_Loop_Internal_Boundaries</v>
          </cell>
          <cell r="B173" t="str">
            <v>N</v>
          </cell>
          <cell r="C173" t="str">
            <v>Y</v>
          </cell>
          <cell r="D173"/>
          <cell r="F173">
            <v>6247</v>
          </cell>
          <cell r="G173" t="str">
            <v>CN</v>
          </cell>
          <cell r="H173" t="str">
            <v>Y</v>
          </cell>
          <cell r="I173"/>
          <cell r="J173"/>
          <cell r="K173"/>
          <cell r="L173"/>
          <cell r="M173"/>
          <cell r="N173"/>
          <cell r="O173"/>
          <cell r="P173" t="str">
            <v>Y</v>
          </cell>
          <cell r="Q173"/>
          <cell r="R173"/>
          <cell r="S173" t="b">
            <v>1</v>
          </cell>
          <cell r="T173" t="b">
            <v>1</v>
          </cell>
          <cell r="U173" t="b">
            <v>1</v>
          </cell>
          <cell r="V173">
            <v>2</v>
          </cell>
          <cell r="W173"/>
          <cell r="X173"/>
          <cell r="Y173" t="str">
            <v>n/a</v>
          </cell>
          <cell r="Z173"/>
          <cell r="AA173"/>
          <cell r="AB173"/>
          <cell r="AC173"/>
          <cell r="AD173"/>
          <cell r="AE173"/>
          <cell r="AF173"/>
          <cell r="AG173"/>
          <cell r="AH173" t="str">
            <v>n/a</v>
          </cell>
          <cell r="AI173"/>
          <cell r="AJ173"/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 t="str">
            <v>RS</v>
          </cell>
          <cell r="AW173"/>
          <cell r="AX173" t="str">
            <v>AV</v>
          </cell>
          <cell r="AY173">
            <v>100</v>
          </cell>
          <cell r="AZ173"/>
          <cell r="BA173">
            <v>100</v>
          </cell>
          <cell r="BB173">
            <v>100</v>
          </cell>
          <cell r="BC173" t="str">
            <v>Y</v>
          </cell>
          <cell r="BD173">
            <v>100</v>
          </cell>
        </row>
        <row r="174">
          <cell r="A174" t="str">
            <v>Control_CPU\System_Layer\Minor_Loops\Minor_Loops_Utilities</v>
          </cell>
          <cell r="B174" t="str">
            <v>N</v>
          </cell>
          <cell r="C174" t="str">
            <v>Y</v>
          </cell>
          <cell r="D174"/>
          <cell r="E174"/>
          <cell r="F174"/>
          <cell r="G174" t="str">
            <v>CN</v>
          </cell>
          <cell r="H174" t="str">
            <v>N</v>
          </cell>
          <cell r="I174"/>
          <cell r="J174"/>
          <cell r="K174"/>
          <cell r="L174"/>
          <cell r="M174"/>
          <cell r="N174"/>
          <cell r="O174"/>
          <cell r="P174"/>
          <cell r="Q174"/>
          <cell r="R174"/>
          <cell r="S174" t="b">
            <v>1</v>
          </cell>
          <cell r="T174" t="b">
            <v>1</v>
          </cell>
          <cell r="U174" t="b">
            <v>1</v>
          </cell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>
            <v>658</v>
          </cell>
          <cell r="AI174"/>
          <cell r="AJ174"/>
          <cell r="AK174"/>
          <cell r="AL174"/>
          <cell r="AM174"/>
          <cell r="AN174"/>
          <cell r="AO174"/>
          <cell r="AP174"/>
          <cell r="AQ174"/>
          <cell r="AR174"/>
          <cell r="AS174"/>
          <cell r="AT174"/>
          <cell r="AU174"/>
          <cell r="AV174"/>
          <cell r="AW174"/>
          <cell r="AX174"/>
          <cell r="AY174"/>
          <cell r="AZ174"/>
          <cell r="BA174"/>
          <cell r="BB174"/>
          <cell r="BC174"/>
          <cell r="BD174"/>
        </row>
        <row r="175">
          <cell r="A175" t="str">
            <v>Control_CPU\System_Layer\Minor_Loops\Servo_Pressure_Compensation</v>
          </cell>
          <cell r="B175" t="str">
            <v>N</v>
          </cell>
          <cell r="C175" t="str">
            <v>Y</v>
          </cell>
          <cell r="D175"/>
          <cell r="E175"/>
          <cell r="F175"/>
          <cell r="G175" t="str">
            <v>CN</v>
          </cell>
          <cell r="H175" t="str">
            <v>N</v>
          </cell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 t="b">
            <v>1</v>
          </cell>
          <cell r="T175" t="b">
            <v>1</v>
          </cell>
          <cell r="U175" t="b">
            <v>1</v>
          </cell>
          <cell r="V175"/>
          <cell r="W175"/>
          <cell r="X175"/>
          <cell r="Y175">
            <v>2538</v>
          </cell>
          <cell r="Z175"/>
          <cell r="AA175"/>
          <cell r="AB175"/>
          <cell r="AC175"/>
          <cell r="AD175"/>
          <cell r="AE175"/>
          <cell r="AF175"/>
          <cell r="AG175"/>
          <cell r="AH175">
            <v>659</v>
          </cell>
          <cell r="AI175"/>
          <cell r="AJ175"/>
          <cell r="AK175"/>
          <cell r="AL175"/>
          <cell r="AM175"/>
          <cell r="AN175"/>
          <cell r="AO175"/>
          <cell r="AP175"/>
          <cell r="AQ175"/>
          <cell r="AR175"/>
          <cell r="AS175"/>
          <cell r="AT175"/>
          <cell r="AU175"/>
          <cell r="AV175"/>
          <cell r="AW175"/>
          <cell r="AX175"/>
          <cell r="AY175"/>
          <cell r="AZ175"/>
          <cell r="BA175"/>
          <cell r="BB175"/>
          <cell r="BC175"/>
          <cell r="BD175"/>
        </row>
        <row r="176">
          <cell r="A176" t="str">
            <v>Control_CPU\System_Layer\Minor_Loops\SOV_Control_Minor_Loop</v>
          </cell>
          <cell r="B176" t="str">
            <v>N</v>
          </cell>
          <cell r="C176" t="str">
            <v>Y</v>
          </cell>
          <cell r="D176"/>
          <cell r="E176"/>
          <cell r="F176"/>
          <cell r="G176" t="str">
            <v>CN</v>
          </cell>
          <cell r="H176" t="str">
            <v>N</v>
          </cell>
          <cell r="I176"/>
          <cell r="J176"/>
          <cell r="K176"/>
          <cell r="L176"/>
          <cell r="M176"/>
          <cell r="N176"/>
          <cell r="O176"/>
          <cell r="P176"/>
          <cell r="Q176"/>
          <cell r="R176"/>
          <cell r="S176" t="b">
            <v>1</v>
          </cell>
          <cell r="T176" t="b">
            <v>1</v>
          </cell>
          <cell r="U176" t="b">
            <v>1</v>
          </cell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>
            <v>660</v>
          </cell>
          <cell r="AI176"/>
          <cell r="AJ176"/>
          <cell r="AK176"/>
          <cell r="AL176"/>
          <cell r="AM176"/>
          <cell r="AN176"/>
          <cell r="AO176"/>
          <cell r="AP176"/>
          <cell r="AQ176"/>
          <cell r="AR176"/>
          <cell r="AS176"/>
          <cell r="AT176"/>
          <cell r="AU176"/>
          <cell r="AV176"/>
          <cell r="AW176"/>
          <cell r="AX176"/>
          <cell r="AY176"/>
          <cell r="AZ176"/>
          <cell r="BA176"/>
          <cell r="BB176"/>
          <cell r="BC176"/>
          <cell r="BD176"/>
        </row>
        <row r="177">
          <cell r="A177" t="str">
            <v>Control_CPU\System_Layer\Minor_Loops\VSV_Minor_Loop</v>
          </cell>
          <cell r="B177" t="str">
            <v>N</v>
          </cell>
          <cell r="C177" t="str">
            <v>Y</v>
          </cell>
          <cell r="D177"/>
          <cell r="E177"/>
          <cell r="F177"/>
          <cell r="G177" t="str">
            <v>CN</v>
          </cell>
          <cell r="H177" t="str">
            <v>N</v>
          </cell>
          <cell r="I177"/>
          <cell r="J177"/>
          <cell r="K177"/>
          <cell r="L177"/>
          <cell r="M177"/>
          <cell r="N177"/>
          <cell r="O177"/>
          <cell r="P177"/>
          <cell r="Q177"/>
          <cell r="R177"/>
          <cell r="S177" t="b">
            <v>1</v>
          </cell>
          <cell r="T177" t="b">
            <v>1</v>
          </cell>
          <cell r="U177" t="b">
            <v>1</v>
          </cell>
          <cell r="V177"/>
          <cell r="W177"/>
          <cell r="X177"/>
          <cell r="Y177">
            <v>2304</v>
          </cell>
          <cell r="Z177"/>
          <cell r="AA177"/>
          <cell r="AB177"/>
          <cell r="AC177"/>
          <cell r="AD177"/>
          <cell r="AE177"/>
          <cell r="AF177"/>
          <cell r="AG177"/>
          <cell r="AH177">
            <v>662</v>
          </cell>
          <cell r="AI177"/>
          <cell r="AJ177"/>
          <cell r="AK177"/>
          <cell r="AL177"/>
          <cell r="AM177"/>
          <cell r="AN177"/>
          <cell r="AO177"/>
          <cell r="AP177"/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</row>
        <row r="178">
          <cell r="A178" t="str">
            <v>Control_CPU\System_Layer\Minor_Loops\beacon_code\beacon_support_control_d</v>
          </cell>
          <cell r="B178" t="str">
            <v>N</v>
          </cell>
          <cell r="C178" t="str">
            <v>Y</v>
          </cell>
          <cell r="D178"/>
          <cell r="E178"/>
          <cell r="F178"/>
          <cell r="G178" t="str">
            <v>CN</v>
          </cell>
          <cell r="H178" t="str">
            <v>N</v>
          </cell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 t="b">
            <v>1</v>
          </cell>
          <cell r="T178" t="b">
            <v>1</v>
          </cell>
          <cell r="U178" t="b">
            <v>1</v>
          </cell>
          <cell r="V178"/>
          <cell r="W178"/>
          <cell r="X178"/>
          <cell r="Y178">
            <v>229</v>
          </cell>
          <cell r="Z178"/>
          <cell r="AA178"/>
          <cell r="AB178"/>
          <cell r="AC178"/>
          <cell r="AD178"/>
          <cell r="AE178"/>
          <cell r="AF178"/>
          <cell r="AG178"/>
          <cell r="AH178">
            <v>230</v>
          </cell>
          <cell r="AI178"/>
          <cell r="AJ178"/>
          <cell r="AK178"/>
          <cell r="AL178"/>
          <cell r="AM178"/>
          <cell r="AN178"/>
          <cell r="AO178"/>
          <cell r="AP178"/>
          <cell r="AQ178"/>
          <cell r="AR178"/>
          <cell r="AS178"/>
          <cell r="AT178"/>
          <cell r="AU178"/>
          <cell r="AV178"/>
          <cell r="AW178"/>
          <cell r="AX178"/>
          <cell r="AY178"/>
          <cell r="AZ178"/>
          <cell r="BA178"/>
          <cell r="BB178"/>
          <cell r="BC178"/>
          <cell r="BD178"/>
        </row>
        <row r="179">
          <cell r="A179" t="str">
            <v>Control_CPU\System_Layer\Minor_Loops\beacon_code\fmv_minor_loop_control_d</v>
          </cell>
          <cell r="B179" t="str">
            <v>N</v>
          </cell>
          <cell r="C179" t="str">
            <v>Y</v>
          </cell>
          <cell r="D179"/>
          <cell r="E179"/>
          <cell r="F179"/>
          <cell r="G179" t="str">
            <v>CN</v>
          </cell>
          <cell r="H179" t="str">
            <v>N</v>
          </cell>
          <cell r="I179"/>
          <cell r="J179"/>
          <cell r="K179"/>
          <cell r="L179"/>
          <cell r="M179"/>
          <cell r="N179"/>
          <cell r="O179"/>
          <cell r="P179"/>
          <cell r="Q179"/>
          <cell r="R179"/>
          <cell r="S179" t="b">
            <v>1</v>
          </cell>
          <cell r="T179" t="b">
            <v>1</v>
          </cell>
          <cell r="U179" t="b">
            <v>1</v>
          </cell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/>
          <cell r="AO179"/>
          <cell r="AP179"/>
          <cell r="AQ179"/>
          <cell r="AR179"/>
          <cell r="AS179"/>
          <cell r="AT179"/>
          <cell r="AU179"/>
          <cell r="AV179"/>
          <cell r="AW179"/>
          <cell r="AX179"/>
          <cell r="AY179"/>
          <cell r="AZ179"/>
          <cell r="BA179"/>
          <cell r="BB179"/>
          <cell r="BC179"/>
          <cell r="BD179"/>
        </row>
        <row r="180">
          <cell r="A180" t="str">
            <v>Control_CPU\System_Layer\Minor_Loops\beacon_code\hp_tcc_minor_loop_control_d</v>
          </cell>
          <cell r="B180" t="str">
            <v>N</v>
          </cell>
          <cell r="C180" t="str">
            <v>Y</v>
          </cell>
          <cell r="D180"/>
          <cell r="E180"/>
          <cell r="F180">
            <v>6233</v>
          </cell>
          <cell r="G180" t="str">
            <v>CN</v>
          </cell>
          <cell r="H180" t="str">
            <v>Y</v>
          </cell>
          <cell r="I180"/>
          <cell r="J180"/>
          <cell r="K180"/>
          <cell r="L180"/>
          <cell r="M180"/>
          <cell r="N180"/>
          <cell r="O180"/>
          <cell r="P180" t="str">
            <v>Y</v>
          </cell>
          <cell r="Q180"/>
          <cell r="R180"/>
          <cell r="S180" t="b">
            <v>1</v>
          </cell>
          <cell r="T180" t="b">
            <v>1</v>
          </cell>
          <cell r="U180" t="b">
            <v>1</v>
          </cell>
          <cell r="V180">
            <v>1</v>
          </cell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 t="str">
            <v>n/a</v>
          </cell>
          <cell r="AI180"/>
          <cell r="AJ180"/>
          <cell r="AK180"/>
          <cell r="AL180"/>
          <cell r="AM180"/>
          <cell r="AN180"/>
          <cell r="AO180"/>
          <cell r="AP180"/>
          <cell r="AQ180"/>
          <cell r="AR180"/>
          <cell r="AS180"/>
          <cell r="AT180"/>
          <cell r="AU180"/>
          <cell r="AV180" t="str">
            <v>DHB</v>
          </cell>
          <cell r="AW180"/>
          <cell r="AX180" t="str">
            <v>AV</v>
          </cell>
          <cell r="AY180">
            <v>100</v>
          </cell>
          <cell r="AZ180"/>
          <cell r="BA180">
            <v>100</v>
          </cell>
          <cell r="BB180">
            <v>100</v>
          </cell>
          <cell r="BC180" t="str">
            <v>Y</v>
          </cell>
          <cell r="BD180">
            <v>100</v>
          </cell>
        </row>
        <row r="181">
          <cell r="A181" t="str">
            <v>Control_CPU\System_Layer\Minor_Loops\beacon_code\ip_tcc_minor_loop_control_d</v>
          </cell>
          <cell r="B181" t="str">
            <v>N</v>
          </cell>
          <cell r="C181" t="str">
            <v>Y</v>
          </cell>
          <cell r="D181"/>
          <cell r="F181" t="str">
            <v>6233</v>
          </cell>
          <cell r="G181" t="str">
            <v>CN</v>
          </cell>
          <cell r="H181" t="str">
            <v>Y</v>
          </cell>
          <cell r="I181"/>
          <cell r="J181"/>
          <cell r="K181"/>
          <cell r="L181"/>
          <cell r="M181"/>
          <cell r="N181"/>
          <cell r="O181"/>
          <cell r="P181" t="str">
            <v>Y</v>
          </cell>
          <cell r="Q181"/>
          <cell r="R181"/>
          <cell r="S181" t="b">
            <v>1</v>
          </cell>
          <cell r="T181" t="b">
            <v>1</v>
          </cell>
          <cell r="U181" t="b">
            <v>1</v>
          </cell>
          <cell r="V181">
            <v>1</v>
          </cell>
          <cell r="W181"/>
          <cell r="X181"/>
          <cell r="Y181" t="str">
            <v>n/a</v>
          </cell>
          <cell r="Z181"/>
          <cell r="AA181"/>
          <cell r="AB181"/>
          <cell r="AC181"/>
          <cell r="AD181"/>
          <cell r="AE181"/>
          <cell r="AF181"/>
          <cell r="AG181"/>
          <cell r="AH181" t="str">
            <v>n/a</v>
          </cell>
          <cell r="AI181"/>
          <cell r="AJ181"/>
          <cell r="AK181"/>
          <cell r="AL181"/>
          <cell r="AM181"/>
          <cell r="AN181"/>
          <cell r="AO181"/>
          <cell r="AP181"/>
          <cell r="AQ181"/>
          <cell r="AR181"/>
          <cell r="AS181"/>
          <cell r="AT181"/>
          <cell r="AU181"/>
          <cell r="AV181" t="str">
            <v>RS</v>
          </cell>
          <cell r="AW181"/>
          <cell r="AX181" t="str">
            <v>JR</v>
          </cell>
          <cell r="AY181">
            <v>100</v>
          </cell>
          <cell r="AZ181"/>
          <cell r="BA181">
            <v>100</v>
          </cell>
          <cell r="BB181">
            <v>100</v>
          </cell>
          <cell r="BC181" t="str">
            <v>Y</v>
          </cell>
          <cell r="BD181">
            <v>100</v>
          </cell>
        </row>
        <row r="182">
          <cell r="A182" t="str">
            <v>Control_CPU\System_Layer\Minor_Loops\beacon_code\sov_minor_loop_control_d</v>
          </cell>
          <cell r="B182" t="str">
            <v>N</v>
          </cell>
          <cell r="C182" t="str">
            <v>Y</v>
          </cell>
          <cell r="D182"/>
          <cell r="E182"/>
          <cell r="F182"/>
          <cell r="G182" t="str">
            <v>CN</v>
          </cell>
          <cell r="H182" t="str">
            <v>N</v>
          </cell>
          <cell r="I182"/>
          <cell r="J182"/>
          <cell r="K182"/>
          <cell r="L182"/>
          <cell r="M182"/>
          <cell r="N182"/>
          <cell r="O182"/>
          <cell r="P182"/>
          <cell r="Q182"/>
          <cell r="R182"/>
          <cell r="S182" t="b">
            <v>1</v>
          </cell>
          <cell r="T182" t="b">
            <v>1</v>
          </cell>
          <cell r="U182" t="b">
            <v>1</v>
          </cell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</row>
        <row r="183">
          <cell r="A183" t="str">
            <v>Control_CPU\System_Layer\Minor_Loops\beacon_code\spc_minor_loop_control_d</v>
          </cell>
          <cell r="B183" t="str">
            <v>N</v>
          </cell>
          <cell r="C183" t="str">
            <v>Y</v>
          </cell>
          <cell r="D183"/>
          <cell r="E183"/>
          <cell r="F183"/>
          <cell r="G183" t="str">
            <v>CN</v>
          </cell>
          <cell r="H183" t="str">
            <v>N</v>
          </cell>
          <cell r="I183"/>
          <cell r="J183"/>
          <cell r="K183"/>
          <cell r="L183"/>
          <cell r="M183"/>
          <cell r="N183"/>
          <cell r="O183"/>
          <cell r="P183"/>
          <cell r="Q183"/>
          <cell r="R183"/>
          <cell r="S183" t="b">
            <v>1</v>
          </cell>
          <cell r="T183" t="b">
            <v>1</v>
          </cell>
          <cell r="U183" t="b">
            <v>1</v>
          </cell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</row>
        <row r="184">
          <cell r="A184" t="str">
            <v>Control_CPU\System_Layer\Minor_Loops\beacon_code\vsv_minor_loop_control_d</v>
          </cell>
          <cell r="B184" t="str">
            <v>N</v>
          </cell>
          <cell r="C184" t="str">
            <v>Y</v>
          </cell>
          <cell r="D184"/>
          <cell r="E184"/>
          <cell r="F184"/>
          <cell r="G184" t="str">
            <v>CN</v>
          </cell>
          <cell r="H184" t="str">
            <v>N</v>
          </cell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 t="b">
            <v>1</v>
          </cell>
          <cell r="T184" t="b">
            <v>1</v>
          </cell>
          <cell r="U184" t="b">
            <v>1</v>
          </cell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</row>
        <row r="185">
          <cell r="A185" t="str">
            <v>Control_CPU\System_Layer\Report_Raw_Faults</v>
          </cell>
          <cell r="B185" t="str">
            <v>N</v>
          </cell>
          <cell r="C185" t="str">
            <v>Y</v>
          </cell>
          <cell r="D185"/>
          <cell r="E185"/>
          <cell r="F185"/>
          <cell r="G185" t="str">
            <v>CN</v>
          </cell>
          <cell r="H185" t="str">
            <v>N</v>
          </cell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 t="b">
            <v>1</v>
          </cell>
          <cell r="T185" t="b">
            <v>1</v>
          </cell>
          <cell r="U185" t="b">
            <v>1</v>
          </cell>
          <cell r="V185"/>
          <cell r="W185"/>
          <cell r="X185"/>
          <cell r="Y185">
            <v>2376</v>
          </cell>
          <cell r="Z185"/>
          <cell r="AA185"/>
          <cell r="AB185"/>
          <cell r="AC185"/>
          <cell r="AD185"/>
          <cell r="AE185"/>
          <cell r="AF185"/>
          <cell r="AG185"/>
          <cell r="AH185">
            <v>842</v>
          </cell>
          <cell r="AI185"/>
          <cell r="AJ185"/>
          <cell r="AK185"/>
          <cell r="AL185"/>
          <cell r="AM185"/>
          <cell r="AN185"/>
          <cell r="AO185"/>
          <cell r="AP185"/>
          <cell r="AQ185"/>
          <cell r="AR185"/>
          <cell r="AS185"/>
          <cell r="AT185"/>
          <cell r="AU185"/>
          <cell r="AV185"/>
          <cell r="AW185"/>
          <cell r="AX185"/>
          <cell r="AY185"/>
          <cell r="AZ185"/>
          <cell r="BA185"/>
          <cell r="BB185"/>
          <cell r="BC185"/>
          <cell r="BD185"/>
        </row>
        <row r="186">
          <cell r="A186" t="str">
            <v>Control_CPU\System_Layer\Response_Monitoring\ESS_Anti_Ice_Valve_Response_Monitoring</v>
          </cell>
          <cell r="B186" t="str">
            <v>N</v>
          </cell>
          <cell r="C186" t="str">
            <v>N</v>
          </cell>
          <cell r="D186"/>
          <cell r="E186"/>
          <cell r="F186"/>
          <cell r="G186" t="str">
            <v>CN</v>
          </cell>
          <cell r="H186" t="str">
            <v>N</v>
          </cell>
          <cell r="I186"/>
          <cell r="J186"/>
          <cell r="K186"/>
          <cell r="L186"/>
          <cell r="M186"/>
          <cell r="N186"/>
          <cell r="O186"/>
          <cell r="P186"/>
          <cell r="Q186"/>
          <cell r="R186"/>
          <cell r="S186" t="b">
            <v>1</v>
          </cell>
          <cell r="T186" t="b">
            <v>1</v>
          </cell>
          <cell r="U186" t="b">
            <v>1</v>
          </cell>
          <cell r="V186"/>
          <cell r="W186"/>
          <cell r="X186"/>
          <cell r="Y186">
            <v>2296</v>
          </cell>
          <cell r="Z186"/>
          <cell r="AA186"/>
          <cell r="AB186"/>
          <cell r="AC186"/>
          <cell r="AD186"/>
          <cell r="AE186"/>
          <cell r="AF186"/>
          <cell r="AG186"/>
          <cell r="AH186">
            <v>663</v>
          </cell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/>
          <cell r="BA186"/>
          <cell r="BB186"/>
          <cell r="BC186"/>
          <cell r="BD186"/>
        </row>
        <row r="187">
          <cell r="A187" t="str">
            <v>Control_CPU\System_Layer\Response_Monitoring\Handling_Bleed_Valve_Response_Monitoring</v>
          </cell>
          <cell r="B187" t="str">
            <v>N</v>
          </cell>
          <cell r="C187" t="str">
            <v>Y</v>
          </cell>
          <cell r="D187"/>
          <cell r="E187"/>
          <cell r="F187" t="str">
            <v>6275, NFPR222</v>
          </cell>
          <cell r="G187" t="str">
            <v>CN</v>
          </cell>
          <cell r="H187" t="str">
            <v>Y</v>
          </cell>
          <cell r="I187"/>
          <cell r="J187"/>
          <cell r="K187"/>
          <cell r="L187"/>
          <cell r="M187" t="str">
            <v>Y</v>
          </cell>
          <cell r="N187" t="str">
            <v>Y</v>
          </cell>
          <cell r="O187" t="str">
            <v>Y</v>
          </cell>
          <cell r="P187" t="str">
            <v>Y</v>
          </cell>
          <cell r="Q187"/>
          <cell r="R187"/>
          <cell r="S187" t="b">
            <v>1</v>
          </cell>
          <cell r="T187" t="b">
            <v>1</v>
          </cell>
          <cell r="U187" t="b">
            <v>1</v>
          </cell>
          <cell r="V187">
            <v>2</v>
          </cell>
          <cell r="W187" t="str">
            <v>NT</v>
          </cell>
          <cell r="X187" t="str">
            <v>LC</v>
          </cell>
          <cell r="Y187"/>
          <cell r="Z187">
            <v>100</v>
          </cell>
          <cell r="AA187">
            <v>100</v>
          </cell>
          <cell r="AB187">
            <v>100</v>
          </cell>
          <cell r="AC187">
            <v>100</v>
          </cell>
          <cell r="AD187" t="str">
            <v>Y</v>
          </cell>
          <cell r="AE187"/>
          <cell r="AF187" t="str">
            <v>NT</v>
          </cell>
          <cell r="AG187" t="str">
            <v>LC</v>
          </cell>
          <cell r="AH187">
            <v>664</v>
          </cell>
          <cell r="AI187">
            <v>100</v>
          </cell>
          <cell r="AJ187">
            <v>100</v>
          </cell>
          <cell r="AK187">
            <v>100</v>
          </cell>
          <cell r="AL187"/>
          <cell r="AM187" t="str">
            <v>Y</v>
          </cell>
          <cell r="AN187"/>
          <cell r="AO187" t="str">
            <v>Y</v>
          </cell>
          <cell r="AP187">
            <v>100</v>
          </cell>
          <cell r="AQ187">
            <v>100</v>
          </cell>
          <cell r="AR187">
            <v>100</v>
          </cell>
          <cell r="AS187" t="str">
            <v>Y</v>
          </cell>
          <cell r="AT187" t="str">
            <v>Y</v>
          </cell>
          <cell r="AU187"/>
          <cell r="AV187" t="str">
            <v>NT</v>
          </cell>
          <cell r="AW187"/>
          <cell r="AX187" t="str">
            <v>LC</v>
          </cell>
          <cell r="AY187">
            <v>100</v>
          </cell>
          <cell r="AZ187"/>
          <cell r="BA187">
            <v>100</v>
          </cell>
          <cell r="BB187">
            <v>100</v>
          </cell>
          <cell r="BC187" t="str">
            <v>Y</v>
          </cell>
          <cell r="BD187">
            <v>100</v>
          </cell>
        </row>
        <row r="188">
          <cell r="A188" t="str">
            <v>Control_CPU\System_Layer\Response_Monitoring\MAS_Valve_Response_Monitoring</v>
          </cell>
          <cell r="B188" t="str">
            <v>N</v>
          </cell>
          <cell r="C188" t="str">
            <v>N</v>
          </cell>
          <cell r="D188"/>
          <cell r="E188"/>
          <cell r="F188"/>
          <cell r="G188" t="str">
            <v>CN</v>
          </cell>
          <cell r="H188" t="str">
            <v>N</v>
          </cell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/>
          <cell r="Y188">
            <v>446</v>
          </cell>
          <cell r="Z188"/>
          <cell r="AA188"/>
          <cell r="AB188"/>
          <cell r="AC188"/>
          <cell r="AD188"/>
          <cell r="AE188"/>
          <cell r="AF188"/>
          <cell r="AG188"/>
          <cell r="AH188">
            <v>447</v>
          </cell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/>
          <cell r="BA188"/>
          <cell r="BB188"/>
          <cell r="BC188"/>
          <cell r="BD188"/>
        </row>
        <row r="189">
          <cell r="A189" t="str">
            <v>Control_CPU\System_Layer\Validation\Validate_Data_Entry_Plug</v>
          </cell>
          <cell r="B189" t="str">
            <v>N</v>
          </cell>
          <cell r="C189" t="str">
            <v>Y</v>
          </cell>
          <cell r="D189"/>
          <cell r="E189"/>
          <cell r="F189"/>
          <cell r="G189" t="str">
            <v>CN</v>
          </cell>
          <cell r="H189" t="str">
            <v>N</v>
          </cell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 t="b">
            <v>1</v>
          </cell>
          <cell r="T189" t="b">
            <v>1</v>
          </cell>
          <cell r="U189" t="b">
            <v>1</v>
          </cell>
          <cell r="V189"/>
          <cell r="W189"/>
          <cell r="X189"/>
          <cell r="Y189">
            <v>2359</v>
          </cell>
          <cell r="Z189"/>
          <cell r="AA189"/>
          <cell r="AB189"/>
          <cell r="AC189"/>
          <cell r="AD189"/>
          <cell r="AE189"/>
          <cell r="AF189"/>
          <cell r="AG189"/>
          <cell r="AH189">
            <v>1585</v>
          </cell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</row>
        <row r="190">
          <cell r="A190" t="str">
            <v>Control_CPU\System_Layer\Validation\Validate_Engine_P0</v>
          </cell>
          <cell r="B190" t="str">
            <v>N</v>
          </cell>
          <cell r="C190" t="str">
            <v>Y</v>
          </cell>
          <cell r="D190"/>
          <cell r="E190"/>
          <cell r="F190"/>
          <cell r="G190" t="str">
            <v>CN</v>
          </cell>
          <cell r="H190" t="str">
            <v>N</v>
          </cell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 t="b">
            <v>1</v>
          </cell>
          <cell r="T190" t="b">
            <v>1</v>
          </cell>
          <cell r="U190" t="b">
            <v>1</v>
          </cell>
          <cell r="V190"/>
          <cell r="W190"/>
          <cell r="X190"/>
          <cell r="Y190">
            <v>2582</v>
          </cell>
          <cell r="Z190"/>
          <cell r="AA190"/>
          <cell r="AB190"/>
          <cell r="AC190"/>
          <cell r="AD190"/>
          <cell r="AE190"/>
          <cell r="AF190"/>
          <cell r="AG190"/>
          <cell r="AH190">
            <v>598</v>
          </cell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</row>
        <row r="191">
          <cell r="A191" t="str">
            <v>Control_CPU\System_Layer\Validation\Validate_Engine_P20</v>
          </cell>
          <cell r="B191" t="str">
            <v>N</v>
          </cell>
          <cell r="C191" t="str">
            <v>Y</v>
          </cell>
          <cell r="D191"/>
          <cell r="E191"/>
          <cell r="F191"/>
          <cell r="G191" t="str">
            <v>CN</v>
          </cell>
          <cell r="H191" t="str">
            <v>N</v>
          </cell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 t="b">
            <v>1</v>
          </cell>
          <cell r="T191" t="b">
            <v>1</v>
          </cell>
          <cell r="U191" t="b">
            <v>1</v>
          </cell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>
            <v>1326</v>
          </cell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</row>
        <row r="192">
          <cell r="A192" t="str">
            <v>Control_CPU\System_Layer\Validation\Validate_Engine_T20</v>
          </cell>
          <cell r="B192" t="str">
            <v>N</v>
          </cell>
          <cell r="C192" t="str">
            <v>Y</v>
          </cell>
          <cell r="D192"/>
          <cell r="E192"/>
          <cell r="F192"/>
          <cell r="G192" t="str">
            <v>CN</v>
          </cell>
          <cell r="H192" t="str">
            <v>N</v>
          </cell>
          <cell r="I192"/>
          <cell r="J192"/>
          <cell r="K192"/>
          <cell r="L192"/>
          <cell r="M192"/>
          <cell r="N192"/>
          <cell r="O192"/>
          <cell r="P192"/>
          <cell r="Q192"/>
          <cell r="R192"/>
          <cell r="S192" t="b">
            <v>1</v>
          </cell>
          <cell r="T192" t="b">
            <v>1</v>
          </cell>
          <cell r="U192" t="b">
            <v>1</v>
          </cell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>
            <v>677</v>
          </cell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</row>
        <row r="193">
          <cell r="A193" t="str">
            <v>Control_CPU\System_Layer\Validation\Validate_FOHE_Fuel_Differential_Pressure</v>
          </cell>
          <cell r="B193" t="str">
            <v>N</v>
          </cell>
          <cell r="C193" t="str">
            <v>Y</v>
          </cell>
          <cell r="D193"/>
          <cell r="E193"/>
          <cell r="F193"/>
          <cell r="G193" t="str">
            <v>CN</v>
          </cell>
          <cell r="H193" t="str">
            <v>N</v>
          </cell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 t="b">
            <v>1</v>
          </cell>
          <cell r="T193" t="b">
            <v>1</v>
          </cell>
          <cell r="U193" t="b">
            <v>1</v>
          </cell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>
            <v>2015</v>
          </cell>
          <cell r="AI193"/>
          <cell r="AJ193"/>
          <cell r="AK193"/>
          <cell r="AL193"/>
          <cell r="AM193"/>
          <cell r="AN193"/>
          <cell r="AO193"/>
          <cell r="AP193"/>
          <cell r="AQ193"/>
          <cell r="AR193"/>
          <cell r="AS193"/>
          <cell r="AT193"/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</row>
        <row r="194">
          <cell r="A194" t="str">
            <v>Control_CPU\System_Layer\Validation\Validate_Front_Bearing_Housing_Oil_Bypass_Valve_Position</v>
          </cell>
          <cell r="B194" t="str">
            <v>N</v>
          </cell>
          <cell r="C194" t="str">
            <v>Y</v>
          </cell>
          <cell r="D194"/>
          <cell r="E194"/>
          <cell r="F194"/>
          <cell r="G194" t="str">
            <v>CN</v>
          </cell>
          <cell r="H194" t="str">
            <v>N</v>
          </cell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 t="b">
            <v>1</v>
          </cell>
          <cell r="T194" t="b">
            <v>1</v>
          </cell>
          <cell r="U194" t="b">
            <v>1</v>
          </cell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>
            <v>667</v>
          </cell>
          <cell r="AI194"/>
          <cell r="AJ194"/>
          <cell r="AK194"/>
          <cell r="AL194"/>
          <cell r="AM194"/>
          <cell r="AN194"/>
          <cell r="AO194"/>
          <cell r="AP194"/>
          <cell r="AQ194"/>
          <cell r="AR194"/>
          <cell r="AS194"/>
          <cell r="AT194"/>
          <cell r="AU194"/>
          <cell r="AV194"/>
          <cell r="AW194"/>
          <cell r="AX194"/>
          <cell r="AY194"/>
          <cell r="AZ194"/>
          <cell r="BA194"/>
          <cell r="BB194"/>
          <cell r="BC194"/>
          <cell r="BD194"/>
        </row>
        <row r="195">
          <cell r="A195" t="str">
            <v>Control_CPU\System_Layer\Validation\Validate_Fuel_Flow</v>
          </cell>
          <cell r="B195" t="str">
            <v>N</v>
          </cell>
          <cell r="C195" t="str">
            <v>Y</v>
          </cell>
          <cell r="D195"/>
          <cell r="F195"/>
          <cell r="G195" t="str">
            <v>CN</v>
          </cell>
          <cell r="H195" t="str">
            <v>N</v>
          </cell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 t="b">
            <v>1</v>
          </cell>
          <cell r="T195" t="b">
            <v>1</v>
          </cell>
          <cell r="U195" t="b">
            <v>1</v>
          </cell>
          <cell r="V195"/>
          <cell r="W195"/>
          <cell r="X195"/>
          <cell r="Y195">
            <v>2375</v>
          </cell>
          <cell r="Z195"/>
          <cell r="AA195"/>
          <cell r="AB195"/>
          <cell r="AC195"/>
          <cell r="AD195"/>
          <cell r="AE195"/>
          <cell r="AF195"/>
          <cell r="AG195"/>
          <cell r="AH195">
            <v>602</v>
          </cell>
          <cell r="AI195"/>
          <cell r="AJ195"/>
          <cell r="AK195"/>
          <cell r="AL195"/>
          <cell r="AM195"/>
          <cell r="AN195"/>
          <cell r="AO195"/>
          <cell r="AP195"/>
          <cell r="AQ195"/>
          <cell r="AR195"/>
          <cell r="AS195"/>
          <cell r="AT195"/>
          <cell r="AU195"/>
          <cell r="AV195"/>
          <cell r="AW195"/>
          <cell r="AX195"/>
          <cell r="AY195"/>
          <cell r="AZ195"/>
          <cell r="BA195"/>
          <cell r="BB195"/>
          <cell r="BC195"/>
          <cell r="BD195"/>
        </row>
        <row r="196">
          <cell r="A196" t="str">
            <v>Control_CPU\System_Layer\Validation\Validate_Fuel_Flow_Drum_Rotation_Speed</v>
          </cell>
          <cell r="B196" t="str">
            <v>N</v>
          </cell>
          <cell r="C196" t="str">
            <v>Y</v>
          </cell>
          <cell r="D196"/>
          <cell r="E196"/>
          <cell r="F196"/>
          <cell r="G196" t="str">
            <v>CN</v>
          </cell>
          <cell r="H196" t="str">
            <v>N</v>
          </cell>
          <cell r="I196"/>
          <cell r="J196"/>
          <cell r="K196"/>
          <cell r="L196"/>
          <cell r="M196"/>
          <cell r="N196"/>
          <cell r="O196"/>
          <cell r="P196"/>
          <cell r="Q196"/>
          <cell r="R196"/>
          <cell r="S196" t="b">
            <v>1</v>
          </cell>
          <cell r="T196" t="b">
            <v>1</v>
          </cell>
          <cell r="U196" t="b">
            <v>1</v>
          </cell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>
            <v>603</v>
          </cell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</row>
        <row r="197">
          <cell r="A197" t="str">
            <v>Control_CPU\System_Layer\Validation\Validate_Generator_Oil_Bypass_Valve_Position</v>
          </cell>
          <cell r="B197" t="str">
            <v>N</v>
          </cell>
          <cell r="C197" t="str">
            <v>Y</v>
          </cell>
          <cell r="D197"/>
          <cell r="E197"/>
          <cell r="F197"/>
          <cell r="G197" t="str">
            <v>CN</v>
          </cell>
          <cell r="H197" t="str">
            <v>N</v>
          </cell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 t="b">
            <v>1</v>
          </cell>
          <cell r="T197" t="b">
            <v>1</v>
          </cell>
          <cell r="U197" t="b">
            <v>1</v>
          </cell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>
            <v>668</v>
          </cell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</row>
        <row r="198">
          <cell r="A198" t="str">
            <v>Control_CPU\System_Layer\Validation\Validate_Generator_Oil_Temperature</v>
          </cell>
          <cell r="B198" t="str">
            <v>N</v>
          </cell>
          <cell r="C198" t="str">
            <v>Y</v>
          </cell>
          <cell r="D198"/>
          <cell r="E198"/>
          <cell r="F198"/>
          <cell r="G198" t="str">
            <v>CN</v>
          </cell>
          <cell r="H198" t="str">
            <v>N</v>
          </cell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 t="b">
            <v>1</v>
          </cell>
          <cell r="T198" t="b">
            <v>1</v>
          </cell>
          <cell r="U198" t="b">
            <v>1</v>
          </cell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>
            <v>604</v>
          </cell>
          <cell r="AI198"/>
          <cell r="AJ198"/>
          <cell r="AK198"/>
          <cell r="AL198"/>
          <cell r="AM198"/>
          <cell r="AN198"/>
          <cell r="AO198"/>
          <cell r="AP198"/>
          <cell r="AQ198"/>
          <cell r="AR198"/>
          <cell r="AS198"/>
          <cell r="AT198"/>
          <cell r="AU198"/>
          <cell r="AV198"/>
          <cell r="AW198"/>
          <cell r="AX198"/>
          <cell r="AY198"/>
          <cell r="AZ198"/>
          <cell r="BA198"/>
          <cell r="BB198"/>
          <cell r="BC198"/>
          <cell r="BD198"/>
        </row>
        <row r="199">
          <cell r="A199" t="str">
            <v>Control_CPU\System_Layer\Validation\Validate_HMU_Config_Data</v>
          </cell>
          <cell r="B199" t="str">
            <v>N</v>
          </cell>
          <cell r="C199" t="str">
            <v>Y</v>
          </cell>
          <cell r="D199"/>
          <cell r="E199"/>
          <cell r="F199"/>
          <cell r="G199" t="str">
            <v>CN</v>
          </cell>
          <cell r="H199" t="str">
            <v>N</v>
          </cell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 t="b">
            <v>1</v>
          </cell>
          <cell r="T199" t="b">
            <v>1</v>
          </cell>
          <cell r="U199" t="b">
            <v>1</v>
          </cell>
          <cell r="V199"/>
          <cell r="W199"/>
          <cell r="X199"/>
          <cell r="Y199">
            <v>286</v>
          </cell>
          <cell r="Z199"/>
          <cell r="AA199"/>
          <cell r="AB199"/>
          <cell r="AC199"/>
          <cell r="AD199"/>
          <cell r="AE199"/>
          <cell r="AF199"/>
          <cell r="AG199"/>
          <cell r="AH199">
            <v>670</v>
          </cell>
          <cell r="AI199"/>
          <cell r="AJ199"/>
          <cell r="AK199"/>
          <cell r="AL199"/>
          <cell r="AM199"/>
          <cell r="AN199"/>
          <cell r="AO199"/>
          <cell r="AP199"/>
          <cell r="AQ199"/>
          <cell r="AR199"/>
          <cell r="AS199"/>
          <cell r="AT199"/>
          <cell r="AU199"/>
          <cell r="AV199"/>
          <cell r="AW199"/>
          <cell r="AX199"/>
          <cell r="AY199"/>
          <cell r="AZ199"/>
          <cell r="BA199"/>
          <cell r="BB199"/>
          <cell r="BC199"/>
          <cell r="BD199"/>
        </row>
        <row r="200">
          <cell r="A200" t="str">
            <v>Control_CPU\System_Layer\Validation\Validate_Hardwired_Throttle_Lever_Angle</v>
          </cell>
          <cell r="B200" t="str">
            <v>N</v>
          </cell>
          <cell r="C200" t="str">
            <v>N</v>
          </cell>
          <cell r="D200"/>
          <cell r="E200"/>
          <cell r="F200"/>
          <cell r="G200" t="str">
            <v>CN</v>
          </cell>
          <cell r="H200" t="str">
            <v>N</v>
          </cell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 t="b">
            <v>1</v>
          </cell>
          <cell r="T200" t="b">
            <v>1</v>
          </cell>
          <cell r="U200" t="b">
            <v>1</v>
          </cell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>
            <v>670</v>
          </cell>
          <cell r="AI200"/>
          <cell r="AJ200"/>
          <cell r="AK200"/>
          <cell r="AL200"/>
          <cell r="AM200"/>
          <cell r="AN200"/>
          <cell r="AO200"/>
          <cell r="AP200"/>
          <cell r="AQ200"/>
          <cell r="AR200"/>
          <cell r="AS200"/>
          <cell r="AT200"/>
          <cell r="AU200"/>
          <cell r="AV200"/>
          <cell r="AW200"/>
          <cell r="AX200"/>
          <cell r="AY200"/>
          <cell r="AZ200"/>
          <cell r="BA200"/>
          <cell r="BB200"/>
          <cell r="BC200"/>
          <cell r="BD200"/>
        </row>
        <row r="201">
          <cell r="A201" t="str">
            <v>Control_CPU\System_Layer\Validation\Validate_HP_Oil_Filter_Differential_Pressure</v>
          </cell>
          <cell r="B201" t="str">
            <v>N</v>
          </cell>
          <cell r="C201" t="str">
            <v>Y</v>
          </cell>
          <cell r="D201"/>
          <cell r="E201"/>
          <cell r="F201"/>
          <cell r="G201" t="str">
            <v>CN</v>
          </cell>
          <cell r="H201" t="str">
            <v>N</v>
          </cell>
          <cell r="I201"/>
          <cell r="J201"/>
          <cell r="K201"/>
          <cell r="L201"/>
          <cell r="M201"/>
          <cell r="N201"/>
          <cell r="O201"/>
          <cell r="P201"/>
          <cell r="Q201"/>
          <cell r="R201"/>
          <cell r="S201" t="b">
            <v>1</v>
          </cell>
          <cell r="T201" t="b">
            <v>1</v>
          </cell>
          <cell r="U201" t="b">
            <v>1</v>
          </cell>
          <cell r="V201"/>
          <cell r="W201"/>
          <cell r="X201"/>
          <cell r="Y201">
            <v>2384</v>
          </cell>
          <cell r="Z201"/>
          <cell r="AA201"/>
          <cell r="AB201"/>
          <cell r="AC201"/>
          <cell r="AD201"/>
          <cell r="AE201"/>
          <cell r="AF201"/>
          <cell r="AG201"/>
          <cell r="AH201">
            <v>605</v>
          </cell>
          <cell r="AI201"/>
          <cell r="AJ201"/>
          <cell r="AK201"/>
          <cell r="AL201"/>
          <cell r="AM201"/>
          <cell r="AN201"/>
          <cell r="AO201"/>
          <cell r="AP201"/>
          <cell r="AQ201"/>
          <cell r="AR201"/>
          <cell r="AS201"/>
          <cell r="AT201"/>
          <cell r="AU201"/>
          <cell r="AV201"/>
          <cell r="AW201"/>
          <cell r="AX201"/>
          <cell r="AY201"/>
          <cell r="AZ201"/>
          <cell r="BA201"/>
          <cell r="BB201"/>
          <cell r="BC201"/>
          <cell r="BD201"/>
        </row>
        <row r="202">
          <cell r="A202" t="str">
            <v>Control_CPU\System_Layer\Validation\Validate_LP_Fuel_Filter_Differential_Pressure</v>
          </cell>
          <cell r="B202" t="str">
            <v>N</v>
          </cell>
          <cell r="C202" t="str">
            <v>Y</v>
          </cell>
          <cell r="D202"/>
          <cell r="E202"/>
          <cell r="F202"/>
          <cell r="G202" t="str">
            <v>CN</v>
          </cell>
          <cell r="H202" t="str">
            <v>N</v>
          </cell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 t="b">
            <v>1</v>
          </cell>
          <cell r="T202" t="b">
            <v>1</v>
          </cell>
          <cell r="U202" t="b">
            <v>1</v>
          </cell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>
            <v>607</v>
          </cell>
          <cell r="AI202"/>
          <cell r="AJ202"/>
          <cell r="AK202"/>
          <cell r="AL202"/>
          <cell r="AM202"/>
          <cell r="AN202"/>
          <cell r="AO202"/>
          <cell r="AP202"/>
          <cell r="AQ202"/>
          <cell r="AR202"/>
          <cell r="AS202"/>
          <cell r="AT202"/>
          <cell r="AU202"/>
          <cell r="AV202"/>
          <cell r="AW202"/>
          <cell r="AX202"/>
          <cell r="AY202"/>
          <cell r="AZ202"/>
          <cell r="BA202"/>
          <cell r="BB202"/>
          <cell r="BC202"/>
          <cell r="BD202"/>
        </row>
        <row r="203">
          <cell r="A203" t="str">
            <v>Control_CPU\System_Layer\Validation\Validate_Modulated_Air_System_Pressure</v>
          </cell>
          <cell r="B203" t="str">
            <v>N</v>
          </cell>
          <cell r="C203" t="str">
            <v>Y</v>
          </cell>
          <cell r="D203"/>
          <cell r="E203"/>
          <cell r="F203"/>
          <cell r="G203" t="str">
            <v>CN</v>
          </cell>
          <cell r="H203" t="str">
            <v>N</v>
          </cell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 t="b">
            <v>1</v>
          </cell>
          <cell r="T203" t="b">
            <v>1</v>
          </cell>
          <cell r="U203" t="b">
            <v>1</v>
          </cell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/>
          <cell r="AO203"/>
          <cell r="AP203"/>
          <cell r="AQ203"/>
          <cell r="AR203"/>
          <cell r="AS203"/>
          <cell r="AT203"/>
          <cell r="AU203"/>
          <cell r="AV203"/>
          <cell r="AW203"/>
          <cell r="AX203"/>
          <cell r="AY203"/>
          <cell r="AZ203"/>
          <cell r="BA203"/>
          <cell r="BB203"/>
          <cell r="BC203"/>
          <cell r="BD203"/>
        </row>
        <row r="204">
          <cell r="A204" t="str">
            <v>Control_CPU\System_Layer\Validation\Validate_Nacelle_Anti_Ice_Absolute_Pressure</v>
          </cell>
          <cell r="B204" t="str">
            <v>N</v>
          </cell>
          <cell r="C204" t="str">
            <v>N</v>
          </cell>
          <cell r="D204"/>
          <cell r="E204"/>
          <cell r="F204"/>
          <cell r="G204" t="str">
            <v>CN</v>
          </cell>
          <cell r="H204" t="str">
            <v>N</v>
          </cell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 t="b">
            <v>1</v>
          </cell>
          <cell r="T204" t="b">
            <v>1</v>
          </cell>
          <cell r="U204" t="b">
            <v>1</v>
          </cell>
          <cell r="V204"/>
          <cell r="W204"/>
          <cell r="X204"/>
          <cell r="Y204">
            <v>2566</v>
          </cell>
          <cell r="Z204"/>
          <cell r="AA204"/>
          <cell r="AB204"/>
          <cell r="AC204"/>
          <cell r="AD204"/>
          <cell r="AE204"/>
          <cell r="AF204"/>
          <cell r="AG204"/>
          <cell r="AH204">
            <v>608</v>
          </cell>
          <cell r="AI204"/>
          <cell r="AJ204"/>
          <cell r="AK204"/>
          <cell r="AL204"/>
          <cell r="AM204"/>
          <cell r="AN204"/>
          <cell r="AO204"/>
          <cell r="AP204"/>
          <cell r="AQ204"/>
          <cell r="AR204"/>
          <cell r="AS204"/>
          <cell r="AT204"/>
          <cell r="AU204"/>
          <cell r="AV204"/>
          <cell r="AW204"/>
          <cell r="AX204"/>
          <cell r="AY204"/>
          <cell r="AZ204"/>
          <cell r="BA204"/>
          <cell r="BB204"/>
          <cell r="BC204"/>
          <cell r="BD204"/>
        </row>
        <row r="205">
          <cell r="A205" t="str">
            <v>Control_CPU\System_Layer\Validation\Validate_NH</v>
          </cell>
          <cell r="B205" t="str">
            <v>N</v>
          </cell>
          <cell r="C205" t="str">
            <v>Y</v>
          </cell>
          <cell r="D205"/>
          <cell r="E205"/>
          <cell r="F205"/>
          <cell r="G205" t="str">
            <v>CN</v>
          </cell>
          <cell r="H205" t="str">
            <v>N</v>
          </cell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 t="b">
            <v>1</v>
          </cell>
          <cell r="T205" t="b">
            <v>1</v>
          </cell>
          <cell r="U205" t="b">
            <v>1</v>
          </cell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>
            <v>609</v>
          </cell>
          <cell r="AI205"/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</row>
        <row r="206">
          <cell r="A206" t="str">
            <v>Control_CPU\System_Layer\Validation\Validate_NI</v>
          </cell>
          <cell r="B206" t="str">
            <v>N</v>
          </cell>
          <cell r="C206" t="str">
            <v>Y</v>
          </cell>
          <cell r="D206"/>
          <cell r="E206"/>
          <cell r="F206"/>
          <cell r="G206" t="str">
            <v>CN</v>
          </cell>
          <cell r="H206" t="str">
            <v>N</v>
          </cell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 t="b">
            <v>1</v>
          </cell>
          <cell r="T206" t="b">
            <v>1</v>
          </cell>
          <cell r="U206" t="b">
            <v>1</v>
          </cell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>
            <v>610</v>
          </cell>
          <cell r="AI206"/>
          <cell r="AJ206"/>
          <cell r="AK206"/>
          <cell r="AL206"/>
          <cell r="AM206"/>
          <cell r="AN206"/>
          <cell r="AO206"/>
          <cell r="AP206"/>
          <cell r="AQ206"/>
          <cell r="AR206"/>
          <cell r="AS206"/>
          <cell r="AT206"/>
          <cell r="AU206"/>
          <cell r="AV206"/>
          <cell r="AW206"/>
          <cell r="AX206"/>
          <cell r="AY206"/>
          <cell r="AZ206"/>
          <cell r="BA206"/>
          <cell r="BB206"/>
          <cell r="BC206"/>
          <cell r="BD206"/>
        </row>
        <row r="207">
          <cell r="A207" t="str">
            <v>Control_CPU\System_Layer\Validation\Validate_NL</v>
          </cell>
          <cell r="B207" t="str">
            <v>N</v>
          </cell>
          <cell r="C207" t="str">
            <v>Y</v>
          </cell>
          <cell r="D207"/>
          <cell r="E207"/>
          <cell r="F207"/>
          <cell r="G207" t="str">
            <v>CN</v>
          </cell>
          <cell r="H207" t="str">
            <v>N</v>
          </cell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 t="b">
            <v>1</v>
          </cell>
          <cell r="T207" t="b">
            <v>1</v>
          </cell>
          <cell r="U207" t="b">
            <v>1</v>
          </cell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>
            <v>611</v>
          </cell>
          <cell r="AI207"/>
          <cell r="AJ207"/>
          <cell r="AK207"/>
          <cell r="AL207"/>
          <cell r="AM207"/>
          <cell r="AN207"/>
          <cell r="AO207"/>
          <cell r="AP207"/>
          <cell r="AQ207"/>
          <cell r="AR207"/>
          <cell r="AS207"/>
          <cell r="AT207"/>
          <cell r="AU207"/>
          <cell r="AV207"/>
          <cell r="AW207"/>
          <cell r="AX207"/>
          <cell r="AY207"/>
          <cell r="AZ207"/>
          <cell r="BA207"/>
          <cell r="BB207"/>
          <cell r="BC207"/>
          <cell r="BD207"/>
        </row>
        <row r="208">
          <cell r="A208" t="str">
            <v>Control_CPU\System_Layer\Validation\Validate_P0</v>
          </cell>
          <cell r="B208" t="str">
            <v>N</v>
          </cell>
          <cell r="C208" t="str">
            <v>Y</v>
          </cell>
          <cell r="D208"/>
          <cell r="E208"/>
          <cell r="F208"/>
          <cell r="G208" t="str">
            <v>CN</v>
          </cell>
          <cell r="H208" t="str">
            <v>N</v>
          </cell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 t="b">
            <v>1</v>
          </cell>
          <cell r="T208" t="b">
            <v>1</v>
          </cell>
          <cell r="U208" t="b">
            <v>1</v>
          </cell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>
            <v>674</v>
          </cell>
          <cell r="AI208"/>
          <cell r="AJ208"/>
          <cell r="AK208"/>
          <cell r="AL208"/>
          <cell r="AM208"/>
          <cell r="AN208"/>
          <cell r="AO208"/>
          <cell r="AP208"/>
          <cell r="AQ208"/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</row>
        <row r="209">
          <cell r="A209" t="str">
            <v>Control_CPU\System_Layer\Validation\Validate_P160</v>
          </cell>
          <cell r="B209" t="str">
            <v>N</v>
          </cell>
          <cell r="C209" t="str">
            <v>Y</v>
          </cell>
          <cell r="D209"/>
          <cell r="E209"/>
          <cell r="F209">
            <v>6217</v>
          </cell>
          <cell r="G209" t="str">
            <v>CN</v>
          </cell>
          <cell r="H209" t="str">
            <v>Y</v>
          </cell>
          <cell r="I209"/>
          <cell r="J209"/>
          <cell r="K209"/>
          <cell r="L209"/>
          <cell r="M209"/>
          <cell r="N209" t="str">
            <v>Y</v>
          </cell>
          <cell r="O209" t="str">
            <v>Y</v>
          </cell>
          <cell r="P209" t="str">
            <v>Y</v>
          </cell>
          <cell r="Q209"/>
          <cell r="R209"/>
          <cell r="S209" t="b">
            <v>1</v>
          </cell>
          <cell r="T209" t="b">
            <v>1</v>
          </cell>
          <cell r="U209" t="b">
            <v>1</v>
          </cell>
          <cell r="V209">
            <v>1</v>
          </cell>
          <cell r="W209"/>
          <cell r="X209"/>
          <cell r="Y209">
            <v>2583</v>
          </cell>
          <cell r="Z209"/>
          <cell r="AA209"/>
          <cell r="AB209"/>
          <cell r="AC209"/>
          <cell r="AD209"/>
          <cell r="AE209"/>
          <cell r="AF209" t="str">
            <v>AT</v>
          </cell>
          <cell r="AG209" t="str">
            <v>SP</v>
          </cell>
          <cell r="AH209">
            <v>1662</v>
          </cell>
          <cell r="AI209">
            <v>100</v>
          </cell>
          <cell r="AJ209">
            <v>100</v>
          </cell>
          <cell r="AK209">
            <v>100</v>
          </cell>
          <cell r="AL209"/>
          <cell r="AM209" t="str">
            <v>Y</v>
          </cell>
          <cell r="AN209"/>
          <cell r="AO209" t="str">
            <v>Y</v>
          </cell>
          <cell r="AP209">
            <v>100</v>
          </cell>
          <cell r="AQ209">
            <v>100</v>
          </cell>
          <cell r="AR209">
            <v>100</v>
          </cell>
          <cell r="AS209" t="str">
            <v>Y</v>
          </cell>
          <cell r="AT209" t="str">
            <v>Y</v>
          </cell>
          <cell r="AU209"/>
          <cell r="AV209" t="str">
            <v>AT</v>
          </cell>
          <cell r="AW209"/>
          <cell r="AX209" t="str">
            <v>SP</v>
          </cell>
          <cell r="AY209">
            <v>100</v>
          </cell>
          <cell r="AZ209"/>
          <cell r="BA209">
            <v>100</v>
          </cell>
          <cell r="BB209">
            <v>100</v>
          </cell>
          <cell r="BC209" t="str">
            <v>Y</v>
          </cell>
          <cell r="BD209">
            <v>100</v>
          </cell>
        </row>
        <row r="210">
          <cell r="A210" t="str">
            <v>Control_CPU\System_Layer\Validation\Validate_P20</v>
          </cell>
          <cell r="B210" t="str">
            <v>N</v>
          </cell>
          <cell r="C210" t="str">
            <v>Y</v>
          </cell>
          <cell r="D210"/>
          <cell r="E210"/>
          <cell r="F210"/>
          <cell r="G210" t="str">
            <v>CN</v>
          </cell>
          <cell r="H210" t="str">
            <v>N</v>
          </cell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 t="b">
            <v>1</v>
          </cell>
          <cell r="T210" t="b">
            <v>1</v>
          </cell>
          <cell r="U210" t="b">
            <v>1</v>
          </cell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>
            <v>675</v>
          </cell>
          <cell r="AI210"/>
          <cell r="AJ210"/>
          <cell r="AK210"/>
          <cell r="AL210"/>
          <cell r="AM210"/>
          <cell r="AN210"/>
          <cell r="AO210"/>
          <cell r="AP210"/>
          <cell r="AQ210"/>
          <cell r="AR210"/>
          <cell r="AS210"/>
          <cell r="AT210"/>
          <cell r="AU210"/>
          <cell r="AV210"/>
          <cell r="AW210"/>
          <cell r="AX210"/>
          <cell r="AY210"/>
          <cell r="AZ210"/>
          <cell r="BA210"/>
          <cell r="BB210"/>
          <cell r="BC210"/>
          <cell r="BD210"/>
        </row>
        <row r="211">
          <cell r="A211" t="str">
            <v>Control_CPU\System_Layer\Validation\Validate_P30</v>
          </cell>
          <cell r="B211" t="str">
            <v>N</v>
          </cell>
          <cell r="C211" t="str">
            <v>N</v>
          </cell>
          <cell r="D211"/>
          <cell r="E211"/>
          <cell r="F211"/>
          <cell r="G211" t="str">
            <v>CN</v>
          </cell>
          <cell r="H211" t="str">
            <v>N</v>
          </cell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 t="b">
            <v>1</v>
          </cell>
          <cell r="T211" t="b">
            <v>1</v>
          </cell>
          <cell r="U211" t="b">
            <v>1</v>
          </cell>
          <cell r="V211"/>
          <cell r="W211"/>
          <cell r="X211"/>
          <cell r="Y211">
            <v>3029</v>
          </cell>
          <cell r="Z211"/>
          <cell r="AA211"/>
          <cell r="AB211"/>
          <cell r="AC211"/>
          <cell r="AD211"/>
          <cell r="AE211"/>
          <cell r="AF211"/>
          <cell r="AG211"/>
          <cell r="AH211">
            <v>612</v>
          </cell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</row>
        <row r="212">
          <cell r="A212" t="str">
            <v>Control_CPU\System_Layer\Validation\Validate_POil</v>
          </cell>
          <cell r="B212" t="str">
            <v>N</v>
          </cell>
          <cell r="C212" t="str">
            <v>Y</v>
          </cell>
          <cell r="D212"/>
          <cell r="E212"/>
          <cell r="F212"/>
          <cell r="G212" t="str">
            <v>CN</v>
          </cell>
          <cell r="H212" t="str">
            <v>N</v>
          </cell>
          <cell r="I212"/>
          <cell r="J212"/>
          <cell r="K212"/>
          <cell r="L212"/>
          <cell r="M212"/>
          <cell r="N212"/>
          <cell r="O212"/>
          <cell r="P212"/>
          <cell r="Q212"/>
          <cell r="R212"/>
          <cell r="S212" t="b">
            <v>1</v>
          </cell>
          <cell r="T212" t="b">
            <v>1</v>
          </cell>
          <cell r="U212" t="b">
            <v>1</v>
          </cell>
          <cell r="V212"/>
          <cell r="W212"/>
          <cell r="X212"/>
          <cell r="Y212">
            <v>2478</v>
          </cell>
          <cell r="Z212"/>
          <cell r="AA212"/>
          <cell r="AB212"/>
          <cell r="AC212"/>
          <cell r="AD212"/>
          <cell r="AE212"/>
          <cell r="AF212"/>
          <cell r="AG212"/>
          <cell r="AH212">
            <v>613</v>
          </cell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</row>
        <row r="213">
          <cell r="A213" t="str">
            <v>Control_CPU\System_Layer\Validation\Validate_Scavenge_Oil_Filter_Differential_Pressure</v>
          </cell>
          <cell r="B213" t="str">
            <v>N</v>
          </cell>
          <cell r="C213" t="str">
            <v>Y</v>
          </cell>
          <cell r="D213"/>
          <cell r="E213"/>
          <cell r="F213"/>
          <cell r="G213" t="str">
            <v>CN</v>
          </cell>
          <cell r="H213" t="str">
            <v>N</v>
          </cell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 t="b">
            <v>1</v>
          </cell>
          <cell r="T213" t="b">
            <v>1</v>
          </cell>
          <cell r="U213" t="b">
            <v>1</v>
          </cell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>
            <v>803</v>
          </cell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</row>
        <row r="214">
          <cell r="A214" t="str">
            <v>Control_CPU\System_Layer\Validation\Validate_T20</v>
          </cell>
          <cell r="B214" t="str">
            <v>N</v>
          </cell>
          <cell r="C214" t="str">
            <v>Y</v>
          </cell>
          <cell r="D214"/>
          <cell r="E214"/>
          <cell r="F214"/>
          <cell r="G214" t="str">
            <v>CN</v>
          </cell>
          <cell r="H214" t="str">
            <v>N</v>
          </cell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 t="b">
            <v>1</v>
          </cell>
          <cell r="T214" t="b">
            <v>1</v>
          </cell>
          <cell r="U214" t="b">
            <v>1</v>
          </cell>
          <cell r="V214"/>
          <cell r="W214"/>
          <cell r="X214"/>
          <cell r="Y214">
            <v>2352</v>
          </cell>
          <cell r="Z214"/>
          <cell r="AA214"/>
          <cell r="AB214"/>
          <cell r="AC214"/>
          <cell r="AD214"/>
          <cell r="AE214"/>
          <cell r="AF214"/>
          <cell r="AG214"/>
          <cell r="AH214">
            <v>677</v>
          </cell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</row>
        <row r="215">
          <cell r="A215" t="str">
            <v>Control_CPU\System_Layer\Validation\Validate_T25</v>
          </cell>
          <cell r="B215" t="str">
            <v>N</v>
          </cell>
          <cell r="C215" t="str">
            <v>N</v>
          </cell>
          <cell r="D215"/>
          <cell r="E215"/>
          <cell r="F215"/>
          <cell r="G215" t="str">
            <v>CN</v>
          </cell>
          <cell r="H215" t="str">
            <v>N</v>
          </cell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 t="b">
            <v>1</v>
          </cell>
          <cell r="T215" t="b">
            <v>1</v>
          </cell>
          <cell r="U215" t="b">
            <v>1</v>
          </cell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>
            <v>916</v>
          </cell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</row>
        <row r="216">
          <cell r="A216" t="str">
            <v>Control_CPU\System_Layer\Validation\Validate_T30</v>
          </cell>
          <cell r="B216" t="str">
            <v>N</v>
          </cell>
          <cell r="C216" t="str">
            <v>Y</v>
          </cell>
          <cell r="D216"/>
          <cell r="E216"/>
          <cell r="F216"/>
          <cell r="G216" t="str">
            <v>CN</v>
          </cell>
          <cell r="H216" t="str">
            <v>N</v>
          </cell>
          <cell r="I216"/>
          <cell r="J216"/>
          <cell r="K216"/>
          <cell r="L216"/>
          <cell r="M216"/>
          <cell r="N216"/>
          <cell r="O216"/>
          <cell r="P216"/>
          <cell r="Q216"/>
          <cell r="R216"/>
          <cell r="S216" t="b">
            <v>1</v>
          </cell>
          <cell r="T216" t="b">
            <v>1</v>
          </cell>
          <cell r="U216" t="b">
            <v>1</v>
          </cell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>
            <v>618</v>
          </cell>
          <cell r="AI216"/>
          <cell r="AJ216"/>
          <cell r="AK216"/>
          <cell r="AL216"/>
          <cell r="AM216"/>
          <cell r="AN216"/>
          <cell r="AO216"/>
          <cell r="AP216"/>
          <cell r="AQ216"/>
          <cell r="AR216"/>
          <cell r="AS216"/>
          <cell r="AT216"/>
          <cell r="AU216"/>
          <cell r="AV216"/>
          <cell r="AW216"/>
          <cell r="AX216"/>
          <cell r="AY216"/>
          <cell r="AZ216"/>
          <cell r="BA216"/>
          <cell r="BB216"/>
          <cell r="BC216"/>
          <cell r="BD216"/>
        </row>
        <row r="217">
          <cell r="A217" t="str">
            <v>Control_CPU\System_Layer\Validation\Validate_T50</v>
          </cell>
          <cell r="B217" t="str">
            <v>N</v>
          </cell>
          <cell r="C217" t="str">
            <v>N</v>
          </cell>
          <cell r="D217"/>
          <cell r="E217"/>
          <cell r="F217"/>
          <cell r="G217" t="str">
            <v>CN</v>
          </cell>
          <cell r="H217" t="str">
            <v>N</v>
          </cell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 t="b">
            <v>1</v>
          </cell>
          <cell r="T217" t="b">
            <v>1</v>
          </cell>
          <cell r="U217" t="b">
            <v>1</v>
          </cell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>
            <v>619</v>
          </cell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</row>
        <row r="218">
          <cell r="A218" t="str">
            <v>Control_CPU\System_Layer\Validation\Validate_TFuel</v>
          </cell>
          <cell r="B218" t="str">
            <v>N</v>
          </cell>
          <cell r="C218" t="str">
            <v>Y</v>
          </cell>
          <cell r="D218"/>
          <cell r="E218"/>
          <cell r="F218"/>
          <cell r="G218" t="str">
            <v>CN</v>
          </cell>
          <cell r="H218" t="str">
            <v>N</v>
          </cell>
          <cell r="I218"/>
          <cell r="J218"/>
          <cell r="K218"/>
          <cell r="L218"/>
          <cell r="M218"/>
          <cell r="N218"/>
          <cell r="O218"/>
          <cell r="P218"/>
          <cell r="Q218"/>
          <cell r="R218"/>
          <cell r="S218" t="b">
            <v>1</v>
          </cell>
          <cell r="T218" t="b">
            <v>1</v>
          </cell>
          <cell r="U218" t="b">
            <v>1</v>
          </cell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>
            <v>620</v>
          </cell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</row>
        <row r="219">
          <cell r="A219" t="str">
            <v>Control_CPU\System_Layer\Validation\Validate_TGT</v>
          </cell>
          <cell r="B219" t="str">
            <v>N</v>
          </cell>
          <cell r="C219" t="str">
            <v>N</v>
          </cell>
          <cell r="D219"/>
          <cell r="E219"/>
          <cell r="F219"/>
          <cell r="G219" t="str">
            <v>CN</v>
          </cell>
          <cell r="H219" t="str">
            <v>N</v>
          </cell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 t="b">
            <v>1</v>
          </cell>
          <cell r="T219" t="b">
            <v>1</v>
          </cell>
          <cell r="U219" t="b">
            <v>1</v>
          </cell>
          <cell r="V219"/>
          <cell r="W219"/>
          <cell r="X219"/>
          <cell r="Y219">
            <v>2455</v>
          </cell>
          <cell r="Z219"/>
          <cell r="AA219"/>
          <cell r="AB219"/>
          <cell r="AC219"/>
          <cell r="AD219"/>
          <cell r="AE219"/>
          <cell r="AF219"/>
          <cell r="AG219"/>
          <cell r="AH219">
            <v>621</v>
          </cell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</row>
        <row r="220">
          <cell r="A220" t="str">
            <v>Control_CPU\System_Layer\Validation\Validate_Throttle_Lever_Angle</v>
          </cell>
          <cell r="B220" t="str">
            <v>N</v>
          </cell>
          <cell r="C220" t="str">
            <v>Y</v>
          </cell>
          <cell r="D220"/>
          <cell r="E220"/>
          <cell r="F220"/>
          <cell r="G220" t="str">
            <v>CN</v>
          </cell>
          <cell r="H220" t="str">
            <v>N</v>
          </cell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 t="b">
            <v>1</v>
          </cell>
          <cell r="T220" t="b">
            <v>1</v>
          </cell>
          <cell r="U220" t="b">
            <v>1</v>
          </cell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>
            <v>678</v>
          </cell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</row>
        <row r="221">
          <cell r="A221" t="str">
            <v>Control_CPU\System_Layer\Validation\Validate_TVent</v>
          </cell>
          <cell r="B221" t="str">
            <v>N</v>
          </cell>
          <cell r="C221" t="str">
            <v>Y</v>
          </cell>
          <cell r="D221"/>
          <cell r="E221"/>
          <cell r="F221"/>
          <cell r="G221" t="str">
            <v>CN</v>
          </cell>
          <cell r="H221" t="str">
            <v>N</v>
          </cell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 t="b">
            <v>1</v>
          </cell>
          <cell r="T221" t="b">
            <v>1</v>
          </cell>
          <cell r="U221" t="b">
            <v>1</v>
          </cell>
          <cell r="V221"/>
          <cell r="W221"/>
          <cell r="X221"/>
          <cell r="Y221">
            <v>2444</v>
          </cell>
          <cell r="Z221"/>
          <cell r="AA221"/>
          <cell r="AB221"/>
          <cell r="AC221"/>
          <cell r="AD221"/>
          <cell r="AE221"/>
          <cell r="AF221"/>
          <cell r="AG221"/>
          <cell r="AH221">
            <v>2445</v>
          </cell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</row>
        <row r="222">
          <cell r="A222" t="str">
            <v>Control_CPU\System_Layer\Validation\Validate_TZone1Upper</v>
          </cell>
          <cell r="B222" t="str">
            <v>N</v>
          </cell>
          <cell r="C222" t="str">
            <v>Y</v>
          </cell>
          <cell r="D222"/>
          <cell r="E222"/>
          <cell r="F222"/>
          <cell r="G222" t="str">
            <v>CN</v>
          </cell>
          <cell r="H222" t="str">
            <v>N</v>
          </cell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 t="b">
            <v>1</v>
          </cell>
          <cell r="T222" t="b">
            <v>1</v>
          </cell>
          <cell r="U222" t="b">
            <v>1</v>
          </cell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</row>
        <row r="223">
          <cell r="A223" t="str">
            <v>Control_CPU\System_Layer\Validation\Validate_TZone2</v>
          </cell>
          <cell r="B223" t="str">
            <v>N</v>
          </cell>
          <cell r="C223" t="str">
            <v>Y</v>
          </cell>
          <cell r="D223"/>
          <cell r="E223"/>
          <cell r="F223"/>
          <cell r="G223" t="str">
            <v>CN</v>
          </cell>
          <cell r="H223" t="str">
            <v>N</v>
          </cell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 t="b">
            <v>1</v>
          </cell>
          <cell r="T223" t="b">
            <v>1</v>
          </cell>
          <cell r="U223" t="b">
            <v>1</v>
          </cell>
          <cell r="V223"/>
          <cell r="W223"/>
          <cell r="X223"/>
          <cell r="Y223">
            <v>2462</v>
          </cell>
          <cell r="Z223"/>
          <cell r="AA223"/>
          <cell r="AB223"/>
          <cell r="AC223"/>
          <cell r="AD223"/>
          <cell r="AE223"/>
          <cell r="AF223"/>
          <cell r="AG223"/>
          <cell r="AH223">
            <v>918</v>
          </cell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</row>
        <row r="224">
          <cell r="A224" t="str">
            <v>Control_CPU\System_Layer\Validation\Validate_TZone3</v>
          </cell>
          <cell r="B224" t="str">
            <v>N</v>
          </cell>
          <cell r="C224" t="str">
            <v>Y</v>
          </cell>
          <cell r="D224"/>
          <cell r="E224"/>
          <cell r="F224"/>
          <cell r="G224" t="str">
            <v>CN</v>
          </cell>
          <cell r="H224" t="str">
            <v>N</v>
          </cell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 t="b">
            <v>1</v>
          </cell>
          <cell r="T224" t="b">
            <v>1</v>
          </cell>
          <cell r="U224" t="b">
            <v>1</v>
          </cell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>
            <v>919</v>
          </cell>
          <cell r="AI224"/>
          <cell r="AJ224"/>
          <cell r="AK224"/>
          <cell r="AL224"/>
          <cell r="AM224"/>
          <cell r="AN224"/>
          <cell r="AO224"/>
          <cell r="AP224"/>
          <cell r="AQ224"/>
          <cell r="AR224"/>
          <cell r="AS224"/>
          <cell r="AT224"/>
          <cell r="AU224"/>
          <cell r="AV224"/>
          <cell r="AW224"/>
          <cell r="AX224"/>
          <cell r="AY224"/>
          <cell r="AZ224"/>
          <cell r="BA224"/>
          <cell r="BB224"/>
          <cell r="BC224"/>
          <cell r="BD224"/>
        </row>
        <row r="225">
          <cell r="A225" t="str">
            <v>Safety_CPU\Application_Blackboard</v>
          </cell>
          <cell r="B225" t="str">
            <v>N</v>
          </cell>
          <cell r="C225" t="str">
            <v>N</v>
          </cell>
          <cell r="D225"/>
          <cell r="E225"/>
          <cell r="F225"/>
          <cell r="G225" t="str">
            <v>CN</v>
          </cell>
          <cell r="H225" t="str">
            <v>N</v>
          </cell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 t="b">
            <v>1</v>
          </cell>
          <cell r="T225" t="b">
            <v>1</v>
          </cell>
          <cell r="U225" t="b">
            <v>1</v>
          </cell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/>
          <cell r="AO225"/>
          <cell r="AP225"/>
          <cell r="AQ225"/>
          <cell r="AR225"/>
          <cell r="AS225"/>
          <cell r="AT225"/>
          <cell r="AU225"/>
          <cell r="AV225"/>
          <cell r="AW225"/>
          <cell r="AX225"/>
          <cell r="AY225"/>
          <cell r="AZ225"/>
          <cell r="BA225"/>
          <cell r="BB225"/>
          <cell r="BC225"/>
          <cell r="BD225"/>
        </row>
        <row r="226">
          <cell r="A226" t="str">
            <v>Safety_CPU\Application_Layer\Exceedances</v>
          </cell>
          <cell r="B226" t="str">
            <v>N</v>
          </cell>
          <cell r="C226" t="str">
            <v>Y</v>
          </cell>
          <cell r="D226"/>
          <cell r="E226"/>
          <cell r="F226">
            <v>6216</v>
          </cell>
          <cell r="G226" t="str">
            <v>CN</v>
          </cell>
          <cell r="H226" t="str">
            <v>Y</v>
          </cell>
          <cell r="I226"/>
          <cell r="J226"/>
          <cell r="K226"/>
          <cell r="L226"/>
          <cell r="M226"/>
          <cell r="N226" t="str">
            <v>Y</v>
          </cell>
          <cell r="O226" t="str">
            <v>Y</v>
          </cell>
          <cell r="P226" t="str">
            <v>Y</v>
          </cell>
          <cell r="Q226"/>
          <cell r="R226"/>
          <cell r="S226" t="b">
            <v>1</v>
          </cell>
          <cell r="T226" t="b">
            <v>1</v>
          </cell>
          <cell r="U226" t="b">
            <v>1</v>
          </cell>
          <cell r="V226">
            <v>1</v>
          </cell>
          <cell r="W226"/>
          <cell r="X226"/>
          <cell r="Y226">
            <v>2333</v>
          </cell>
          <cell r="Z226"/>
          <cell r="AA226"/>
          <cell r="AB226"/>
          <cell r="AC226"/>
          <cell r="AD226"/>
          <cell r="AE226"/>
          <cell r="AF226" t="str">
            <v>SP</v>
          </cell>
          <cell r="AG226" t="str">
            <v>HG</v>
          </cell>
          <cell r="AH226">
            <v>908</v>
          </cell>
          <cell r="AI226">
            <v>100</v>
          </cell>
          <cell r="AJ226">
            <v>100</v>
          </cell>
          <cell r="AK226">
            <v>100</v>
          </cell>
          <cell r="AL226"/>
          <cell r="AM226" t="str">
            <v>Y</v>
          </cell>
          <cell r="AN226"/>
          <cell r="AO226" t="str">
            <v>Y</v>
          </cell>
          <cell r="AP226">
            <v>100</v>
          </cell>
          <cell r="AQ226">
            <v>100</v>
          </cell>
          <cell r="AR226">
            <v>100</v>
          </cell>
          <cell r="AS226" t="str">
            <v>Y</v>
          </cell>
          <cell r="AT226" t="str">
            <v>Y</v>
          </cell>
          <cell r="AU226"/>
          <cell r="AV226" t="str">
            <v>SP</v>
          </cell>
          <cell r="AW226"/>
          <cell r="AX226" t="str">
            <v>HG</v>
          </cell>
          <cell r="AY226">
            <v>100</v>
          </cell>
          <cell r="AZ226"/>
          <cell r="BA226">
            <v>100</v>
          </cell>
          <cell r="BB226">
            <v>100</v>
          </cell>
          <cell r="BC226" t="str">
            <v>Y</v>
          </cell>
          <cell r="BD226">
            <v>100</v>
          </cell>
        </row>
        <row r="227">
          <cell r="A227" t="str">
            <v>Safety_CPU\Application_Layer\LP_Turbine_Case_Cooling_Valve_Control</v>
          </cell>
          <cell r="B227" t="str">
            <v>N</v>
          </cell>
          <cell r="C227" t="str">
            <v>Y</v>
          </cell>
          <cell r="D227"/>
          <cell r="E227"/>
          <cell r="F227"/>
          <cell r="G227" t="str">
            <v>CN</v>
          </cell>
          <cell r="H227" t="str">
            <v>N</v>
          </cell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 t="b">
            <v>1</v>
          </cell>
          <cell r="T227" t="b">
            <v>1</v>
          </cell>
          <cell r="U227" t="b">
            <v>1</v>
          </cell>
          <cell r="V227"/>
          <cell r="W227"/>
          <cell r="X227"/>
          <cell r="Y227">
            <v>2686</v>
          </cell>
          <cell r="Z227"/>
          <cell r="AA227"/>
          <cell r="AB227"/>
          <cell r="AC227"/>
          <cell r="AD227"/>
          <cell r="AE227"/>
          <cell r="AF227"/>
          <cell r="AG227"/>
          <cell r="AH227">
            <v>630</v>
          </cell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/>
          <cell r="AT227"/>
          <cell r="AU227"/>
          <cell r="AV227"/>
          <cell r="AW227"/>
          <cell r="AX227"/>
          <cell r="AY227"/>
          <cell r="AZ227"/>
          <cell r="BA227"/>
          <cell r="BB227"/>
          <cell r="BC227"/>
          <cell r="BD227"/>
        </row>
        <row r="228">
          <cell r="A228" t="str">
            <v>Safety_CPU\Application_Layer\Nacelle_Anti_Ice_Control</v>
          </cell>
          <cell r="B228" t="str">
            <v>N</v>
          </cell>
          <cell r="C228" t="str">
            <v>Y</v>
          </cell>
          <cell r="D228"/>
          <cell r="E228"/>
          <cell r="F228"/>
          <cell r="G228" t="str">
            <v>CN</v>
          </cell>
          <cell r="H228" t="str">
            <v>N</v>
          </cell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 t="b">
            <v>1</v>
          </cell>
          <cell r="T228" t="b">
            <v>1</v>
          </cell>
          <cell r="U228" t="b">
            <v>1</v>
          </cell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>
            <v>967</v>
          </cell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</row>
        <row r="229">
          <cell r="A229" t="str">
            <v>Safety_CPU\Application_Layer\ODMS_Exceedance_Detection</v>
          </cell>
          <cell r="B229" t="str">
            <v>N</v>
          </cell>
          <cell r="C229" t="str">
            <v>Y</v>
          </cell>
          <cell r="D229"/>
          <cell r="E229"/>
          <cell r="F229"/>
          <cell r="G229" t="str">
            <v>CN</v>
          </cell>
          <cell r="H229" t="str">
            <v>N</v>
          </cell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 t="b">
            <v>1</v>
          </cell>
          <cell r="T229" t="b">
            <v>1</v>
          </cell>
          <cell r="U229" t="b">
            <v>1</v>
          </cell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>
            <v>909</v>
          </cell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</row>
        <row r="230">
          <cell r="A230" t="str">
            <v>Safety_CPU\Application_Layer\Protection\Fire_And_Overheat_Detection</v>
          </cell>
          <cell r="B230" t="str">
            <v>N</v>
          </cell>
          <cell r="C230" t="str">
            <v>Y</v>
          </cell>
          <cell r="D230"/>
          <cell r="E230"/>
          <cell r="F230"/>
          <cell r="G230" t="str">
            <v>CN</v>
          </cell>
          <cell r="H230" t="str">
            <v>N</v>
          </cell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 t="b">
            <v>1</v>
          </cell>
          <cell r="T230" t="b">
            <v>1</v>
          </cell>
          <cell r="U230" t="b">
            <v>1</v>
          </cell>
          <cell r="V230"/>
          <cell r="W230"/>
          <cell r="X230"/>
          <cell r="Y230">
            <v>2322</v>
          </cell>
          <cell r="Z230"/>
          <cell r="AA230"/>
          <cell r="AB230"/>
          <cell r="AC230"/>
          <cell r="AD230"/>
          <cell r="AE230"/>
          <cell r="AF230"/>
          <cell r="AG230"/>
          <cell r="AH230">
            <v>1505</v>
          </cell>
          <cell r="AI230"/>
          <cell r="AJ230"/>
          <cell r="AK230"/>
          <cell r="AL230"/>
          <cell r="AM230"/>
          <cell r="AN230"/>
          <cell r="AO230"/>
          <cell r="AP230"/>
          <cell r="AQ230"/>
          <cell r="AR230"/>
          <cell r="AS230"/>
          <cell r="AT230"/>
          <cell r="AU230"/>
          <cell r="AV230"/>
          <cell r="AW230"/>
          <cell r="AX230"/>
          <cell r="AY230"/>
          <cell r="AZ230"/>
          <cell r="BA230"/>
          <cell r="BB230"/>
          <cell r="BC230"/>
          <cell r="BD230"/>
        </row>
        <row r="231">
          <cell r="A231" t="str">
            <v>Safety_CPU\Application_Layer\Protection\IP_and_LP_Shaft_Overspeed_Detection</v>
          </cell>
          <cell r="B231" t="str">
            <v>N</v>
          </cell>
          <cell r="C231" t="str">
            <v>N</v>
          </cell>
          <cell r="D231"/>
          <cell r="E231"/>
          <cell r="F231"/>
          <cell r="G231" t="str">
            <v>CN</v>
          </cell>
          <cell r="H231" t="str">
            <v>N</v>
          </cell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 t="b">
            <v>1</v>
          </cell>
          <cell r="T231" t="b">
            <v>1</v>
          </cell>
          <cell r="U231" t="b">
            <v>1</v>
          </cell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>
            <v>631</v>
          </cell>
          <cell r="AI231"/>
          <cell r="AJ231"/>
          <cell r="AK231"/>
          <cell r="AL231"/>
          <cell r="AM231"/>
          <cell r="AN231"/>
          <cell r="AO231"/>
          <cell r="AP231"/>
          <cell r="AQ231"/>
          <cell r="AR231"/>
          <cell r="AS231"/>
          <cell r="AT231"/>
          <cell r="AU231"/>
          <cell r="AV231"/>
          <cell r="AW231"/>
          <cell r="AX231"/>
          <cell r="AY231"/>
          <cell r="AZ231"/>
          <cell r="BA231"/>
          <cell r="BB231"/>
          <cell r="BC231"/>
          <cell r="BD231"/>
        </row>
        <row r="232">
          <cell r="A232" t="str">
            <v>Safety_CPU\Application_Layer\Protection\IP_Shaft_Break_Protection\Int_Shaft_Break_Protection</v>
          </cell>
          <cell r="B232" t="str">
            <v>N</v>
          </cell>
          <cell r="C232" t="str">
            <v>N</v>
          </cell>
          <cell r="D232"/>
          <cell r="E232"/>
          <cell r="F232"/>
          <cell r="G232" t="str">
            <v>CN</v>
          </cell>
          <cell r="H232" t="str">
            <v>N</v>
          </cell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 t="b">
            <v>1</v>
          </cell>
          <cell r="T232" t="b">
            <v>1</v>
          </cell>
          <cell r="U232" t="b">
            <v>1</v>
          </cell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 t="str">
            <v>n/a</v>
          </cell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</row>
        <row r="233">
          <cell r="A233" t="str">
            <v>Safety_CPU\Application_Layer\Protection\IP_Shaft_Break_Protection\IP_Shaft_Break_Model_Based_Detection</v>
          </cell>
          <cell r="B233" t="str">
            <v>N</v>
          </cell>
          <cell r="C233" t="str">
            <v>Y</v>
          </cell>
          <cell r="D233"/>
          <cell r="E233"/>
          <cell r="F233"/>
          <cell r="G233" t="str">
            <v>CN</v>
          </cell>
          <cell r="H233" t="str">
            <v>N</v>
          </cell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 t="b">
            <v>1</v>
          </cell>
          <cell r="T233" t="b">
            <v>1</v>
          </cell>
          <cell r="U233" t="b">
            <v>1</v>
          </cell>
          <cell r="V233"/>
          <cell r="W233"/>
          <cell r="X233"/>
          <cell r="Y233">
            <v>2244</v>
          </cell>
          <cell r="Z233"/>
          <cell r="AA233"/>
          <cell r="AB233"/>
          <cell r="AC233"/>
          <cell r="AD233"/>
          <cell r="AE233"/>
          <cell r="AF233"/>
          <cell r="AG233"/>
          <cell r="AH233">
            <v>1649</v>
          </cell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</row>
        <row r="234">
          <cell r="A234" t="str">
            <v>Safety_CPU\Application_Layer\Protection\IP_Shaft_Break_Protection\IP_Shaft_Break_Protection</v>
          </cell>
          <cell r="B234" t="str">
            <v>N</v>
          </cell>
          <cell r="C234" t="str">
            <v>Y</v>
          </cell>
          <cell r="D234"/>
          <cell r="E234"/>
          <cell r="F234"/>
          <cell r="G234" t="str">
            <v>CN</v>
          </cell>
          <cell r="H234" t="str">
            <v>N</v>
          </cell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 t="b">
            <v>1</v>
          </cell>
          <cell r="T234" t="b">
            <v>1</v>
          </cell>
          <cell r="U234" t="b">
            <v>1</v>
          </cell>
          <cell r="V234"/>
          <cell r="W234"/>
          <cell r="X234"/>
          <cell r="Y234">
            <v>2246</v>
          </cell>
          <cell r="Z234"/>
          <cell r="AA234"/>
          <cell r="AB234"/>
          <cell r="AC234"/>
          <cell r="AD234"/>
          <cell r="AE234"/>
          <cell r="AF234"/>
          <cell r="AG234"/>
          <cell r="AH234">
            <v>1651</v>
          </cell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</row>
        <row r="235">
          <cell r="A235" t="str">
            <v>Safety_CPU\Application_Layer\Protection\IP_Shaft_Break_Protection\IP_Turbine_Oil_Fire_Detection</v>
          </cell>
          <cell r="B235" t="str">
            <v>N</v>
          </cell>
          <cell r="C235" t="str">
            <v>Y</v>
          </cell>
          <cell r="D235"/>
          <cell r="E235"/>
          <cell r="F235"/>
          <cell r="G235" t="str">
            <v>CN</v>
          </cell>
          <cell r="H235" t="str">
            <v>N</v>
          </cell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 t="b">
            <v>1</v>
          </cell>
          <cell r="T235" t="b">
            <v>1</v>
          </cell>
          <cell r="U235" t="b">
            <v>1</v>
          </cell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>
            <v>1415</v>
          </cell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</row>
        <row r="236">
          <cell r="A236" t="str">
            <v>Safety_CPU\Application_Layer\Protection\IP_Shaft_Break_Protection\IP_Turbine_Overspeed_Detection</v>
          </cell>
          <cell r="B236" t="str">
            <v>N</v>
          </cell>
          <cell r="C236" t="str">
            <v>Y</v>
          </cell>
          <cell r="D236"/>
          <cell r="E236"/>
          <cell r="F236"/>
          <cell r="G236" t="str">
            <v>CN</v>
          </cell>
          <cell r="H236" t="str">
            <v>N</v>
          </cell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 t="b">
            <v>1</v>
          </cell>
          <cell r="T236" t="b">
            <v>1</v>
          </cell>
          <cell r="U236" t="b">
            <v>1</v>
          </cell>
          <cell r="V236"/>
          <cell r="W236"/>
          <cell r="X236"/>
          <cell r="Y236">
            <v>2243</v>
          </cell>
          <cell r="Z236"/>
          <cell r="AA236"/>
          <cell r="AB236"/>
          <cell r="AC236"/>
          <cell r="AD236"/>
          <cell r="AE236"/>
          <cell r="AF236"/>
          <cell r="AG236"/>
          <cell r="AH236">
            <v>632</v>
          </cell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</row>
        <row r="237">
          <cell r="A237" t="str">
            <v>Safety_CPU\Application_Layer\Protection\IP_Shaft_Break_Protection\NI_NH_Match_Detection</v>
          </cell>
          <cell r="B237" t="str">
            <v>N</v>
          </cell>
          <cell r="C237" t="str">
            <v>Y</v>
          </cell>
          <cell r="D237"/>
          <cell r="E237"/>
          <cell r="F237"/>
          <cell r="G237" t="str">
            <v>CN</v>
          </cell>
          <cell r="H237" t="str">
            <v>N</v>
          </cell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 t="b">
            <v>1</v>
          </cell>
          <cell r="T237" t="b">
            <v>1</v>
          </cell>
          <cell r="U237" t="b">
            <v>1</v>
          </cell>
          <cell r="V237"/>
          <cell r="W237"/>
          <cell r="X237"/>
          <cell r="Y237">
            <v>2260</v>
          </cell>
          <cell r="Z237"/>
          <cell r="AA237"/>
          <cell r="AB237"/>
          <cell r="AC237"/>
          <cell r="AD237"/>
          <cell r="AE237"/>
          <cell r="AF237"/>
          <cell r="AG237"/>
          <cell r="AH237">
            <v>1650</v>
          </cell>
          <cell r="AI237"/>
          <cell r="AJ237"/>
          <cell r="AK237"/>
          <cell r="AL237"/>
          <cell r="AM237"/>
          <cell r="AN237"/>
          <cell r="AO237"/>
          <cell r="AP237"/>
          <cell r="AQ237"/>
          <cell r="AR237"/>
          <cell r="AS237"/>
          <cell r="AT237"/>
          <cell r="AU237"/>
          <cell r="AV237"/>
          <cell r="AW237"/>
          <cell r="AX237"/>
          <cell r="AY237"/>
          <cell r="AZ237"/>
          <cell r="BA237"/>
          <cell r="BB237"/>
          <cell r="BC237"/>
          <cell r="BD237"/>
        </row>
        <row r="238">
          <cell r="A238" t="str">
            <v>Safety_CPU\Application_Layer\Protection\IP_Shaft_Break_Protection\NHDot_Arbiter</v>
          </cell>
          <cell r="B238" t="str">
            <v>N</v>
          </cell>
          <cell r="C238" t="str">
            <v>Y</v>
          </cell>
          <cell r="D238"/>
          <cell r="E238"/>
          <cell r="F238"/>
          <cell r="G238" t="str">
            <v>CN</v>
          </cell>
          <cell r="H238" t="str">
            <v>N</v>
          </cell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 t="b">
            <v>1</v>
          </cell>
          <cell r="T238" t="b">
            <v>1</v>
          </cell>
          <cell r="U238" t="b">
            <v>1</v>
          </cell>
          <cell r="V238"/>
          <cell r="W238"/>
          <cell r="X238"/>
          <cell r="Y238">
            <v>2260</v>
          </cell>
          <cell r="Z238"/>
          <cell r="AA238"/>
          <cell r="AB238"/>
          <cell r="AC238"/>
          <cell r="AD238"/>
          <cell r="AE238"/>
          <cell r="AF238"/>
          <cell r="AG238"/>
          <cell r="AH238">
            <v>1650</v>
          </cell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</row>
        <row r="239">
          <cell r="A239" t="str">
            <v>Safety_CPU\Application_Layer\Protection\LP_Turbine_Overspeed_Detection</v>
          </cell>
          <cell r="B239" t="str">
            <v>N</v>
          </cell>
          <cell r="C239" t="str">
            <v>Y</v>
          </cell>
          <cell r="D239"/>
          <cell r="E239"/>
          <cell r="F239"/>
          <cell r="G239" t="str">
            <v>CN</v>
          </cell>
          <cell r="H239" t="str">
            <v>N</v>
          </cell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 t="b">
            <v>1</v>
          </cell>
          <cell r="T239" t="b">
            <v>1</v>
          </cell>
          <cell r="U239" t="b">
            <v>1</v>
          </cell>
          <cell r="V239"/>
          <cell r="W239"/>
          <cell r="X239"/>
          <cell r="Y239">
            <v>2324</v>
          </cell>
          <cell r="Z239"/>
          <cell r="AA239"/>
          <cell r="AB239"/>
          <cell r="AC239"/>
          <cell r="AD239"/>
          <cell r="AE239"/>
          <cell r="AF239"/>
          <cell r="AG239"/>
          <cell r="AH239">
            <v>633</v>
          </cell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</row>
        <row r="240">
          <cell r="A240" t="str">
            <v>Safety_CPU\Application_Layer\Protection\Protection_Shutdown</v>
          </cell>
          <cell r="B240" t="str">
            <v>N</v>
          </cell>
          <cell r="C240" t="str">
            <v>Y</v>
          </cell>
          <cell r="D240"/>
          <cell r="E240"/>
          <cell r="F240"/>
          <cell r="G240" t="str">
            <v>CN</v>
          </cell>
          <cell r="H240" t="str">
            <v>N</v>
          </cell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 t="b">
            <v>1</v>
          </cell>
          <cell r="T240" t="b">
            <v>1</v>
          </cell>
          <cell r="U240" t="b">
            <v>1</v>
          </cell>
          <cell r="V240"/>
          <cell r="W240"/>
          <cell r="X240"/>
          <cell r="Y240">
            <v>2301</v>
          </cell>
          <cell r="Z240"/>
          <cell r="AA240"/>
          <cell r="AB240"/>
          <cell r="AC240"/>
          <cell r="AD240"/>
          <cell r="AE240"/>
          <cell r="AF240"/>
          <cell r="AG240"/>
          <cell r="AH240">
            <v>634</v>
          </cell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</row>
        <row r="241">
          <cell r="A241" t="str">
            <v>Safety_CPU\Application_Layer\Protection\Thrust_Control_Malfunction_Detection</v>
          </cell>
          <cell r="B241" t="str">
            <v>N</v>
          </cell>
          <cell r="C241" t="str">
            <v>Y</v>
          </cell>
          <cell r="D241"/>
          <cell r="E241"/>
          <cell r="F241"/>
          <cell r="G241" t="str">
            <v>CN</v>
          </cell>
          <cell r="H241" t="str">
            <v>N</v>
          </cell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 t="b">
            <v>1</v>
          </cell>
          <cell r="T241" t="b">
            <v>1</v>
          </cell>
          <cell r="U241" t="b">
            <v>1</v>
          </cell>
          <cell r="V241"/>
          <cell r="W241"/>
          <cell r="X241"/>
          <cell r="Y241">
            <v>2321</v>
          </cell>
          <cell r="Z241"/>
          <cell r="AA241"/>
          <cell r="AB241"/>
          <cell r="AC241"/>
          <cell r="AD241"/>
          <cell r="AE241"/>
          <cell r="AF241"/>
          <cell r="AG241"/>
          <cell r="AH241">
            <v>1253</v>
          </cell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</row>
        <row r="242">
          <cell r="A242" t="str">
            <v>Safety_CPU\Application_Layer\Protection\Thrust_Control_Malfunction_Health</v>
          </cell>
          <cell r="B242" t="str">
            <v>N</v>
          </cell>
          <cell r="C242" t="str">
            <v>Y</v>
          </cell>
          <cell r="D242"/>
          <cell r="E242"/>
          <cell r="F242"/>
          <cell r="G242" t="str">
            <v>CN</v>
          </cell>
          <cell r="H242" t="str">
            <v>N</v>
          </cell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 t="b">
            <v>1</v>
          </cell>
          <cell r="T242" t="b">
            <v>1</v>
          </cell>
          <cell r="U242" t="b">
            <v>1</v>
          </cell>
          <cell r="V242"/>
          <cell r="W242"/>
          <cell r="X242"/>
          <cell r="Y242">
            <v>2671</v>
          </cell>
          <cell r="Z242"/>
          <cell r="AA242"/>
          <cell r="AB242"/>
          <cell r="AC242"/>
          <cell r="AD242"/>
          <cell r="AE242"/>
          <cell r="AF242"/>
          <cell r="AG242"/>
          <cell r="AH242">
            <v>1815</v>
          </cell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</row>
        <row r="243">
          <cell r="A243" t="str">
            <v>Safety_CPU\Combined_Entry_Points</v>
          </cell>
          <cell r="B243" t="str">
            <v>N</v>
          </cell>
          <cell r="C243" t="str">
            <v>N</v>
          </cell>
          <cell r="D243"/>
          <cell r="E243"/>
          <cell r="F243"/>
          <cell r="G243" t="str">
            <v>CN</v>
          </cell>
          <cell r="H243" t="str">
            <v>N</v>
          </cell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 t="b">
            <v>1</v>
          </cell>
          <cell r="T243" t="b">
            <v>1</v>
          </cell>
          <cell r="U243" t="b">
            <v>1</v>
          </cell>
          <cell r="V243"/>
          <cell r="W243"/>
          <cell r="X243"/>
          <cell r="Y243">
            <v>2259</v>
          </cell>
          <cell r="Z243"/>
          <cell r="AA243"/>
          <cell r="AB243"/>
          <cell r="AC243"/>
          <cell r="AD243"/>
          <cell r="AE243"/>
          <cell r="AF243"/>
          <cell r="AG243"/>
          <cell r="AH243">
            <v>2164</v>
          </cell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</row>
        <row r="244">
          <cell r="A244" t="str">
            <v>Safety_CPU\Engine_Variant</v>
          </cell>
          <cell r="B244" t="str">
            <v>N</v>
          </cell>
          <cell r="C244" t="str">
            <v>Y</v>
          </cell>
          <cell r="D244"/>
          <cell r="E244"/>
          <cell r="F244"/>
          <cell r="G244" t="str">
            <v>CN</v>
          </cell>
          <cell r="H244" t="str">
            <v>N</v>
          </cell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 t="b">
            <v>1</v>
          </cell>
          <cell r="T244" t="b">
            <v>1</v>
          </cell>
          <cell r="U244" t="b">
            <v>1</v>
          </cell>
          <cell r="V244"/>
          <cell r="W244"/>
          <cell r="X244"/>
          <cell r="Y244">
            <v>195</v>
          </cell>
          <cell r="Z244"/>
          <cell r="AA244"/>
          <cell r="AB244"/>
          <cell r="AC244"/>
          <cell r="AD244"/>
          <cell r="AE244"/>
          <cell r="AF244"/>
          <cell r="AG244"/>
          <cell r="AH244">
            <v>196</v>
          </cell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</row>
        <row r="245">
          <cell r="A245" t="str">
            <v>Safety_CPU\Hardware_Interfaces\ASCommand</v>
          </cell>
          <cell r="B245" t="str">
            <v>N</v>
          </cell>
          <cell r="C245" t="str">
            <v>Y</v>
          </cell>
          <cell r="D245"/>
          <cell r="E245"/>
          <cell r="F245"/>
          <cell r="G245" t="str">
            <v>CN</v>
          </cell>
          <cell r="H245" t="str">
            <v>N</v>
          </cell>
          <cell r="I245"/>
          <cell r="J245"/>
          <cell r="K245"/>
          <cell r="L245"/>
          <cell r="M245"/>
          <cell r="N245"/>
          <cell r="O245"/>
          <cell r="P245"/>
          <cell r="Q245"/>
          <cell r="R245"/>
          <cell r="S245" t="b">
            <v>1</v>
          </cell>
          <cell r="T245" t="b">
            <v>1</v>
          </cell>
          <cell r="U245" t="b">
            <v>1</v>
          </cell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 t="str">
            <v>n/a</v>
          </cell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</row>
        <row r="246">
          <cell r="A246" t="str">
            <v>Safety_CPU\Hardware_Interfaces\HAL_Types</v>
          </cell>
          <cell r="B246" t="str">
            <v>N</v>
          </cell>
          <cell r="C246" t="str">
            <v>N</v>
          </cell>
          <cell r="D246"/>
          <cell r="E246"/>
          <cell r="F246"/>
          <cell r="G246" t="str">
            <v>CN</v>
          </cell>
          <cell r="H246" t="str">
            <v>N</v>
          </cell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 t="b">
            <v>1</v>
          </cell>
          <cell r="T246" t="b">
            <v>1</v>
          </cell>
          <cell r="U246" t="b">
            <v>1</v>
          </cell>
          <cell r="V246"/>
          <cell r="W246"/>
          <cell r="X246"/>
          <cell r="Y246" t="str">
            <v>n/a</v>
          </cell>
          <cell r="Z246"/>
          <cell r="AA246"/>
          <cell r="AB246"/>
          <cell r="AC246"/>
          <cell r="AD246"/>
          <cell r="AE246"/>
          <cell r="AF246"/>
          <cell r="AG246"/>
          <cell r="AH246" t="str">
            <v>n/a</v>
          </cell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/>
          <cell r="AV246"/>
          <cell r="AW246"/>
          <cell r="AX246"/>
          <cell r="AY246"/>
          <cell r="AZ246"/>
          <cell r="BA246"/>
          <cell r="BB246"/>
          <cell r="BC246"/>
          <cell r="BD246"/>
        </row>
        <row r="247">
          <cell r="A247" t="str">
            <v>Safety_CPU\OS_Entry_Points\Combined_OS_Entry_Points</v>
          </cell>
          <cell r="B247" t="str">
            <v>N</v>
          </cell>
          <cell r="C247" t="str">
            <v>N</v>
          </cell>
          <cell r="D247"/>
          <cell r="E247"/>
          <cell r="F247"/>
          <cell r="G247" t="str">
            <v>CN</v>
          </cell>
          <cell r="H247" t="str">
            <v>N</v>
          </cell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 t="b">
            <v>1</v>
          </cell>
          <cell r="T247" t="b">
            <v>1</v>
          </cell>
          <cell r="U247" t="b">
            <v>1</v>
          </cell>
          <cell r="V247"/>
          <cell r="W247"/>
          <cell r="X247"/>
          <cell r="Y247">
            <v>2298</v>
          </cell>
          <cell r="Z247"/>
          <cell r="AA247"/>
          <cell r="AB247"/>
          <cell r="AC247"/>
          <cell r="AD247"/>
          <cell r="AE247"/>
          <cell r="AF247"/>
          <cell r="AG247"/>
          <cell r="AH247">
            <v>1049</v>
          </cell>
          <cell r="AI247"/>
          <cell r="AJ247"/>
          <cell r="AK247"/>
          <cell r="AL247"/>
          <cell r="AM247"/>
          <cell r="AN247"/>
          <cell r="AO247"/>
          <cell r="AP247"/>
          <cell r="AQ247"/>
          <cell r="AR247"/>
          <cell r="AS247"/>
          <cell r="AT247"/>
          <cell r="AU247"/>
          <cell r="AV247"/>
          <cell r="AW247"/>
          <cell r="AX247"/>
          <cell r="AY247"/>
          <cell r="AZ247"/>
          <cell r="BA247"/>
          <cell r="BB247"/>
          <cell r="BC247"/>
          <cell r="BD247"/>
        </row>
        <row r="248">
          <cell r="A248" t="str">
            <v>Safety_CPU\Prerequisites\Busy_Wait</v>
          </cell>
          <cell r="B248" t="str">
            <v>N</v>
          </cell>
          <cell r="C248" t="str">
            <v>Y</v>
          </cell>
          <cell r="D248"/>
          <cell r="E248"/>
          <cell r="F248"/>
          <cell r="G248" t="str">
            <v>CN</v>
          </cell>
          <cell r="H248" t="str">
            <v>N</v>
          </cell>
          <cell r="I248"/>
          <cell r="J248"/>
          <cell r="K248"/>
          <cell r="L248"/>
          <cell r="M248"/>
          <cell r="N248"/>
          <cell r="O248"/>
          <cell r="P248"/>
          <cell r="Q248"/>
          <cell r="R248"/>
          <cell r="S248" t="b">
            <v>1</v>
          </cell>
          <cell r="T248" t="b">
            <v>1</v>
          </cell>
          <cell r="U248" t="b">
            <v>1</v>
          </cell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>
            <v>858</v>
          </cell>
          <cell r="AI248"/>
          <cell r="AJ248"/>
          <cell r="AK248"/>
          <cell r="AL248"/>
          <cell r="AM248"/>
          <cell r="AN248"/>
          <cell r="AO248"/>
          <cell r="AP248"/>
          <cell r="AQ248"/>
          <cell r="AR248"/>
          <cell r="AS248"/>
          <cell r="AT248"/>
          <cell r="AU248"/>
          <cell r="AV248"/>
          <cell r="AW248"/>
          <cell r="AX248"/>
          <cell r="AY248"/>
          <cell r="AZ248"/>
          <cell r="BA248"/>
          <cell r="BB248"/>
          <cell r="BC248"/>
          <cell r="BD248"/>
        </row>
        <row r="249">
          <cell r="A249" t="str">
            <v>Safety_CPU\Prerequisites\Determine_Software_Dataload_State</v>
          </cell>
          <cell r="B249" t="str">
            <v>N</v>
          </cell>
          <cell r="C249" t="str">
            <v>Y</v>
          </cell>
          <cell r="D249"/>
          <cell r="E249"/>
          <cell r="F249"/>
          <cell r="G249" t="str">
            <v>CN</v>
          </cell>
          <cell r="H249" t="str">
            <v>N</v>
          </cell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 t="b">
            <v>1</v>
          </cell>
          <cell r="T249" t="b">
            <v>1</v>
          </cell>
          <cell r="U249" t="b">
            <v>1</v>
          </cell>
          <cell r="V249"/>
          <cell r="W249"/>
          <cell r="X249"/>
          <cell r="Y249">
            <v>2355</v>
          </cell>
          <cell r="Z249"/>
          <cell r="AA249"/>
          <cell r="AB249"/>
          <cell r="AC249"/>
          <cell r="AD249"/>
          <cell r="AE249"/>
          <cell r="AF249"/>
          <cell r="AG249"/>
          <cell r="AH249">
            <v>1827</v>
          </cell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</row>
        <row r="250">
          <cell r="A250" t="str">
            <v>Safety_CPU\Prerequisites\Dispatcher</v>
          </cell>
          <cell r="B250" t="str">
            <v>N</v>
          </cell>
          <cell r="C250" t="str">
            <v>N</v>
          </cell>
          <cell r="D250"/>
          <cell r="E250"/>
          <cell r="F250"/>
          <cell r="G250" t="str">
            <v>CN</v>
          </cell>
          <cell r="H250" t="str">
            <v>N</v>
          </cell>
          <cell r="I250"/>
          <cell r="J250"/>
          <cell r="K250"/>
          <cell r="L250"/>
          <cell r="M250"/>
          <cell r="N250"/>
          <cell r="O250"/>
          <cell r="P250"/>
          <cell r="Q250"/>
          <cell r="R250"/>
          <cell r="S250" t="b">
            <v>1</v>
          </cell>
          <cell r="T250" t="b">
            <v>1</v>
          </cell>
          <cell r="U250" t="b">
            <v>1</v>
          </cell>
          <cell r="V250"/>
          <cell r="W250"/>
          <cell r="X250"/>
          <cell r="Y250">
            <v>2293</v>
          </cell>
          <cell r="Z250"/>
          <cell r="AA250"/>
          <cell r="AB250"/>
          <cell r="AC250"/>
          <cell r="AD250"/>
          <cell r="AE250"/>
          <cell r="AF250"/>
          <cell r="AG250"/>
          <cell r="AH250">
            <v>1056</v>
          </cell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</row>
        <row r="251">
          <cell r="A251" t="str">
            <v>Safety_CPU\Prerequisites\EEC_Operating_Modes</v>
          </cell>
          <cell r="B251" t="str">
            <v>N</v>
          </cell>
          <cell r="C251" t="str">
            <v>Y</v>
          </cell>
          <cell r="D251"/>
          <cell r="E251"/>
          <cell r="F251"/>
          <cell r="G251" t="str">
            <v>CN</v>
          </cell>
          <cell r="H251" t="str">
            <v>N</v>
          </cell>
          <cell r="I251"/>
          <cell r="J251"/>
          <cell r="K251"/>
          <cell r="L251"/>
          <cell r="M251"/>
          <cell r="N251"/>
          <cell r="O251"/>
          <cell r="P251"/>
          <cell r="Q251"/>
          <cell r="R251"/>
          <cell r="S251" t="b">
            <v>1</v>
          </cell>
          <cell r="T251" t="b">
            <v>1</v>
          </cell>
          <cell r="U251" t="b">
            <v>1</v>
          </cell>
          <cell r="V251"/>
          <cell r="W251"/>
          <cell r="X251"/>
          <cell r="Y251">
            <v>2740</v>
          </cell>
          <cell r="Z251"/>
          <cell r="AA251"/>
          <cell r="AB251"/>
          <cell r="AC251"/>
          <cell r="AD251"/>
          <cell r="AE251"/>
          <cell r="AF251"/>
          <cell r="AG251"/>
          <cell r="AH251">
            <v>739</v>
          </cell>
          <cell r="AI251"/>
          <cell r="AJ251"/>
          <cell r="AK251"/>
          <cell r="AL251"/>
          <cell r="AM251"/>
          <cell r="AN251"/>
          <cell r="AO251"/>
          <cell r="AP251"/>
          <cell r="AQ251"/>
          <cell r="AR251"/>
          <cell r="AS251"/>
          <cell r="AT251"/>
          <cell r="AU251"/>
          <cell r="AV251"/>
          <cell r="AW251"/>
          <cell r="AX251"/>
          <cell r="AY251"/>
          <cell r="AZ251"/>
          <cell r="BA251"/>
          <cell r="BB251"/>
          <cell r="BC251"/>
          <cell r="BD251"/>
        </row>
        <row r="252">
          <cell r="A252" t="str">
            <v>Safety_CPU\Prerequisites\Fault_Utilities\Fault_Collation</v>
          </cell>
          <cell r="B252" t="str">
            <v>N</v>
          </cell>
          <cell r="C252" t="str">
            <v>Y</v>
          </cell>
          <cell r="D252"/>
          <cell r="E252"/>
          <cell r="F252"/>
          <cell r="G252" t="str">
            <v>CN</v>
          </cell>
          <cell r="H252" t="str">
            <v>N</v>
          </cell>
          <cell r="I252"/>
          <cell r="J252"/>
          <cell r="K252"/>
          <cell r="L252"/>
          <cell r="M252"/>
          <cell r="N252"/>
          <cell r="O252"/>
          <cell r="P252"/>
          <cell r="Q252"/>
          <cell r="R252"/>
          <cell r="S252" t="b">
            <v>1</v>
          </cell>
          <cell r="T252" t="b">
            <v>1</v>
          </cell>
          <cell r="U252" t="b">
            <v>1</v>
          </cell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>
            <v>555</v>
          </cell>
          <cell r="AI252"/>
          <cell r="AJ252"/>
          <cell r="AK252"/>
          <cell r="AL252"/>
          <cell r="AM252"/>
          <cell r="AN252"/>
          <cell r="AO252"/>
          <cell r="AP252"/>
          <cell r="AQ252"/>
          <cell r="AR252"/>
          <cell r="AS252"/>
          <cell r="AT252"/>
          <cell r="AU252"/>
          <cell r="AV252"/>
          <cell r="AW252"/>
          <cell r="AX252"/>
          <cell r="AY252"/>
          <cell r="AZ252"/>
          <cell r="BA252"/>
          <cell r="BB252"/>
          <cell r="BC252"/>
          <cell r="BD252"/>
        </row>
        <row r="253">
          <cell r="A253" t="str">
            <v>Safety_CPU\Service_Interfaces</v>
          </cell>
          <cell r="B253" t="str">
            <v>N</v>
          </cell>
          <cell r="C253" t="str">
            <v>Y</v>
          </cell>
          <cell r="D253"/>
          <cell r="E253"/>
          <cell r="F253"/>
          <cell r="G253" t="str">
            <v>CN</v>
          </cell>
          <cell r="H253" t="str">
            <v>N</v>
          </cell>
          <cell r="I253"/>
          <cell r="J253"/>
          <cell r="K253"/>
          <cell r="L253"/>
          <cell r="M253"/>
          <cell r="N253"/>
          <cell r="O253"/>
          <cell r="P253"/>
          <cell r="Q253"/>
          <cell r="R253"/>
          <cell r="S253" t="b">
            <v>1</v>
          </cell>
          <cell r="T253" t="b">
            <v>1</v>
          </cell>
          <cell r="U253" t="b">
            <v>1</v>
          </cell>
          <cell r="V253"/>
          <cell r="W253"/>
          <cell r="X253"/>
          <cell r="Y253">
            <v>2281</v>
          </cell>
          <cell r="Z253"/>
          <cell r="AA253"/>
          <cell r="AB253"/>
          <cell r="AC253"/>
          <cell r="AD253"/>
          <cell r="AE253"/>
          <cell r="AF253"/>
          <cell r="AG253"/>
          <cell r="AH253">
            <v>825</v>
          </cell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</row>
        <row r="254">
          <cell r="A254" t="str">
            <v>Safety_CPU\Service_Layer\Airframe_Comms\Airframe_Data_Transformations</v>
          </cell>
          <cell r="B254" t="str">
            <v>N</v>
          </cell>
          <cell r="C254" t="str">
            <v>Y</v>
          </cell>
          <cell r="D254"/>
          <cell r="E254">
            <v>6224</v>
          </cell>
          <cell r="F254"/>
          <cell r="G254" t="str">
            <v>CN</v>
          </cell>
          <cell r="H254" t="str">
            <v>N</v>
          </cell>
          <cell r="I254"/>
          <cell r="J254"/>
          <cell r="K254"/>
          <cell r="L254"/>
          <cell r="M254" t="str">
            <v>Y</v>
          </cell>
          <cell r="N254" t="str">
            <v>Y</v>
          </cell>
          <cell r="O254" t="str">
            <v>Y</v>
          </cell>
          <cell r="P254" t="str">
            <v>Y</v>
          </cell>
          <cell r="Q254"/>
          <cell r="R254"/>
          <cell r="S254" t="b">
            <v>1</v>
          </cell>
          <cell r="T254" t="b">
            <v>1</v>
          </cell>
          <cell r="U254" t="b">
            <v>1</v>
          </cell>
          <cell r="V254"/>
          <cell r="W254"/>
          <cell r="X254"/>
          <cell r="Y254">
            <v>2281</v>
          </cell>
          <cell r="Z254"/>
          <cell r="AA254"/>
          <cell r="AB254"/>
          <cell r="AC254"/>
          <cell r="AD254"/>
          <cell r="AE254"/>
          <cell r="AF254"/>
          <cell r="AG254"/>
          <cell r="AH254">
            <v>825</v>
          </cell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</row>
        <row r="255">
          <cell r="A255" t="str">
            <v>Safety_CPU\Service_Layer\Airframe_Comms\Airframe_Data_TransformationsFTB</v>
          </cell>
          <cell r="B255" t="str">
            <v>N</v>
          </cell>
          <cell r="C255" t="str">
            <v>Y</v>
          </cell>
          <cell r="D255"/>
          <cell r="E255"/>
          <cell r="F255"/>
          <cell r="G255" t="str">
            <v>CN</v>
          </cell>
          <cell r="H255" t="str">
            <v>N</v>
          </cell>
          <cell r="I255"/>
          <cell r="J255"/>
          <cell r="K255"/>
          <cell r="L255"/>
          <cell r="M255"/>
          <cell r="N255"/>
          <cell r="O255"/>
          <cell r="P255"/>
          <cell r="Q255"/>
          <cell r="R255"/>
          <cell r="S255" t="b">
            <v>1</v>
          </cell>
          <cell r="T255" t="b">
            <v>1</v>
          </cell>
          <cell r="U255" t="b">
            <v>1</v>
          </cell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</row>
        <row r="256">
          <cell r="A256" t="str">
            <v>Safety_CPU\Service_Layer\Airframe_Comms\Airframe_Input_Overrides</v>
          </cell>
          <cell r="B256" t="str">
            <v>N</v>
          </cell>
          <cell r="C256" t="str">
            <v>Y</v>
          </cell>
          <cell r="D256"/>
          <cell r="E256"/>
          <cell r="F256"/>
          <cell r="G256" t="str">
            <v>CN</v>
          </cell>
          <cell r="H256" t="str">
            <v>N</v>
          </cell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 t="b">
            <v>1</v>
          </cell>
          <cell r="T256" t="b">
            <v>1</v>
          </cell>
          <cell r="U256" t="b">
            <v>1</v>
          </cell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>
            <v>679</v>
          </cell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</row>
        <row r="257">
          <cell r="A257" t="str">
            <v>Safety_CPU\Service_Layer\Airframe_Comms\Airframe_Maint_Reporting</v>
          </cell>
          <cell r="B257" t="str">
            <v>N</v>
          </cell>
          <cell r="C257" t="str">
            <v>Y</v>
          </cell>
          <cell r="E257"/>
          <cell r="F257"/>
          <cell r="G257" t="str">
            <v>CN</v>
          </cell>
          <cell r="H257" t="str">
            <v>N</v>
          </cell>
          <cell r="I257"/>
          <cell r="J257"/>
          <cell r="K257"/>
          <cell r="L257"/>
          <cell r="M257"/>
          <cell r="N257"/>
          <cell r="O257"/>
          <cell r="P257"/>
          <cell r="Q257"/>
          <cell r="R257"/>
          <cell r="S257" t="b">
            <v>1</v>
          </cell>
          <cell r="T257" t="b">
            <v>1</v>
          </cell>
          <cell r="U257" t="b">
            <v>1</v>
          </cell>
          <cell r="V257"/>
          <cell r="W257"/>
          <cell r="X257"/>
          <cell r="Y257">
            <v>2358</v>
          </cell>
          <cell r="Z257"/>
          <cell r="AA257"/>
          <cell r="AB257"/>
          <cell r="AC257"/>
          <cell r="AD257"/>
          <cell r="AE257"/>
          <cell r="AF257"/>
          <cell r="AG257"/>
          <cell r="AH257">
            <v>680</v>
          </cell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</row>
        <row r="258">
          <cell r="A258" t="str">
            <v>Safety_CPU\Service_Layer\Airframe_Comms\Data_Boundary</v>
          </cell>
          <cell r="B258" t="str">
            <v>N</v>
          </cell>
          <cell r="C258" t="str">
            <v>N</v>
          </cell>
          <cell r="D258"/>
          <cell r="E258"/>
          <cell r="F258"/>
          <cell r="G258" t="str">
            <v>CN</v>
          </cell>
          <cell r="H258" t="str">
            <v>N</v>
          </cell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 t="b">
            <v>1</v>
          </cell>
          <cell r="T258" t="b">
            <v>1</v>
          </cell>
          <cell r="U258" t="b">
            <v>1</v>
          </cell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>
            <v>824</v>
          </cell>
          <cell r="AI258"/>
          <cell r="AJ258"/>
          <cell r="AK258"/>
          <cell r="AL258"/>
          <cell r="AM258"/>
          <cell r="AN258"/>
          <cell r="AO258"/>
          <cell r="AP258"/>
          <cell r="AQ258"/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</row>
        <row r="259">
          <cell r="A259" t="str">
            <v>Safety_CPU\Service_Layer\Airframe_Comms\Data_Handler\AC_Data_Handler_Types\From_AC_Data_Handler_Types</v>
          </cell>
          <cell r="B259" t="str">
            <v>N</v>
          </cell>
          <cell r="C259" t="str">
            <v>Y</v>
          </cell>
          <cell r="D259"/>
          <cell r="E259"/>
          <cell r="F259"/>
          <cell r="G259" t="str">
            <v>CN</v>
          </cell>
          <cell r="H259" t="str">
            <v>N</v>
          </cell>
          <cell r="I259"/>
          <cell r="J259"/>
          <cell r="K259"/>
          <cell r="L259"/>
          <cell r="M259"/>
          <cell r="N259"/>
          <cell r="O259"/>
          <cell r="P259"/>
          <cell r="Q259"/>
          <cell r="R259"/>
          <cell r="S259" t="b">
            <v>1</v>
          </cell>
          <cell r="T259" t="b">
            <v>1</v>
          </cell>
          <cell r="U259" t="b">
            <v>1</v>
          </cell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</row>
        <row r="260">
          <cell r="A260" t="str">
            <v>Safety_CPU\Service_Layer\Airframe_Comms\Data_Handler\AC_Data_Handler_Types\To_AC_Data_Handler_Types</v>
          </cell>
          <cell r="B260" t="str">
            <v>N</v>
          </cell>
          <cell r="C260" t="str">
            <v>Y</v>
          </cell>
          <cell r="D260"/>
          <cell r="E260"/>
          <cell r="F260"/>
          <cell r="G260" t="str">
            <v>CN</v>
          </cell>
          <cell r="H260" t="str">
            <v>N</v>
          </cell>
          <cell r="I260"/>
          <cell r="J260"/>
          <cell r="K260"/>
          <cell r="L260"/>
          <cell r="M260" t="str">
            <v>Y</v>
          </cell>
          <cell r="N260" t="str">
            <v>Y</v>
          </cell>
          <cell r="O260" t="str">
            <v>Y</v>
          </cell>
          <cell r="P260" t="str">
            <v>Y</v>
          </cell>
          <cell r="Q260"/>
          <cell r="R260"/>
          <cell r="S260" t="b">
            <v>1</v>
          </cell>
          <cell r="T260" t="b">
            <v>1</v>
          </cell>
          <cell r="U260" t="b">
            <v>1</v>
          </cell>
          <cell r="V260">
            <v>3</v>
          </cell>
          <cell r="W260" t="str">
            <v>RRB</v>
          </cell>
          <cell r="X260" t="str">
            <v>SN</v>
          </cell>
          <cell r="Y260">
            <v>381</v>
          </cell>
          <cell r="Z260"/>
          <cell r="AA260"/>
          <cell r="AB260"/>
          <cell r="AC260"/>
          <cell r="AD260"/>
          <cell r="AE260"/>
          <cell r="AF260" t="str">
            <v>RRB</v>
          </cell>
          <cell r="AG260" t="str">
            <v>SN</v>
          </cell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 t="str">
            <v>RRB</v>
          </cell>
          <cell r="AW260"/>
          <cell r="AX260" t="str">
            <v>SN</v>
          </cell>
          <cell r="AY260"/>
          <cell r="AZ260"/>
          <cell r="BA260"/>
          <cell r="BB260"/>
          <cell r="BC260"/>
          <cell r="BD260"/>
        </row>
        <row r="261">
          <cell r="A261" t="str">
            <v>Safety_CPU\Service_Layer\Airframe_Comms\Data_Handler\AC_Data_Handler_Utils</v>
          </cell>
          <cell r="B261" t="str">
            <v>N</v>
          </cell>
          <cell r="C261" t="str">
            <v>Y</v>
          </cell>
          <cell r="D261"/>
          <cell r="E261"/>
          <cell r="F261"/>
          <cell r="G261" t="str">
            <v>CN</v>
          </cell>
          <cell r="H261" t="str">
            <v>N</v>
          </cell>
          <cell r="I261"/>
          <cell r="J261"/>
          <cell r="K261"/>
          <cell r="L261"/>
          <cell r="M261"/>
          <cell r="N261"/>
          <cell r="O261"/>
          <cell r="P261"/>
          <cell r="Q261"/>
          <cell r="R261"/>
          <cell r="S261" t="b">
            <v>1</v>
          </cell>
          <cell r="T261" t="b">
            <v>1</v>
          </cell>
          <cell r="U261" t="b">
            <v>1</v>
          </cell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>
            <v>682</v>
          </cell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</row>
        <row r="262">
          <cell r="A262" t="str">
            <v>Safety_CPU\Service_Layer\Airframe_Comms\Data_Handler\From_AC_Data_Handler</v>
          </cell>
          <cell r="B262" t="str">
            <v>N</v>
          </cell>
          <cell r="C262" t="str">
            <v>Y</v>
          </cell>
          <cell r="D262"/>
          <cell r="E262"/>
          <cell r="F262"/>
          <cell r="G262" t="str">
            <v>CN</v>
          </cell>
          <cell r="H262" t="str">
            <v>N</v>
          </cell>
          <cell r="I262"/>
          <cell r="J262"/>
          <cell r="K262"/>
          <cell r="L262"/>
          <cell r="M262"/>
          <cell r="N262"/>
          <cell r="O262"/>
          <cell r="P262"/>
          <cell r="Q262"/>
          <cell r="R262"/>
          <cell r="S262" t="b">
            <v>1</v>
          </cell>
          <cell r="T262" t="b">
            <v>1</v>
          </cell>
          <cell r="U262" t="b">
            <v>1</v>
          </cell>
          <cell r="V262"/>
          <cell r="W262"/>
          <cell r="X262"/>
          <cell r="Y262">
            <v>2356</v>
          </cell>
          <cell r="Z262"/>
          <cell r="AA262"/>
          <cell r="AB262"/>
          <cell r="AC262"/>
          <cell r="AD262"/>
          <cell r="AE262"/>
          <cell r="AF262"/>
          <cell r="AG262"/>
          <cell r="AH262">
            <v>683</v>
          </cell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</row>
        <row r="263">
          <cell r="A263" t="str">
            <v>Safety_CPU\Service_Layer\Airframe_Comms\Data_Handler\From_AC_Data_Handler_A380_Airframe</v>
          </cell>
          <cell r="B263" t="str">
            <v>N</v>
          </cell>
          <cell r="C263" t="str">
            <v>Y</v>
          </cell>
          <cell r="D263"/>
          <cell r="E263"/>
          <cell r="F263"/>
          <cell r="G263" t="str">
            <v>CN</v>
          </cell>
          <cell r="H263" t="str">
            <v>N</v>
          </cell>
          <cell r="I263"/>
          <cell r="J263"/>
          <cell r="K263"/>
          <cell r="L263"/>
          <cell r="M263"/>
          <cell r="N263"/>
          <cell r="O263"/>
          <cell r="P263"/>
          <cell r="Q263"/>
          <cell r="R263"/>
          <cell r="S263" t="b">
            <v>1</v>
          </cell>
          <cell r="T263" t="b">
            <v>1</v>
          </cell>
          <cell r="U263" t="b">
            <v>1</v>
          </cell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>
            <v>1463</v>
          </cell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</row>
        <row r="264">
          <cell r="A264" t="str">
            <v>Safety_CPU\Service_Layer\Airframe_Comms\Data_Handler\From_AC_Data_Handler_A380_Airframe_1</v>
          </cell>
          <cell r="B264" t="str">
            <v>N</v>
          </cell>
          <cell r="C264" t="str">
            <v>Y</v>
          </cell>
          <cell r="D264"/>
          <cell r="E264"/>
          <cell r="F264"/>
          <cell r="G264" t="str">
            <v>CN</v>
          </cell>
          <cell r="H264" t="str">
            <v>N</v>
          </cell>
          <cell r="I264"/>
          <cell r="J264"/>
          <cell r="K264"/>
          <cell r="L264"/>
          <cell r="M264"/>
          <cell r="N264"/>
          <cell r="O264"/>
          <cell r="P264"/>
          <cell r="Q264"/>
          <cell r="R264"/>
          <cell r="S264" t="b">
            <v>1</v>
          </cell>
          <cell r="T264" t="b">
            <v>1</v>
          </cell>
          <cell r="U264" t="b">
            <v>1</v>
          </cell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>
            <v>1463</v>
          </cell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</row>
        <row r="265">
          <cell r="A265" t="str">
            <v>Safety_CPU\Service_Layer\Airframe_Comms\Data_Handler\From_AC_Data_Handler_A380_Airframe_2</v>
          </cell>
          <cell r="B265" t="str">
            <v>N</v>
          </cell>
          <cell r="C265" t="str">
            <v>Y</v>
          </cell>
          <cell r="D265"/>
          <cell r="E265"/>
          <cell r="F265"/>
          <cell r="G265" t="str">
            <v>CN</v>
          </cell>
          <cell r="H265" t="str">
            <v>N</v>
          </cell>
          <cell r="I265"/>
          <cell r="J265"/>
          <cell r="K265"/>
          <cell r="L265"/>
          <cell r="M265"/>
          <cell r="N265"/>
          <cell r="O265"/>
          <cell r="P265"/>
          <cell r="Q265"/>
          <cell r="R265"/>
          <cell r="S265" t="b">
            <v>1</v>
          </cell>
          <cell r="T265" t="b">
            <v>1</v>
          </cell>
          <cell r="U265" t="b">
            <v>1</v>
          </cell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>
            <v>1463</v>
          </cell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</row>
        <row r="266">
          <cell r="A266" t="str">
            <v>Safety_CPU\Service_Layer\Airframe_Comms\Data_Handler\From_AC_Data_Handler_A380_Airframe_3</v>
          </cell>
          <cell r="B266" t="str">
            <v>N</v>
          </cell>
          <cell r="C266" t="str">
            <v>Y</v>
          </cell>
          <cell r="D266"/>
          <cell r="E266"/>
          <cell r="F266"/>
          <cell r="G266" t="str">
            <v>CN</v>
          </cell>
          <cell r="H266" t="str">
            <v>N</v>
          </cell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 t="b">
            <v>1</v>
          </cell>
          <cell r="T266" t="b">
            <v>1</v>
          </cell>
          <cell r="U266" t="b">
            <v>1</v>
          </cell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>
            <v>1463</v>
          </cell>
          <cell r="AI266"/>
          <cell r="AJ266"/>
          <cell r="AK266"/>
          <cell r="AL266"/>
          <cell r="AM266"/>
          <cell r="AN266"/>
          <cell r="AO266"/>
          <cell r="AP266"/>
          <cell r="AQ266"/>
          <cell r="AR266"/>
          <cell r="AS266"/>
          <cell r="AT266"/>
          <cell r="AU266"/>
          <cell r="AV266"/>
          <cell r="AW266"/>
          <cell r="AX266"/>
          <cell r="AY266"/>
          <cell r="AZ266"/>
          <cell r="BA266"/>
          <cell r="BB266"/>
          <cell r="BC266"/>
          <cell r="BD266"/>
        </row>
        <row r="267">
          <cell r="A267" t="str">
            <v>Safety_CPU\Service_Layer\Airframe_Comms\Data_Handler\From_AC_Data_Handler_A380_Airframe_4</v>
          </cell>
          <cell r="B267" t="str">
            <v>N</v>
          </cell>
          <cell r="C267" t="str">
            <v>Y</v>
          </cell>
          <cell r="D267"/>
          <cell r="E267"/>
          <cell r="F267"/>
          <cell r="G267" t="str">
            <v>CN</v>
          </cell>
          <cell r="H267" t="str">
            <v>N</v>
          </cell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 t="b">
            <v>1</v>
          </cell>
          <cell r="T267" t="b">
            <v>1</v>
          </cell>
          <cell r="U267" t="b">
            <v>1</v>
          </cell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>
            <v>1463</v>
          </cell>
          <cell r="AI267"/>
          <cell r="AJ267"/>
          <cell r="AK267"/>
          <cell r="AL267"/>
          <cell r="AM267"/>
          <cell r="AN267"/>
          <cell r="AO267"/>
          <cell r="AP267"/>
          <cell r="AQ267"/>
          <cell r="AR267"/>
          <cell r="AS267"/>
          <cell r="AT267"/>
          <cell r="AU267"/>
          <cell r="AV267"/>
          <cell r="AW267"/>
          <cell r="AX267"/>
          <cell r="AY267"/>
          <cell r="AZ267"/>
          <cell r="BA267"/>
          <cell r="BB267"/>
          <cell r="BC267"/>
          <cell r="BD267"/>
        </row>
        <row r="268">
          <cell r="A268" t="str">
            <v>Safety_CPU\Service_Layer\Airframe_Comms\Data_Handler\From_AC_Data_Handler_A350_Airframe</v>
          </cell>
          <cell r="B268" t="str">
            <v>N</v>
          </cell>
          <cell r="C268" t="str">
            <v>Y</v>
          </cell>
          <cell r="D268"/>
          <cell r="E268"/>
          <cell r="F268"/>
          <cell r="G268" t="str">
            <v>CN</v>
          </cell>
          <cell r="H268" t="str">
            <v>N</v>
          </cell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 t="b">
            <v>1</v>
          </cell>
          <cell r="T268" t="b">
            <v>1</v>
          </cell>
          <cell r="U268" t="b">
            <v>1</v>
          </cell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>
            <v>1463</v>
          </cell>
          <cell r="AI268"/>
          <cell r="AJ268"/>
          <cell r="AK268"/>
          <cell r="AL268"/>
          <cell r="AM268"/>
          <cell r="AN268"/>
          <cell r="AO268"/>
          <cell r="AP268"/>
          <cell r="AQ268"/>
          <cell r="AR268"/>
          <cell r="AS268"/>
          <cell r="AT268"/>
          <cell r="AU268"/>
          <cell r="AV268"/>
          <cell r="AW268"/>
          <cell r="AX268"/>
          <cell r="AY268"/>
          <cell r="AZ268"/>
          <cell r="BA268"/>
          <cell r="BB268"/>
          <cell r="BC268"/>
          <cell r="BD268"/>
        </row>
        <row r="269">
          <cell r="A269" t="str">
            <v>Safety_CPU\Service_Layer\Airframe_Comms\Data_Handler\From_AC_Data_Handler_A350_EIF_PCS</v>
          </cell>
          <cell r="B269" t="str">
            <v>N</v>
          </cell>
          <cell r="C269" t="str">
            <v>Y</v>
          </cell>
          <cell r="D269"/>
          <cell r="E269"/>
          <cell r="F269"/>
          <cell r="G269" t="str">
            <v>CN</v>
          </cell>
          <cell r="H269" t="str">
            <v>N</v>
          </cell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 t="b">
            <v>1</v>
          </cell>
          <cell r="T269" t="b">
            <v>1</v>
          </cell>
          <cell r="U269" t="b">
            <v>1</v>
          </cell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>
            <v>1464</v>
          </cell>
          <cell r="AI269"/>
          <cell r="AJ269"/>
          <cell r="AK269"/>
          <cell r="AL269"/>
          <cell r="AM269"/>
          <cell r="AN269"/>
          <cell r="AO269"/>
          <cell r="AP269"/>
          <cell r="AQ269"/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</row>
        <row r="270">
          <cell r="A270" t="str">
            <v>Safety_CPU\Service_Layer\Airframe_Comms\Data_Handler\From_AC_Data_Handler_A350_Group_1_Safety</v>
          </cell>
          <cell r="B270" t="str">
            <v>N</v>
          </cell>
          <cell r="C270" t="str">
            <v>Y</v>
          </cell>
          <cell r="D270"/>
          <cell r="E270"/>
          <cell r="F270"/>
          <cell r="G270" t="str">
            <v>CN</v>
          </cell>
          <cell r="H270" t="str">
            <v>N</v>
          </cell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 t="b">
            <v>1</v>
          </cell>
          <cell r="T270" t="b">
            <v>1</v>
          </cell>
          <cell r="U270" t="b">
            <v>1</v>
          </cell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</row>
        <row r="271">
          <cell r="A271" t="str">
            <v>Safety_CPU\Service_Layer\Airframe_Comms\Data_Handler\From_AC_Data_Handler_A380_CAN_Bus</v>
          </cell>
          <cell r="B271" t="str">
            <v>N</v>
          </cell>
          <cell r="C271" t="str">
            <v>Y</v>
          </cell>
          <cell r="D271"/>
          <cell r="E271"/>
          <cell r="F271"/>
          <cell r="G271" t="str">
            <v>CN</v>
          </cell>
          <cell r="H271" t="str">
            <v>N</v>
          </cell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 t="b">
            <v>1</v>
          </cell>
          <cell r="T271" t="b">
            <v>1</v>
          </cell>
          <cell r="U271" t="b">
            <v>1</v>
          </cell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>
            <v>1296</v>
          </cell>
          <cell r="AI271"/>
          <cell r="AJ271"/>
          <cell r="AK271"/>
          <cell r="AL271"/>
          <cell r="AM271"/>
          <cell r="AN271"/>
          <cell r="AO271"/>
          <cell r="AP271"/>
          <cell r="AQ271"/>
          <cell r="AR271"/>
          <cell r="AS271"/>
          <cell r="AT271"/>
          <cell r="AU271"/>
          <cell r="AV271"/>
          <cell r="AW271"/>
          <cell r="AX271"/>
          <cell r="AY271"/>
          <cell r="AZ271"/>
          <cell r="BA271"/>
          <cell r="BB271"/>
          <cell r="BC271"/>
          <cell r="BD271"/>
        </row>
        <row r="272">
          <cell r="A272" t="str">
            <v>Safety_CPU\Service_Layer\Airframe_Comms\Data_Handler\From_AC_Data_Handler_CAN_Bus</v>
          </cell>
          <cell r="B272" t="str">
            <v>N</v>
          </cell>
          <cell r="C272" t="str">
            <v>Y</v>
          </cell>
          <cell r="D272"/>
          <cell r="E272"/>
          <cell r="F272"/>
          <cell r="G272" t="str">
            <v>CN</v>
          </cell>
          <cell r="H272" t="str">
            <v>N</v>
          </cell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 t="b">
            <v>1</v>
          </cell>
          <cell r="T272" t="b">
            <v>1</v>
          </cell>
          <cell r="U272" t="b">
            <v>1</v>
          </cell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>
            <v>1296</v>
          </cell>
          <cell r="AI272"/>
          <cell r="AJ272"/>
          <cell r="AK272"/>
          <cell r="AL272"/>
          <cell r="AM272"/>
          <cell r="AN272"/>
          <cell r="AO272"/>
          <cell r="AP272"/>
          <cell r="AQ272"/>
          <cell r="AR272"/>
          <cell r="AS272"/>
          <cell r="AT272"/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</row>
        <row r="273">
          <cell r="A273" t="str">
            <v>Safety_CPU\Service_Layer\Airframe_Comms\Data_Handler\To_AC_Data_Handler</v>
          </cell>
          <cell r="B273" t="str">
            <v>N</v>
          </cell>
          <cell r="C273" t="str">
            <v>Y</v>
          </cell>
          <cell r="D273"/>
          <cell r="E273"/>
          <cell r="F273"/>
          <cell r="G273" t="str">
            <v>CN</v>
          </cell>
          <cell r="H273" t="str">
            <v>N</v>
          </cell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 t="b">
            <v>1</v>
          </cell>
          <cell r="T273" t="b">
            <v>1</v>
          </cell>
          <cell r="U273" t="b">
            <v>1</v>
          </cell>
          <cell r="V273" t="str">
            <v>1,3</v>
          </cell>
          <cell r="W273"/>
          <cell r="X273"/>
          <cell r="Y273">
            <v>382</v>
          </cell>
          <cell r="Z273"/>
          <cell r="AA273"/>
          <cell r="AB273"/>
          <cell r="AC273"/>
          <cell r="AD273"/>
          <cell r="AE273"/>
          <cell r="AF273"/>
          <cell r="AG273"/>
          <cell r="AH273">
            <v>383</v>
          </cell>
          <cell r="AI273"/>
          <cell r="AJ273"/>
          <cell r="AK273"/>
          <cell r="AL273"/>
          <cell r="AM273"/>
          <cell r="AN273"/>
          <cell r="AO273"/>
          <cell r="AP273"/>
          <cell r="AQ273"/>
          <cell r="AR273"/>
          <cell r="AS273"/>
          <cell r="AT273"/>
          <cell r="AU273"/>
          <cell r="AV273"/>
          <cell r="AW273"/>
          <cell r="AX273"/>
          <cell r="AY273"/>
          <cell r="AZ273"/>
          <cell r="BA273"/>
          <cell r="BB273"/>
          <cell r="BC273"/>
          <cell r="BD273"/>
        </row>
        <row r="274">
          <cell r="A274" t="str">
            <v>Safety_CPU\Service_Layer\Airframe_Comms\Data_Handler\To_AC_Data_Handler_A380_Airframe_1</v>
          </cell>
          <cell r="B274" t="str">
            <v>N</v>
          </cell>
          <cell r="C274" t="str">
            <v>Y</v>
          </cell>
          <cell r="D274"/>
          <cell r="E274"/>
          <cell r="F274"/>
          <cell r="G274" t="str">
            <v>CN</v>
          </cell>
          <cell r="H274" t="str">
            <v>N</v>
          </cell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 t="b">
            <v>1</v>
          </cell>
          <cell r="T274" t="b">
            <v>1</v>
          </cell>
          <cell r="U274" t="b">
            <v>1</v>
          </cell>
          <cell r="V274">
            <v>3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/>
          <cell r="AO274"/>
          <cell r="AP274"/>
          <cell r="AQ274"/>
          <cell r="AR274"/>
          <cell r="AS274"/>
          <cell r="AT274"/>
          <cell r="AU274"/>
          <cell r="AV274"/>
          <cell r="AW274"/>
          <cell r="AX274"/>
          <cell r="AY274"/>
          <cell r="AZ274"/>
          <cell r="BA274"/>
          <cell r="BB274"/>
          <cell r="BC274"/>
          <cell r="BD274"/>
        </row>
        <row r="275">
          <cell r="A275" t="str">
            <v>Safety_CPU\Service_Layer\Airframe_Comms\Data_Handler\To_AC_Data_Handler_A380_Airframe_2</v>
          </cell>
          <cell r="B275" t="str">
            <v>N</v>
          </cell>
          <cell r="C275" t="str">
            <v>Y</v>
          </cell>
          <cell r="D275"/>
          <cell r="E275"/>
          <cell r="F275"/>
          <cell r="G275" t="str">
            <v>CN</v>
          </cell>
          <cell r="H275" t="str">
            <v>N</v>
          </cell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 t="b">
            <v>1</v>
          </cell>
          <cell r="T275" t="b">
            <v>1</v>
          </cell>
          <cell r="U275" t="b">
            <v>1</v>
          </cell>
          <cell r="V275">
            <v>1</v>
          </cell>
          <cell r="W275"/>
          <cell r="X275"/>
          <cell r="Y275">
            <v>379</v>
          </cell>
          <cell r="Z275"/>
          <cell r="AA275"/>
          <cell r="AB275"/>
          <cell r="AC275"/>
          <cell r="AD275"/>
          <cell r="AE275"/>
          <cell r="AF275"/>
          <cell r="AG275"/>
          <cell r="AH275">
            <v>380</v>
          </cell>
          <cell r="AI275"/>
          <cell r="AJ275"/>
          <cell r="AK275"/>
          <cell r="AL275"/>
          <cell r="AM275"/>
          <cell r="AN275"/>
          <cell r="AO275"/>
          <cell r="AP275"/>
          <cell r="AQ275"/>
          <cell r="AR275"/>
          <cell r="AS275"/>
          <cell r="AT275"/>
          <cell r="AU275"/>
          <cell r="AV275"/>
          <cell r="AW275"/>
          <cell r="AX275"/>
          <cell r="AY275"/>
          <cell r="AZ275"/>
          <cell r="BA275"/>
          <cell r="BB275"/>
          <cell r="BC275"/>
          <cell r="BD275"/>
        </row>
        <row r="276">
          <cell r="A276" t="str">
            <v>Safety_CPU\Service_Layer\Airframe_Comms\Data_Handler\To_AC_Data_Handler_A380_Airframe_3</v>
          </cell>
          <cell r="B276" t="str">
            <v>N</v>
          </cell>
          <cell r="C276" t="str">
            <v>Y</v>
          </cell>
          <cell r="D276"/>
          <cell r="E276"/>
          <cell r="F276"/>
          <cell r="G276" t="str">
            <v>CN</v>
          </cell>
          <cell r="H276" t="str">
            <v>N</v>
          </cell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 t="b">
            <v>1</v>
          </cell>
          <cell r="T276" t="b">
            <v>1</v>
          </cell>
          <cell r="U276" t="b">
            <v>1</v>
          </cell>
          <cell r="V276"/>
          <cell r="W276"/>
          <cell r="X276"/>
          <cell r="Y276">
            <v>426</v>
          </cell>
          <cell r="Z276"/>
          <cell r="AA276"/>
          <cell r="AB276"/>
          <cell r="AC276"/>
          <cell r="AD276"/>
          <cell r="AE276"/>
          <cell r="AF276"/>
          <cell r="AG276"/>
          <cell r="AH276">
            <v>427</v>
          </cell>
          <cell r="AI276"/>
          <cell r="AJ276"/>
          <cell r="AK276"/>
          <cell r="AL276"/>
          <cell r="AM276"/>
          <cell r="AN276"/>
          <cell r="AO276"/>
          <cell r="AP276"/>
          <cell r="AQ276"/>
          <cell r="AR276"/>
          <cell r="AS276"/>
          <cell r="AT276"/>
          <cell r="AU276"/>
          <cell r="AV276"/>
          <cell r="AW276"/>
          <cell r="AX276"/>
          <cell r="AY276"/>
          <cell r="AZ276"/>
          <cell r="BA276"/>
          <cell r="BB276"/>
          <cell r="BC276"/>
          <cell r="BD276"/>
        </row>
        <row r="277">
          <cell r="A277" t="str">
            <v>Safety_CPU\Service_Layer\Airframe_Comms\Data_Handler\To_AC_Data_Handler_A350_Airframe</v>
          </cell>
          <cell r="B277" t="str">
            <v>N</v>
          </cell>
          <cell r="C277" t="str">
            <v>Y</v>
          </cell>
          <cell r="D277"/>
          <cell r="E277">
            <v>6224</v>
          </cell>
          <cell r="F277"/>
          <cell r="G277" t="str">
            <v>CN</v>
          </cell>
          <cell r="H277" t="str">
            <v>N</v>
          </cell>
          <cell r="I277"/>
          <cell r="J277"/>
          <cell r="K277"/>
          <cell r="L277"/>
          <cell r="M277" t="str">
            <v>Y</v>
          </cell>
          <cell r="N277" t="str">
            <v>Y</v>
          </cell>
          <cell r="O277" t="str">
            <v>Y</v>
          </cell>
          <cell r="P277" t="str">
            <v>Y</v>
          </cell>
          <cell r="Q277"/>
          <cell r="R277"/>
          <cell r="S277" t="b">
            <v>1</v>
          </cell>
          <cell r="T277" t="b">
            <v>1</v>
          </cell>
          <cell r="U277" t="b">
            <v>1</v>
          </cell>
          <cell r="V277"/>
          <cell r="W277"/>
          <cell r="X277"/>
          <cell r="Y277">
            <v>2363</v>
          </cell>
          <cell r="Z277"/>
          <cell r="AA277"/>
          <cell r="AB277"/>
          <cell r="AC277"/>
          <cell r="AD277"/>
          <cell r="AE277"/>
          <cell r="AF277"/>
          <cell r="AG277"/>
          <cell r="AH277">
            <v>1465</v>
          </cell>
          <cell r="AI277"/>
          <cell r="AJ277"/>
          <cell r="AK277"/>
          <cell r="AL277"/>
          <cell r="AM277"/>
          <cell r="AN277"/>
          <cell r="AO277"/>
          <cell r="AP277"/>
          <cell r="AQ277"/>
          <cell r="AR277"/>
          <cell r="AS277"/>
          <cell r="AT277"/>
          <cell r="AU277"/>
          <cell r="AV277"/>
          <cell r="AW277"/>
          <cell r="AX277"/>
          <cell r="AY277"/>
          <cell r="AZ277"/>
          <cell r="BA277"/>
          <cell r="BB277"/>
          <cell r="BC277"/>
          <cell r="BD277"/>
        </row>
        <row r="278">
          <cell r="A278" t="str">
            <v>Safety_CPU\Service_Layer\Airframe_Comms\Data_Handler\To_AC_Data_Handler_A350_Airframe_2</v>
          </cell>
          <cell r="B278" t="str">
            <v>N</v>
          </cell>
          <cell r="C278" t="str">
            <v>Y</v>
          </cell>
          <cell r="D278"/>
          <cell r="E278"/>
          <cell r="F278"/>
          <cell r="G278" t="str">
            <v>CN</v>
          </cell>
          <cell r="H278" t="str">
            <v>N</v>
          </cell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 t="b">
            <v>1</v>
          </cell>
          <cell r="T278" t="b">
            <v>1</v>
          </cell>
          <cell r="U278" t="b">
            <v>1</v>
          </cell>
          <cell r="V278"/>
          <cell r="W278"/>
          <cell r="X278"/>
          <cell r="Y278">
            <v>2364</v>
          </cell>
          <cell r="Z278"/>
          <cell r="AA278"/>
          <cell r="AB278"/>
          <cell r="AC278"/>
          <cell r="AD278"/>
          <cell r="AE278"/>
          <cell r="AF278"/>
          <cell r="AG278"/>
          <cell r="AH278">
            <v>2195</v>
          </cell>
          <cell r="AI278"/>
          <cell r="AJ278"/>
          <cell r="AK278"/>
          <cell r="AL278"/>
          <cell r="AM278"/>
          <cell r="AN278"/>
          <cell r="AO278"/>
          <cell r="AP278"/>
          <cell r="AQ278"/>
          <cell r="AR278"/>
          <cell r="AS278"/>
          <cell r="AT278"/>
          <cell r="AU278"/>
          <cell r="AV278"/>
          <cell r="AW278"/>
          <cell r="AX278"/>
          <cell r="AY278"/>
          <cell r="AZ278"/>
          <cell r="BA278"/>
          <cell r="BB278"/>
          <cell r="BC278"/>
          <cell r="BD278"/>
        </row>
        <row r="279">
          <cell r="A279" t="str">
            <v>Safety_CPU\Service_Layer\Airframe_Comms\Data_Handler\To_AC_Data_Handler_A350_Eng_Data_Fr1</v>
          </cell>
          <cell r="B279" t="str">
            <v>N</v>
          </cell>
          <cell r="C279" t="str">
            <v>Y</v>
          </cell>
          <cell r="D279"/>
          <cell r="E279"/>
          <cell r="F279"/>
          <cell r="G279" t="str">
            <v>CN</v>
          </cell>
          <cell r="H279" t="str">
            <v>N</v>
          </cell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 t="b">
            <v>1</v>
          </cell>
          <cell r="T279" t="b">
            <v>1</v>
          </cell>
          <cell r="U279" t="b">
            <v>1</v>
          </cell>
          <cell r="V279"/>
          <cell r="W279"/>
          <cell r="X279"/>
          <cell r="Y279">
            <v>2342</v>
          </cell>
          <cell r="Z279"/>
          <cell r="AA279"/>
          <cell r="AB279"/>
          <cell r="AC279"/>
          <cell r="AD279"/>
          <cell r="AE279"/>
          <cell r="AF279"/>
          <cell r="AG279"/>
          <cell r="AH279">
            <v>1466</v>
          </cell>
          <cell r="AI279"/>
          <cell r="AJ279"/>
          <cell r="AK279"/>
          <cell r="AL279"/>
          <cell r="AM279"/>
          <cell r="AN279"/>
          <cell r="AO279"/>
          <cell r="AP279"/>
          <cell r="AQ279"/>
          <cell r="AR279"/>
          <cell r="AS279"/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</row>
        <row r="280">
          <cell r="A280" t="str">
            <v>Safety_CPU\Service_Layer\Airframe_Comms\Data_Handler\To_AC_Data_Handler_A380_CAN_Bus</v>
          </cell>
          <cell r="B280" t="str">
            <v>N</v>
          </cell>
          <cell r="C280" t="str">
            <v>Y</v>
          </cell>
          <cell r="D280"/>
          <cell r="E280"/>
          <cell r="F280"/>
          <cell r="G280" t="str">
            <v>CN</v>
          </cell>
          <cell r="H280" t="str">
            <v>N</v>
          </cell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 t="b">
            <v>1</v>
          </cell>
          <cell r="T280" t="b">
            <v>1</v>
          </cell>
          <cell r="U280" t="b">
            <v>1</v>
          </cell>
          <cell r="V280"/>
          <cell r="W280"/>
          <cell r="X280"/>
          <cell r="Y280">
            <v>2343</v>
          </cell>
          <cell r="Z280"/>
          <cell r="AA280"/>
          <cell r="AB280"/>
          <cell r="AC280"/>
          <cell r="AD280"/>
          <cell r="AE280"/>
          <cell r="AF280"/>
          <cell r="AG280"/>
          <cell r="AH280">
            <v>1299</v>
          </cell>
          <cell r="AI280"/>
          <cell r="AJ280"/>
          <cell r="AK280"/>
          <cell r="AL280"/>
          <cell r="AM280"/>
          <cell r="AN280"/>
          <cell r="AO280"/>
          <cell r="AP280"/>
          <cell r="AQ280"/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</row>
        <row r="281">
          <cell r="A281" t="str">
            <v>Safety_CPU\Service_Layer\Airframe_Comms\Data_Handler\To_AC_Data_Handler_CAN_Bus</v>
          </cell>
          <cell r="B281" t="str">
            <v>N</v>
          </cell>
          <cell r="C281" t="str">
            <v>Y</v>
          </cell>
          <cell r="D281"/>
          <cell r="E281"/>
          <cell r="F281"/>
          <cell r="G281" t="str">
            <v>CN</v>
          </cell>
          <cell r="H281" t="str">
            <v>N</v>
          </cell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 t="b">
            <v>1</v>
          </cell>
          <cell r="T281" t="b">
            <v>1</v>
          </cell>
          <cell r="U281" t="b">
            <v>1</v>
          </cell>
          <cell r="V281"/>
          <cell r="W281"/>
          <cell r="X281"/>
          <cell r="Y281">
            <v>2343</v>
          </cell>
          <cell r="Z281"/>
          <cell r="AA281"/>
          <cell r="AB281"/>
          <cell r="AC281"/>
          <cell r="AD281"/>
          <cell r="AE281"/>
          <cell r="AF281"/>
          <cell r="AG281"/>
          <cell r="AH281">
            <v>1299</v>
          </cell>
          <cell r="AI281"/>
          <cell r="AJ281"/>
          <cell r="AK281"/>
          <cell r="AL281"/>
          <cell r="AM281"/>
          <cell r="AN281"/>
          <cell r="AO281"/>
          <cell r="AP281"/>
          <cell r="AQ281"/>
          <cell r="AR281"/>
          <cell r="AS281"/>
          <cell r="AT281"/>
          <cell r="AU281"/>
          <cell r="AV281"/>
          <cell r="AW281"/>
          <cell r="AX281"/>
          <cell r="AY281"/>
          <cell r="AZ281"/>
          <cell r="BA281"/>
          <cell r="BB281"/>
          <cell r="BC281"/>
          <cell r="BD281"/>
        </row>
        <row r="282">
          <cell r="A282" t="str">
            <v>Safety_CPU\Service_Layer\Airframe_Comms\Internal_Comms_Interfaces</v>
          </cell>
          <cell r="B282" t="str">
            <v>N</v>
          </cell>
          <cell r="C282" t="str">
            <v>N</v>
          </cell>
          <cell r="D282"/>
          <cell r="E282"/>
          <cell r="F282"/>
          <cell r="G282" t="str">
            <v>CN</v>
          </cell>
          <cell r="H282" t="str">
            <v>N</v>
          </cell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 t="b">
            <v>1</v>
          </cell>
          <cell r="T282" t="b">
            <v>1</v>
          </cell>
          <cell r="U282" t="b">
            <v>1</v>
          </cell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 t="str">
            <v>n/a</v>
          </cell>
          <cell r="AI282"/>
          <cell r="AJ282"/>
          <cell r="AK282"/>
          <cell r="AL282"/>
          <cell r="AM282"/>
          <cell r="AN282"/>
          <cell r="AO282"/>
          <cell r="AP282"/>
          <cell r="AQ282"/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</row>
        <row r="283">
          <cell r="A283" t="str">
            <v>Safety_CPU\Service_Layer\Airframe_Comms\Message_Controllers\CAN_Bus\From_AC_CAN_Bus_Mess_Controller</v>
          </cell>
          <cell r="B283" t="str">
            <v>N</v>
          </cell>
          <cell r="C283" t="str">
            <v>Y</v>
          </cell>
          <cell r="D283"/>
          <cell r="E283"/>
          <cell r="F283"/>
          <cell r="G283" t="str">
            <v>CN</v>
          </cell>
          <cell r="H283" t="str">
            <v>N</v>
          </cell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 t="b">
            <v>1</v>
          </cell>
          <cell r="T283" t="b">
            <v>1</v>
          </cell>
          <cell r="U283" t="b">
            <v>1</v>
          </cell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>
            <v>687</v>
          </cell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/>
          <cell r="AZ283"/>
          <cell r="BA283"/>
          <cell r="BB283"/>
          <cell r="BC283"/>
          <cell r="BD283"/>
        </row>
        <row r="284">
          <cell r="A284" t="str">
            <v>Safety_CPU\Service_Layer\Airframe_Comms\Message_Controllers\CAN_Bus\To_AC_CAN_Bus_Mess_Controller</v>
          </cell>
          <cell r="B284" t="str">
            <v>N</v>
          </cell>
          <cell r="C284" t="str">
            <v>Y</v>
          </cell>
          <cell r="D284"/>
          <cell r="E284"/>
          <cell r="F284"/>
          <cell r="G284" t="str">
            <v>CN</v>
          </cell>
          <cell r="H284" t="str">
            <v>N</v>
          </cell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 t="b">
            <v>1</v>
          </cell>
          <cell r="T284" t="b">
            <v>1</v>
          </cell>
          <cell r="U284" t="b">
            <v>1</v>
          </cell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>
            <v>798</v>
          </cell>
          <cell r="AI284"/>
          <cell r="AJ284"/>
          <cell r="AK284"/>
          <cell r="AL284"/>
          <cell r="AM284"/>
          <cell r="AN284"/>
          <cell r="AO284"/>
          <cell r="AP284"/>
          <cell r="AQ284"/>
          <cell r="AR284"/>
          <cell r="AS284"/>
          <cell r="AT284"/>
          <cell r="AU284"/>
          <cell r="AV284"/>
          <cell r="AW284"/>
          <cell r="AX284"/>
          <cell r="AY284"/>
          <cell r="AZ284"/>
          <cell r="BA284"/>
          <cell r="BB284"/>
          <cell r="BC284"/>
          <cell r="BD284"/>
        </row>
        <row r="285">
          <cell r="A285" t="str">
            <v>Safety_CPU\Service_Layer\Airframe_Comms\Message_Controllers\Ethernet\From_AC_Ethernet_Mess_Controller</v>
          </cell>
          <cell r="B285" t="str">
            <v>N</v>
          </cell>
          <cell r="C285" t="str">
            <v>Y</v>
          </cell>
          <cell r="D285"/>
          <cell r="E285"/>
          <cell r="F285"/>
          <cell r="G285" t="str">
            <v>CN</v>
          </cell>
          <cell r="H285" t="str">
            <v>N</v>
          </cell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 t="b">
            <v>1</v>
          </cell>
          <cell r="T285" t="b">
            <v>1</v>
          </cell>
          <cell r="U285" t="b">
            <v>1</v>
          </cell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>
            <v>688</v>
          </cell>
          <cell r="AI285"/>
          <cell r="AJ285"/>
          <cell r="AK285"/>
          <cell r="AL285"/>
          <cell r="AM285"/>
          <cell r="AN285"/>
          <cell r="AO285"/>
          <cell r="AP285"/>
          <cell r="AQ285"/>
          <cell r="AR285"/>
          <cell r="AS285"/>
          <cell r="AT285"/>
          <cell r="AU285"/>
          <cell r="AV285"/>
          <cell r="AW285"/>
          <cell r="AX285"/>
          <cell r="AY285"/>
          <cell r="AZ285"/>
          <cell r="BA285"/>
          <cell r="BB285"/>
          <cell r="BC285"/>
          <cell r="BD285"/>
        </row>
        <row r="286">
          <cell r="A286" t="str">
            <v>Safety_CPU\Service_Layer\Airframe_Comms\Message_Controllers\Ethernet\To_AC_Ethernet_Mess_Controller</v>
          </cell>
          <cell r="B286" t="str">
            <v>N</v>
          </cell>
          <cell r="C286" t="str">
            <v>Y</v>
          </cell>
          <cell r="D286"/>
          <cell r="E286"/>
          <cell r="F286"/>
          <cell r="G286" t="str">
            <v>CN</v>
          </cell>
          <cell r="H286" t="str">
            <v>N</v>
          </cell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 t="b">
            <v>1</v>
          </cell>
          <cell r="T286" t="b">
            <v>1</v>
          </cell>
          <cell r="U286" t="b">
            <v>1</v>
          </cell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>
            <v>801</v>
          </cell>
          <cell r="AI286"/>
          <cell r="AJ286"/>
          <cell r="AK286"/>
          <cell r="AL286"/>
          <cell r="AM286"/>
          <cell r="AN286"/>
          <cell r="AO286"/>
          <cell r="AP286"/>
          <cell r="AQ286"/>
          <cell r="AR286"/>
          <cell r="AS286"/>
          <cell r="AT286"/>
          <cell r="AU286"/>
          <cell r="AV286"/>
          <cell r="AW286"/>
          <cell r="AX286"/>
          <cell r="AY286"/>
          <cell r="AZ286"/>
          <cell r="BA286"/>
          <cell r="BB286"/>
          <cell r="BC286"/>
          <cell r="BD286"/>
        </row>
        <row r="287">
          <cell r="A287" t="str">
            <v>Safety_CPU\Service_Layer\Airframe_Comms\Scheduler\From_Ac_Scheduler</v>
          </cell>
          <cell r="B287" t="str">
            <v>N</v>
          </cell>
          <cell r="C287" t="str">
            <v>N</v>
          </cell>
          <cell r="D287"/>
          <cell r="E287"/>
          <cell r="F287"/>
          <cell r="G287" t="str">
            <v>CN</v>
          </cell>
          <cell r="H287" t="str">
            <v>N</v>
          </cell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 t="b">
            <v>1</v>
          </cell>
          <cell r="T287" t="b">
            <v>1</v>
          </cell>
          <cell r="U287" t="b">
            <v>1</v>
          </cell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>
            <v>795</v>
          </cell>
          <cell r="AI287"/>
          <cell r="AJ287"/>
          <cell r="AK287"/>
          <cell r="AL287"/>
          <cell r="AM287"/>
          <cell r="AN287"/>
          <cell r="AO287"/>
          <cell r="AP287"/>
          <cell r="AQ287"/>
          <cell r="AR287"/>
          <cell r="AS287"/>
          <cell r="AT287"/>
          <cell r="AU287"/>
          <cell r="AV287"/>
          <cell r="AW287"/>
          <cell r="AX287"/>
          <cell r="AY287"/>
          <cell r="AZ287"/>
          <cell r="BA287"/>
          <cell r="BB287"/>
          <cell r="BC287"/>
          <cell r="BD287"/>
        </row>
        <row r="288">
          <cell r="A288" t="str">
            <v>Safety_CPU\Service_Layer\Airframe_Comms\Scheduler\To_Ac_Scheduler</v>
          </cell>
          <cell r="B288" t="str">
            <v>N</v>
          </cell>
          <cell r="C288" t="str">
            <v>N</v>
          </cell>
          <cell r="D288"/>
          <cell r="E288"/>
          <cell r="F288"/>
          <cell r="G288" t="str">
            <v>CN</v>
          </cell>
          <cell r="H288" t="str">
            <v>N</v>
          </cell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 t="b">
            <v>1</v>
          </cell>
          <cell r="T288" t="b">
            <v>1</v>
          </cell>
          <cell r="U288" t="b">
            <v>1</v>
          </cell>
          <cell r="V288"/>
          <cell r="W288"/>
          <cell r="X288"/>
          <cell r="Y288">
            <v>2366</v>
          </cell>
          <cell r="Z288"/>
          <cell r="AA288"/>
          <cell r="AB288"/>
          <cell r="AC288"/>
          <cell r="AD288"/>
          <cell r="AE288"/>
          <cell r="AF288"/>
          <cell r="AG288"/>
          <cell r="AH288">
            <v>796</v>
          </cell>
          <cell r="AI288"/>
          <cell r="AJ288"/>
          <cell r="AK288"/>
          <cell r="AL288"/>
          <cell r="AM288"/>
          <cell r="AN288"/>
          <cell r="AO288"/>
          <cell r="AP288"/>
          <cell r="AQ288"/>
          <cell r="AR288"/>
          <cell r="AS288"/>
          <cell r="AT288"/>
          <cell r="AU288"/>
          <cell r="AV288"/>
          <cell r="AW288"/>
          <cell r="AX288"/>
          <cell r="AY288"/>
          <cell r="AZ288"/>
          <cell r="BA288"/>
          <cell r="BB288"/>
          <cell r="BC288"/>
          <cell r="BD288"/>
        </row>
        <row r="289">
          <cell r="A289" t="str">
            <v>Safety_CPU\Service_Layer\Airframe_Comms\Validate_Engine_Location</v>
          </cell>
          <cell r="B289" t="str">
            <v>N</v>
          </cell>
          <cell r="C289" t="str">
            <v>Y</v>
          </cell>
          <cell r="D289"/>
          <cell r="E289"/>
          <cell r="F289"/>
          <cell r="G289" t="str">
            <v>CN</v>
          </cell>
          <cell r="H289" t="str">
            <v>N</v>
          </cell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 t="b">
            <v>1</v>
          </cell>
          <cell r="T289" t="b">
            <v>1</v>
          </cell>
          <cell r="U289" t="b">
            <v>1</v>
          </cell>
          <cell r="V289"/>
          <cell r="W289"/>
          <cell r="X289"/>
          <cell r="Y289">
            <v>2581</v>
          </cell>
          <cell r="Z289"/>
          <cell r="AA289"/>
          <cell r="AB289"/>
          <cell r="AC289"/>
          <cell r="AD289"/>
          <cell r="AE289"/>
          <cell r="AF289"/>
          <cell r="AG289"/>
          <cell r="AH289">
            <v>1461</v>
          </cell>
          <cell r="AI289"/>
          <cell r="AJ289"/>
          <cell r="AK289"/>
          <cell r="AL289"/>
          <cell r="AM289"/>
          <cell r="AN289"/>
          <cell r="AO289"/>
          <cell r="AP289"/>
          <cell r="AQ289"/>
          <cell r="AR289"/>
          <cell r="AS289"/>
          <cell r="AT289"/>
          <cell r="AU289"/>
          <cell r="AV289"/>
          <cell r="AW289"/>
          <cell r="AX289"/>
          <cell r="AY289"/>
          <cell r="AZ289"/>
          <cell r="BA289"/>
          <cell r="BB289"/>
          <cell r="BC289"/>
          <cell r="BD289"/>
        </row>
        <row r="290">
          <cell r="A290" t="str">
            <v>Safety_CPU\Service_Layer\Airframe_Comms\Validate_Inputs\Validate_Airframe_Inputs</v>
          </cell>
          <cell r="B290" t="str">
            <v>N</v>
          </cell>
          <cell r="C290" t="str">
            <v>Y</v>
          </cell>
          <cell r="D290"/>
          <cell r="E290"/>
          <cell r="F290"/>
          <cell r="G290" t="str">
            <v>CN</v>
          </cell>
          <cell r="H290" t="str">
            <v>N</v>
          </cell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 t="b">
            <v>1</v>
          </cell>
          <cell r="T290" t="b">
            <v>1</v>
          </cell>
          <cell r="U290" t="b">
            <v>1</v>
          </cell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/>
          <cell r="AO290"/>
          <cell r="AP290"/>
          <cell r="AQ290"/>
          <cell r="AR290"/>
          <cell r="AS290"/>
          <cell r="AT290"/>
          <cell r="AU290"/>
          <cell r="AV290"/>
          <cell r="AW290"/>
          <cell r="AX290"/>
          <cell r="AY290"/>
          <cell r="AZ290"/>
          <cell r="BA290"/>
          <cell r="BB290"/>
          <cell r="BC290"/>
          <cell r="BD290"/>
        </row>
        <row r="291">
          <cell r="A291" t="str">
            <v>Safety_CPU\Service_Layer\Airframe_Comms\Validate_Inputs\Validate_PRIM_Inputs</v>
          </cell>
          <cell r="B291" t="str">
            <v>N</v>
          </cell>
          <cell r="C291" t="str">
            <v>Y</v>
          </cell>
          <cell r="D291"/>
          <cell r="E291"/>
          <cell r="F291"/>
          <cell r="G291" t="str">
            <v>CN</v>
          </cell>
          <cell r="H291" t="str">
            <v>N</v>
          </cell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 t="b">
            <v>1</v>
          </cell>
          <cell r="T291" t="b">
            <v>1</v>
          </cell>
          <cell r="U291" t="b">
            <v>1</v>
          </cell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>
            <v>1469</v>
          </cell>
          <cell r="AI291"/>
          <cell r="AJ291"/>
          <cell r="AK291"/>
          <cell r="AL291"/>
          <cell r="AM291"/>
          <cell r="AN291"/>
          <cell r="AO291"/>
          <cell r="AP291"/>
          <cell r="AQ291"/>
          <cell r="AR291"/>
          <cell r="AS291"/>
          <cell r="AT291"/>
          <cell r="AU291"/>
          <cell r="AV291"/>
          <cell r="AW291"/>
          <cell r="AX291"/>
          <cell r="AY291"/>
          <cell r="AZ291"/>
          <cell r="BA291"/>
          <cell r="BB291"/>
          <cell r="BC291"/>
          <cell r="BD291"/>
        </row>
        <row r="292">
          <cell r="A292" t="str">
            <v>Safety_CPU\Service_Layer\DAC\DAC_Calculations</v>
          </cell>
          <cell r="B292" t="str">
            <v>N</v>
          </cell>
          <cell r="C292" t="str">
            <v>Y</v>
          </cell>
          <cell r="D292"/>
          <cell r="E292"/>
          <cell r="F292"/>
          <cell r="G292" t="str">
            <v>CN</v>
          </cell>
          <cell r="H292" t="str">
            <v>N</v>
          </cell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 t="b">
            <v>1</v>
          </cell>
          <cell r="T292" t="b">
            <v>1</v>
          </cell>
          <cell r="U292" t="b">
            <v>1</v>
          </cell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>
            <v>1718</v>
          </cell>
          <cell r="AI292"/>
          <cell r="AJ292"/>
          <cell r="AK292"/>
          <cell r="AL292"/>
          <cell r="AM292"/>
          <cell r="AN292"/>
          <cell r="AO292"/>
          <cell r="AP292"/>
          <cell r="AQ292"/>
          <cell r="AR292"/>
          <cell r="AS292"/>
          <cell r="AT292"/>
          <cell r="AU292"/>
          <cell r="AV292"/>
          <cell r="AW292"/>
          <cell r="AX292"/>
          <cell r="AY292"/>
          <cell r="AZ292"/>
          <cell r="BA292"/>
          <cell r="BB292"/>
          <cell r="BC292"/>
          <cell r="BD292"/>
        </row>
        <row r="293">
          <cell r="A293" t="str">
            <v>Safety_CPU\Service_Layer\DAC\DAC_Control</v>
          </cell>
          <cell r="B293" t="str">
            <v>N</v>
          </cell>
          <cell r="C293" t="str">
            <v>Y</v>
          </cell>
          <cell r="D293"/>
          <cell r="E293"/>
          <cell r="F293"/>
          <cell r="G293" t="str">
            <v>CN</v>
          </cell>
          <cell r="H293" t="str">
            <v>N</v>
          </cell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 t="b">
            <v>1</v>
          </cell>
          <cell r="T293" t="b">
            <v>1</v>
          </cell>
          <cell r="U293" t="b">
            <v>1</v>
          </cell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/>
          <cell r="AJ293"/>
          <cell r="AK293"/>
          <cell r="AL293"/>
          <cell r="AM293"/>
          <cell r="AN293"/>
          <cell r="AO293"/>
          <cell r="AP293"/>
          <cell r="AQ293"/>
          <cell r="AR293"/>
          <cell r="AS293"/>
          <cell r="AT293"/>
          <cell r="AU293"/>
          <cell r="AV293"/>
          <cell r="AW293"/>
          <cell r="AX293"/>
          <cell r="AY293"/>
          <cell r="AZ293"/>
          <cell r="BA293"/>
          <cell r="BB293"/>
          <cell r="BC293"/>
          <cell r="BD293"/>
        </row>
        <row r="294">
          <cell r="A294" t="str">
            <v>Safety_CPU\Service_Layer\DAC\IInt_DAC</v>
          </cell>
          <cell r="B294" t="str">
            <v>N</v>
          </cell>
          <cell r="C294" t="str">
            <v>Y</v>
          </cell>
          <cell r="D294"/>
          <cell r="E294"/>
          <cell r="F294"/>
          <cell r="G294" t="str">
            <v>CN</v>
          </cell>
          <cell r="H294" t="str">
            <v>N</v>
          </cell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 t="b">
            <v>1</v>
          </cell>
          <cell r="T294" t="b">
            <v>1</v>
          </cell>
          <cell r="U294" t="b">
            <v>1</v>
          </cell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 t="str">
            <v>n/a</v>
          </cell>
          <cell r="AI294"/>
          <cell r="AJ294"/>
          <cell r="AK294"/>
          <cell r="AL294"/>
          <cell r="AM294"/>
          <cell r="AN294"/>
          <cell r="AO294"/>
          <cell r="AP294"/>
          <cell r="AQ294"/>
          <cell r="AR294"/>
          <cell r="AS294"/>
          <cell r="AT294"/>
          <cell r="AU294"/>
          <cell r="AV294"/>
          <cell r="AW294"/>
          <cell r="AX294"/>
          <cell r="AY294"/>
          <cell r="AZ294"/>
          <cell r="BA294"/>
          <cell r="BB294"/>
          <cell r="BC294"/>
          <cell r="BD294"/>
        </row>
        <row r="295">
          <cell r="A295" t="str">
            <v>Safety_CPU\Service_Layer\DAC\Validate_DAC_Inputs</v>
          </cell>
          <cell r="B295" t="str">
            <v>N</v>
          </cell>
          <cell r="C295" t="str">
            <v>Y</v>
          </cell>
          <cell r="D295"/>
          <cell r="E295"/>
          <cell r="F295"/>
          <cell r="G295" t="str">
            <v>CN</v>
          </cell>
          <cell r="H295" t="str">
            <v>N</v>
          </cell>
          <cell r="I295"/>
          <cell r="J295"/>
          <cell r="K295"/>
          <cell r="L295"/>
          <cell r="M295"/>
          <cell r="N295"/>
          <cell r="O295"/>
          <cell r="P295"/>
          <cell r="Q295"/>
          <cell r="R295"/>
          <cell r="S295" t="b">
            <v>1</v>
          </cell>
          <cell r="T295" t="b">
            <v>1</v>
          </cell>
          <cell r="U295" t="b">
            <v>1</v>
          </cell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>
            <v>1686</v>
          </cell>
          <cell r="AI295"/>
          <cell r="AJ295"/>
          <cell r="AK295"/>
          <cell r="AL295"/>
          <cell r="AM295"/>
          <cell r="AN295"/>
          <cell r="AO295"/>
          <cell r="AP295"/>
          <cell r="AQ295"/>
          <cell r="AR295"/>
          <cell r="AS295"/>
          <cell r="AT295"/>
          <cell r="AU295"/>
          <cell r="AV295"/>
          <cell r="AW295"/>
          <cell r="AX295"/>
          <cell r="AY295"/>
          <cell r="AZ295"/>
          <cell r="BA295"/>
          <cell r="BB295"/>
          <cell r="BC295"/>
          <cell r="BD295"/>
        </row>
        <row r="296">
          <cell r="A296" t="str">
            <v>Safety_CPU\Service_Layer\Inter_CPU_Comms\Direct_Comms_Safety</v>
          </cell>
          <cell r="B296" t="str">
            <v>N</v>
          </cell>
          <cell r="C296" t="str">
            <v>N</v>
          </cell>
          <cell r="D296"/>
          <cell r="E296"/>
          <cell r="F296"/>
          <cell r="G296" t="str">
            <v>CN</v>
          </cell>
          <cell r="H296" t="str">
            <v>N</v>
          </cell>
          <cell r="I296"/>
          <cell r="J296"/>
          <cell r="K296"/>
          <cell r="L296"/>
          <cell r="M296"/>
          <cell r="N296"/>
          <cell r="O296"/>
          <cell r="P296"/>
          <cell r="Q296"/>
          <cell r="R296"/>
          <cell r="S296" t="b">
            <v>1</v>
          </cell>
          <cell r="T296" t="b">
            <v>1</v>
          </cell>
          <cell r="U296" t="b">
            <v>1</v>
          </cell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/>
          <cell r="AO296"/>
          <cell r="AP296"/>
          <cell r="AQ296"/>
          <cell r="AR296"/>
          <cell r="AS296"/>
          <cell r="AT296"/>
          <cell r="AU296"/>
          <cell r="AV296"/>
          <cell r="AW296"/>
          <cell r="AX296"/>
          <cell r="AY296"/>
          <cell r="AZ296"/>
          <cell r="BA296"/>
          <cell r="BB296"/>
          <cell r="BC296"/>
          <cell r="BD296"/>
        </row>
        <row r="297">
          <cell r="A297" t="str">
            <v>Safety_CPU\Service_Layer\Inter_CPU_Comms\Other_Channel_Comms_Fault</v>
          </cell>
          <cell r="B297" t="str">
            <v>N</v>
          </cell>
          <cell r="C297" t="str">
            <v>Y</v>
          </cell>
          <cell r="D297"/>
          <cell r="E297"/>
          <cell r="F297">
            <v>6207</v>
          </cell>
          <cell r="G297" t="str">
            <v>CN</v>
          </cell>
          <cell r="H297" t="str">
            <v>Y</v>
          </cell>
          <cell r="I297"/>
          <cell r="J297"/>
          <cell r="K297"/>
          <cell r="L297"/>
          <cell r="M297"/>
          <cell r="N297"/>
          <cell r="O297" t="str">
            <v>Y</v>
          </cell>
          <cell r="P297"/>
          <cell r="Q297"/>
          <cell r="R297"/>
          <cell r="S297" t="b">
            <v>1</v>
          </cell>
          <cell r="T297" t="b">
            <v>1</v>
          </cell>
          <cell r="U297" t="b">
            <v>1</v>
          </cell>
          <cell r="V297">
            <v>1</v>
          </cell>
          <cell r="W297"/>
          <cell r="X297"/>
          <cell r="Y297"/>
          <cell r="Z297"/>
          <cell r="AA297"/>
          <cell r="AB297"/>
          <cell r="AC297"/>
          <cell r="AD297"/>
          <cell r="AE297"/>
          <cell r="AF297" t="str">
            <v>PR</v>
          </cell>
          <cell r="AG297" t="str">
            <v>SP</v>
          </cell>
          <cell r="AH297">
            <v>697</v>
          </cell>
          <cell r="AI297"/>
          <cell r="AJ297"/>
          <cell r="AK297"/>
          <cell r="AL297"/>
          <cell r="AM297"/>
          <cell r="AN297"/>
          <cell r="AO297"/>
          <cell r="AP297"/>
          <cell r="AQ297">
            <v>100</v>
          </cell>
          <cell r="AR297">
            <v>100</v>
          </cell>
          <cell r="AS297" t="str">
            <v>Y</v>
          </cell>
          <cell r="AT297" t="str">
            <v>Y</v>
          </cell>
          <cell r="AU297"/>
          <cell r="AV297"/>
          <cell r="AW297"/>
          <cell r="AX297"/>
          <cell r="AY297"/>
          <cell r="AZ297"/>
          <cell r="BA297"/>
          <cell r="BB297"/>
          <cell r="BC297"/>
          <cell r="BD297"/>
        </row>
        <row r="298">
          <cell r="A298" t="str">
            <v>Safety_CPU\Service_Layer\Inter_CPU_Comms\Other_Processor_Comms</v>
          </cell>
          <cell r="B298" t="str">
            <v>N</v>
          </cell>
          <cell r="C298" t="str">
            <v>N</v>
          </cell>
          <cell r="E298"/>
          <cell r="F298">
            <v>6207</v>
          </cell>
          <cell r="G298" t="str">
            <v>CN</v>
          </cell>
          <cell r="H298" t="str">
            <v>Y</v>
          </cell>
          <cell r="I298"/>
          <cell r="J298"/>
          <cell r="K298"/>
          <cell r="L298"/>
          <cell r="M298" t="str">
            <v>Y</v>
          </cell>
          <cell r="N298" t="str">
            <v>Y</v>
          </cell>
          <cell r="O298" t="str">
            <v>Y</v>
          </cell>
          <cell r="P298" t="str">
            <v>Y</v>
          </cell>
          <cell r="Q298"/>
          <cell r="R298"/>
          <cell r="S298" t="b">
            <v>1</v>
          </cell>
          <cell r="T298" t="b">
            <v>1</v>
          </cell>
          <cell r="U298" t="b">
            <v>1</v>
          </cell>
          <cell r="V298">
            <v>1</v>
          </cell>
          <cell r="W298" t="str">
            <v>PR</v>
          </cell>
          <cell r="X298" t="str">
            <v>SP</v>
          </cell>
          <cell r="Y298">
            <v>2314</v>
          </cell>
          <cell r="Z298">
            <v>100</v>
          </cell>
          <cell r="AA298">
            <v>100</v>
          </cell>
          <cell r="AB298">
            <v>100</v>
          </cell>
          <cell r="AC298">
            <v>100</v>
          </cell>
          <cell r="AD298" t="str">
            <v>Y</v>
          </cell>
          <cell r="AE298"/>
          <cell r="AF298" t="str">
            <v>PR</v>
          </cell>
          <cell r="AG298" t="str">
            <v>SP</v>
          </cell>
          <cell r="AH298">
            <v>699</v>
          </cell>
          <cell r="AI298">
            <v>100</v>
          </cell>
          <cell r="AJ298">
            <v>100</v>
          </cell>
          <cell r="AK298">
            <v>100</v>
          </cell>
          <cell r="AL298"/>
          <cell r="AM298"/>
          <cell r="AN298"/>
          <cell r="AO298"/>
          <cell r="AP298">
            <v>100</v>
          </cell>
          <cell r="AQ298">
            <v>100</v>
          </cell>
          <cell r="AR298">
            <v>100</v>
          </cell>
          <cell r="AS298" t="str">
            <v>Y</v>
          </cell>
          <cell r="AT298" t="str">
            <v>Y</v>
          </cell>
          <cell r="AU298"/>
          <cell r="AV298" t="str">
            <v>PR</v>
          </cell>
          <cell r="AW298"/>
          <cell r="AX298" t="str">
            <v>SP</v>
          </cell>
          <cell r="AY298">
            <v>100</v>
          </cell>
          <cell r="AZ298"/>
          <cell r="BA298">
            <v>100</v>
          </cell>
          <cell r="BB298">
            <v>100</v>
          </cell>
          <cell r="BC298" t="str">
            <v>Y</v>
          </cell>
          <cell r="BD298">
            <v>100</v>
          </cell>
        </row>
        <row r="299">
          <cell r="A299" t="str">
            <v>Safety_CPU\Service_Layer\Maintenance\Dispatch_Logic</v>
          </cell>
          <cell r="B299" t="str">
            <v>N</v>
          </cell>
          <cell r="C299" t="str">
            <v>Y</v>
          </cell>
          <cell r="D299"/>
          <cell r="E299"/>
          <cell r="F299" t="str">
            <v>6230</v>
          </cell>
          <cell r="G299" t="str">
            <v>CN</v>
          </cell>
          <cell r="H299" t="str">
            <v>Y</v>
          </cell>
          <cell r="I299"/>
          <cell r="J299"/>
          <cell r="K299"/>
          <cell r="L299"/>
          <cell r="M299"/>
          <cell r="N299"/>
          <cell r="O299" t="str">
            <v>Y</v>
          </cell>
          <cell r="P299"/>
          <cell r="Q299"/>
          <cell r="R299"/>
          <cell r="S299" t="b">
            <v>1</v>
          </cell>
          <cell r="T299" t="b">
            <v>1</v>
          </cell>
          <cell r="U299" t="b">
            <v>1</v>
          </cell>
          <cell r="V299">
            <v>1</v>
          </cell>
          <cell r="W299"/>
          <cell r="X299"/>
          <cell r="Y299">
            <v>2337</v>
          </cell>
          <cell r="Z299"/>
          <cell r="AA299"/>
          <cell r="AB299"/>
          <cell r="AC299"/>
          <cell r="AD299"/>
          <cell r="AE299"/>
          <cell r="AF299" t="str">
            <v>ND</v>
          </cell>
          <cell r="AG299" t="str">
            <v>SP</v>
          </cell>
          <cell r="AH299">
            <v>1177</v>
          </cell>
          <cell r="AI299"/>
          <cell r="AJ299"/>
          <cell r="AK299"/>
          <cell r="AL299"/>
          <cell r="AM299"/>
          <cell r="AN299"/>
          <cell r="AO299"/>
          <cell r="AP299"/>
          <cell r="AQ299">
            <v>100</v>
          </cell>
          <cell r="AR299">
            <v>100</v>
          </cell>
          <cell r="AS299" t="str">
            <v>Y</v>
          </cell>
          <cell r="AT299" t="str">
            <v>Y</v>
          </cell>
          <cell r="AU299"/>
          <cell r="AV299"/>
          <cell r="AW299"/>
          <cell r="AX299"/>
          <cell r="AY299"/>
          <cell r="AZ299"/>
          <cell r="BA299"/>
          <cell r="BB299"/>
          <cell r="BC299"/>
          <cell r="BD299"/>
        </row>
        <row r="300">
          <cell r="A300" t="str">
            <v>Safety_CPU\Service_Layer\Maintenance\Failure_Message_Generator</v>
          </cell>
          <cell r="B300" t="str">
            <v>N</v>
          </cell>
          <cell r="C300" t="str">
            <v>Y</v>
          </cell>
          <cell r="D300"/>
          <cell r="E300"/>
          <cell r="F300"/>
          <cell r="G300" t="str">
            <v>CN</v>
          </cell>
          <cell r="H300" t="str">
            <v>N</v>
          </cell>
          <cell r="I300"/>
          <cell r="J300"/>
          <cell r="K300"/>
          <cell r="L300"/>
          <cell r="M300"/>
          <cell r="N300"/>
          <cell r="O300"/>
          <cell r="P300"/>
          <cell r="Q300"/>
          <cell r="R300"/>
          <cell r="S300" t="b">
            <v>1</v>
          </cell>
          <cell r="T300" t="b">
            <v>1</v>
          </cell>
          <cell r="U300" t="b">
            <v>1</v>
          </cell>
          <cell r="V300">
            <v>3</v>
          </cell>
          <cell r="W300"/>
          <cell r="X300"/>
          <cell r="Y300">
            <v>2345</v>
          </cell>
          <cell r="Z300"/>
          <cell r="AA300"/>
          <cell r="AB300"/>
          <cell r="AC300"/>
          <cell r="AD300"/>
          <cell r="AE300"/>
          <cell r="AF300"/>
          <cell r="AG300"/>
          <cell r="AH300">
            <v>1178</v>
          </cell>
          <cell r="AI300"/>
          <cell r="AJ300"/>
          <cell r="AK300"/>
          <cell r="AL300"/>
          <cell r="AM300"/>
          <cell r="AN300"/>
          <cell r="AO300"/>
          <cell r="AP300"/>
          <cell r="AQ300"/>
          <cell r="AR300"/>
          <cell r="AS300"/>
          <cell r="AT300"/>
          <cell r="AU300"/>
          <cell r="AV300"/>
          <cell r="AW300"/>
          <cell r="AX300"/>
          <cell r="AY300"/>
          <cell r="AZ300"/>
          <cell r="BA300"/>
          <cell r="BB300"/>
          <cell r="BC300"/>
          <cell r="BD300"/>
        </row>
        <row r="301">
          <cell r="A301" t="str">
            <v>Safety_CPU\Service_Layer\Maintenance\Failure_Message_Reporting</v>
          </cell>
          <cell r="B301" t="str">
            <v>N</v>
          </cell>
          <cell r="C301" t="str">
            <v>Y</v>
          </cell>
          <cell r="D301"/>
          <cell r="E301"/>
          <cell r="F301"/>
          <cell r="G301" t="str">
            <v>CN</v>
          </cell>
          <cell r="H301" t="str">
            <v>N</v>
          </cell>
          <cell r="I301"/>
          <cell r="J301"/>
          <cell r="K301"/>
          <cell r="L301"/>
          <cell r="M301"/>
          <cell r="N301"/>
          <cell r="O301"/>
          <cell r="P301"/>
          <cell r="Q301"/>
          <cell r="R301"/>
          <cell r="S301" t="b">
            <v>1</v>
          </cell>
          <cell r="T301" t="b">
            <v>1</v>
          </cell>
          <cell r="U301" t="b">
            <v>1</v>
          </cell>
          <cell r="V301">
            <v>3</v>
          </cell>
          <cell r="W301"/>
          <cell r="X301"/>
          <cell r="Y301">
            <v>2405</v>
          </cell>
          <cell r="Z301"/>
          <cell r="AA301"/>
          <cell r="AB301"/>
          <cell r="AC301"/>
          <cell r="AD301"/>
          <cell r="AE301"/>
          <cell r="AF301"/>
          <cell r="AG301"/>
          <cell r="AH301">
            <v>1179</v>
          </cell>
          <cell r="AI301"/>
          <cell r="AJ301"/>
          <cell r="AK301"/>
          <cell r="AL301"/>
          <cell r="AM301"/>
          <cell r="AN301"/>
          <cell r="AO301"/>
          <cell r="AP301"/>
          <cell r="AQ301"/>
          <cell r="AR301"/>
          <cell r="AS301"/>
          <cell r="AT301"/>
          <cell r="AU301"/>
          <cell r="AV301"/>
          <cell r="AW301"/>
          <cell r="AX301"/>
          <cell r="AY301"/>
          <cell r="AZ301"/>
          <cell r="BA301"/>
          <cell r="BB301"/>
          <cell r="BC301"/>
          <cell r="BD301"/>
        </row>
        <row r="302">
          <cell r="A302" t="str">
            <v>Safety_CPU\Service_Layer\Maintenance\Int_Maintenance</v>
          </cell>
          <cell r="B302" t="str">
            <v>N</v>
          </cell>
          <cell r="C302" t="str">
            <v>Y</v>
          </cell>
          <cell r="D302"/>
          <cell r="E302"/>
          <cell r="F302"/>
          <cell r="G302" t="str">
            <v>CN</v>
          </cell>
          <cell r="H302" t="str">
            <v>N</v>
          </cell>
          <cell r="I302"/>
          <cell r="J302"/>
          <cell r="K302"/>
          <cell r="L302"/>
          <cell r="M302"/>
          <cell r="N302"/>
          <cell r="O302"/>
          <cell r="P302"/>
          <cell r="Q302"/>
          <cell r="R302"/>
          <cell r="S302" t="b">
            <v>1</v>
          </cell>
          <cell r="T302" t="b">
            <v>1</v>
          </cell>
          <cell r="U302" t="b">
            <v>1</v>
          </cell>
          <cell r="V302"/>
          <cell r="W302"/>
          <cell r="X302"/>
          <cell r="Y302">
            <v>3044</v>
          </cell>
          <cell r="Z302"/>
          <cell r="AA302"/>
          <cell r="AB302"/>
          <cell r="AC302"/>
          <cell r="AD302"/>
          <cell r="AE302"/>
          <cell r="AF302"/>
          <cell r="AG302"/>
          <cell r="AH302">
            <v>1377</v>
          </cell>
          <cell r="AI302"/>
          <cell r="AJ302"/>
          <cell r="AK302"/>
          <cell r="AL302"/>
          <cell r="AM302"/>
          <cell r="AN302"/>
          <cell r="AO302"/>
          <cell r="AP302"/>
          <cell r="AQ302"/>
          <cell r="AR302"/>
          <cell r="AS302"/>
          <cell r="AT302"/>
          <cell r="AU302"/>
          <cell r="AV302"/>
          <cell r="AW302"/>
          <cell r="AX302"/>
          <cell r="AY302"/>
          <cell r="AZ302"/>
          <cell r="BA302"/>
          <cell r="BB302"/>
          <cell r="BC302"/>
          <cell r="BD302"/>
        </row>
        <row r="303">
          <cell r="A303" t="str">
            <v>Safety_CPU\Service_Layer\Maintenance\Interactive_Maintenance\Bleed_Valve_Test</v>
          </cell>
          <cell r="B303" t="str">
            <v>N</v>
          </cell>
          <cell r="C303" t="str">
            <v>Y</v>
          </cell>
          <cell r="D303"/>
          <cell r="E303"/>
          <cell r="F303"/>
          <cell r="G303" t="str">
            <v>CN</v>
          </cell>
          <cell r="H303" t="str">
            <v>N</v>
          </cell>
          <cell r="I303"/>
          <cell r="J303"/>
          <cell r="K303"/>
          <cell r="L303"/>
          <cell r="M303"/>
          <cell r="N303"/>
          <cell r="O303"/>
          <cell r="P303"/>
          <cell r="Q303"/>
          <cell r="R303"/>
          <cell r="S303" t="b">
            <v>1</v>
          </cell>
          <cell r="T303" t="b">
            <v>1</v>
          </cell>
          <cell r="U303" t="b">
            <v>1</v>
          </cell>
          <cell r="V303"/>
          <cell r="W303"/>
          <cell r="X303"/>
          <cell r="Y303">
            <v>2450</v>
          </cell>
          <cell r="Z303"/>
          <cell r="AA303"/>
          <cell r="AB303"/>
          <cell r="AC303"/>
          <cell r="AD303"/>
          <cell r="AE303"/>
          <cell r="AF303"/>
          <cell r="AG303"/>
          <cell r="AH303">
            <v>1708</v>
          </cell>
          <cell r="AI303"/>
          <cell r="AJ303"/>
          <cell r="AK303"/>
          <cell r="AL303"/>
          <cell r="AM303"/>
          <cell r="AN303"/>
          <cell r="AO303"/>
          <cell r="AP303"/>
          <cell r="AQ303"/>
          <cell r="AR303"/>
          <cell r="AS303"/>
          <cell r="AT303"/>
          <cell r="AU303"/>
          <cell r="AV303"/>
          <cell r="AW303"/>
          <cell r="AX303"/>
          <cell r="AY303"/>
          <cell r="AZ303"/>
          <cell r="BA303"/>
          <cell r="BB303"/>
          <cell r="BC303"/>
          <cell r="BD303"/>
        </row>
        <row r="304">
          <cell r="A304" t="str">
            <v>Safety_CPU\Service_Layer\Maintenance\Interactive_Maintenance\Core_Wash_Test</v>
          </cell>
          <cell r="B304" t="str">
            <v>N</v>
          </cell>
          <cell r="C304" t="str">
            <v>Y</v>
          </cell>
          <cell r="D304"/>
          <cell r="E304"/>
          <cell r="F304"/>
          <cell r="G304" t="str">
            <v>CN</v>
          </cell>
          <cell r="H304" t="str">
            <v>N</v>
          </cell>
          <cell r="I304"/>
          <cell r="J304"/>
          <cell r="K304"/>
          <cell r="L304"/>
          <cell r="M304"/>
          <cell r="N304"/>
          <cell r="O304"/>
          <cell r="P304"/>
          <cell r="Q304"/>
          <cell r="R304"/>
          <cell r="S304" t="b">
            <v>1</v>
          </cell>
          <cell r="T304" t="b">
            <v>1</v>
          </cell>
          <cell r="U304" t="b">
            <v>1</v>
          </cell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>
            <v>1716</v>
          </cell>
          <cell r="AI304"/>
          <cell r="AJ304"/>
          <cell r="AK304"/>
          <cell r="AL304"/>
          <cell r="AM304"/>
          <cell r="AN304"/>
          <cell r="AO304"/>
          <cell r="AP304"/>
          <cell r="AQ304"/>
          <cell r="AR304"/>
          <cell r="AS304"/>
          <cell r="AT304"/>
          <cell r="AU304"/>
          <cell r="AV304"/>
          <cell r="AW304"/>
          <cell r="AX304"/>
          <cell r="AY304"/>
          <cell r="AZ304"/>
          <cell r="BA304"/>
          <cell r="BB304"/>
          <cell r="BC304"/>
          <cell r="BD304"/>
        </row>
        <row r="305">
          <cell r="A305" t="str">
            <v>Safety_CPU\Service_Layer\Maintenance\Interactive_Maintenance\FMV_Test</v>
          </cell>
          <cell r="B305" t="str">
            <v>N</v>
          </cell>
          <cell r="C305" t="str">
            <v>N</v>
          </cell>
          <cell r="D305"/>
          <cell r="E305"/>
          <cell r="F305"/>
          <cell r="G305" t="str">
            <v>CN</v>
          </cell>
          <cell r="H305" t="str">
            <v>N</v>
          </cell>
          <cell r="I305"/>
          <cell r="J305"/>
          <cell r="K305"/>
          <cell r="L305"/>
          <cell r="M305"/>
          <cell r="N305"/>
          <cell r="O305"/>
          <cell r="P305"/>
          <cell r="Q305"/>
          <cell r="R305"/>
          <cell r="S305" t="b">
            <v>1</v>
          </cell>
          <cell r="T305" t="b">
            <v>1</v>
          </cell>
          <cell r="U305" t="b">
            <v>1</v>
          </cell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/>
          <cell r="AO305"/>
          <cell r="AP305"/>
          <cell r="AQ305"/>
          <cell r="AR305"/>
          <cell r="AS305"/>
          <cell r="AT305"/>
          <cell r="AU305"/>
          <cell r="AV305"/>
          <cell r="AW305"/>
          <cell r="AX305"/>
          <cell r="AY305"/>
          <cell r="AZ305"/>
          <cell r="BA305"/>
          <cell r="BB305"/>
          <cell r="BC305"/>
          <cell r="BD305"/>
        </row>
        <row r="306">
          <cell r="A306" t="str">
            <v>Safety_CPU\Service_Layer\Maintenance\Interactive_Maintenance\Harness_Test</v>
          </cell>
          <cell r="B306" t="str">
            <v>N</v>
          </cell>
          <cell r="C306"/>
          <cell r="D306"/>
          <cell r="E306"/>
          <cell r="F306"/>
          <cell r="G306" t="str">
            <v>CN</v>
          </cell>
          <cell r="H306" t="str">
            <v>N</v>
          </cell>
          <cell r="I306"/>
          <cell r="J306"/>
          <cell r="K306"/>
          <cell r="L306"/>
          <cell r="M306"/>
          <cell r="N306"/>
          <cell r="O306"/>
          <cell r="P306"/>
          <cell r="Q306"/>
          <cell r="R306"/>
          <cell r="S306" t="b">
            <v>1</v>
          </cell>
          <cell r="T306" t="b">
            <v>1</v>
          </cell>
          <cell r="U306" t="b">
            <v>1</v>
          </cell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>
            <v>1687</v>
          </cell>
          <cell r="AI306"/>
          <cell r="AJ306"/>
          <cell r="AK306"/>
          <cell r="AL306"/>
          <cell r="AM306"/>
          <cell r="AN306"/>
          <cell r="AO306"/>
          <cell r="AP306"/>
          <cell r="AQ306"/>
          <cell r="AR306"/>
          <cell r="AS306"/>
          <cell r="AT306"/>
          <cell r="AU306"/>
          <cell r="AV306"/>
          <cell r="AW306"/>
          <cell r="AX306"/>
          <cell r="AY306"/>
          <cell r="AZ306"/>
          <cell r="BA306"/>
          <cell r="BB306"/>
          <cell r="BC306"/>
          <cell r="BD306"/>
        </row>
        <row r="307">
          <cell r="A307" t="str">
            <v>Safety_CPU\Service_Layer\Maintenance\Interactive_Maintenance\Igniter_Test</v>
          </cell>
          <cell r="B307" t="str">
            <v>N</v>
          </cell>
          <cell r="C307" t="str">
            <v>Y</v>
          </cell>
          <cell r="D307"/>
          <cell r="E307"/>
          <cell r="F307"/>
          <cell r="G307" t="str">
            <v>CN</v>
          </cell>
          <cell r="H307" t="str">
            <v>N</v>
          </cell>
          <cell r="I307"/>
          <cell r="J307"/>
          <cell r="K307"/>
          <cell r="L307"/>
          <cell r="M307"/>
          <cell r="N307"/>
          <cell r="O307"/>
          <cell r="P307"/>
          <cell r="Q307"/>
          <cell r="R307"/>
          <cell r="S307" t="b">
            <v>1</v>
          </cell>
          <cell r="T307" t="b">
            <v>1</v>
          </cell>
          <cell r="U307" t="b">
            <v>1</v>
          </cell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>
            <v>1660</v>
          </cell>
          <cell r="AI307"/>
          <cell r="AJ307"/>
          <cell r="AK307"/>
          <cell r="AL307"/>
          <cell r="AM307"/>
          <cell r="AN307"/>
          <cell r="AO307"/>
          <cell r="AP307"/>
          <cell r="AQ307"/>
          <cell r="AR307"/>
          <cell r="AS307"/>
          <cell r="AT307"/>
          <cell r="AU307"/>
          <cell r="AV307"/>
          <cell r="AW307"/>
          <cell r="AX307"/>
          <cell r="AY307"/>
          <cell r="AZ307"/>
          <cell r="BA307"/>
          <cell r="BB307"/>
          <cell r="BC307"/>
          <cell r="BD307"/>
        </row>
        <row r="308">
          <cell r="A308" t="str">
            <v>Safety_CPU\Service_Layer\Maintenance\Interactive_Maintenance\Interactive_Comms</v>
          </cell>
          <cell r="B308" t="str">
            <v>N</v>
          </cell>
          <cell r="C308" t="str">
            <v>Y</v>
          </cell>
          <cell r="D308"/>
          <cell r="E308"/>
          <cell r="F308"/>
          <cell r="G308" t="str">
            <v>CN</v>
          </cell>
          <cell r="H308" t="str">
            <v>N</v>
          </cell>
          <cell r="I308"/>
          <cell r="J308"/>
          <cell r="K308"/>
          <cell r="L308"/>
          <cell r="M308"/>
          <cell r="N308"/>
          <cell r="O308"/>
          <cell r="P308"/>
          <cell r="Q308"/>
          <cell r="R308"/>
          <cell r="S308" t="b">
            <v>1</v>
          </cell>
          <cell r="T308" t="b">
            <v>1</v>
          </cell>
          <cell r="U308" t="b">
            <v>1</v>
          </cell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>
            <v>1681</v>
          </cell>
          <cell r="AI308"/>
          <cell r="AJ308"/>
          <cell r="AK308"/>
          <cell r="AL308"/>
          <cell r="AM308"/>
          <cell r="AN308"/>
          <cell r="AO308"/>
          <cell r="AP308"/>
          <cell r="AQ308"/>
          <cell r="AR308"/>
          <cell r="AS308"/>
          <cell r="AT308"/>
          <cell r="AU308"/>
          <cell r="AV308"/>
          <cell r="AW308"/>
          <cell r="AX308"/>
          <cell r="AY308"/>
          <cell r="AZ308"/>
          <cell r="BA308"/>
          <cell r="BB308"/>
          <cell r="BC308"/>
          <cell r="BD308"/>
        </row>
        <row r="309">
          <cell r="A309" t="str">
            <v>Safety_CPU\Service_Layer\Maintenance\Interactive_Maintenance\Interactive_Engine_Controls</v>
          </cell>
          <cell r="B309" t="str">
            <v>N</v>
          </cell>
          <cell r="C309" t="str">
            <v>Y</v>
          </cell>
          <cell r="D309"/>
          <cell r="E309"/>
          <cell r="F309"/>
          <cell r="G309" t="str">
            <v>CN</v>
          </cell>
          <cell r="H309" t="str">
            <v>N</v>
          </cell>
          <cell r="I309"/>
          <cell r="J309"/>
          <cell r="K309"/>
          <cell r="L309"/>
          <cell r="M309"/>
          <cell r="N309"/>
          <cell r="O309"/>
          <cell r="P309"/>
          <cell r="Q309"/>
          <cell r="R309"/>
          <cell r="S309" t="b">
            <v>1</v>
          </cell>
          <cell r="T309" t="b">
            <v>1</v>
          </cell>
          <cell r="U309" t="b">
            <v>1</v>
          </cell>
          <cell r="V309"/>
          <cell r="W309"/>
          <cell r="X309"/>
          <cell r="Y309">
            <v>2248</v>
          </cell>
          <cell r="Z309"/>
          <cell r="AA309"/>
          <cell r="AB309"/>
          <cell r="AC309"/>
          <cell r="AD309"/>
          <cell r="AE309"/>
          <cell r="AF309"/>
          <cell r="AG309"/>
          <cell r="AH309">
            <v>1693</v>
          </cell>
          <cell r="AI309"/>
          <cell r="AJ309"/>
          <cell r="AK309"/>
          <cell r="AL309"/>
          <cell r="AM309"/>
          <cell r="AN309"/>
          <cell r="AO309"/>
          <cell r="AP309"/>
          <cell r="AQ309"/>
          <cell r="AR309"/>
          <cell r="AS309"/>
          <cell r="AT309"/>
          <cell r="AU309"/>
          <cell r="AV309"/>
          <cell r="AW309"/>
          <cell r="AX309"/>
          <cell r="AY309"/>
          <cell r="AZ309"/>
          <cell r="BA309"/>
          <cell r="BB309"/>
          <cell r="BC309"/>
          <cell r="BD309"/>
        </row>
        <row r="310">
          <cell r="A310" t="str">
            <v>Safety_CPU\Service_Layer\Maintenance\Interactive_Maintenance\Interactive_Mode_Manager</v>
          </cell>
          <cell r="B310" t="str">
            <v>N</v>
          </cell>
          <cell r="C310" t="str">
            <v>Y</v>
          </cell>
          <cell r="D310"/>
          <cell r="E310"/>
          <cell r="F310"/>
          <cell r="G310" t="str">
            <v>CN</v>
          </cell>
          <cell r="H310" t="str">
            <v>N</v>
          </cell>
          <cell r="I310"/>
          <cell r="J310"/>
          <cell r="K310"/>
          <cell r="L310"/>
          <cell r="M310"/>
          <cell r="N310"/>
          <cell r="O310"/>
          <cell r="P310"/>
          <cell r="Q310"/>
          <cell r="R310"/>
          <cell r="S310" t="b">
            <v>1</v>
          </cell>
          <cell r="T310" t="b">
            <v>1</v>
          </cell>
          <cell r="U310" t="b">
            <v>1</v>
          </cell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/>
          <cell r="AO310"/>
          <cell r="AP310"/>
          <cell r="AQ310"/>
          <cell r="AR310"/>
          <cell r="AS310"/>
          <cell r="AT310"/>
          <cell r="AU310"/>
          <cell r="AV310"/>
          <cell r="AW310"/>
          <cell r="AX310"/>
          <cell r="AY310"/>
          <cell r="AZ310"/>
          <cell r="BA310"/>
          <cell r="BB310"/>
          <cell r="BC310"/>
          <cell r="BD310"/>
        </row>
        <row r="311">
          <cell r="A311" t="str">
            <v>Safety_CPU\Service_Layer\Maintenance\Interactive_Maintenance\Interactive_Reporting</v>
          </cell>
          <cell r="B311" t="str">
            <v>N</v>
          </cell>
          <cell r="C311" t="str">
            <v>Y</v>
          </cell>
          <cell r="E311"/>
          <cell r="F311"/>
          <cell r="G311" t="str">
            <v>CN</v>
          </cell>
          <cell r="H311" t="str">
            <v>N</v>
          </cell>
          <cell r="I311"/>
          <cell r="J311"/>
          <cell r="K311"/>
          <cell r="L311"/>
          <cell r="M311"/>
          <cell r="N311"/>
          <cell r="O311"/>
          <cell r="P311"/>
          <cell r="Q311"/>
          <cell r="R311"/>
          <cell r="S311" t="b">
            <v>1</v>
          </cell>
          <cell r="T311" t="b">
            <v>1</v>
          </cell>
          <cell r="U311" t="b">
            <v>1</v>
          </cell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>
            <v>1682</v>
          </cell>
          <cell r="AI311"/>
          <cell r="AJ311"/>
          <cell r="AK311"/>
          <cell r="AL311"/>
          <cell r="AM311"/>
          <cell r="AN311"/>
          <cell r="AO311"/>
          <cell r="AP311"/>
          <cell r="AQ311"/>
          <cell r="AR311"/>
          <cell r="AS311"/>
          <cell r="AT311"/>
          <cell r="AU311"/>
          <cell r="AV311"/>
          <cell r="AW311"/>
          <cell r="AX311"/>
          <cell r="AY311"/>
          <cell r="AZ311"/>
          <cell r="BA311"/>
          <cell r="BB311"/>
          <cell r="BC311"/>
          <cell r="BD311"/>
        </row>
        <row r="312">
          <cell r="A312" t="str">
            <v>Safety_CPU\Service_Layer\Maintenance\Interactive_Maintenance\Reports_Test</v>
          </cell>
          <cell r="B312" t="str">
            <v>N</v>
          </cell>
          <cell r="C312" t="str">
            <v>Y</v>
          </cell>
          <cell r="D312"/>
          <cell r="E312"/>
          <cell r="F312"/>
          <cell r="G312" t="str">
            <v>CN</v>
          </cell>
          <cell r="H312" t="str">
            <v>N</v>
          </cell>
          <cell r="I312"/>
          <cell r="J312"/>
          <cell r="K312"/>
          <cell r="L312"/>
          <cell r="M312"/>
          <cell r="N312"/>
          <cell r="O312"/>
          <cell r="P312"/>
          <cell r="Q312"/>
          <cell r="R312"/>
          <cell r="S312" t="b">
            <v>1</v>
          </cell>
          <cell r="T312" t="b">
            <v>1</v>
          </cell>
          <cell r="U312" t="b">
            <v>1</v>
          </cell>
          <cell r="V312"/>
          <cell r="W312"/>
          <cell r="X312"/>
          <cell r="Y312">
            <v>3038</v>
          </cell>
          <cell r="Z312"/>
          <cell r="AA312"/>
          <cell r="AB312"/>
          <cell r="AC312"/>
          <cell r="AD312"/>
          <cell r="AE312"/>
          <cell r="AF312"/>
          <cell r="AG312"/>
          <cell r="AH312">
            <v>1719</v>
          </cell>
          <cell r="AI312"/>
          <cell r="AJ312"/>
          <cell r="AK312"/>
          <cell r="AL312"/>
          <cell r="AM312"/>
          <cell r="AN312"/>
          <cell r="AO312"/>
          <cell r="AP312"/>
          <cell r="AQ312"/>
          <cell r="AR312"/>
          <cell r="AS312"/>
          <cell r="AT312"/>
          <cell r="AU312"/>
          <cell r="AV312"/>
          <cell r="AW312"/>
          <cell r="AX312"/>
          <cell r="AY312"/>
          <cell r="AZ312"/>
          <cell r="BA312"/>
          <cell r="BB312"/>
          <cell r="BC312"/>
          <cell r="BD312"/>
        </row>
        <row r="313">
          <cell r="A313" t="str">
            <v>Safety_CPU\Service_Layer\Maintenance\Interactive_Maintenance\System_Test</v>
          </cell>
          <cell r="B313" t="str">
            <v>N</v>
          </cell>
          <cell r="C313" t="str">
            <v>Y</v>
          </cell>
          <cell r="D313"/>
          <cell r="E313"/>
          <cell r="F313" t="str">
            <v>6233, NFPR1272</v>
          </cell>
          <cell r="G313" t="str">
            <v>CN</v>
          </cell>
          <cell r="H313" t="str">
            <v>Y</v>
          </cell>
          <cell r="I313"/>
          <cell r="J313"/>
          <cell r="K313"/>
          <cell r="L313"/>
          <cell r="M313"/>
          <cell r="N313"/>
          <cell r="O313" t="str">
            <v>Y</v>
          </cell>
          <cell r="P313"/>
          <cell r="Q313"/>
          <cell r="R313"/>
          <cell r="S313" t="b">
            <v>1</v>
          </cell>
          <cell r="T313" t="b">
            <v>1</v>
          </cell>
          <cell r="U313" t="b">
            <v>1</v>
          </cell>
          <cell r="V313"/>
          <cell r="W313"/>
          <cell r="X313"/>
          <cell r="Y313">
            <v>2549</v>
          </cell>
          <cell r="Z313"/>
          <cell r="AA313"/>
          <cell r="AB313"/>
          <cell r="AC313"/>
          <cell r="AD313"/>
          <cell r="AE313"/>
          <cell r="AF313" t="str">
            <v>DHB</v>
          </cell>
          <cell r="AG313" t="str">
            <v>PR</v>
          </cell>
          <cell r="AH313">
            <v>1677</v>
          </cell>
          <cell r="AI313"/>
          <cell r="AJ313"/>
          <cell r="AK313"/>
          <cell r="AL313"/>
          <cell r="AM313"/>
          <cell r="AN313"/>
          <cell r="AO313"/>
          <cell r="AP313"/>
          <cell r="AQ313">
            <v>100</v>
          </cell>
          <cell r="AR313">
            <v>100</v>
          </cell>
          <cell r="AS313" t="str">
            <v>Y</v>
          </cell>
          <cell r="AT313" t="str">
            <v>Y</v>
          </cell>
          <cell r="AU313"/>
          <cell r="AV313"/>
          <cell r="AW313"/>
          <cell r="AX313"/>
          <cell r="AY313"/>
          <cell r="AZ313"/>
          <cell r="BA313"/>
          <cell r="BB313"/>
          <cell r="BC313"/>
          <cell r="BD313"/>
        </row>
        <row r="314">
          <cell r="A314" t="str">
            <v>Safety_CPU\Service_Layer\Maintenance\Interactive_Maintenance\VSV_Test</v>
          </cell>
          <cell r="B314" t="str">
            <v>N</v>
          </cell>
          <cell r="C314" t="str">
            <v>N</v>
          </cell>
          <cell r="D314"/>
          <cell r="E314"/>
          <cell r="F314"/>
          <cell r="G314" t="str">
            <v>CN</v>
          </cell>
          <cell r="H314" t="str">
            <v>N</v>
          </cell>
          <cell r="I314"/>
          <cell r="J314"/>
          <cell r="K314"/>
          <cell r="L314"/>
          <cell r="M314"/>
          <cell r="N314"/>
          <cell r="O314"/>
          <cell r="P314"/>
          <cell r="Q314"/>
          <cell r="R314"/>
          <cell r="S314" t="b">
            <v>1</v>
          </cell>
          <cell r="T314" t="b">
            <v>1</v>
          </cell>
          <cell r="U314" t="b">
            <v>1</v>
          </cell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>
            <v>1694</v>
          </cell>
          <cell r="AI314"/>
          <cell r="AJ314"/>
          <cell r="AK314"/>
          <cell r="AL314"/>
          <cell r="AM314"/>
          <cell r="AN314"/>
          <cell r="AO314"/>
          <cell r="AP314"/>
          <cell r="AQ314"/>
          <cell r="AR314"/>
          <cell r="AS314"/>
          <cell r="AT314"/>
          <cell r="AU314"/>
          <cell r="AV314"/>
          <cell r="AW314"/>
          <cell r="AX314"/>
          <cell r="AY314"/>
          <cell r="AZ314"/>
          <cell r="BA314"/>
          <cell r="BB314"/>
          <cell r="BC314"/>
          <cell r="BD314"/>
        </row>
        <row r="315">
          <cell r="A315" t="str">
            <v>Safety_CPU\Service_Layer\Maintenance\MaintenanceCommon</v>
          </cell>
          <cell r="B315" t="str">
            <v>N</v>
          </cell>
          <cell r="C315" t="str">
            <v>Y</v>
          </cell>
          <cell r="D315"/>
          <cell r="E315"/>
          <cell r="F315"/>
          <cell r="G315" t="str">
            <v>CN</v>
          </cell>
          <cell r="H315" t="str">
            <v>N</v>
          </cell>
          <cell r="I315"/>
          <cell r="J315"/>
          <cell r="K315"/>
          <cell r="L315"/>
          <cell r="M315"/>
          <cell r="N315"/>
          <cell r="O315"/>
          <cell r="P315"/>
          <cell r="Q315"/>
          <cell r="R315"/>
          <cell r="S315" t="b">
            <v>1</v>
          </cell>
          <cell r="T315" t="b">
            <v>1</v>
          </cell>
          <cell r="U315" t="b">
            <v>1</v>
          </cell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>
            <v>1694</v>
          </cell>
          <cell r="AI315"/>
          <cell r="AJ315"/>
          <cell r="AK315"/>
          <cell r="AL315"/>
          <cell r="AM315"/>
          <cell r="AN315"/>
          <cell r="AO315"/>
          <cell r="AP315"/>
          <cell r="AQ315"/>
          <cell r="AR315"/>
          <cell r="AS315"/>
          <cell r="AT315"/>
          <cell r="AU315"/>
          <cell r="AV315"/>
          <cell r="AW315"/>
          <cell r="AX315"/>
          <cell r="AY315"/>
          <cell r="AZ315"/>
          <cell r="BA315"/>
          <cell r="BB315"/>
          <cell r="BC315"/>
          <cell r="BD315"/>
        </row>
        <row r="316">
          <cell r="A316" t="str">
            <v>Safety_CPU\Service_Layer\Maintenance\Status_Logic</v>
          </cell>
          <cell r="B316" t="str">
            <v>N</v>
          </cell>
          <cell r="C316" t="str">
            <v>Y</v>
          </cell>
          <cell r="D316"/>
          <cell r="E316"/>
          <cell r="F316" t="str">
            <v>6230</v>
          </cell>
          <cell r="G316" t="str">
            <v>CN</v>
          </cell>
          <cell r="H316" t="str">
            <v>Y</v>
          </cell>
          <cell r="I316"/>
          <cell r="J316"/>
          <cell r="K316"/>
          <cell r="L316"/>
          <cell r="M316"/>
          <cell r="N316" t="str">
            <v>Y</v>
          </cell>
          <cell r="O316" t="str">
            <v>Y</v>
          </cell>
          <cell r="P316" t="str">
            <v>Y</v>
          </cell>
          <cell r="Q316"/>
          <cell r="R316"/>
          <cell r="S316" t="b">
            <v>1</v>
          </cell>
          <cell r="T316" t="b">
            <v>1</v>
          </cell>
          <cell r="U316" t="b">
            <v>1</v>
          </cell>
          <cell r="V316">
            <v>1</v>
          </cell>
          <cell r="W316"/>
          <cell r="X316"/>
          <cell r="Y316">
            <v>2362</v>
          </cell>
          <cell r="Z316"/>
          <cell r="AA316"/>
          <cell r="AB316"/>
          <cell r="AC316"/>
          <cell r="AD316"/>
          <cell r="AE316"/>
          <cell r="AF316" t="str">
            <v>ND</v>
          </cell>
          <cell r="AG316" t="str">
            <v>SP</v>
          </cell>
          <cell r="AH316">
            <v>1181</v>
          </cell>
          <cell r="AI316">
            <v>100</v>
          </cell>
          <cell r="AJ316">
            <v>100</v>
          </cell>
          <cell r="AK316">
            <v>100</v>
          </cell>
          <cell r="AL316"/>
          <cell r="AM316" t="str">
            <v>Y</v>
          </cell>
          <cell r="AN316"/>
          <cell r="AO316" t="str">
            <v>Y</v>
          </cell>
          <cell r="AP316">
            <v>100</v>
          </cell>
          <cell r="AQ316">
            <v>100</v>
          </cell>
          <cell r="AR316">
            <v>100</v>
          </cell>
          <cell r="AS316" t="str">
            <v>Y</v>
          </cell>
          <cell r="AT316" t="str">
            <v>Y</v>
          </cell>
          <cell r="AU316"/>
          <cell r="AV316" t="str">
            <v>ND</v>
          </cell>
          <cell r="AW316"/>
          <cell r="AX316" t="str">
            <v>SP</v>
          </cell>
          <cell r="AY316">
            <v>100</v>
          </cell>
          <cell r="AZ316"/>
          <cell r="BA316">
            <v>100</v>
          </cell>
          <cell r="BB316">
            <v>100</v>
          </cell>
          <cell r="BC316" t="str">
            <v>Y</v>
          </cell>
          <cell r="BD316">
            <v>100</v>
          </cell>
        </row>
        <row r="317">
          <cell r="A317" t="str">
            <v>Safety_CPU\Service_Layer\NVM\NVM_Manager_App_Data_Safety</v>
          </cell>
          <cell r="B317" t="str">
            <v>N</v>
          </cell>
          <cell r="C317" t="str">
            <v>Y</v>
          </cell>
          <cell r="D317"/>
          <cell r="E317"/>
          <cell r="F317"/>
          <cell r="G317" t="str">
            <v>CN</v>
          </cell>
          <cell r="H317" t="str">
            <v>N</v>
          </cell>
          <cell r="I317"/>
          <cell r="J317"/>
          <cell r="K317"/>
          <cell r="L317"/>
          <cell r="M317"/>
          <cell r="N317"/>
          <cell r="O317"/>
          <cell r="P317"/>
          <cell r="Q317"/>
          <cell r="R317"/>
          <cell r="S317" t="b">
            <v>1</v>
          </cell>
          <cell r="T317" t="b">
            <v>1</v>
          </cell>
          <cell r="U317" t="b">
            <v>1</v>
          </cell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>
            <v>1564</v>
          </cell>
          <cell r="AI317"/>
          <cell r="AJ317"/>
          <cell r="AK317"/>
          <cell r="AL317"/>
          <cell r="AM317"/>
          <cell r="AN317"/>
          <cell r="AO317"/>
          <cell r="AP317"/>
          <cell r="AQ317"/>
          <cell r="AR317"/>
          <cell r="AS317"/>
          <cell r="AT317"/>
          <cell r="AU317"/>
          <cell r="AV317"/>
          <cell r="AW317"/>
          <cell r="AX317"/>
          <cell r="AY317"/>
          <cell r="AZ317"/>
          <cell r="BA317"/>
          <cell r="BB317"/>
          <cell r="BC317"/>
          <cell r="BD317"/>
        </row>
        <row r="318">
          <cell r="A318" t="str">
            <v>Safety_CPU\Service_Layer\NVM\NVM_Manager_OMS_Fault_Report_Data</v>
          </cell>
          <cell r="B318" t="str">
            <v>N</v>
          </cell>
          <cell r="C318" t="str">
            <v>Y</v>
          </cell>
          <cell r="D318"/>
          <cell r="E318"/>
          <cell r="F318"/>
          <cell r="G318" t="str">
            <v>CN</v>
          </cell>
          <cell r="H318" t="str">
            <v>N</v>
          </cell>
          <cell r="I318"/>
          <cell r="J318"/>
          <cell r="K318"/>
          <cell r="L318"/>
          <cell r="M318"/>
          <cell r="N318"/>
          <cell r="O318"/>
          <cell r="P318"/>
          <cell r="Q318"/>
          <cell r="R318"/>
          <cell r="S318" t="b">
            <v>1</v>
          </cell>
          <cell r="T318" t="b">
            <v>1</v>
          </cell>
          <cell r="U318" t="b">
            <v>1</v>
          </cell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>
            <v>1564</v>
          </cell>
          <cell r="AI318"/>
          <cell r="AJ318"/>
          <cell r="AK318"/>
          <cell r="AL318"/>
          <cell r="AM318"/>
          <cell r="AN318"/>
          <cell r="AO318"/>
          <cell r="AP318"/>
          <cell r="AQ318"/>
          <cell r="AR318"/>
          <cell r="AS318"/>
          <cell r="AT318"/>
          <cell r="AU318"/>
          <cell r="AV318"/>
          <cell r="AW318"/>
          <cell r="AX318"/>
          <cell r="AY318"/>
          <cell r="AZ318"/>
          <cell r="BA318"/>
          <cell r="BB318"/>
          <cell r="BC318"/>
          <cell r="BD318"/>
        </row>
        <row r="319">
          <cell r="A319" t="str">
            <v>Safety_CPU\Service_Layer\Processor_Identification</v>
          </cell>
          <cell r="B319" t="str">
            <v>N</v>
          </cell>
          <cell r="C319"/>
          <cell r="D319"/>
          <cell r="E319"/>
          <cell r="F319"/>
          <cell r="G319" t="str">
            <v>CN</v>
          </cell>
          <cell r="H319" t="str">
            <v>N</v>
          </cell>
          <cell r="I319"/>
          <cell r="J319"/>
          <cell r="K319"/>
          <cell r="L319"/>
          <cell r="M319"/>
          <cell r="N319"/>
          <cell r="O319"/>
          <cell r="P319"/>
          <cell r="Q319"/>
          <cell r="R319"/>
          <cell r="S319" t="b">
            <v>1</v>
          </cell>
          <cell r="T319" t="b">
            <v>1</v>
          </cell>
          <cell r="U319" t="b">
            <v>1</v>
          </cell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>
            <v>701</v>
          </cell>
          <cell r="AI319"/>
          <cell r="AJ319"/>
          <cell r="AK319"/>
          <cell r="AL319"/>
          <cell r="AM319"/>
          <cell r="AN319"/>
          <cell r="AO319"/>
          <cell r="AP319"/>
          <cell r="AQ319"/>
          <cell r="AR319"/>
          <cell r="AS319"/>
          <cell r="AT319"/>
          <cell r="AU319"/>
          <cell r="AV319"/>
          <cell r="AW319"/>
          <cell r="AX319"/>
          <cell r="AY319"/>
          <cell r="AZ319"/>
          <cell r="BA319"/>
          <cell r="BB319"/>
          <cell r="BC319"/>
          <cell r="BD319"/>
        </row>
        <row r="320">
          <cell r="A320" t="str">
            <v>Safety_CPU\System_Interfaces</v>
          </cell>
          <cell r="B320" t="str">
            <v>N</v>
          </cell>
          <cell r="C320" t="str">
            <v>N</v>
          </cell>
          <cell r="D320"/>
          <cell r="E320"/>
          <cell r="F320"/>
          <cell r="G320" t="str">
            <v>CN</v>
          </cell>
          <cell r="H320" t="str">
            <v>N</v>
          </cell>
          <cell r="I320"/>
          <cell r="J320"/>
          <cell r="K320"/>
          <cell r="L320"/>
          <cell r="M320"/>
          <cell r="N320"/>
          <cell r="O320"/>
          <cell r="P320"/>
          <cell r="Q320"/>
          <cell r="R320"/>
          <cell r="S320" t="b">
            <v>1</v>
          </cell>
          <cell r="T320" t="b">
            <v>1</v>
          </cell>
          <cell r="U320" t="b">
            <v>1</v>
          </cell>
          <cell r="V320"/>
          <cell r="W320"/>
          <cell r="X320"/>
          <cell r="Y320" t="str">
            <v>n/a</v>
          </cell>
          <cell r="Z320"/>
          <cell r="AA320"/>
          <cell r="AB320"/>
          <cell r="AC320"/>
          <cell r="AD320"/>
          <cell r="AE320"/>
          <cell r="AF320"/>
          <cell r="AG320"/>
          <cell r="AH320" t="str">
            <v>n/a</v>
          </cell>
          <cell r="AI320"/>
          <cell r="AJ320"/>
          <cell r="AK320"/>
          <cell r="AL320"/>
          <cell r="AM320"/>
          <cell r="AN320"/>
          <cell r="AO320"/>
          <cell r="AP320"/>
          <cell r="AQ320"/>
          <cell r="AR320"/>
          <cell r="AS320"/>
          <cell r="AT320"/>
          <cell r="AU320"/>
          <cell r="AV320"/>
          <cell r="AW320"/>
          <cell r="AX320"/>
          <cell r="AY320"/>
          <cell r="AZ320"/>
          <cell r="BA320"/>
          <cell r="BB320"/>
          <cell r="BC320"/>
          <cell r="BD320"/>
        </row>
        <row r="321">
          <cell r="A321" t="str">
            <v>Safety_CPU\System_Layer\Actuation\Front_Bearing_Housing_Oil_Bypass_Valve_Actuation</v>
          </cell>
          <cell r="B321" t="str">
            <v>N</v>
          </cell>
          <cell r="C321" t="str">
            <v>Y</v>
          </cell>
          <cell r="D321"/>
          <cell r="E321"/>
          <cell r="F321"/>
          <cell r="G321" t="str">
            <v>CN</v>
          </cell>
          <cell r="H321" t="str">
            <v>N</v>
          </cell>
          <cell r="I321"/>
          <cell r="J321"/>
          <cell r="K321"/>
          <cell r="L321"/>
          <cell r="M321"/>
          <cell r="N321"/>
          <cell r="O321"/>
          <cell r="P321"/>
          <cell r="Q321"/>
          <cell r="R321"/>
          <cell r="S321" t="b">
            <v>1</v>
          </cell>
          <cell r="T321" t="b">
            <v>1</v>
          </cell>
          <cell r="U321" t="b">
            <v>1</v>
          </cell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>
            <v>646</v>
          </cell>
          <cell r="AI321"/>
          <cell r="AJ321"/>
          <cell r="AK321"/>
          <cell r="AL321"/>
          <cell r="AM321"/>
          <cell r="AN321"/>
          <cell r="AO321"/>
          <cell r="AP321"/>
          <cell r="AQ321"/>
          <cell r="AR321"/>
          <cell r="AS321"/>
          <cell r="AT321"/>
          <cell r="AU321"/>
          <cell r="AV321"/>
          <cell r="AW321"/>
          <cell r="AX321"/>
          <cell r="AY321"/>
          <cell r="AZ321"/>
          <cell r="BA321"/>
          <cell r="BB321"/>
          <cell r="BC321"/>
          <cell r="BD321"/>
        </row>
        <row r="322">
          <cell r="A322" t="str">
            <v>Safety_CPU\System_Layer\Actuation\Generator_Oil_Bypass_Valve_Actuation</v>
          </cell>
          <cell r="B322" t="str">
            <v>N</v>
          </cell>
          <cell r="C322" t="str">
            <v>Y</v>
          </cell>
          <cell r="D322"/>
          <cell r="E322"/>
          <cell r="F322"/>
          <cell r="G322" t="str">
            <v>CN</v>
          </cell>
          <cell r="H322" t="str">
            <v>N</v>
          </cell>
          <cell r="I322"/>
          <cell r="J322"/>
          <cell r="K322"/>
          <cell r="L322"/>
          <cell r="M322"/>
          <cell r="N322"/>
          <cell r="O322"/>
          <cell r="P322"/>
          <cell r="Q322"/>
          <cell r="R322"/>
          <cell r="S322" t="b">
            <v>1</v>
          </cell>
          <cell r="T322" t="b">
            <v>1</v>
          </cell>
          <cell r="U322" t="b">
            <v>1</v>
          </cell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>
            <v>647</v>
          </cell>
          <cell r="AI322"/>
          <cell r="AJ322"/>
          <cell r="AK322"/>
          <cell r="AL322"/>
          <cell r="AM322"/>
          <cell r="AN322"/>
          <cell r="AO322"/>
          <cell r="AP322"/>
          <cell r="AQ322"/>
          <cell r="AR322"/>
          <cell r="AS322"/>
          <cell r="AT322"/>
          <cell r="AU322"/>
          <cell r="AV322"/>
          <cell r="AW322"/>
          <cell r="AX322"/>
          <cell r="AY322"/>
          <cell r="AZ322"/>
          <cell r="BA322"/>
          <cell r="BB322"/>
          <cell r="BC322"/>
          <cell r="BD322"/>
        </row>
        <row r="323">
          <cell r="A323" t="str">
            <v>Safety_CPU\System_Layer\Actuation\LP_Turbine_Case_Cooling_Actuation</v>
          </cell>
          <cell r="B323" t="str">
            <v>N</v>
          </cell>
          <cell r="C323" t="str">
            <v>Y</v>
          </cell>
          <cell r="D323"/>
          <cell r="E323"/>
          <cell r="F323"/>
          <cell r="G323" t="str">
            <v>CN</v>
          </cell>
          <cell r="H323" t="str">
            <v>N</v>
          </cell>
          <cell r="I323"/>
          <cell r="J323"/>
          <cell r="K323"/>
          <cell r="L323"/>
          <cell r="M323"/>
          <cell r="N323"/>
          <cell r="O323"/>
          <cell r="P323"/>
          <cell r="Q323"/>
          <cell r="R323"/>
          <cell r="S323" t="b">
            <v>1</v>
          </cell>
          <cell r="T323" t="b">
            <v>1</v>
          </cell>
          <cell r="U323" t="b">
            <v>1</v>
          </cell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>
            <v>648</v>
          </cell>
          <cell r="AI323"/>
          <cell r="AJ323"/>
          <cell r="AK323"/>
          <cell r="AL323"/>
          <cell r="AM323"/>
          <cell r="AN323"/>
          <cell r="AO323"/>
          <cell r="AP323"/>
          <cell r="AQ323"/>
          <cell r="AR323"/>
          <cell r="AS323"/>
          <cell r="AT323"/>
          <cell r="AU323"/>
          <cell r="AV323"/>
          <cell r="AW323"/>
          <cell r="AX323"/>
          <cell r="AY323"/>
          <cell r="AZ323"/>
          <cell r="BA323"/>
          <cell r="BB323"/>
          <cell r="BC323"/>
          <cell r="BD323"/>
        </row>
        <row r="324">
          <cell r="A324" t="str">
            <v>Safety_CPU\System_Layer\Actuation\Modulated_Air_System_Actuation</v>
          </cell>
          <cell r="B324" t="str">
            <v>N</v>
          </cell>
          <cell r="C324" t="str">
            <v>N</v>
          </cell>
          <cell r="D324"/>
          <cell r="E324"/>
          <cell r="F324"/>
          <cell r="G324" t="str">
            <v>CN</v>
          </cell>
          <cell r="H324" t="str">
            <v>N</v>
          </cell>
          <cell r="I324"/>
          <cell r="J324"/>
          <cell r="K324"/>
          <cell r="L324"/>
          <cell r="M324"/>
          <cell r="N324"/>
          <cell r="O324"/>
          <cell r="P324"/>
          <cell r="Q324"/>
          <cell r="R324"/>
          <cell r="S324" t="b">
            <v>1</v>
          </cell>
          <cell r="T324" t="b">
            <v>1</v>
          </cell>
          <cell r="U324" t="b">
            <v>1</v>
          </cell>
          <cell r="V324"/>
          <cell r="W324"/>
          <cell r="X324"/>
          <cell r="Y324">
            <v>461</v>
          </cell>
          <cell r="Z324"/>
          <cell r="AA324"/>
          <cell r="AB324"/>
          <cell r="AC324"/>
          <cell r="AD324"/>
          <cell r="AE324"/>
          <cell r="AF324"/>
          <cell r="AG324"/>
          <cell r="AH324">
            <v>464</v>
          </cell>
          <cell r="AI324"/>
          <cell r="AJ324"/>
          <cell r="AK324"/>
          <cell r="AL324"/>
          <cell r="AM324"/>
          <cell r="AN324"/>
          <cell r="AO324"/>
          <cell r="AP324"/>
          <cell r="AQ324"/>
          <cell r="AR324"/>
          <cell r="AS324"/>
          <cell r="AT324"/>
          <cell r="AU324"/>
          <cell r="AV324"/>
          <cell r="AW324"/>
          <cell r="AX324"/>
          <cell r="AY324"/>
          <cell r="AZ324"/>
          <cell r="BA324"/>
          <cell r="BB324"/>
          <cell r="BC324"/>
          <cell r="BD324"/>
        </row>
        <row r="325">
          <cell r="A325" t="str">
            <v>Safety_CPU\System_Layer\Actuation\Nacelle_Anti_Ice_Actuation</v>
          </cell>
          <cell r="B325" t="str">
            <v>N</v>
          </cell>
          <cell r="C325" t="str">
            <v>Y</v>
          </cell>
          <cell r="D325"/>
          <cell r="E325"/>
          <cell r="F325"/>
          <cell r="G325" t="str">
            <v>CN</v>
          </cell>
          <cell r="H325" t="str">
            <v>N</v>
          </cell>
          <cell r="I325"/>
          <cell r="J325"/>
          <cell r="K325"/>
          <cell r="L325"/>
          <cell r="M325"/>
          <cell r="N325"/>
          <cell r="O325"/>
          <cell r="P325"/>
          <cell r="Q325"/>
          <cell r="R325"/>
          <cell r="S325" t="b">
            <v>1</v>
          </cell>
          <cell r="T325" t="b">
            <v>1</v>
          </cell>
          <cell r="U325" t="b">
            <v>1</v>
          </cell>
          <cell r="V325"/>
          <cell r="W325"/>
          <cell r="X325"/>
          <cell r="Y325">
            <v>2557</v>
          </cell>
          <cell r="Z325"/>
          <cell r="AA325"/>
          <cell r="AB325"/>
          <cell r="AC325"/>
          <cell r="AD325"/>
          <cell r="AE325"/>
          <cell r="AF325"/>
          <cell r="AG325"/>
          <cell r="AH325">
            <v>912</v>
          </cell>
          <cell r="AI325"/>
          <cell r="AJ325"/>
          <cell r="AK325"/>
          <cell r="AL325"/>
          <cell r="AM325"/>
          <cell r="AN325"/>
          <cell r="AO325"/>
          <cell r="AP325"/>
          <cell r="AQ325"/>
          <cell r="AR325"/>
          <cell r="AS325"/>
          <cell r="AT325"/>
          <cell r="AU325"/>
          <cell r="AV325"/>
          <cell r="AW325"/>
          <cell r="AX325"/>
          <cell r="AY325"/>
          <cell r="AZ325"/>
          <cell r="BA325"/>
          <cell r="BB325"/>
          <cell r="BC325"/>
          <cell r="BD325"/>
        </row>
        <row r="326">
          <cell r="A326" t="str">
            <v>Safety_CPU\System_Layer\Actuation\Protection_SOV_Actuation</v>
          </cell>
          <cell r="B326" t="str">
            <v>N</v>
          </cell>
          <cell r="C326" t="str">
            <v>Y</v>
          </cell>
          <cell r="D326"/>
          <cell r="E326"/>
          <cell r="F326"/>
          <cell r="G326" t="str">
            <v>CN</v>
          </cell>
          <cell r="H326" t="str">
            <v>N</v>
          </cell>
          <cell r="I326"/>
          <cell r="J326"/>
          <cell r="K326"/>
          <cell r="L326"/>
          <cell r="M326" t="str">
            <v>Y</v>
          </cell>
          <cell r="N326" t="str">
            <v>Y</v>
          </cell>
          <cell r="O326" t="str">
            <v>Y</v>
          </cell>
          <cell r="P326" t="str">
            <v>Y</v>
          </cell>
          <cell r="Q326"/>
          <cell r="R326"/>
          <cell r="S326" t="b">
            <v>1</v>
          </cell>
          <cell r="T326" t="b">
            <v>1</v>
          </cell>
          <cell r="U326" t="b">
            <v>1</v>
          </cell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>
            <v>649</v>
          </cell>
          <cell r="AI326"/>
          <cell r="AJ326"/>
          <cell r="AK326"/>
          <cell r="AL326"/>
          <cell r="AM326"/>
          <cell r="AN326"/>
          <cell r="AO326"/>
          <cell r="AP326"/>
          <cell r="AQ326"/>
          <cell r="AR326"/>
          <cell r="AS326"/>
          <cell r="AT326"/>
          <cell r="AU326"/>
          <cell r="AV326"/>
          <cell r="AW326"/>
          <cell r="AX326"/>
          <cell r="AY326"/>
          <cell r="AZ326"/>
          <cell r="BA326"/>
          <cell r="BB326"/>
          <cell r="BC326"/>
          <cell r="BD326"/>
        </row>
        <row r="327">
          <cell r="A327" t="str">
            <v>Safety_CPU\System_Layer\Derive_and_Modelled_Parameters\Derive_Aircraft_State</v>
          </cell>
          <cell r="B327" t="str">
            <v>N</v>
          </cell>
          <cell r="C327" t="str">
            <v>N</v>
          </cell>
          <cell r="D327"/>
          <cell r="E327"/>
          <cell r="F327"/>
          <cell r="G327" t="str">
            <v>CN</v>
          </cell>
          <cell r="H327" t="str">
            <v>N</v>
          </cell>
          <cell r="I327"/>
          <cell r="J327"/>
          <cell r="K327"/>
          <cell r="L327"/>
          <cell r="M327"/>
          <cell r="N327"/>
          <cell r="O327"/>
          <cell r="P327"/>
          <cell r="Q327"/>
          <cell r="R327"/>
          <cell r="S327" t="b">
            <v>1</v>
          </cell>
          <cell r="T327" t="b">
            <v>1</v>
          </cell>
          <cell r="U327" t="b">
            <v>1</v>
          </cell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>
            <v>1123</v>
          </cell>
          <cell r="AI327"/>
          <cell r="AJ327"/>
          <cell r="AK327"/>
          <cell r="AL327"/>
          <cell r="AM327"/>
          <cell r="AN327"/>
          <cell r="AO327"/>
          <cell r="AP327"/>
          <cell r="AQ327"/>
          <cell r="AR327"/>
          <cell r="AS327"/>
          <cell r="AT327"/>
          <cell r="AU327"/>
          <cell r="AV327"/>
          <cell r="AW327"/>
          <cell r="AX327"/>
          <cell r="AY327"/>
          <cell r="AZ327"/>
          <cell r="BA327"/>
          <cell r="BB327"/>
          <cell r="BC327"/>
          <cell r="BD327"/>
        </row>
        <row r="328">
          <cell r="A328" t="str">
            <v>Safety_CPU\System_Layer\Derive_and_Modelled_Parameters\Derive_Oil_Quantity</v>
          </cell>
          <cell r="B328" t="str">
            <v>N</v>
          </cell>
          <cell r="C328" t="str">
            <v>Y</v>
          </cell>
          <cell r="D328"/>
          <cell r="E328"/>
          <cell r="F328"/>
          <cell r="G328" t="str">
            <v>CN</v>
          </cell>
          <cell r="H328" t="str">
            <v>N</v>
          </cell>
          <cell r="I328"/>
          <cell r="J328"/>
          <cell r="K328"/>
          <cell r="L328"/>
          <cell r="M328"/>
          <cell r="N328"/>
          <cell r="O328"/>
          <cell r="P328"/>
          <cell r="Q328"/>
          <cell r="R328"/>
          <cell r="S328" t="b">
            <v>1</v>
          </cell>
          <cell r="T328" t="b">
            <v>1</v>
          </cell>
          <cell r="U328" t="b">
            <v>1</v>
          </cell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>
            <v>1123</v>
          </cell>
          <cell r="AI328"/>
          <cell r="AJ328"/>
          <cell r="AK328"/>
          <cell r="AL328"/>
          <cell r="AM328"/>
          <cell r="AN328"/>
          <cell r="AO328"/>
          <cell r="AP328"/>
          <cell r="AQ328"/>
          <cell r="AR328"/>
          <cell r="AS328"/>
          <cell r="AT328"/>
          <cell r="AU328"/>
          <cell r="AV328"/>
          <cell r="AW328"/>
          <cell r="AX328"/>
          <cell r="AY328"/>
          <cell r="AZ328"/>
          <cell r="BA328"/>
          <cell r="BB328"/>
          <cell r="BC328"/>
          <cell r="BD328"/>
        </row>
        <row r="329">
          <cell r="A329" t="str">
            <v>Safety_CPU\System_Layer\Minor_Loops\Minor_Loop_Internal_Boundaries</v>
          </cell>
          <cell r="B329" t="str">
            <v>N</v>
          </cell>
          <cell r="C329" t="str">
            <v>N</v>
          </cell>
          <cell r="D329"/>
          <cell r="E329"/>
          <cell r="F329"/>
          <cell r="G329" t="str">
            <v>CN</v>
          </cell>
          <cell r="H329" t="str">
            <v>N</v>
          </cell>
          <cell r="I329"/>
          <cell r="J329"/>
          <cell r="K329"/>
          <cell r="L329"/>
          <cell r="M329"/>
          <cell r="N329"/>
          <cell r="O329"/>
          <cell r="P329"/>
          <cell r="Q329"/>
          <cell r="R329"/>
          <cell r="S329" t="b">
            <v>1</v>
          </cell>
          <cell r="T329" t="b">
            <v>1</v>
          </cell>
          <cell r="U329" t="b">
            <v>1</v>
          </cell>
          <cell r="V329">
            <v>5</v>
          </cell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 t="str">
            <v>n/a</v>
          </cell>
          <cell r="AI329"/>
          <cell r="AJ329"/>
          <cell r="AK329"/>
          <cell r="AL329"/>
          <cell r="AM329"/>
          <cell r="AN329"/>
          <cell r="AO329"/>
          <cell r="AP329"/>
          <cell r="AQ329"/>
          <cell r="AR329"/>
          <cell r="AS329"/>
          <cell r="AT329"/>
          <cell r="AU329"/>
          <cell r="AV329"/>
          <cell r="AW329"/>
          <cell r="AX329"/>
          <cell r="AY329"/>
          <cell r="AZ329"/>
          <cell r="BA329"/>
          <cell r="BB329"/>
          <cell r="BC329"/>
          <cell r="BD329"/>
        </row>
        <row r="330">
          <cell r="A330" t="str">
            <v>Safety_CPU\System_Layer\Minor_Loops\SOV_Safety_Minor_Loop</v>
          </cell>
          <cell r="B330" t="str">
            <v>N</v>
          </cell>
          <cell r="C330" t="str">
            <v>Y</v>
          </cell>
          <cell r="D330"/>
          <cell r="E330"/>
          <cell r="F330"/>
          <cell r="G330" t="str">
            <v>CN</v>
          </cell>
          <cell r="H330" t="str">
            <v>N</v>
          </cell>
          <cell r="I330"/>
          <cell r="J330"/>
          <cell r="K330"/>
          <cell r="L330"/>
          <cell r="M330"/>
          <cell r="N330"/>
          <cell r="O330"/>
          <cell r="P330"/>
          <cell r="Q330"/>
          <cell r="R330"/>
          <cell r="S330" t="b">
            <v>1</v>
          </cell>
          <cell r="T330" t="b">
            <v>1</v>
          </cell>
          <cell r="U330" t="b">
            <v>1</v>
          </cell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>
            <v>1130</v>
          </cell>
          <cell r="AI330"/>
          <cell r="AJ330"/>
          <cell r="AK330"/>
          <cell r="AL330"/>
          <cell r="AM330"/>
          <cell r="AN330"/>
          <cell r="AO330"/>
          <cell r="AP330"/>
          <cell r="AQ330"/>
          <cell r="AR330"/>
          <cell r="AS330"/>
          <cell r="AT330"/>
          <cell r="AU330"/>
          <cell r="AV330"/>
          <cell r="AW330"/>
          <cell r="AX330"/>
          <cell r="AY330"/>
          <cell r="AZ330"/>
          <cell r="BA330"/>
          <cell r="BB330"/>
          <cell r="BC330"/>
          <cell r="BD330"/>
        </row>
        <row r="331">
          <cell r="A331" t="str">
            <v>Safety_CPU\System_Layer\Minor_Loops\TCMA_Safety_Minor_Loop</v>
          </cell>
          <cell r="B331" t="str">
            <v>N</v>
          </cell>
          <cell r="C331" t="str">
            <v>Y</v>
          </cell>
          <cell r="D331"/>
          <cell r="E331"/>
          <cell r="F331"/>
          <cell r="G331" t="str">
            <v>CN</v>
          </cell>
          <cell r="H331" t="str">
            <v>N</v>
          </cell>
          <cell r="I331"/>
          <cell r="J331"/>
          <cell r="K331"/>
          <cell r="L331"/>
          <cell r="M331"/>
          <cell r="N331"/>
          <cell r="O331"/>
          <cell r="P331"/>
          <cell r="Q331"/>
          <cell r="R331"/>
          <cell r="S331" t="b">
            <v>1</v>
          </cell>
          <cell r="T331" t="b">
            <v>1</v>
          </cell>
          <cell r="U331" t="b">
            <v>1</v>
          </cell>
          <cell r="V331"/>
          <cell r="W331"/>
          <cell r="X331"/>
          <cell r="Y331">
            <v>2372</v>
          </cell>
          <cell r="Z331"/>
          <cell r="AA331"/>
          <cell r="AB331"/>
          <cell r="AC331"/>
          <cell r="AD331"/>
          <cell r="AE331"/>
          <cell r="AF331"/>
          <cell r="AG331"/>
          <cell r="AH331">
            <v>1819</v>
          </cell>
          <cell r="AI331"/>
          <cell r="AJ331"/>
          <cell r="AK331"/>
          <cell r="AL331"/>
          <cell r="AM331"/>
          <cell r="AN331"/>
          <cell r="AO331"/>
          <cell r="AP331"/>
          <cell r="AQ331"/>
          <cell r="AR331"/>
          <cell r="AS331"/>
          <cell r="AT331"/>
          <cell r="AU331"/>
          <cell r="AV331"/>
          <cell r="AW331"/>
          <cell r="AX331"/>
          <cell r="AY331"/>
          <cell r="AZ331"/>
          <cell r="BA331"/>
          <cell r="BB331"/>
          <cell r="BC331"/>
          <cell r="BD331"/>
        </row>
        <row r="332">
          <cell r="A332" t="str">
            <v>Safety_CPU\System_Layer\Minor_Loops\beacon_code\sov_minor_loop_safety_d</v>
          </cell>
          <cell r="B332" t="str">
            <v>N</v>
          </cell>
          <cell r="C332" t="str">
            <v>Y</v>
          </cell>
          <cell r="D332"/>
          <cell r="E332"/>
          <cell r="F332"/>
          <cell r="G332" t="str">
            <v>CN</v>
          </cell>
          <cell r="H332" t="str">
            <v>N</v>
          </cell>
          <cell r="I332"/>
          <cell r="J332"/>
          <cell r="K332"/>
          <cell r="L332"/>
          <cell r="M332" t="str">
            <v>Y</v>
          </cell>
          <cell r="N332" t="str">
            <v>Y</v>
          </cell>
          <cell r="O332" t="str">
            <v>Y</v>
          </cell>
          <cell r="P332" t="str">
            <v>Y</v>
          </cell>
          <cell r="Q332"/>
          <cell r="R332"/>
          <cell r="S332" t="b">
            <v>1</v>
          </cell>
          <cell r="T332" t="b">
            <v>1</v>
          </cell>
          <cell r="U332" t="b">
            <v>1</v>
          </cell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/>
          <cell r="AO332"/>
          <cell r="AP332"/>
          <cell r="AQ332"/>
          <cell r="AR332"/>
          <cell r="AS332"/>
          <cell r="AT332"/>
          <cell r="AU332"/>
          <cell r="AV332"/>
          <cell r="AW332"/>
          <cell r="AX332"/>
          <cell r="AY332"/>
          <cell r="AZ332"/>
          <cell r="BA332"/>
          <cell r="BB332"/>
          <cell r="BC332"/>
          <cell r="BD332"/>
        </row>
        <row r="333">
          <cell r="A333" t="str">
            <v>Safety_CPU\System_Layer\Minor_Loops\beacon_code\tcma_minor_loop_safety_d</v>
          </cell>
          <cell r="B333" t="str">
            <v>N</v>
          </cell>
          <cell r="C333" t="str">
            <v>N</v>
          </cell>
          <cell r="D333"/>
          <cell r="E333"/>
          <cell r="F333"/>
          <cell r="G333" t="str">
            <v>CN</v>
          </cell>
          <cell r="H333" t="str">
            <v>N</v>
          </cell>
          <cell r="I333"/>
          <cell r="J333"/>
          <cell r="K333"/>
          <cell r="L333"/>
          <cell r="M333"/>
          <cell r="N333"/>
          <cell r="O333"/>
          <cell r="P333"/>
          <cell r="Q333"/>
          <cell r="R333"/>
          <cell r="S333" t="b">
            <v>1</v>
          </cell>
          <cell r="T333" t="b">
            <v>1</v>
          </cell>
          <cell r="U333" t="b">
            <v>1</v>
          </cell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/>
          <cell r="AO333"/>
          <cell r="AP333"/>
          <cell r="AQ333"/>
          <cell r="AR333"/>
          <cell r="AS333"/>
          <cell r="AT333"/>
          <cell r="AU333"/>
          <cell r="AV333"/>
          <cell r="AW333"/>
          <cell r="AX333"/>
          <cell r="AY333"/>
          <cell r="AZ333"/>
          <cell r="BA333"/>
          <cell r="BB333"/>
          <cell r="BC333"/>
          <cell r="BD333"/>
        </row>
        <row r="334">
          <cell r="A334" t="str">
            <v>Safety_CPU\System_Layer\Report_Raw_Faults</v>
          </cell>
          <cell r="B334" t="str">
            <v>N</v>
          </cell>
          <cell r="C334" t="str">
            <v>Y</v>
          </cell>
          <cell r="D334"/>
          <cell r="E334"/>
          <cell r="F334"/>
          <cell r="G334" t="str">
            <v>CN</v>
          </cell>
          <cell r="H334" t="str">
            <v>N</v>
          </cell>
          <cell r="I334"/>
          <cell r="J334"/>
          <cell r="K334"/>
          <cell r="L334"/>
          <cell r="M334"/>
          <cell r="N334"/>
          <cell r="O334"/>
          <cell r="P334"/>
          <cell r="Q334"/>
          <cell r="R334"/>
          <cell r="S334" t="b">
            <v>1</v>
          </cell>
          <cell r="T334" t="b">
            <v>1</v>
          </cell>
          <cell r="U334" t="b">
            <v>1</v>
          </cell>
          <cell r="V334"/>
          <cell r="W334"/>
          <cell r="X334"/>
          <cell r="Y334">
            <v>2377</v>
          </cell>
          <cell r="Z334"/>
          <cell r="AA334"/>
          <cell r="AB334"/>
          <cell r="AC334"/>
          <cell r="AD334"/>
          <cell r="AE334"/>
          <cell r="AF334"/>
          <cell r="AG334"/>
          <cell r="AH334">
            <v>1323</v>
          </cell>
          <cell r="AI334"/>
          <cell r="AJ334"/>
          <cell r="AK334"/>
          <cell r="AL334"/>
          <cell r="AM334"/>
          <cell r="AN334"/>
          <cell r="AO334"/>
          <cell r="AP334"/>
          <cell r="AQ334"/>
          <cell r="AR334"/>
          <cell r="AS334"/>
          <cell r="AT334"/>
          <cell r="AU334"/>
          <cell r="AV334"/>
          <cell r="AW334"/>
          <cell r="AX334"/>
          <cell r="AY334"/>
          <cell r="AZ334"/>
          <cell r="BA334"/>
          <cell r="BB334"/>
          <cell r="BC334"/>
          <cell r="BD334"/>
        </row>
        <row r="335">
          <cell r="A335" t="str">
            <v>Safety_CPU\System_Layer\Validation\Validate_Box_Temperatures</v>
          </cell>
          <cell r="B335" t="str">
            <v>N</v>
          </cell>
          <cell r="C335" t="str">
            <v>Y</v>
          </cell>
          <cell r="D335"/>
          <cell r="E335"/>
          <cell r="F335"/>
          <cell r="G335" t="str">
            <v>CN</v>
          </cell>
          <cell r="H335" t="str">
            <v>N</v>
          </cell>
          <cell r="I335"/>
          <cell r="J335"/>
          <cell r="K335"/>
          <cell r="L335"/>
          <cell r="M335"/>
          <cell r="N335"/>
          <cell r="O335"/>
          <cell r="P335"/>
          <cell r="Q335"/>
          <cell r="R335"/>
          <cell r="S335" t="b">
            <v>1</v>
          </cell>
          <cell r="T335" t="b">
            <v>1</v>
          </cell>
          <cell r="U335" t="b">
            <v>1</v>
          </cell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>
            <v>1026</v>
          </cell>
          <cell r="AI335"/>
          <cell r="AJ335"/>
          <cell r="AK335"/>
          <cell r="AL335"/>
          <cell r="AM335"/>
          <cell r="AN335"/>
          <cell r="AO335"/>
          <cell r="AP335"/>
          <cell r="AQ335"/>
          <cell r="AR335"/>
          <cell r="AS335"/>
          <cell r="AT335"/>
          <cell r="AU335"/>
          <cell r="AV335"/>
          <cell r="AW335"/>
          <cell r="AX335"/>
          <cell r="AY335"/>
          <cell r="AZ335"/>
          <cell r="BA335"/>
          <cell r="BB335"/>
          <cell r="BC335"/>
          <cell r="BD335"/>
        </row>
        <row r="336">
          <cell r="A336" t="str">
            <v>Safety_CPU\System_Layer\Validation\Validate_EEC_Cofig</v>
          </cell>
          <cell r="B336" t="str">
            <v>N</v>
          </cell>
          <cell r="C336" t="str">
            <v>Y</v>
          </cell>
          <cell r="D336"/>
          <cell r="E336"/>
          <cell r="F336"/>
          <cell r="G336" t="str">
            <v>CN</v>
          </cell>
          <cell r="H336" t="str">
            <v>N</v>
          </cell>
          <cell r="I336"/>
          <cell r="J336"/>
          <cell r="K336"/>
          <cell r="L336"/>
          <cell r="M336"/>
          <cell r="N336"/>
          <cell r="O336"/>
          <cell r="P336"/>
          <cell r="Q336"/>
          <cell r="R336"/>
          <cell r="S336" t="b">
            <v>1</v>
          </cell>
          <cell r="T336" t="b">
            <v>1</v>
          </cell>
          <cell r="U336" t="b">
            <v>1</v>
          </cell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>
            <v>1026</v>
          </cell>
          <cell r="AI336"/>
          <cell r="AJ336"/>
          <cell r="AK336"/>
          <cell r="AL336"/>
          <cell r="AM336"/>
          <cell r="AN336"/>
          <cell r="AO336"/>
          <cell r="AP336"/>
          <cell r="AQ336"/>
          <cell r="AR336"/>
          <cell r="AS336"/>
          <cell r="AT336"/>
          <cell r="AU336"/>
          <cell r="AV336"/>
          <cell r="AW336"/>
          <cell r="AX336"/>
          <cell r="AY336"/>
          <cell r="AZ336"/>
          <cell r="BA336"/>
          <cell r="BB336"/>
          <cell r="BC336"/>
          <cell r="BD336"/>
        </row>
        <row r="337">
          <cell r="A337" t="str">
            <v>Safety_CPU\System_Layer\Validation\Validate_Engine_Oil_Bypass_Valve_Position</v>
          </cell>
          <cell r="B337" t="str">
            <v>N</v>
          </cell>
          <cell r="C337" t="str">
            <v>Y</v>
          </cell>
          <cell r="D337"/>
          <cell r="E337"/>
          <cell r="F337"/>
          <cell r="G337" t="str">
            <v>CN</v>
          </cell>
          <cell r="H337" t="str">
            <v>N</v>
          </cell>
          <cell r="I337"/>
          <cell r="J337"/>
          <cell r="K337"/>
          <cell r="L337"/>
          <cell r="M337"/>
          <cell r="N337"/>
          <cell r="O337"/>
          <cell r="P337"/>
          <cell r="Q337"/>
          <cell r="R337"/>
          <cell r="S337" t="b">
            <v>1</v>
          </cell>
          <cell r="T337" t="b">
            <v>1</v>
          </cell>
          <cell r="U337" t="b">
            <v>1</v>
          </cell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>
            <v>666</v>
          </cell>
          <cell r="AI337"/>
          <cell r="AJ337"/>
          <cell r="AK337"/>
          <cell r="AL337"/>
          <cell r="AM337"/>
          <cell r="AN337"/>
          <cell r="AO337"/>
          <cell r="AP337"/>
          <cell r="AQ337"/>
          <cell r="AR337"/>
          <cell r="AS337"/>
          <cell r="AT337"/>
          <cell r="AU337"/>
          <cell r="AV337"/>
          <cell r="AW337"/>
          <cell r="AX337"/>
          <cell r="AY337"/>
          <cell r="AZ337"/>
          <cell r="BA337"/>
          <cell r="BB337"/>
          <cell r="BC337"/>
          <cell r="BD337"/>
        </row>
        <row r="338">
          <cell r="A338" t="str">
            <v>Safety_CPU\System_Layer\Validation\Validate_ESS_Anti_Ice_Absolute_Pressure</v>
          </cell>
          <cell r="B338" t="str">
            <v>N</v>
          </cell>
          <cell r="C338" t="str">
            <v>Y</v>
          </cell>
          <cell r="D338"/>
          <cell r="E338"/>
          <cell r="F338"/>
          <cell r="G338" t="str">
            <v>CN</v>
          </cell>
          <cell r="H338" t="str">
            <v>N</v>
          </cell>
          <cell r="I338"/>
          <cell r="J338"/>
          <cell r="K338"/>
          <cell r="L338"/>
          <cell r="M338"/>
          <cell r="N338"/>
          <cell r="O338"/>
          <cell r="P338"/>
          <cell r="Q338"/>
          <cell r="R338"/>
          <cell r="S338" t="b">
            <v>1</v>
          </cell>
          <cell r="T338" t="b">
            <v>1</v>
          </cell>
          <cell r="U338" t="b">
            <v>1</v>
          </cell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>
            <v>600</v>
          </cell>
          <cell r="AI338"/>
          <cell r="AJ338"/>
          <cell r="AK338"/>
          <cell r="AL338"/>
          <cell r="AM338"/>
          <cell r="AN338"/>
          <cell r="AO338"/>
          <cell r="AP338"/>
          <cell r="AQ338"/>
          <cell r="AR338"/>
          <cell r="AS338"/>
          <cell r="AT338"/>
          <cell r="AU338"/>
          <cell r="AV338"/>
          <cell r="AW338"/>
          <cell r="AX338"/>
          <cell r="AY338"/>
          <cell r="AZ338"/>
          <cell r="BA338"/>
          <cell r="BB338"/>
          <cell r="BC338"/>
          <cell r="BD338"/>
        </row>
        <row r="339">
          <cell r="A339" t="str">
            <v>Safety_CPU\System_Layer\Validation\Validate_Low_Oil_Pressure_Switch_Position</v>
          </cell>
          <cell r="B339" t="str">
            <v>N</v>
          </cell>
          <cell r="C339" t="str">
            <v>Y</v>
          </cell>
          <cell r="D339"/>
          <cell r="E339"/>
          <cell r="F339"/>
          <cell r="G339" t="str">
            <v>CN</v>
          </cell>
          <cell r="H339" t="str">
            <v>N</v>
          </cell>
          <cell r="I339"/>
          <cell r="J339"/>
          <cell r="K339"/>
          <cell r="L339"/>
          <cell r="M339"/>
          <cell r="N339"/>
          <cell r="O339"/>
          <cell r="P339"/>
          <cell r="Q339"/>
          <cell r="R339"/>
          <cell r="S339" t="b">
            <v>1</v>
          </cell>
          <cell r="T339" t="b">
            <v>1</v>
          </cell>
          <cell r="U339" t="b">
            <v>1</v>
          </cell>
          <cell r="V339"/>
          <cell r="W339"/>
          <cell r="X339"/>
          <cell r="Y339">
            <v>2245</v>
          </cell>
          <cell r="Z339"/>
          <cell r="AA339"/>
          <cell r="AB339"/>
          <cell r="AC339"/>
          <cell r="AD339"/>
          <cell r="AE339"/>
          <cell r="AF339"/>
          <cell r="AG339"/>
          <cell r="AH339">
            <v>606</v>
          </cell>
          <cell r="AI339"/>
          <cell r="AJ339"/>
          <cell r="AK339"/>
          <cell r="AL339"/>
          <cell r="AM339"/>
          <cell r="AN339"/>
          <cell r="AO339"/>
          <cell r="AP339"/>
          <cell r="AQ339"/>
          <cell r="AR339"/>
          <cell r="AS339"/>
          <cell r="AT339"/>
          <cell r="AU339"/>
          <cell r="AV339"/>
          <cell r="AW339"/>
          <cell r="AX339"/>
          <cell r="AY339"/>
          <cell r="AZ339"/>
          <cell r="BA339"/>
          <cell r="BB339"/>
          <cell r="BC339"/>
          <cell r="BD339"/>
        </row>
        <row r="340">
          <cell r="A340" t="str">
            <v>Safety_CPU\System_Layer\Validation\Validate_NIFast</v>
          </cell>
          <cell r="B340" t="str">
            <v>N</v>
          </cell>
          <cell r="C340" t="str">
            <v>Y</v>
          </cell>
          <cell r="D340"/>
          <cell r="E340"/>
          <cell r="F340"/>
          <cell r="G340" t="str">
            <v>CN</v>
          </cell>
          <cell r="H340" t="str">
            <v>N</v>
          </cell>
          <cell r="I340"/>
          <cell r="J340"/>
          <cell r="K340"/>
          <cell r="L340"/>
          <cell r="M340"/>
          <cell r="N340"/>
          <cell r="O340"/>
          <cell r="P340"/>
          <cell r="Q340"/>
          <cell r="R340"/>
          <cell r="S340" t="b">
            <v>1</v>
          </cell>
          <cell r="T340" t="b">
            <v>1</v>
          </cell>
          <cell r="U340" t="b">
            <v>1</v>
          </cell>
          <cell r="V340"/>
          <cell r="W340"/>
          <cell r="X340"/>
          <cell r="Y340">
            <v>2276</v>
          </cell>
          <cell r="Z340"/>
          <cell r="AA340"/>
          <cell r="AB340"/>
          <cell r="AC340"/>
          <cell r="AD340"/>
          <cell r="AE340"/>
          <cell r="AF340"/>
          <cell r="AG340"/>
          <cell r="AH340">
            <v>672</v>
          </cell>
          <cell r="AI340"/>
          <cell r="AJ340"/>
          <cell r="AK340"/>
          <cell r="AL340"/>
          <cell r="AM340"/>
          <cell r="AN340"/>
          <cell r="AO340"/>
          <cell r="AP340"/>
          <cell r="AQ340"/>
          <cell r="AR340"/>
          <cell r="AS340"/>
          <cell r="AT340"/>
          <cell r="AU340"/>
          <cell r="AV340"/>
          <cell r="AW340"/>
          <cell r="AX340"/>
          <cell r="AY340"/>
          <cell r="AZ340"/>
          <cell r="BA340"/>
          <cell r="BB340"/>
          <cell r="BC340"/>
          <cell r="BD340"/>
        </row>
        <row r="341">
          <cell r="A341" t="str">
            <v>Safety_CPU\System_Layer\Validation\Validate_NLFast</v>
          </cell>
          <cell r="B341" t="str">
            <v>N</v>
          </cell>
          <cell r="C341" t="str">
            <v>Y</v>
          </cell>
          <cell r="D341"/>
          <cell r="E341"/>
          <cell r="F341"/>
          <cell r="G341" t="str">
            <v>CN</v>
          </cell>
          <cell r="H341" t="str">
            <v>N</v>
          </cell>
          <cell r="I341"/>
          <cell r="J341"/>
          <cell r="K341"/>
          <cell r="L341"/>
          <cell r="M341"/>
          <cell r="N341"/>
          <cell r="O341"/>
          <cell r="P341"/>
          <cell r="Q341"/>
          <cell r="R341"/>
          <cell r="S341" t="b">
            <v>1</v>
          </cell>
          <cell r="T341" t="b">
            <v>1</v>
          </cell>
          <cell r="U341" t="b">
            <v>1</v>
          </cell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>
            <v>673</v>
          </cell>
          <cell r="AI341"/>
          <cell r="AJ341"/>
          <cell r="AK341"/>
          <cell r="AL341"/>
          <cell r="AM341"/>
          <cell r="AN341"/>
          <cell r="AO341"/>
          <cell r="AP341"/>
          <cell r="AQ341"/>
          <cell r="AR341"/>
          <cell r="AS341"/>
          <cell r="AT341"/>
          <cell r="AU341"/>
          <cell r="AV341"/>
          <cell r="AW341"/>
          <cell r="AX341"/>
          <cell r="AY341"/>
          <cell r="AZ341"/>
          <cell r="BA341"/>
          <cell r="BB341"/>
          <cell r="BC341"/>
          <cell r="BD341"/>
        </row>
        <row r="342">
          <cell r="A342" t="str">
            <v>Safety_CPU\System_Layer\Validation\Validate_ODMS_Particle_Counts</v>
          </cell>
          <cell r="B342" t="str">
            <v>N</v>
          </cell>
          <cell r="C342" t="str">
            <v>Y</v>
          </cell>
          <cell r="D342"/>
          <cell r="E342"/>
          <cell r="F342"/>
          <cell r="G342" t="str">
            <v>CN</v>
          </cell>
          <cell r="H342" t="str">
            <v>N</v>
          </cell>
          <cell r="I342"/>
          <cell r="J342"/>
          <cell r="K342"/>
          <cell r="L342"/>
          <cell r="M342"/>
          <cell r="N342"/>
          <cell r="O342"/>
          <cell r="P342"/>
          <cell r="Q342"/>
          <cell r="R342"/>
          <cell r="S342" t="b">
            <v>1</v>
          </cell>
          <cell r="T342" t="b">
            <v>1</v>
          </cell>
          <cell r="U342" t="b">
            <v>1</v>
          </cell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>
            <v>915</v>
          </cell>
          <cell r="AI342"/>
          <cell r="AJ342"/>
          <cell r="AK342"/>
          <cell r="AL342"/>
          <cell r="AM342"/>
          <cell r="AN342"/>
          <cell r="AO342"/>
          <cell r="AP342"/>
          <cell r="AQ342"/>
          <cell r="AR342"/>
          <cell r="AS342"/>
          <cell r="AT342"/>
          <cell r="AU342"/>
          <cell r="AV342"/>
          <cell r="AW342"/>
          <cell r="AX342"/>
          <cell r="AY342"/>
          <cell r="AZ342"/>
          <cell r="BA342"/>
          <cell r="BB342"/>
          <cell r="BC342"/>
          <cell r="BD342"/>
        </row>
        <row r="343">
          <cell r="A343" t="str">
            <v>Safety_CPU\System_Layer\Validation\Validate_Oil_Depth</v>
          </cell>
          <cell r="B343" t="str">
            <v>N</v>
          </cell>
          <cell r="C343" t="str">
            <v>Y</v>
          </cell>
          <cell r="D343"/>
          <cell r="E343"/>
          <cell r="F343"/>
          <cell r="G343" t="str">
            <v>CN</v>
          </cell>
          <cell r="H343" t="str">
            <v>N</v>
          </cell>
          <cell r="I343"/>
          <cell r="J343"/>
          <cell r="K343"/>
          <cell r="L343"/>
          <cell r="M343"/>
          <cell r="N343"/>
          <cell r="O343"/>
          <cell r="P343"/>
          <cell r="Q343"/>
          <cell r="R343"/>
          <cell r="S343" t="b">
            <v>1</v>
          </cell>
          <cell r="T343" t="b">
            <v>1</v>
          </cell>
          <cell r="U343" t="b">
            <v>1</v>
          </cell>
          <cell r="V343">
            <v>3</v>
          </cell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>
            <v>1124</v>
          </cell>
          <cell r="AI343"/>
          <cell r="AJ343"/>
          <cell r="AK343"/>
          <cell r="AL343"/>
          <cell r="AM343"/>
          <cell r="AN343"/>
          <cell r="AO343"/>
          <cell r="AP343"/>
          <cell r="AQ343"/>
          <cell r="AR343"/>
          <cell r="AS343"/>
          <cell r="AT343"/>
          <cell r="AU343"/>
          <cell r="AV343"/>
          <cell r="AW343"/>
          <cell r="AX343"/>
          <cell r="AY343"/>
          <cell r="AZ343"/>
          <cell r="BA343"/>
          <cell r="BB343"/>
          <cell r="BC343"/>
          <cell r="BD343"/>
        </row>
        <row r="344">
          <cell r="A344" t="str">
            <v>Safety_CPU\System_Layer\Validation\Validate_SAV_Position</v>
          </cell>
          <cell r="B344" t="str">
            <v>N</v>
          </cell>
          <cell r="C344" t="str">
            <v>Y</v>
          </cell>
          <cell r="D344"/>
          <cell r="E344"/>
          <cell r="F344"/>
          <cell r="G344" t="str">
            <v>CN</v>
          </cell>
          <cell r="H344" t="str">
            <v>N</v>
          </cell>
          <cell r="I344"/>
          <cell r="J344"/>
          <cell r="K344"/>
          <cell r="L344"/>
          <cell r="M344"/>
          <cell r="N344"/>
          <cell r="O344"/>
          <cell r="P344"/>
          <cell r="Q344"/>
          <cell r="R344"/>
          <cell r="S344" t="b">
            <v>1</v>
          </cell>
          <cell r="T344" t="b">
            <v>1</v>
          </cell>
          <cell r="U344" t="b">
            <v>1</v>
          </cell>
          <cell r="V344"/>
          <cell r="W344"/>
          <cell r="X344"/>
          <cell r="Y344">
            <v>2441</v>
          </cell>
          <cell r="Z344"/>
          <cell r="AA344"/>
          <cell r="AB344"/>
          <cell r="AC344"/>
          <cell r="AD344"/>
          <cell r="AE344"/>
          <cell r="AF344"/>
          <cell r="AG344"/>
          <cell r="AH344">
            <v>676</v>
          </cell>
          <cell r="AI344"/>
          <cell r="AJ344"/>
          <cell r="AK344"/>
          <cell r="AL344"/>
          <cell r="AM344"/>
          <cell r="AN344"/>
          <cell r="AO344"/>
          <cell r="AP344"/>
          <cell r="AQ344"/>
          <cell r="AR344"/>
          <cell r="AS344"/>
          <cell r="AT344"/>
          <cell r="AU344"/>
          <cell r="AV344"/>
          <cell r="AW344"/>
          <cell r="AX344"/>
          <cell r="AY344"/>
          <cell r="AZ344"/>
          <cell r="BA344"/>
          <cell r="BB344"/>
          <cell r="BC344"/>
          <cell r="BD344"/>
        </row>
        <row r="345">
          <cell r="A345" t="str">
            <v>Safety_CPU\System_Layer\Validation\Validate_TCAF_Lower</v>
          </cell>
          <cell r="B345" t="str">
            <v>N</v>
          </cell>
          <cell r="C345" t="str">
            <v>Y</v>
          </cell>
          <cell r="D345"/>
          <cell r="E345"/>
          <cell r="F345"/>
          <cell r="G345" t="str">
            <v>CN</v>
          </cell>
          <cell r="H345" t="str">
            <v>N</v>
          </cell>
          <cell r="I345"/>
          <cell r="J345"/>
          <cell r="K345"/>
          <cell r="L345"/>
          <cell r="M345"/>
          <cell r="N345"/>
          <cell r="O345"/>
          <cell r="P345"/>
          <cell r="Q345"/>
          <cell r="R345"/>
          <cell r="S345" t="b">
            <v>1</v>
          </cell>
          <cell r="T345" t="b">
            <v>1</v>
          </cell>
          <cell r="U345" t="b">
            <v>1</v>
          </cell>
          <cell r="V345"/>
          <cell r="W345"/>
          <cell r="X345"/>
          <cell r="Y345">
            <v>2996</v>
          </cell>
          <cell r="Z345"/>
          <cell r="AA345"/>
          <cell r="AB345"/>
          <cell r="AC345"/>
          <cell r="AD345"/>
          <cell r="AE345"/>
          <cell r="AF345"/>
          <cell r="AG345"/>
          <cell r="AH345">
            <v>1474</v>
          </cell>
          <cell r="AI345"/>
          <cell r="AJ345"/>
          <cell r="AK345"/>
          <cell r="AL345"/>
          <cell r="AM345"/>
          <cell r="AN345"/>
          <cell r="AO345"/>
          <cell r="AP345"/>
          <cell r="AQ345"/>
          <cell r="AR345"/>
          <cell r="AS345"/>
          <cell r="AT345"/>
          <cell r="AU345"/>
          <cell r="AV345"/>
          <cell r="AW345"/>
          <cell r="AX345"/>
          <cell r="AY345"/>
          <cell r="AZ345"/>
          <cell r="BA345"/>
          <cell r="BB345"/>
          <cell r="BC345"/>
          <cell r="BD345"/>
        </row>
        <row r="346">
          <cell r="A346" t="str">
            <v>Safety_CPU\System_Layer\Validation\Validate_Thrust_Reverser_Primary_Lock_Position</v>
          </cell>
          <cell r="B346" t="str">
            <v>N</v>
          </cell>
          <cell r="C346" t="str">
            <v>Y</v>
          </cell>
          <cell r="D346"/>
          <cell r="E346"/>
          <cell r="F346"/>
          <cell r="G346" t="str">
            <v>CN</v>
          </cell>
          <cell r="H346" t="str">
            <v>N</v>
          </cell>
          <cell r="I346"/>
          <cell r="J346"/>
          <cell r="K346"/>
          <cell r="L346"/>
          <cell r="M346"/>
          <cell r="N346"/>
          <cell r="O346"/>
          <cell r="P346"/>
          <cell r="Q346"/>
          <cell r="R346"/>
          <cell r="S346" t="b">
            <v>1</v>
          </cell>
          <cell r="T346" t="b">
            <v>1</v>
          </cell>
          <cell r="U346" t="b">
            <v>1</v>
          </cell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>
            <v>834</v>
          </cell>
          <cell r="AI346"/>
          <cell r="AJ346"/>
          <cell r="AK346"/>
          <cell r="AL346"/>
          <cell r="AM346"/>
          <cell r="AN346"/>
          <cell r="AO346"/>
          <cell r="AP346"/>
          <cell r="AQ346"/>
          <cell r="AR346"/>
          <cell r="AS346"/>
          <cell r="AT346"/>
          <cell r="AU346"/>
          <cell r="AV346"/>
          <cell r="AW346"/>
          <cell r="AX346"/>
          <cell r="AY346"/>
          <cell r="AZ346"/>
          <cell r="BA346"/>
          <cell r="BB346"/>
          <cell r="BC346"/>
          <cell r="BD346"/>
        </row>
        <row r="347">
          <cell r="A347" t="str">
            <v>Safety_CPU\System_Layer\Validation\Validate_Thrust_Reverser_Tertiary_Lock_Position</v>
          </cell>
          <cell r="B347" t="str">
            <v>N</v>
          </cell>
          <cell r="C347" t="str">
            <v>Y</v>
          </cell>
          <cell r="D347"/>
          <cell r="E347"/>
          <cell r="F347"/>
          <cell r="G347" t="str">
            <v>CN</v>
          </cell>
          <cell r="H347" t="str">
            <v>N</v>
          </cell>
          <cell r="I347"/>
          <cell r="J347"/>
          <cell r="K347"/>
          <cell r="L347"/>
          <cell r="M347"/>
          <cell r="N347"/>
          <cell r="O347"/>
          <cell r="P347"/>
          <cell r="Q347"/>
          <cell r="R347"/>
          <cell r="S347" t="b">
            <v>1</v>
          </cell>
          <cell r="T347" t="b">
            <v>1</v>
          </cell>
          <cell r="U347" t="b">
            <v>1</v>
          </cell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>
            <v>419</v>
          </cell>
          <cell r="AI347"/>
          <cell r="AJ347"/>
          <cell r="AK347"/>
          <cell r="AL347"/>
          <cell r="AM347"/>
          <cell r="AN347"/>
          <cell r="AO347"/>
          <cell r="AP347"/>
          <cell r="AQ347"/>
          <cell r="AR347"/>
          <cell r="AS347"/>
          <cell r="AT347"/>
          <cell r="AU347"/>
          <cell r="AV347"/>
          <cell r="AW347"/>
          <cell r="AX347"/>
          <cell r="AY347"/>
          <cell r="AZ347"/>
          <cell r="BA347"/>
          <cell r="BB347"/>
          <cell r="BC347"/>
          <cell r="BD347"/>
        </row>
        <row r="348">
          <cell r="A348" t="str">
            <v>Safety_CPU\System_Layer\Validation\Validate_Thrust_Reverser_Transcowl_Position</v>
          </cell>
          <cell r="B348" t="str">
            <v>N</v>
          </cell>
          <cell r="C348" t="str">
            <v>N</v>
          </cell>
          <cell r="D348"/>
          <cell r="E348"/>
          <cell r="F348"/>
          <cell r="G348" t="str">
            <v>CN</v>
          </cell>
          <cell r="H348" t="str">
            <v>N</v>
          </cell>
          <cell r="I348"/>
          <cell r="J348"/>
          <cell r="K348"/>
          <cell r="L348"/>
          <cell r="M348"/>
          <cell r="N348"/>
          <cell r="O348"/>
          <cell r="P348"/>
          <cell r="Q348"/>
          <cell r="R348"/>
          <cell r="S348" t="b">
            <v>1</v>
          </cell>
          <cell r="T348" t="b">
            <v>1</v>
          </cell>
          <cell r="U348" t="b">
            <v>1</v>
          </cell>
          <cell r="V348"/>
          <cell r="W348"/>
          <cell r="X348"/>
          <cell r="Y348">
            <v>2579</v>
          </cell>
          <cell r="Z348"/>
          <cell r="AA348"/>
          <cell r="AB348"/>
          <cell r="AC348"/>
          <cell r="AD348"/>
          <cell r="AE348"/>
          <cell r="AF348"/>
          <cell r="AG348"/>
          <cell r="AH348">
            <v>836</v>
          </cell>
          <cell r="AI348"/>
          <cell r="AJ348"/>
          <cell r="AK348"/>
          <cell r="AL348"/>
          <cell r="AM348"/>
          <cell r="AN348"/>
          <cell r="AO348"/>
          <cell r="AP348"/>
          <cell r="AQ348"/>
          <cell r="AR348"/>
          <cell r="AS348"/>
          <cell r="AT348"/>
          <cell r="AU348"/>
          <cell r="AV348"/>
          <cell r="AW348"/>
          <cell r="AX348"/>
          <cell r="AY348"/>
          <cell r="AZ348"/>
          <cell r="BA348"/>
          <cell r="BB348"/>
          <cell r="BC348"/>
          <cell r="BD348"/>
        </row>
        <row r="349">
          <cell r="A349" t="str">
            <v>Safety_CPU\System_Layer\Validation\Validate_TOil</v>
          </cell>
          <cell r="B349" t="str">
            <v>N</v>
          </cell>
          <cell r="C349" t="str">
            <v>Y</v>
          </cell>
          <cell r="D349"/>
          <cell r="E349"/>
          <cell r="F349"/>
          <cell r="G349" t="str">
            <v>CN</v>
          </cell>
          <cell r="H349" t="str">
            <v>N</v>
          </cell>
          <cell r="I349"/>
          <cell r="J349"/>
          <cell r="K349"/>
          <cell r="L349"/>
          <cell r="M349"/>
          <cell r="N349"/>
          <cell r="O349"/>
          <cell r="P349"/>
          <cell r="Q349"/>
          <cell r="R349"/>
          <cell r="S349" t="b">
            <v>1</v>
          </cell>
          <cell r="T349" t="b">
            <v>1</v>
          </cell>
          <cell r="U349" t="b">
            <v>1</v>
          </cell>
          <cell r="V349"/>
          <cell r="W349"/>
          <cell r="X349"/>
          <cell r="Y349">
            <v>2452</v>
          </cell>
          <cell r="Z349"/>
          <cell r="AA349"/>
          <cell r="AB349"/>
          <cell r="AC349"/>
          <cell r="AD349"/>
          <cell r="AE349"/>
          <cell r="AF349"/>
          <cell r="AG349"/>
          <cell r="AH349">
            <v>622</v>
          </cell>
          <cell r="AI349"/>
          <cell r="AJ349"/>
          <cell r="AK349"/>
          <cell r="AL349"/>
          <cell r="AM349"/>
          <cell r="AN349"/>
          <cell r="AO349"/>
          <cell r="AP349"/>
          <cell r="AQ349"/>
          <cell r="AR349"/>
          <cell r="AS349"/>
          <cell r="AT349"/>
          <cell r="AU349"/>
          <cell r="AV349"/>
          <cell r="AW349"/>
          <cell r="AX349"/>
          <cell r="AY349"/>
          <cell r="AZ349"/>
          <cell r="BA349"/>
          <cell r="BB349"/>
          <cell r="BC349"/>
          <cell r="BD349"/>
        </row>
        <row r="350">
          <cell r="A350" t="str">
            <v>Safety_CPU\System_Layer\Validation\Validate_Turbine_Cooling_Air_Front_Temperature</v>
          </cell>
          <cell r="B350" t="str">
            <v>N</v>
          </cell>
          <cell r="C350" t="str">
            <v>Y</v>
          </cell>
          <cell r="D350"/>
          <cell r="E350"/>
          <cell r="F350"/>
          <cell r="G350" t="str">
            <v>CN</v>
          </cell>
          <cell r="H350" t="str">
            <v>N</v>
          </cell>
          <cell r="I350"/>
          <cell r="J350"/>
          <cell r="K350"/>
          <cell r="L350"/>
          <cell r="M350"/>
          <cell r="N350"/>
          <cell r="O350"/>
          <cell r="P350"/>
          <cell r="Q350"/>
          <cell r="R350"/>
          <cell r="S350" t="b">
            <v>1</v>
          </cell>
          <cell r="T350" t="b">
            <v>1</v>
          </cell>
          <cell r="U350" t="b">
            <v>1</v>
          </cell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>
            <v>743</v>
          </cell>
          <cell r="AI350"/>
          <cell r="AJ350"/>
          <cell r="AK350"/>
          <cell r="AL350"/>
          <cell r="AM350"/>
          <cell r="AN350"/>
          <cell r="AO350"/>
          <cell r="AP350"/>
          <cell r="AQ350"/>
          <cell r="AR350"/>
          <cell r="AS350"/>
          <cell r="AT350"/>
          <cell r="AU350"/>
          <cell r="AV350"/>
          <cell r="AW350"/>
          <cell r="AX350"/>
          <cell r="AY350"/>
          <cell r="AZ350"/>
          <cell r="BA350"/>
          <cell r="BB350"/>
          <cell r="BC350"/>
          <cell r="BD350"/>
        </row>
        <row r="351">
          <cell r="A351" t="str">
            <v>Safety_CPU\System_Layer\Validation\Validate_Turbine_Cooling_Air_Rear_Temperature</v>
          </cell>
          <cell r="B351" t="str">
            <v>N</v>
          </cell>
          <cell r="C351" t="str">
            <v>Y</v>
          </cell>
          <cell r="D351"/>
          <cell r="E351"/>
          <cell r="F351"/>
          <cell r="G351" t="str">
            <v>CN</v>
          </cell>
          <cell r="H351" t="str">
            <v>N</v>
          </cell>
          <cell r="I351"/>
          <cell r="J351"/>
          <cell r="K351"/>
          <cell r="L351"/>
          <cell r="M351"/>
          <cell r="N351"/>
          <cell r="O351"/>
          <cell r="P351"/>
          <cell r="Q351"/>
          <cell r="R351"/>
          <cell r="S351" t="b">
            <v>1</v>
          </cell>
          <cell r="T351" t="b">
            <v>1</v>
          </cell>
          <cell r="U351" t="b">
            <v>1</v>
          </cell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>
            <v>742</v>
          </cell>
          <cell r="AI351"/>
          <cell r="AJ351"/>
          <cell r="AK351"/>
          <cell r="AL351"/>
          <cell r="AM351"/>
          <cell r="AN351"/>
          <cell r="AO351"/>
          <cell r="AP351"/>
          <cell r="AQ351"/>
          <cell r="AR351"/>
          <cell r="AS351"/>
          <cell r="AT351"/>
          <cell r="AU351"/>
          <cell r="AV351"/>
          <cell r="AW351"/>
          <cell r="AX351"/>
          <cell r="AY351"/>
          <cell r="AZ351"/>
          <cell r="BA351"/>
          <cell r="BB351"/>
          <cell r="BC351"/>
          <cell r="BD351"/>
        </row>
        <row r="352">
          <cell r="A352" t="str">
            <v>Safety_CPU\System_Layer\Validation\Validate_Turbine_Oil_Fire_Temperatures</v>
          </cell>
          <cell r="B352" t="str">
            <v>N</v>
          </cell>
          <cell r="C352" t="str">
            <v>Y</v>
          </cell>
          <cell r="D352"/>
          <cell r="E352"/>
          <cell r="F352"/>
          <cell r="G352" t="str">
            <v>CN</v>
          </cell>
          <cell r="H352" t="str">
            <v>N</v>
          </cell>
          <cell r="I352"/>
          <cell r="J352"/>
          <cell r="K352"/>
          <cell r="L352"/>
          <cell r="M352"/>
          <cell r="N352"/>
          <cell r="O352"/>
          <cell r="P352"/>
          <cell r="Q352"/>
          <cell r="R352"/>
          <cell r="S352" t="b">
            <v>1</v>
          </cell>
          <cell r="T352" t="b">
            <v>1</v>
          </cell>
          <cell r="U352" t="b">
            <v>1</v>
          </cell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>
            <v>1403</v>
          </cell>
          <cell r="AI352"/>
          <cell r="AJ352"/>
          <cell r="AK352"/>
          <cell r="AL352"/>
          <cell r="AM352"/>
          <cell r="AN352"/>
          <cell r="AO352"/>
          <cell r="AP352"/>
          <cell r="AQ352"/>
          <cell r="AR352"/>
          <cell r="AS352"/>
          <cell r="AT352"/>
          <cell r="AU352"/>
          <cell r="AV352"/>
          <cell r="AW352"/>
          <cell r="AX352"/>
          <cell r="AY352"/>
          <cell r="AZ352"/>
          <cell r="BA352"/>
          <cell r="BB352"/>
          <cell r="BC352"/>
          <cell r="BD352"/>
        </row>
        <row r="353">
          <cell r="A353" t="str">
            <v>Safety_CPU\System_Layer\Validation\Validate_TZone1</v>
          </cell>
          <cell r="B353" t="str">
            <v>N</v>
          </cell>
          <cell r="C353" t="str">
            <v>Y</v>
          </cell>
          <cell r="D353"/>
          <cell r="E353"/>
          <cell r="F353"/>
          <cell r="G353" t="str">
            <v>CN</v>
          </cell>
          <cell r="H353" t="str">
            <v>N</v>
          </cell>
          <cell r="I353"/>
          <cell r="J353"/>
          <cell r="K353"/>
          <cell r="L353"/>
          <cell r="M353"/>
          <cell r="N353"/>
          <cell r="O353"/>
          <cell r="P353"/>
          <cell r="Q353"/>
          <cell r="R353"/>
          <cell r="S353" t="b">
            <v>1</v>
          </cell>
          <cell r="T353" t="b">
            <v>1</v>
          </cell>
          <cell r="U353" t="b">
            <v>1</v>
          </cell>
          <cell r="V353"/>
          <cell r="W353"/>
          <cell r="X353"/>
          <cell r="Y353">
            <v>2456</v>
          </cell>
          <cell r="Z353"/>
          <cell r="AA353"/>
          <cell r="AB353"/>
          <cell r="AC353"/>
          <cell r="AD353"/>
          <cell r="AE353"/>
          <cell r="AF353"/>
          <cell r="AG353"/>
          <cell r="AH353">
            <v>744</v>
          </cell>
          <cell r="AI353"/>
          <cell r="AJ353"/>
          <cell r="AK353"/>
          <cell r="AL353"/>
          <cell r="AM353"/>
          <cell r="AN353"/>
          <cell r="AO353"/>
          <cell r="AP353"/>
          <cell r="AQ353"/>
          <cell r="AR353"/>
          <cell r="AS353"/>
          <cell r="AT353"/>
          <cell r="AU353"/>
          <cell r="AV353"/>
          <cell r="AW353"/>
          <cell r="AX353"/>
          <cell r="AY353"/>
          <cell r="AZ353"/>
          <cell r="BA353"/>
          <cell r="BB353"/>
          <cell r="BC353"/>
          <cell r="BD353"/>
        </row>
        <row r="354">
          <cell r="A354" t="str">
            <v>Common\Operating_Software\AtoD_14_bit_IO_Component</v>
          </cell>
          <cell r="B354" t="str">
            <v>N</v>
          </cell>
          <cell r="C354"/>
          <cell r="D354"/>
          <cell r="E354"/>
          <cell r="F354"/>
          <cell r="G354" t="str">
            <v>CN</v>
          </cell>
          <cell r="H354" t="str">
            <v>N</v>
          </cell>
          <cell r="I354"/>
          <cell r="J354"/>
          <cell r="K354"/>
          <cell r="L354"/>
          <cell r="M354"/>
          <cell r="N354"/>
          <cell r="O354"/>
          <cell r="P354"/>
          <cell r="Q354"/>
          <cell r="R354"/>
          <cell r="S354" t="b">
            <v>1</v>
          </cell>
          <cell r="T354" t="b">
            <v>1</v>
          </cell>
          <cell r="U354" t="b">
            <v>1</v>
          </cell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/>
          <cell r="AR354"/>
          <cell r="AS354"/>
          <cell r="AT354"/>
          <cell r="AU354"/>
          <cell r="AV354"/>
          <cell r="AW354"/>
          <cell r="AX354"/>
          <cell r="AY354"/>
          <cell r="AZ354"/>
          <cell r="BA354"/>
          <cell r="BB354"/>
          <cell r="BC354"/>
          <cell r="BD354"/>
        </row>
        <row r="355">
          <cell r="A355" t="str">
            <v>Common\Operating_Software\CAN_IO_Component</v>
          </cell>
          <cell r="B355" t="str">
            <v>N</v>
          </cell>
          <cell r="C355"/>
          <cell r="D355"/>
          <cell r="E355"/>
          <cell r="F355"/>
          <cell r="G355" t="str">
            <v>CN</v>
          </cell>
          <cell r="H355" t="str">
            <v>N</v>
          </cell>
          <cell r="I355"/>
          <cell r="J355"/>
          <cell r="K355"/>
          <cell r="L355"/>
          <cell r="M355"/>
          <cell r="N355"/>
          <cell r="O355"/>
          <cell r="P355"/>
          <cell r="Q355"/>
          <cell r="R355"/>
          <cell r="S355" t="b">
            <v>1</v>
          </cell>
          <cell r="T355" t="b">
            <v>1</v>
          </cell>
          <cell r="U355" t="b">
            <v>1</v>
          </cell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/>
          <cell r="AR355"/>
          <cell r="AS355"/>
          <cell r="AT355"/>
          <cell r="AU355"/>
          <cell r="AV355"/>
          <cell r="AW355"/>
          <cell r="AX355"/>
          <cell r="AY355"/>
          <cell r="AZ355"/>
          <cell r="BA355"/>
          <cell r="BB355"/>
          <cell r="BC355"/>
          <cell r="BD355"/>
        </row>
        <row r="356">
          <cell r="A356" t="str">
            <v>Common\Operating_Software\channel_change_sl_common_d</v>
          </cell>
          <cell r="B356" t="str">
            <v>N</v>
          </cell>
          <cell r="C356"/>
          <cell r="D356"/>
          <cell r="E356"/>
          <cell r="F356"/>
          <cell r="G356" t="str">
            <v>CN</v>
          </cell>
          <cell r="H356" t="str">
            <v>N</v>
          </cell>
          <cell r="I356"/>
          <cell r="J356"/>
          <cell r="K356"/>
          <cell r="L356"/>
          <cell r="M356"/>
          <cell r="N356"/>
          <cell r="O356"/>
          <cell r="P356"/>
          <cell r="Q356"/>
          <cell r="R356"/>
          <cell r="S356" t="b">
            <v>1</v>
          </cell>
          <cell r="T356" t="b">
            <v>1</v>
          </cell>
          <cell r="U356" t="b">
            <v>1</v>
          </cell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/>
          <cell r="AR356"/>
          <cell r="AS356"/>
          <cell r="AT356"/>
          <cell r="AU356"/>
          <cell r="AV356"/>
          <cell r="AW356"/>
          <cell r="AX356"/>
          <cell r="AY356"/>
          <cell r="AZ356"/>
          <cell r="BA356"/>
          <cell r="BB356"/>
          <cell r="BC356"/>
          <cell r="BD356"/>
        </row>
        <row r="357">
          <cell r="A357" t="str">
            <v>Common\Operating_Software\continuous_checks_thread_common_d</v>
          </cell>
          <cell r="B357" t="str">
            <v>N</v>
          </cell>
          <cell r="C357"/>
          <cell r="D357"/>
          <cell r="E357"/>
          <cell r="F357"/>
          <cell r="G357" t="str">
            <v>CN</v>
          </cell>
          <cell r="H357" t="str">
            <v>N</v>
          </cell>
          <cell r="I357"/>
          <cell r="J357"/>
          <cell r="K357"/>
          <cell r="L357"/>
          <cell r="M357"/>
          <cell r="N357"/>
          <cell r="O357"/>
          <cell r="P357"/>
          <cell r="Q357"/>
          <cell r="R357"/>
          <cell r="S357" t="b">
            <v>1</v>
          </cell>
          <cell r="T357" t="b">
            <v>1</v>
          </cell>
          <cell r="U357" t="b">
            <v>1</v>
          </cell>
          <cell r="V357"/>
          <cell r="W357"/>
          <cell r="X357"/>
          <cell r="Y357"/>
          <cell r="Z357"/>
          <cell r="AA357"/>
          <cell r="AB357"/>
          <cell r="AC357"/>
          <cell r="AD357"/>
          <cell r="AE357"/>
          <cell r="AF357"/>
          <cell r="AG357"/>
          <cell r="AH357"/>
          <cell r="AI357"/>
          <cell r="AJ357"/>
          <cell r="AK357"/>
          <cell r="AL357"/>
          <cell r="AM357"/>
          <cell r="AN357"/>
          <cell r="AO357"/>
          <cell r="AP357"/>
          <cell r="AQ357"/>
          <cell r="AR357"/>
          <cell r="AS357"/>
          <cell r="AT357"/>
          <cell r="AU357"/>
          <cell r="AV357"/>
          <cell r="AW357"/>
          <cell r="AX357"/>
          <cell r="AY357"/>
          <cell r="AZ357"/>
          <cell r="BA357"/>
          <cell r="BB357"/>
          <cell r="BC357"/>
          <cell r="BD357"/>
        </row>
        <row r="358">
          <cell r="A358" t="str">
            <v>Common\Operating_Software\continuous_tests_roots_common</v>
          </cell>
          <cell r="B358" t="str">
            <v>N</v>
          </cell>
          <cell r="C358"/>
          <cell r="D358"/>
          <cell r="E358"/>
          <cell r="F358"/>
          <cell r="G358" t="str">
            <v>CN</v>
          </cell>
          <cell r="H358" t="str">
            <v>N</v>
          </cell>
          <cell r="I358"/>
          <cell r="J358"/>
          <cell r="K358"/>
          <cell r="L358"/>
          <cell r="M358"/>
          <cell r="N358"/>
          <cell r="O358"/>
          <cell r="P358"/>
          <cell r="Q358"/>
          <cell r="R358"/>
          <cell r="S358" t="b">
            <v>1</v>
          </cell>
          <cell r="T358" t="b">
            <v>1</v>
          </cell>
          <cell r="U358" t="b">
            <v>1</v>
          </cell>
          <cell r="V358"/>
          <cell r="W358"/>
          <cell r="X358"/>
          <cell r="Y358"/>
          <cell r="Z358"/>
          <cell r="AA358"/>
          <cell r="AB358"/>
          <cell r="AC358"/>
          <cell r="AD358"/>
          <cell r="AE358"/>
          <cell r="AF358"/>
          <cell r="AG358"/>
          <cell r="AH358"/>
          <cell r="AI358"/>
          <cell r="AJ358"/>
          <cell r="AK358"/>
          <cell r="AL358"/>
          <cell r="AM358"/>
          <cell r="AN358"/>
          <cell r="AO358"/>
          <cell r="AP358"/>
          <cell r="AQ358"/>
          <cell r="AR358"/>
          <cell r="AS358"/>
          <cell r="AT358"/>
          <cell r="AU358"/>
          <cell r="AV358"/>
          <cell r="AW358"/>
          <cell r="AX358"/>
          <cell r="AY358"/>
          <cell r="AZ358"/>
          <cell r="BA358"/>
          <cell r="BB358"/>
          <cell r="BC358"/>
          <cell r="BD358"/>
        </row>
        <row r="359">
          <cell r="A359" t="str">
            <v>Common\Operating_Software\CRC_Generator_IO_Layer_Component</v>
          </cell>
          <cell r="B359" t="str">
            <v>N</v>
          </cell>
          <cell r="C359"/>
          <cell r="D359"/>
          <cell r="E359"/>
          <cell r="F359"/>
          <cell r="G359" t="str">
            <v>CN</v>
          </cell>
          <cell r="H359" t="str">
            <v>N</v>
          </cell>
          <cell r="I359"/>
          <cell r="J359"/>
          <cell r="K359"/>
          <cell r="L359"/>
          <cell r="M359"/>
          <cell r="N359"/>
          <cell r="O359"/>
          <cell r="P359"/>
          <cell r="Q359"/>
          <cell r="R359"/>
          <cell r="S359" t="b">
            <v>1</v>
          </cell>
          <cell r="T359" t="b">
            <v>1</v>
          </cell>
          <cell r="U359" t="b">
            <v>1</v>
          </cell>
          <cell r="V359"/>
          <cell r="W359"/>
          <cell r="X359"/>
          <cell r="Y359"/>
          <cell r="Z359"/>
          <cell r="AA359"/>
          <cell r="AB359"/>
          <cell r="AC359"/>
          <cell r="AD359"/>
          <cell r="AE359"/>
          <cell r="AF359"/>
          <cell r="AG359"/>
          <cell r="AH359"/>
          <cell r="AI359"/>
          <cell r="AJ359"/>
          <cell r="AK359"/>
          <cell r="AL359"/>
          <cell r="AM359"/>
          <cell r="AN359"/>
          <cell r="AO359"/>
          <cell r="AP359"/>
          <cell r="AQ359"/>
          <cell r="AR359"/>
          <cell r="AS359"/>
          <cell r="AT359"/>
          <cell r="AU359"/>
          <cell r="AV359"/>
          <cell r="AW359"/>
          <cell r="AX359"/>
          <cell r="AY359"/>
          <cell r="AZ359"/>
          <cell r="BA359"/>
          <cell r="BB359"/>
          <cell r="BC359"/>
          <cell r="BD359"/>
        </row>
        <row r="360">
          <cell r="A360" t="str">
            <v>Common\Operating_Software\CRC_Generator_Without_Seed_SL_Component</v>
          </cell>
          <cell r="B360" t="str">
            <v>N</v>
          </cell>
          <cell r="C360"/>
          <cell r="D360"/>
          <cell r="E360"/>
          <cell r="F360"/>
          <cell r="G360" t="str">
            <v>CN</v>
          </cell>
          <cell r="H360" t="str">
            <v>N</v>
          </cell>
          <cell r="I360"/>
          <cell r="J360"/>
          <cell r="K360"/>
          <cell r="L360"/>
          <cell r="M360"/>
          <cell r="N360"/>
          <cell r="O360"/>
          <cell r="P360"/>
          <cell r="Q360"/>
          <cell r="R360"/>
          <cell r="S360" t="b">
            <v>1</v>
          </cell>
          <cell r="T360" t="b">
            <v>1</v>
          </cell>
          <cell r="U360" t="b">
            <v>1</v>
          </cell>
          <cell r="V360"/>
          <cell r="W360"/>
          <cell r="X360"/>
          <cell r="Y360"/>
          <cell r="Z360"/>
          <cell r="AA360"/>
          <cell r="AB360"/>
          <cell r="AC360"/>
          <cell r="AD360"/>
          <cell r="AE360"/>
          <cell r="AF360"/>
          <cell r="AG360"/>
          <cell r="AH360"/>
          <cell r="AI360"/>
          <cell r="AJ360"/>
          <cell r="AK360"/>
          <cell r="AL360"/>
          <cell r="AM360"/>
          <cell r="AN360"/>
          <cell r="AO360"/>
          <cell r="AP360"/>
          <cell r="AQ360"/>
          <cell r="AR360"/>
          <cell r="AS360"/>
          <cell r="AT360"/>
          <cell r="AU360"/>
          <cell r="AV360"/>
          <cell r="AW360"/>
          <cell r="AX360"/>
          <cell r="AY360"/>
          <cell r="AZ360"/>
          <cell r="BA360"/>
          <cell r="BB360"/>
          <cell r="BC360"/>
          <cell r="BD360"/>
        </row>
        <row r="361">
          <cell r="A361" t="str">
            <v>Common\Operating_Software\Cross_MCM_Inputs_Component</v>
          </cell>
          <cell r="B361" t="str">
            <v>N</v>
          </cell>
          <cell r="C361"/>
          <cell r="D361"/>
          <cell r="E361"/>
          <cell r="F361"/>
          <cell r="G361" t="str">
            <v>CN</v>
          </cell>
          <cell r="H361" t="str">
            <v>N</v>
          </cell>
          <cell r="I361"/>
          <cell r="J361"/>
          <cell r="K361"/>
          <cell r="L361"/>
          <cell r="M361"/>
          <cell r="N361"/>
          <cell r="O361"/>
          <cell r="P361"/>
          <cell r="Q361"/>
          <cell r="R361"/>
          <cell r="S361" t="b">
            <v>1</v>
          </cell>
          <cell r="T361" t="b">
            <v>1</v>
          </cell>
          <cell r="U361" t="b">
            <v>1</v>
          </cell>
          <cell r="V361"/>
          <cell r="W361"/>
          <cell r="X361"/>
          <cell r="Y361"/>
          <cell r="Z361"/>
          <cell r="AA361"/>
          <cell r="AB361"/>
          <cell r="AC361"/>
          <cell r="AD361"/>
          <cell r="AE361"/>
          <cell r="AF361"/>
          <cell r="AG361"/>
          <cell r="AH361"/>
          <cell r="AI361"/>
          <cell r="AJ361"/>
          <cell r="AK361"/>
          <cell r="AL361"/>
          <cell r="AM361"/>
          <cell r="AN361"/>
          <cell r="AO361"/>
          <cell r="AP361"/>
          <cell r="AQ361"/>
          <cell r="AR361"/>
          <cell r="AS361"/>
          <cell r="AT361"/>
          <cell r="AU361"/>
          <cell r="AV361"/>
          <cell r="AW361"/>
          <cell r="AX361"/>
          <cell r="AY361"/>
          <cell r="AZ361"/>
          <cell r="BA361"/>
          <cell r="BB361"/>
          <cell r="BC361"/>
          <cell r="BD361"/>
        </row>
        <row r="362">
          <cell r="A362" t="str">
            <v>Common\Operating_Software\Cross_MCM_Outputs_Component</v>
          </cell>
          <cell r="B362" t="str">
            <v>N</v>
          </cell>
          <cell r="C362"/>
          <cell r="D362"/>
          <cell r="E362"/>
          <cell r="F362"/>
          <cell r="G362" t="str">
            <v>CN</v>
          </cell>
          <cell r="H362" t="str">
            <v>N</v>
          </cell>
          <cell r="I362"/>
          <cell r="J362"/>
          <cell r="K362"/>
          <cell r="L362"/>
          <cell r="M362"/>
          <cell r="N362"/>
          <cell r="O362"/>
          <cell r="P362"/>
          <cell r="Q362"/>
          <cell r="R362"/>
          <cell r="S362" t="b">
            <v>1</v>
          </cell>
          <cell r="T362" t="b">
            <v>1</v>
          </cell>
          <cell r="U362" t="b">
            <v>1</v>
          </cell>
          <cell r="V362"/>
          <cell r="W362"/>
          <cell r="X362"/>
          <cell r="Y362"/>
          <cell r="Z362"/>
          <cell r="AA362"/>
          <cell r="AB362"/>
          <cell r="AC362"/>
          <cell r="AD362"/>
          <cell r="AE362"/>
          <cell r="AF362"/>
          <cell r="AG362"/>
          <cell r="AH362"/>
          <cell r="AI362"/>
          <cell r="AJ362"/>
          <cell r="AK362"/>
          <cell r="AL362"/>
          <cell r="AM362"/>
          <cell r="AN362"/>
          <cell r="AO362"/>
          <cell r="AP362"/>
          <cell r="AQ362"/>
          <cell r="AR362"/>
          <cell r="AS362"/>
          <cell r="AT362"/>
          <cell r="AU362"/>
          <cell r="AV362"/>
          <cell r="AW362"/>
          <cell r="AX362"/>
          <cell r="AY362"/>
          <cell r="AZ362"/>
          <cell r="BA362"/>
          <cell r="BB362"/>
          <cell r="BC362"/>
          <cell r="BD362"/>
        </row>
        <row r="363">
          <cell r="A363" t="str">
            <v>Common\Operating_Software\Discrete_Inputs_Component</v>
          </cell>
          <cell r="B363" t="str">
            <v>N</v>
          </cell>
          <cell r="C363"/>
          <cell r="D363"/>
          <cell r="E363"/>
          <cell r="F363"/>
          <cell r="G363" t="str">
            <v>CN</v>
          </cell>
          <cell r="H363" t="str">
            <v>N</v>
          </cell>
          <cell r="I363"/>
          <cell r="J363"/>
          <cell r="K363"/>
          <cell r="L363"/>
          <cell r="M363"/>
          <cell r="N363"/>
          <cell r="O363"/>
          <cell r="P363"/>
          <cell r="Q363"/>
          <cell r="R363"/>
          <cell r="S363" t="b">
            <v>1</v>
          </cell>
          <cell r="T363" t="b">
            <v>1</v>
          </cell>
          <cell r="U363" t="b">
            <v>1</v>
          </cell>
          <cell r="V363"/>
          <cell r="W363"/>
          <cell r="X363"/>
          <cell r="Y363"/>
          <cell r="Z363"/>
          <cell r="AA363"/>
          <cell r="AB363"/>
          <cell r="AC363"/>
          <cell r="AD363"/>
          <cell r="AE363"/>
          <cell r="AF363"/>
          <cell r="AG363"/>
          <cell r="AH363"/>
          <cell r="AI363"/>
          <cell r="AJ363"/>
          <cell r="AK363"/>
          <cell r="AL363"/>
          <cell r="AM363"/>
          <cell r="AN363"/>
          <cell r="AO363"/>
          <cell r="AP363"/>
          <cell r="AQ363"/>
          <cell r="AR363"/>
          <cell r="AS363"/>
          <cell r="AT363"/>
          <cell r="AU363"/>
          <cell r="AV363"/>
          <cell r="AW363"/>
          <cell r="AX363"/>
          <cell r="AY363"/>
          <cell r="AZ363"/>
          <cell r="BA363"/>
          <cell r="BB363"/>
          <cell r="BC363"/>
          <cell r="BD363"/>
        </row>
        <row r="364">
          <cell r="A364" t="str">
            <v>Common\Operating_Software\Discrete_Outputs_Component</v>
          </cell>
          <cell r="B364" t="str">
            <v>N</v>
          </cell>
          <cell r="C364"/>
          <cell r="D364"/>
          <cell r="E364"/>
          <cell r="F364"/>
          <cell r="G364" t="str">
            <v>CN</v>
          </cell>
          <cell r="H364" t="str">
            <v>N</v>
          </cell>
          <cell r="I364"/>
          <cell r="J364"/>
          <cell r="K364"/>
          <cell r="L364"/>
          <cell r="M364"/>
          <cell r="N364"/>
          <cell r="O364"/>
          <cell r="P364"/>
          <cell r="Q364"/>
          <cell r="R364"/>
          <cell r="S364" t="b">
            <v>1</v>
          </cell>
          <cell r="T364" t="b">
            <v>1</v>
          </cell>
          <cell r="U364" t="b">
            <v>1</v>
          </cell>
          <cell r="V364"/>
          <cell r="W364"/>
          <cell r="X364"/>
          <cell r="Y364"/>
          <cell r="Z364"/>
          <cell r="AA364"/>
          <cell r="AB364"/>
          <cell r="AC364"/>
          <cell r="AD364"/>
          <cell r="AE364"/>
          <cell r="AF364"/>
          <cell r="AG364"/>
          <cell r="AH364"/>
          <cell r="AI364"/>
          <cell r="AJ364"/>
          <cell r="AK364"/>
          <cell r="AL364"/>
          <cell r="AM364"/>
          <cell r="AN364"/>
          <cell r="AO364"/>
          <cell r="AP364"/>
          <cell r="AQ364"/>
          <cell r="AR364"/>
          <cell r="AS364"/>
          <cell r="AT364"/>
          <cell r="AU364"/>
          <cell r="AV364"/>
          <cell r="AW364"/>
          <cell r="AX364"/>
          <cell r="AY364"/>
          <cell r="AZ364"/>
          <cell r="BA364"/>
          <cell r="BB364"/>
          <cell r="BC364"/>
          <cell r="BD364"/>
        </row>
        <row r="365">
          <cell r="A365" t="str">
            <v>Common\Operating_Software\DtoA_Component</v>
          </cell>
          <cell r="B365" t="str">
            <v>N</v>
          </cell>
          <cell r="C365"/>
          <cell r="D365"/>
          <cell r="E365"/>
          <cell r="F365"/>
          <cell r="G365" t="str">
            <v>CN</v>
          </cell>
          <cell r="H365" t="str">
            <v>N</v>
          </cell>
          <cell r="I365"/>
          <cell r="J365"/>
          <cell r="K365"/>
          <cell r="L365"/>
          <cell r="M365"/>
          <cell r="N365"/>
          <cell r="O365"/>
          <cell r="P365"/>
          <cell r="Q365"/>
          <cell r="R365"/>
          <cell r="S365" t="b">
            <v>1</v>
          </cell>
          <cell r="T365" t="b">
            <v>1</v>
          </cell>
          <cell r="U365" t="b">
            <v>1</v>
          </cell>
          <cell r="V365"/>
          <cell r="W365"/>
          <cell r="X365"/>
          <cell r="Y365"/>
          <cell r="Z365"/>
          <cell r="AA365"/>
          <cell r="AB365"/>
          <cell r="AC365"/>
          <cell r="AD365"/>
          <cell r="AE365"/>
          <cell r="AF365"/>
          <cell r="AG365"/>
          <cell r="AH365"/>
          <cell r="AI365"/>
          <cell r="AJ365"/>
          <cell r="AK365"/>
          <cell r="AL365"/>
          <cell r="AM365"/>
          <cell r="AN365"/>
          <cell r="AO365"/>
          <cell r="AP365"/>
          <cell r="AQ365"/>
          <cell r="AR365"/>
          <cell r="AS365"/>
          <cell r="AT365"/>
          <cell r="AU365"/>
          <cell r="AV365"/>
          <cell r="AW365"/>
          <cell r="AX365"/>
          <cell r="AY365"/>
          <cell r="AZ365"/>
          <cell r="BA365"/>
          <cell r="BB365"/>
          <cell r="BC365"/>
          <cell r="BD365"/>
        </row>
        <row r="366">
          <cell r="A366" t="str">
            <v>Common\Operating_Software\EMU_IO_Component</v>
          </cell>
          <cell r="B366" t="str">
            <v>N</v>
          </cell>
          <cell r="C366"/>
          <cell r="D366"/>
          <cell r="E366"/>
          <cell r="F366"/>
          <cell r="G366" t="str">
            <v>CN</v>
          </cell>
          <cell r="H366" t="str">
            <v>N</v>
          </cell>
          <cell r="I366"/>
          <cell r="J366"/>
          <cell r="K366"/>
          <cell r="L366"/>
          <cell r="M366"/>
          <cell r="N366"/>
          <cell r="O366"/>
          <cell r="P366"/>
          <cell r="Q366"/>
          <cell r="R366"/>
          <cell r="S366" t="b">
            <v>1</v>
          </cell>
          <cell r="T366" t="b">
            <v>1</v>
          </cell>
          <cell r="U366" t="b">
            <v>1</v>
          </cell>
          <cell r="V366"/>
          <cell r="W366"/>
          <cell r="X366"/>
          <cell r="Y366"/>
          <cell r="Z366"/>
          <cell r="AA366"/>
          <cell r="AB366"/>
          <cell r="AC366"/>
          <cell r="AD366"/>
          <cell r="AE366"/>
          <cell r="AF366"/>
          <cell r="AG366"/>
          <cell r="AH366"/>
          <cell r="AI366"/>
          <cell r="AJ366"/>
          <cell r="AK366"/>
          <cell r="AL366"/>
          <cell r="AM366"/>
          <cell r="AN366"/>
          <cell r="AO366"/>
          <cell r="AP366"/>
          <cell r="AQ366"/>
          <cell r="AR366"/>
          <cell r="AS366"/>
          <cell r="AT366"/>
          <cell r="AU366"/>
          <cell r="AV366"/>
          <cell r="AW366"/>
          <cell r="AX366"/>
          <cell r="AY366"/>
          <cell r="AZ366"/>
          <cell r="BA366"/>
          <cell r="BB366"/>
          <cell r="BC366"/>
          <cell r="BD366"/>
        </row>
        <row r="367">
          <cell r="A367" t="str">
            <v>Common\Operating_Software\EMU_Root</v>
          </cell>
          <cell r="B367" t="str">
            <v>N</v>
          </cell>
          <cell r="C367"/>
          <cell r="D367"/>
          <cell r="E367"/>
          <cell r="F367"/>
          <cell r="G367" t="str">
            <v>CN</v>
          </cell>
          <cell r="H367" t="str">
            <v>N</v>
          </cell>
          <cell r="I367"/>
          <cell r="J367"/>
          <cell r="K367"/>
          <cell r="L367"/>
          <cell r="M367"/>
          <cell r="N367"/>
          <cell r="O367"/>
          <cell r="P367"/>
          <cell r="Q367"/>
          <cell r="R367"/>
          <cell r="S367" t="b">
            <v>1</v>
          </cell>
          <cell r="T367" t="b">
            <v>1</v>
          </cell>
          <cell r="U367" t="b">
            <v>1</v>
          </cell>
          <cell r="V367"/>
          <cell r="W367"/>
          <cell r="X367"/>
          <cell r="Y367"/>
          <cell r="Z367"/>
          <cell r="AA367"/>
          <cell r="AB367"/>
          <cell r="AC367"/>
          <cell r="AD367"/>
          <cell r="AE367"/>
          <cell r="AF367"/>
          <cell r="AG367"/>
          <cell r="AH367"/>
          <cell r="AI367"/>
          <cell r="AJ367"/>
          <cell r="AK367"/>
          <cell r="AL367"/>
          <cell r="AM367"/>
          <cell r="AN367"/>
          <cell r="AO367"/>
          <cell r="AP367"/>
          <cell r="AQ367"/>
          <cell r="AR367"/>
          <cell r="AS367"/>
          <cell r="AT367"/>
          <cell r="AU367"/>
          <cell r="AV367"/>
          <cell r="AW367"/>
          <cell r="AX367"/>
          <cell r="AY367"/>
          <cell r="AZ367"/>
          <cell r="BA367"/>
          <cell r="BB367"/>
          <cell r="BC367"/>
          <cell r="BD367"/>
        </row>
        <row r="368">
          <cell r="A368" t="str">
            <v>Common\Operating_Software\FPS_Timer_IO_Component</v>
          </cell>
          <cell r="B368" t="str">
            <v>N</v>
          </cell>
          <cell r="C368"/>
          <cell r="D368"/>
          <cell r="E368"/>
          <cell r="F368"/>
          <cell r="G368" t="str">
            <v>CN</v>
          </cell>
          <cell r="H368" t="str">
            <v>N</v>
          </cell>
          <cell r="I368"/>
          <cell r="J368"/>
          <cell r="K368"/>
          <cell r="L368"/>
          <cell r="M368"/>
          <cell r="N368"/>
          <cell r="O368"/>
          <cell r="P368"/>
          <cell r="Q368"/>
          <cell r="R368"/>
          <cell r="S368" t="b">
            <v>1</v>
          </cell>
          <cell r="T368" t="b">
            <v>1</v>
          </cell>
          <cell r="U368" t="b">
            <v>1</v>
          </cell>
          <cell r="V368"/>
          <cell r="W368"/>
          <cell r="X368"/>
          <cell r="Y368"/>
          <cell r="Z368"/>
          <cell r="AA368"/>
          <cell r="AB368"/>
          <cell r="AC368"/>
          <cell r="AD368"/>
          <cell r="AE368"/>
          <cell r="AF368"/>
          <cell r="AG368"/>
          <cell r="AH368"/>
          <cell r="AI368"/>
          <cell r="AJ368"/>
          <cell r="AK368"/>
          <cell r="AL368"/>
          <cell r="AM368"/>
          <cell r="AN368"/>
          <cell r="AO368"/>
          <cell r="AP368"/>
          <cell r="AQ368"/>
          <cell r="AR368"/>
          <cell r="AS368"/>
          <cell r="AT368"/>
          <cell r="AU368"/>
          <cell r="AV368"/>
          <cell r="AW368"/>
          <cell r="AX368"/>
          <cell r="AY368"/>
          <cell r="AZ368"/>
          <cell r="BA368"/>
          <cell r="BB368"/>
          <cell r="BC368"/>
          <cell r="BD368"/>
        </row>
        <row r="369">
          <cell r="A369" t="str">
            <v>Common\Operating_Software\FtoD_Component</v>
          </cell>
          <cell r="B369" t="str">
            <v>N</v>
          </cell>
          <cell r="C369"/>
          <cell r="D369"/>
          <cell r="E369"/>
          <cell r="F369"/>
          <cell r="G369" t="str">
            <v>CN</v>
          </cell>
          <cell r="H369" t="str">
            <v>N</v>
          </cell>
          <cell r="I369"/>
          <cell r="J369"/>
          <cell r="K369"/>
          <cell r="L369"/>
          <cell r="M369"/>
          <cell r="N369"/>
          <cell r="O369"/>
          <cell r="P369"/>
          <cell r="Q369"/>
          <cell r="R369"/>
          <cell r="S369" t="b">
            <v>1</v>
          </cell>
          <cell r="T369" t="b">
            <v>1</v>
          </cell>
          <cell r="U369" t="b">
            <v>1</v>
          </cell>
          <cell r="V369"/>
          <cell r="W369"/>
          <cell r="X369"/>
          <cell r="Y369"/>
          <cell r="Z369"/>
          <cell r="AA369"/>
          <cell r="AB369"/>
          <cell r="AC369"/>
          <cell r="AD369"/>
          <cell r="AE369"/>
          <cell r="AF369"/>
          <cell r="AG369"/>
          <cell r="AH369"/>
          <cell r="AI369"/>
          <cell r="AJ369"/>
          <cell r="AK369"/>
          <cell r="AL369"/>
          <cell r="AM369"/>
          <cell r="AN369"/>
          <cell r="AO369"/>
          <cell r="AP369"/>
          <cell r="AQ369"/>
          <cell r="AR369"/>
          <cell r="AS369"/>
          <cell r="AT369"/>
          <cell r="AU369"/>
          <cell r="AV369"/>
          <cell r="AW369"/>
          <cell r="AX369"/>
          <cell r="AY369"/>
          <cell r="AZ369"/>
          <cell r="BA369"/>
          <cell r="BB369"/>
          <cell r="BC369"/>
          <cell r="BD369"/>
        </row>
        <row r="370">
          <cell r="A370" t="str">
            <v>Common\Operating_Software\fuel_control_switch_thread_common_d</v>
          </cell>
          <cell r="B370" t="str">
            <v>N</v>
          </cell>
          <cell r="C370"/>
          <cell r="D370"/>
          <cell r="E370"/>
          <cell r="F370"/>
          <cell r="G370" t="str">
            <v>CN</v>
          </cell>
          <cell r="H370" t="str">
            <v>N</v>
          </cell>
          <cell r="I370"/>
          <cell r="J370"/>
          <cell r="K370"/>
          <cell r="L370"/>
          <cell r="M370"/>
          <cell r="N370"/>
          <cell r="O370"/>
          <cell r="P370"/>
          <cell r="Q370"/>
          <cell r="R370"/>
          <cell r="S370" t="b">
            <v>1</v>
          </cell>
          <cell r="T370" t="b">
            <v>1</v>
          </cell>
          <cell r="U370" t="b">
            <v>1</v>
          </cell>
          <cell r="V370"/>
          <cell r="W370"/>
          <cell r="X370"/>
          <cell r="Y370"/>
          <cell r="Z370"/>
          <cell r="AA370"/>
          <cell r="AB370"/>
          <cell r="AC370"/>
          <cell r="AD370"/>
          <cell r="AE370"/>
          <cell r="AF370"/>
          <cell r="AG370"/>
          <cell r="AH370"/>
          <cell r="AI370"/>
          <cell r="AJ370"/>
          <cell r="AK370"/>
          <cell r="AL370"/>
          <cell r="AM370"/>
          <cell r="AN370"/>
          <cell r="AO370"/>
          <cell r="AP370"/>
          <cell r="AQ370"/>
          <cell r="AR370"/>
          <cell r="AS370"/>
          <cell r="AT370"/>
          <cell r="AU370"/>
          <cell r="AV370"/>
          <cell r="AW370"/>
          <cell r="AX370"/>
          <cell r="AY370"/>
          <cell r="AZ370"/>
          <cell r="BA370"/>
          <cell r="BB370"/>
          <cell r="BC370"/>
          <cell r="BD370"/>
        </row>
        <row r="371">
          <cell r="A371" t="str">
            <v>Common\Operating_Software\GenericA664_Source_Common</v>
          </cell>
          <cell r="B371" t="str">
            <v>N</v>
          </cell>
          <cell r="C371"/>
          <cell r="D371"/>
          <cell r="E371"/>
          <cell r="F371"/>
          <cell r="G371" t="str">
            <v>CN</v>
          </cell>
          <cell r="H371" t="str">
            <v>N</v>
          </cell>
          <cell r="I371"/>
          <cell r="J371"/>
          <cell r="K371"/>
          <cell r="L371"/>
          <cell r="M371"/>
          <cell r="N371"/>
          <cell r="O371"/>
          <cell r="P371"/>
          <cell r="Q371"/>
          <cell r="R371"/>
          <cell r="S371" t="b">
            <v>1</v>
          </cell>
          <cell r="T371" t="b">
            <v>1</v>
          </cell>
          <cell r="U371" t="b">
            <v>1</v>
          </cell>
          <cell r="V371"/>
          <cell r="W371"/>
          <cell r="X371"/>
          <cell r="Y371"/>
          <cell r="Z371"/>
          <cell r="AA371"/>
          <cell r="AB371"/>
          <cell r="AC371"/>
          <cell r="AD371"/>
          <cell r="AE371"/>
          <cell r="AF371"/>
          <cell r="AG371"/>
          <cell r="AH371"/>
          <cell r="AI371"/>
          <cell r="AJ371"/>
          <cell r="AK371"/>
          <cell r="AL371"/>
          <cell r="AM371"/>
          <cell r="AN371"/>
          <cell r="AO371"/>
          <cell r="AP371"/>
          <cell r="AQ371"/>
          <cell r="AR371"/>
          <cell r="AS371"/>
          <cell r="AT371"/>
          <cell r="AU371"/>
          <cell r="AV371"/>
          <cell r="AW371"/>
          <cell r="AX371"/>
          <cell r="AY371"/>
          <cell r="AZ371"/>
          <cell r="BA371"/>
          <cell r="BB371"/>
          <cell r="BC371"/>
          <cell r="BD371"/>
        </row>
        <row r="372">
          <cell r="A372" t="str">
            <v>Common\Operating_Software\globalconfig.adc</v>
          </cell>
          <cell r="B372" t="str">
            <v>N</v>
          </cell>
          <cell r="C372"/>
          <cell r="D372"/>
          <cell r="E372"/>
          <cell r="F372"/>
          <cell r="G372" t="str">
            <v>CN</v>
          </cell>
          <cell r="H372" t="str">
            <v>N</v>
          </cell>
          <cell r="I372"/>
          <cell r="J372"/>
          <cell r="K372"/>
          <cell r="L372"/>
          <cell r="M372"/>
          <cell r="N372"/>
          <cell r="O372"/>
          <cell r="P372"/>
          <cell r="Q372"/>
          <cell r="R372"/>
          <cell r="S372" t="b">
            <v>1</v>
          </cell>
          <cell r="T372" t="b">
            <v>1</v>
          </cell>
          <cell r="U372" t="b">
            <v>1</v>
          </cell>
          <cell r="V372"/>
          <cell r="W372"/>
          <cell r="X372"/>
          <cell r="Y372"/>
          <cell r="Z372"/>
          <cell r="AA372"/>
          <cell r="AB372"/>
          <cell r="AC372"/>
          <cell r="AD372"/>
          <cell r="AE372"/>
          <cell r="AF372"/>
          <cell r="AG372"/>
          <cell r="AH372"/>
          <cell r="AI372"/>
          <cell r="AJ372"/>
          <cell r="AK372"/>
          <cell r="AL372"/>
          <cell r="AM372"/>
          <cell r="AN372"/>
          <cell r="AO372"/>
          <cell r="AP372"/>
          <cell r="AQ372"/>
          <cell r="AR372"/>
          <cell r="AS372"/>
          <cell r="AT372"/>
          <cell r="AU372"/>
          <cell r="AV372"/>
          <cell r="AW372"/>
          <cell r="AX372"/>
          <cell r="AY372"/>
          <cell r="AZ372"/>
          <cell r="BA372"/>
          <cell r="BB372"/>
          <cell r="BC372"/>
          <cell r="BD372"/>
        </row>
        <row r="373">
          <cell r="A373" t="str">
            <v>Common\Operating_Software\id_discretes_common_d</v>
          </cell>
          <cell r="B373" t="str">
            <v>N</v>
          </cell>
          <cell r="C373"/>
          <cell r="D373"/>
          <cell r="E373"/>
          <cell r="F373"/>
          <cell r="G373" t="str">
            <v>CN</v>
          </cell>
          <cell r="H373" t="str">
            <v>N</v>
          </cell>
          <cell r="I373"/>
          <cell r="J373"/>
          <cell r="K373"/>
          <cell r="L373"/>
          <cell r="M373"/>
          <cell r="N373"/>
          <cell r="O373"/>
          <cell r="P373"/>
          <cell r="Q373"/>
          <cell r="R373"/>
          <cell r="S373" t="b">
            <v>1</v>
          </cell>
          <cell r="T373" t="b">
            <v>1</v>
          </cell>
          <cell r="U373" t="b">
            <v>1</v>
          </cell>
          <cell r="V373"/>
          <cell r="W373"/>
          <cell r="X373"/>
          <cell r="Y373"/>
          <cell r="Z373"/>
          <cell r="AA373"/>
          <cell r="AB373"/>
          <cell r="AC373"/>
          <cell r="AD373"/>
          <cell r="AE373"/>
          <cell r="AF373"/>
          <cell r="AG373"/>
          <cell r="AH373"/>
          <cell r="AI373"/>
          <cell r="AJ373"/>
          <cell r="AK373"/>
          <cell r="AL373"/>
          <cell r="AM373"/>
          <cell r="AN373"/>
          <cell r="AO373"/>
          <cell r="AP373"/>
          <cell r="AQ373"/>
          <cell r="AR373"/>
          <cell r="AS373"/>
          <cell r="AT373"/>
          <cell r="AU373"/>
          <cell r="AV373"/>
          <cell r="AW373"/>
          <cell r="AX373"/>
          <cell r="AY373"/>
          <cell r="AZ373"/>
          <cell r="BA373"/>
          <cell r="BB373"/>
          <cell r="BC373"/>
          <cell r="BD373"/>
        </row>
        <row r="374">
          <cell r="A374" t="str">
            <v>Common\Operating_Software\InterIC_Inputs_Component</v>
          </cell>
          <cell r="B374" t="str">
            <v>N</v>
          </cell>
          <cell r="C374"/>
          <cell r="D374"/>
          <cell r="E374"/>
          <cell r="F374"/>
          <cell r="G374" t="str">
            <v>CN</v>
          </cell>
          <cell r="H374" t="str">
            <v>N</v>
          </cell>
          <cell r="I374"/>
          <cell r="J374"/>
          <cell r="K374"/>
          <cell r="L374"/>
          <cell r="M374"/>
          <cell r="N374"/>
          <cell r="O374"/>
          <cell r="P374"/>
          <cell r="Q374"/>
          <cell r="R374"/>
          <cell r="S374" t="b">
            <v>1</v>
          </cell>
          <cell r="T374" t="b">
            <v>1</v>
          </cell>
          <cell r="U374" t="b">
            <v>1</v>
          </cell>
          <cell r="V374"/>
          <cell r="W374"/>
          <cell r="X374"/>
          <cell r="Y374"/>
          <cell r="Z374"/>
          <cell r="AA374"/>
          <cell r="AB374"/>
          <cell r="AC374"/>
          <cell r="AD374"/>
          <cell r="AE374"/>
          <cell r="AF374"/>
          <cell r="AG374"/>
          <cell r="AH374"/>
          <cell r="AI374"/>
          <cell r="AJ374"/>
          <cell r="AK374"/>
          <cell r="AL374"/>
          <cell r="AM374"/>
          <cell r="AN374"/>
          <cell r="AO374"/>
          <cell r="AP374"/>
          <cell r="AQ374"/>
          <cell r="AR374"/>
          <cell r="AS374"/>
          <cell r="AT374"/>
          <cell r="AU374"/>
          <cell r="AV374"/>
          <cell r="AW374"/>
          <cell r="AX374"/>
          <cell r="AY374"/>
          <cell r="AZ374"/>
          <cell r="BA374"/>
          <cell r="BB374"/>
          <cell r="BC374"/>
          <cell r="BD374"/>
        </row>
        <row r="375">
          <cell r="A375" t="str">
            <v>Common\Operating_Software\InterIC_Outputs_Component</v>
          </cell>
          <cell r="B375" t="str">
            <v>N</v>
          </cell>
          <cell r="C375"/>
          <cell r="D375"/>
          <cell r="E375"/>
          <cell r="F375"/>
          <cell r="G375" t="str">
            <v>CN</v>
          </cell>
          <cell r="H375" t="str">
            <v>N</v>
          </cell>
          <cell r="I375"/>
          <cell r="J375"/>
          <cell r="K375"/>
          <cell r="L375"/>
          <cell r="M375"/>
          <cell r="N375"/>
          <cell r="O375"/>
          <cell r="P375"/>
          <cell r="Q375"/>
          <cell r="R375"/>
          <cell r="S375" t="b">
            <v>1</v>
          </cell>
          <cell r="T375" t="b">
            <v>1</v>
          </cell>
          <cell r="U375" t="b">
            <v>1</v>
          </cell>
          <cell r="V375"/>
          <cell r="W375"/>
          <cell r="X375"/>
          <cell r="Y375"/>
          <cell r="Z375"/>
          <cell r="AA375"/>
          <cell r="AB375"/>
          <cell r="AC375"/>
          <cell r="AD375"/>
          <cell r="AE375"/>
          <cell r="AF375"/>
          <cell r="AG375"/>
          <cell r="AH375"/>
          <cell r="AI375"/>
          <cell r="AJ375"/>
          <cell r="AK375"/>
          <cell r="AL375"/>
          <cell r="AM375"/>
          <cell r="AN375"/>
          <cell r="AO375"/>
          <cell r="AP375"/>
          <cell r="AQ375"/>
          <cell r="AR375"/>
          <cell r="AS375"/>
          <cell r="AT375"/>
          <cell r="AU375"/>
          <cell r="AV375"/>
          <cell r="AW375"/>
          <cell r="AX375"/>
          <cell r="AY375"/>
          <cell r="AZ375"/>
          <cell r="BA375"/>
          <cell r="BB375"/>
          <cell r="BC375"/>
          <cell r="BD375"/>
        </row>
        <row r="376">
          <cell r="A376" t="str">
            <v>Common\Operating_Software\interrupt_handler_thread_common</v>
          </cell>
          <cell r="B376" t="str">
            <v>N</v>
          </cell>
          <cell r="C376"/>
          <cell r="D376"/>
          <cell r="E376"/>
          <cell r="F376"/>
          <cell r="G376" t="str">
            <v>CN</v>
          </cell>
          <cell r="H376" t="str">
            <v>N</v>
          </cell>
          <cell r="I376"/>
          <cell r="J376"/>
          <cell r="K376"/>
          <cell r="L376"/>
          <cell r="M376"/>
          <cell r="N376"/>
          <cell r="O376"/>
          <cell r="P376"/>
          <cell r="Q376"/>
          <cell r="R376"/>
          <cell r="S376" t="b">
            <v>1</v>
          </cell>
          <cell r="T376" t="b">
            <v>1</v>
          </cell>
          <cell r="U376" t="b">
            <v>1</v>
          </cell>
          <cell r="V376"/>
          <cell r="W376"/>
          <cell r="X376"/>
          <cell r="Y376"/>
          <cell r="Z376"/>
          <cell r="AA376"/>
          <cell r="AB376"/>
          <cell r="AC376"/>
          <cell r="AD376"/>
          <cell r="AE376"/>
          <cell r="AF376"/>
          <cell r="AG376"/>
          <cell r="AH376"/>
          <cell r="AI376"/>
          <cell r="AJ376"/>
          <cell r="AK376"/>
          <cell r="AL376"/>
          <cell r="AM376"/>
          <cell r="AN376"/>
          <cell r="AO376"/>
          <cell r="AP376"/>
          <cell r="AQ376"/>
          <cell r="AR376"/>
          <cell r="AS376"/>
          <cell r="AT376"/>
          <cell r="AU376"/>
          <cell r="AV376"/>
          <cell r="AW376"/>
          <cell r="AX376"/>
          <cell r="AY376"/>
          <cell r="AZ376"/>
          <cell r="BA376"/>
          <cell r="BB376"/>
          <cell r="BC376"/>
          <cell r="BD376"/>
        </row>
        <row r="377">
          <cell r="A377" t="str">
            <v>Common\Operating_Software\Linear_Interpolator_Generic_Component</v>
          </cell>
          <cell r="B377" t="str">
            <v>N</v>
          </cell>
          <cell r="C377"/>
          <cell r="D377"/>
          <cell r="E377"/>
          <cell r="F377"/>
          <cell r="G377" t="str">
            <v>CN</v>
          </cell>
          <cell r="H377" t="str">
            <v>N</v>
          </cell>
          <cell r="I377"/>
          <cell r="J377"/>
          <cell r="K377"/>
          <cell r="L377"/>
          <cell r="M377"/>
          <cell r="N377"/>
          <cell r="O377"/>
          <cell r="P377"/>
          <cell r="Q377"/>
          <cell r="R377"/>
          <cell r="S377" t="b">
            <v>1</v>
          </cell>
          <cell r="T377" t="b">
            <v>1</v>
          </cell>
          <cell r="U377" t="b">
            <v>1</v>
          </cell>
          <cell r="V377"/>
          <cell r="W377"/>
          <cell r="X377"/>
          <cell r="Y377"/>
          <cell r="Z377"/>
          <cell r="AA377"/>
          <cell r="AB377"/>
          <cell r="AC377"/>
          <cell r="AD377"/>
          <cell r="AE377"/>
          <cell r="AF377"/>
          <cell r="AG377"/>
          <cell r="AH377"/>
          <cell r="AI377"/>
          <cell r="AJ377"/>
          <cell r="AK377"/>
          <cell r="AL377"/>
          <cell r="AM377"/>
          <cell r="AN377"/>
          <cell r="AO377"/>
          <cell r="AP377"/>
          <cell r="AQ377"/>
          <cell r="AR377"/>
          <cell r="AS377"/>
          <cell r="AT377"/>
          <cell r="AU377"/>
          <cell r="AV377"/>
          <cell r="AW377"/>
          <cell r="AX377"/>
          <cell r="AY377"/>
          <cell r="AZ377"/>
          <cell r="BA377"/>
          <cell r="BB377"/>
          <cell r="BC377"/>
          <cell r="BD377"/>
        </row>
        <row r="378">
          <cell r="A378" t="str">
            <v>Common\Operating_Software\main_startup_d</v>
          </cell>
          <cell r="B378" t="str">
            <v>N</v>
          </cell>
          <cell r="C378"/>
          <cell r="D378"/>
          <cell r="E378"/>
          <cell r="F378"/>
          <cell r="G378" t="str">
            <v>CN</v>
          </cell>
          <cell r="H378" t="str">
            <v>N</v>
          </cell>
          <cell r="I378"/>
          <cell r="J378"/>
          <cell r="K378"/>
          <cell r="L378"/>
          <cell r="M378"/>
          <cell r="N378"/>
          <cell r="O378"/>
          <cell r="P378"/>
          <cell r="Q378"/>
          <cell r="R378"/>
          <cell r="S378" t="b">
            <v>1</v>
          </cell>
          <cell r="T378" t="b">
            <v>1</v>
          </cell>
          <cell r="U378" t="b">
            <v>1</v>
          </cell>
          <cell r="V378"/>
          <cell r="W378"/>
          <cell r="X378"/>
          <cell r="Y378"/>
          <cell r="Z378"/>
          <cell r="AA378"/>
          <cell r="AB378"/>
          <cell r="AC378"/>
          <cell r="AD378"/>
          <cell r="AE378"/>
          <cell r="AF378"/>
          <cell r="AG378"/>
          <cell r="AH378"/>
          <cell r="AI378"/>
          <cell r="AJ378"/>
          <cell r="AK378"/>
          <cell r="AL378"/>
          <cell r="AM378"/>
          <cell r="AN378"/>
          <cell r="AO378"/>
          <cell r="AP378"/>
          <cell r="AQ378"/>
          <cell r="AR378"/>
          <cell r="AS378"/>
          <cell r="AT378"/>
          <cell r="AU378"/>
          <cell r="AV378"/>
          <cell r="AW378"/>
          <cell r="AX378"/>
          <cell r="AY378"/>
          <cell r="AZ378"/>
          <cell r="BA378"/>
          <cell r="BB378"/>
          <cell r="BC378"/>
          <cell r="BD378"/>
        </row>
        <row r="379">
          <cell r="A379" t="str">
            <v>Common\Operating_Software\Math_Functions_SL_Component</v>
          </cell>
          <cell r="B379" t="str">
            <v>N</v>
          </cell>
          <cell r="C379"/>
          <cell r="D379"/>
          <cell r="E379"/>
          <cell r="F379"/>
          <cell r="G379" t="str">
            <v>CN</v>
          </cell>
          <cell r="H379" t="str">
            <v>N</v>
          </cell>
          <cell r="I379"/>
          <cell r="J379"/>
          <cell r="K379"/>
          <cell r="L379"/>
          <cell r="M379"/>
          <cell r="N379"/>
          <cell r="O379"/>
          <cell r="P379"/>
          <cell r="Q379"/>
          <cell r="R379"/>
          <cell r="S379" t="b">
            <v>1</v>
          </cell>
          <cell r="T379" t="b">
            <v>1</v>
          </cell>
          <cell r="U379" t="b">
            <v>1</v>
          </cell>
          <cell r="V379"/>
          <cell r="W379"/>
          <cell r="X379"/>
          <cell r="Y379"/>
          <cell r="Z379"/>
          <cell r="AA379"/>
          <cell r="AB379"/>
          <cell r="AC379"/>
          <cell r="AD379"/>
          <cell r="AE379"/>
          <cell r="AF379"/>
          <cell r="AG379"/>
          <cell r="AH379"/>
          <cell r="AI379"/>
          <cell r="AJ379"/>
          <cell r="AK379"/>
          <cell r="AL379"/>
          <cell r="AM379"/>
          <cell r="AN379"/>
          <cell r="AO379"/>
          <cell r="AP379"/>
          <cell r="AQ379"/>
          <cell r="AR379"/>
          <cell r="AS379"/>
          <cell r="AT379"/>
          <cell r="AU379"/>
          <cell r="AV379"/>
          <cell r="AW379"/>
          <cell r="AX379"/>
          <cell r="AY379"/>
          <cell r="AZ379"/>
          <cell r="BA379"/>
          <cell r="BB379"/>
          <cell r="BC379"/>
          <cell r="BD379"/>
        </row>
        <row r="380">
          <cell r="A380" t="str">
            <v>Common\Operating_Software\MCM_Input_Register_Component</v>
          </cell>
          <cell r="B380" t="str">
            <v>N</v>
          </cell>
          <cell r="C380"/>
          <cell r="D380"/>
          <cell r="E380"/>
          <cell r="F380"/>
          <cell r="G380" t="str">
            <v>CN</v>
          </cell>
          <cell r="H380" t="str">
            <v>N</v>
          </cell>
          <cell r="I380"/>
          <cell r="J380"/>
          <cell r="K380"/>
          <cell r="L380"/>
          <cell r="M380"/>
          <cell r="N380"/>
          <cell r="O380"/>
          <cell r="P380"/>
          <cell r="Q380"/>
          <cell r="R380"/>
          <cell r="S380" t="b">
            <v>1</v>
          </cell>
          <cell r="T380" t="b">
            <v>1</v>
          </cell>
          <cell r="U380" t="b">
            <v>1</v>
          </cell>
          <cell r="V380"/>
          <cell r="W380"/>
          <cell r="X380"/>
          <cell r="Y380"/>
          <cell r="Z380"/>
          <cell r="AA380"/>
          <cell r="AB380"/>
          <cell r="AC380"/>
          <cell r="AD380"/>
          <cell r="AE380"/>
          <cell r="AF380"/>
          <cell r="AG380"/>
          <cell r="AH380"/>
          <cell r="AI380"/>
          <cell r="AJ380"/>
          <cell r="AK380"/>
          <cell r="AL380"/>
          <cell r="AM380"/>
          <cell r="AN380"/>
          <cell r="AO380"/>
          <cell r="AP380"/>
          <cell r="AQ380"/>
          <cell r="AR380"/>
          <cell r="AS380"/>
          <cell r="AT380"/>
          <cell r="AU380"/>
          <cell r="AV380"/>
          <cell r="AW380"/>
          <cell r="AX380"/>
          <cell r="AY380"/>
          <cell r="AZ380"/>
          <cell r="BA380"/>
          <cell r="BB380"/>
          <cell r="BC380"/>
          <cell r="BD380"/>
        </row>
        <row r="381">
          <cell r="A381" t="str">
            <v>Common\Operating_Software\MCM_Output_Register_Component</v>
          </cell>
          <cell r="B381" t="str">
            <v>N</v>
          </cell>
          <cell r="C381"/>
          <cell r="D381"/>
          <cell r="E381"/>
          <cell r="F381"/>
          <cell r="G381" t="str">
            <v>CN</v>
          </cell>
          <cell r="H381" t="str">
            <v>N</v>
          </cell>
          <cell r="I381"/>
          <cell r="J381"/>
          <cell r="K381"/>
          <cell r="L381"/>
          <cell r="M381"/>
          <cell r="N381"/>
          <cell r="O381"/>
          <cell r="P381"/>
          <cell r="Q381"/>
          <cell r="R381"/>
          <cell r="S381" t="b">
            <v>1</v>
          </cell>
          <cell r="T381" t="b">
            <v>1</v>
          </cell>
          <cell r="U381" t="b">
            <v>1</v>
          </cell>
          <cell r="V381"/>
          <cell r="W381"/>
          <cell r="X381"/>
          <cell r="Y381"/>
          <cell r="Z381"/>
          <cell r="AA381"/>
          <cell r="AB381"/>
          <cell r="AC381"/>
          <cell r="AD381"/>
          <cell r="AE381"/>
          <cell r="AF381"/>
          <cell r="AG381"/>
          <cell r="AH381"/>
          <cell r="AI381"/>
          <cell r="AJ381"/>
          <cell r="AK381"/>
          <cell r="AL381"/>
          <cell r="AM381"/>
          <cell r="AN381"/>
          <cell r="AO381"/>
          <cell r="AP381"/>
          <cell r="AQ381"/>
          <cell r="AR381"/>
          <cell r="AS381"/>
          <cell r="AT381"/>
          <cell r="AU381"/>
          <cell r="AV381"/>
          <cell r="AW381"/>
          <cell r="AX381"/>
          <cell r="AY381"/>
          <cell r="AZ381"/>
          <cell r="BA381"/>
          <cell r="BB381"/>
          <cell r="BC381"/>
          <cell r="BD381"/>
        </row>
        <row r="382">
          <cell r="A382" t="str">
            <v>Common\Operating_Software\NVM_Interface</v>
          </cell>
          <cell r="B382" t="str">
            <v>N</v>
          </cell>
          <cell r="C382"/>
          <cell r="D382"/>
          <cell r="E382"/>
          <cell r="F382"/>
          <cell r="G382" t="str">
            <v>CN</v>
          </cell>
          <cell r="H382" t="str">
            <v>N</v>
          </cell>
          <cell r="I382"/>
          <cell r="J382"/>
          <cell r="K382"/>
          <cell r="L382"/>
          <cell r="M382"/>
          <cell r="N382"/>
          <cell r="O382"/>
          <cell r="P382"/>
          <cell r="Q382"/>
          <cell r="R382"/>
          <cell r="S382" t="b">
            <v>1</v>
          </cell>
          <cell r="T382" t="b">
            <v>1</v>
          </cell>
          <cell r="U382" t="b">
            <v>1</v>
          </cell>
          <cell r="V382"/>
          <cell r="W382"/>
          <cell r="X382"/>
          <cell r="Y382"/>
          <cell r="Z382"/>
          <cell r="AA382"/>
          <cell r="AB382"/>
          <cell r="AC382"/>
          <cell r="AD382"/>
          <cell r="AE382"/>
          <cell r="AF382"/>
          <cell r="AG382"/>
          <cell r="AH382"/>
          <cell r="AI382"/>
          <cell r="AJ382"/>
          <cell r="AK382"/>
          <cell r="AL382"/>
          <cell r="AM382"/>
          <cell r="AN382"/>
          <cell r="AO382"/>
          <cell r="AP382"/>
          <cell r="AQ382"/>
          <cell r="AR382"/>
          <cell r="AS382"/>
          <cell r="AT382"/>
          <cell r="AU382"/>
          <cell r="AV382"/>
          <cell r="AW382"/>
          <cell r="AX382"/>
          <cell r="AY382"/>
          <cell r="AZ382"/>
          <cell r="BA382"/>
          <cell r="BB382"/>
          <cell r="BC382"/>
          <cell r="BD382"/>
        </row>
        <row r="383">
          <cell r="A383" t="str">
            <v>Common\Operating_Software\os_general_types_d</v>
          </cell>
          <cell r="B383" t="str">
            <v>N</v>
          </cell>
          <cell r="C383" t="str">
            <v>Y</v>
          </cell>
          <cell r="D383"/>
          <cell r="E383"/>
          <cell r="F383"/>
          <cell r="G383" t="str">
            <v>CN</v>
          </cell>
          <cell r="H383" t="str">
            <v>N</v>
          </cell>
          <cell r="I383"/>
          <cell r="J383"/>
          <cell r="K383"/>
          <cell r="L383"/>
          <cell r="M383"/>
          <cell r="N383"/>
          <cell r="O383"/>
          <cell r="P383"/>
          <cell r="Q383"/>
          <cell r="R383"/>
          <cell r="S383" t="b">
            <v>1</v>
          </cell>
          <cell r="T383" t="b">
            <v>1</v>
          </cell>
          <cell r="U383" t="b">
            <v>1</v>
          </cell>
          <cell r="V383"/>
          <cell r="W383"/>
          <cell r="X383"/>
          <cell r="Y383"/>
          <cell r="Z383"/>
          <cell r="AA383"/>
          <cell r="AB383"/>
          <cell r="AC383"/>
          <cell r="AD383"/>
          <cell r="AE383"/>
          <cell r="AF383"/>
          <cell r="AG383"/>
          <cell r="AH383"/>
          <cell r="AI383"/>
          <cell r="AJ383"/>
          <cell r="AK383"/>
          <cell r="AL383"/>
          <cell r="AM383"/>
          <cell r="AN383"/>
          <cell r="AO383"/>
          <cell r="AP383"/>
          <cell r="AQ383"/>
          <cell r="AR383"/>
          <cell r="AS383"/>
          <cell r="AT383"/>
          <cell r="AU383"/>
          <cell r="AV383"/>
          <cell r="AW383"/>
          <cell r="AX383"/>
          <cell r="AY383"/>
          <cell r="AZ383"/>
          <cell r="BA383"/>
          <cell r="BB383"/>
          <cell r="BC383"/>
          <cell r="BD383"/>
        </row>
        <row r="384">
          <cell r="A384" t="str">
            <v>Common\Operating_Software\power_up_checks_roots_common</v>
          </cell>
          <cell r="B384" t="str">
            <v>N</v>
          </cell>
          <cell r="C384" t="str">
            <v>Y</v>
          </cell>
          <cell r="D384"/>
          <cell r="E384"/>
          <cell r="F384"/>
          <cell r="G384" t="str">
            <v>CN</v>
          </cell>
          <cell r="H384" t="str">
            <v>N</v>
          </cell>
          <cell r="I384"/>
          <cell r="J384"/>
          <cell r="K384"/>
          <cell r="L384"/>
          <cell r="M384"/>
          <cell r="N384"/>
          <cell r="O384"/>
          <cell r="P384"/>
          <cell r="Q384"/>
          <cell r="R384"/>
          <cell r="S384" t="b">
            <v>1</v>
          </cell>
          <cell r="T384" t="b">
            <v>1</v>
          </cell>
          <cell r="U384" t="b">
            <v>1</v>
          </cell>
          <cell r="V384"/>
          <cell r="W384"/>
          <cell r="X384"/>
          <cell r="Y384"/>
          <cell r="Z384"/>
          <cell r="AA384"/>
          <cell r="AB384"/>
          <cell r="AC384"/>
          <cell r="AD384"/>
          <cell r="AE384"/>
          <cell r="AF384"/>
          <cell r="AG384"/>
          <cell r="AH384"/>
          <cell r="AI384"/>
          <cell r="AJ384"/>
          <cell r="AK384"/>
          <cell r="AL384"/>
          <cell r="AM384"/>
          <cell r="AN384"/>
          <cell r="AO384"/>
          <cell r="AP384"/>
          <cell r="AQ384"/>
          <cell r="AR384"/>
          <cell r="AS384"/>
          <cell r="AT384"/>
          <cell r="AU384"/>
          <cell r="AV384"/>
          <cell r="AW384"/>
          <cell r="AX384"/>
          <cell r="AY384"/>
          <cell r="AZ384"/>
          <cell r="BA384"/>
          <cell r="BB384"/>
          <cell r="BC384"/>
          <cell r="BD384"/>
        </row>
        <row r="385">
          <cell r="A385" t="str">
            <v>Common\Operating_Software\PUC_Test_DCC</v>
          </cell>
          <cell r="B385" t="str">
            <v>N</v>
          </cell>
          <cell r="C385" t="str">
            <v>Y</v>
          </cell>
          <cell r="D385"/>
          <cell r="E385"/>
          <cell r="F385"/>
          <cell r="G385" t="str">
            <v>CN</v>
          </cell>
          <cell r="H385" t="str">
            <v>N</v>
          </cell>
          <cell r="I385"/>
          <cell r="J385"/>
          <cell r="K385"/>
          <cell r="L385"/>
          <cell r="M385"/>
          <cell r="N385"/>
          <cell r="O385"/>
          <cell r="P385"/>
          <cell r="Q385"/>
          <cell r="R385"/>
          <cell r="S385" t="b">
            <v>1</v>
          </cell>
          <cell r="T385" t="b">
            <v>1</v>
          </cell>
          <cell r="U385" t="b">
            <v>1</v>
          </cell>
          <cell r="V385"/>
          <cell r="W385"/>
          <cell r="X385"/>
          <cell r="Y385"/>
          <cell r="Z385"/>
          <cell r="AA385"/>
          <cell r="AB385"/>
          <cell r="AC385"/>
          <cell r="AD385"/>
          <cell r="AE385"/>
          <cell r="AF385"/>
          <cell r="AG385"/>
          <cell r="AH385"/>
          <cell r="AI385"/>
          <cell r="AJ385"/>
          <cell r="AK385"/>
          <cell r="AL385"/>
          <cell r="AM385"/>
          <cell r="AN385"/>
          <cell r="AO385"/>
          <cell r="AP385"/>
          <cell r="AQ385"/>
          <cell r="AR385"/>
          <cell r="AS385"/>
          <cell r="AT385"/>
          <cell r="AU385"/>
          <cell r="AV385"/>
          <cell r="AW385"/>
          <cell r="AX385"/>
          <cell r="AY385"/>
          <cell r="AZ385"/>
          <cell r="BA385"/>
          <cell r="BB385"/>
          <cell r="BC385"/>
          <cell r="BD385"/>
        </row>
        <row r="386">
          <cell r="A386" t="str">
            <v>Common\Operating_Software\Register_Inputs_Component</v>
          </cell>
          <cell r="B386" t="str">
            <v>N</v>
          </cell>
          <cell r="C386"/>
          <cell r="D386"/>
          <cell r="E386"/>
          <cell r="F386"/>
          <cell r="G386" t="str">
            <v>CN</v>
          </cell>
          <cell r="H386" t="str">
            <v>N</v>
          </cell>
          <cell r="I386"/>
          <cell r="J386"/>
          <cell r="K386"/>
          <cell r="L386"/>
          <cell r="M386"/>
          <cell r="N386"/>
          <cell r="O386"/>
          <cell r="P386"/>
          <cell r="Q386"/>
          <cell r="R386"/>
          <cell r="S386" t="b">
            <v>1</v>
          </cell>
          <cell r="T386" t="b">
            <v>1</v>
          </cell>
          <cell r="U386" t="b">
            <v>1</v>
          </cell>
          <cell r="V386"/>
          <cell r="W386"/>
          <cell r="X386"/>
          <cell r="Y386"/>
          <cell r="Z386"/>
          <cell r="AA386"/>
          <cell r="AB386"/>
          <cell r="AC386"/>
          <cell r="AD386"/>
          <cell r="AE386"/>
          <cell r="AF386"/>
          <cell r="AG386"/>
          <cell r="AH386"/>
          <cell r="AI386"/>
          <cell r="AJ386"/>
          <cell r="AK386"/>
          <cell r="AL386"/>
          <cell r="AM386"/>
          <cell r="AN386"/>
          <cell r="AO386"/>
          <cell r="AP386"/>
          <cell r="AQ386"/>
          <cell r="AR386"/>
          <cell r="AS386"/>
          <cell r="AT386"/>
          <cell r="AU386"/>
          <cell r="AV386"/>
          <cell r="AW386"/>
          <cell r="AX386"/>
          <cell r="AY386"/>
          <cell r="AZ386"/>
          <cell r="BA386"/>
          <cell r="BB386"/>
          <cell r="BC386"/>
          <cell r="BD386"/>
        </row>
        <row r="387">
          <cell r="A387" t="str">
            <v>Common\Operating_Software\Register_Outputs_Component</v>
          </cell>
          <cell r="B387" t="str">
            <v>N</v>
          </cell>
          <cell r="C387"/>
          <cell r="D387"/>
          <cell r="E387"/>
          <cell r="F387"/>
          <cell r="G387" t="str">
            <v>CN</v>
          </cell>
          <cell r="H387" t="str">
            <v>N</v>
          </cell>
          <cell r="I387"/>
          <cell r="J387"/>
          <cell r="K387"/>
          <cell r="L387"/>
          <cell r="M387"/>
          <cell r="N387"/>
          <cell r="O387"/>
          <cell r="P387"/>
          <cell r="Q387"/>
          <cell r="R387"/>
          <cell r="S387" t="b">
            <v>1</v>
          </cell>
          <cell r="T387" t="b">
            <v>1</v>
          </cell>
          <cell r="U387" t="b">
            <v>1</v>
          </cell>
          <cell r="V387"/>
          <cell r="W387"/>
          <cell r="X387"/>
          <cell r="Y387"/>
          <cell r="Z387"/>
          <cell r="AA387"/>
          <cell r="AB387"/>
          <cell r="AC387"/>
          <cell r="AD387"/>
          <cell r="AE387"/>
          <cell r="AF387"/>
          <cell r="AG387"/>
          <cell r="AH387"/>
          <cell r="AI387"/>
          <cell r="AJ387"/>
          <cell r="AK387"/>
          <cell r="AL387"/>
          <cell r="AM387"/>
          <cell r="AN387"/>
          <cell r="AO387"/>
          <cell r="AP387"/>
          <cell r="AQ387"/>
          <cell r="AR387"/>
          <cell r="AS387"/>
          <cell r="AT387"/>
          <cell r="AU387"/>
          <cell r="AV387"/>
          <cell r="AW387"/>
          <cell r="AX387"/>
          <cell r="AY387"/>
          <cell r="AZ387"/>
          <cell r="BA387"/>
          <cell r="BB387"/>
          <cell r="BC387"/>
          <cell r="BD387"/>
        </row>
        <row r="388">
          <cell r="A388" t="str">
            <v>Common\Operating_Software\Reset_Register_IO_Layer_Component</v>
          </cell>
          <cell r="B388" t="str">
            <v>N</v>
          </cell>
          <cell r="C388"/>
          <cell r="D388"/>
          <cell r="E388"/>
          <cell r="F388"/>
          <cell r="G388" t="str">
            <v>CN</v>
          </cell>
          <cell r="H388" t="str">
            <v>N</v>
          </cell>
          <cell r="I388"/>
          <cell r="J388"/>
          <cell r="K388"/>
          <cell r="L388"/>
          <cell r="M388"/>
          <cell r="N388"/>
          <cell r="O388"/>
          <cell r="P388"/>
          <cell r="Q388"/>
          <cell r="R388"/>
          <cell r="S388" t="b">
            <v>1</v>
          </cell>
          <cell r="T388" t="b">
            <v>1</v>
          </cell>
          <cell r="U388" t="b">
            <v>1</v>
          </cell>
          <cell r="V388"/>
          <cell r="W388"/>
          <cell r="X388"/>
          <cell r="Y388"/>
          <cell r="Z388"/>
          <cell r="AA388"/>
          <cell r="AB388"/>
          <cell r="AC388"/>
          <cell r="AD388"/>
          <cell r="AE388"/>
          <cell r="AF388"/>
          <cell r="AG388"/>
          <cell r="AH388"/>
          <cell r="AI388"/>
          <cell r="AJ388"/>
          <cell r="AK388"/>
          <cell r="AL388"/>
          <cell r="AM388"/>
          <cell r="AN388"/>
          <cell r="AO388"/>
          <cell r="AP388"/>
          <cell r="AQ388"/>
          <cell r="AR388"/>
          <cell r="AS388"/>
          <cell r="AT388"/>
          <cell r="AU388"/>
          <cell r="AV388"/>
          <cell r="AW388"/>
          <cell r="AX388"/>
          <cell r="AY388"/>
          <cell r="AZ388"/>
          <cell r="BA388"/>
          <cell r="BB388"/>
          <cell r="BC388"/>
          <cell r="BD388"/>
        </row>
        <row r="389">
          <cell r="A389" t="str">
            <v>Common\Operating_Software\Serial_Interface_Component</v>
          </cell>
          <cell r="B389" t="str">
            <v>N</v>
          </cell>
          <cell r="C389"/>
          <cell r="D389"/>
          <cell r="E389"/>
          <cell r="F389"/>
          <cell r="G389" t="str">
            <v>CN</v>
          </cell>
          <cell r="H389" t="str">
            <v>N</v>
          </cell>
          <cell r="I389"/>
          <cell r="J389"/>
          <cell r="K389"/>
          <cell r="L389"/>
          <cell r="M389"/>
          <cell r="N389"/>
          <cell r="O389"/>
          <cell r="P389"/>
          <cell r="Q389"/>
          <cell r="R389"/>
          <cell r="S389" t="b">
            <v>1</v>
          </cell>
          <cell r="T389" t="b">
            <v>1</v>
          </cell>
          <cell r="U389" t="b">
            <v>1</v>
          </cell>
          <cell r="V389"/>
          <cell r="W389"/>
          <cell r="X389"/>
          <cell r="Y389"/>
          <cell r="Z389"/>
          <cell r="AA389"/>
          <cell r="AB389"/>
          <cell r="AC389"/>
          <cell r="AD389"/>
          <cell r="AE389"/>
          <cell r="AF389"/>
          <cell r="AG389"/>
          <cell r="AH389"/>
          <cell r="AI389"/>
          <cell r="AJ389"/>
          <cell r="AK389"/>
          <cell r="AL389"/>
          <cell r="AM389"/>
          <cell r="AN389"/>
          <cell r="AO389"/>
          <cell r="AP389"/>
          <cell r="AQ389"/>
          <cell r="AR389"/>
          <cell r="AS389"/>
          <cell r="AT389"/>
          <cell r="AU389"/>
          <cell r="AV389"/>
          <cell r="AW389"/>
          <cell r="AX389"/>
          <cell r="AY389"/>
          <cell r="AZ389"/>
          <cell r="BA389"/>
          <cell r="BB389"/>
          <cell r="BC389"/>
          <cell r="BD389"/>
        </row>
        <row r="390">
          <cell r="A390" t="str">
            <v>Common\Operating_Software\Shaft_Break_FtoD_IO_Component</v>
          </cell>
          <cell r="B390" t="str">
            <v>N</v>
          </cell>
          <cell r="C390"/>
          <cell r="D390"/>
          <cell r="E390"/>
          <cell r="F390"/>
          <cell r="G390" t="str">
            <v>CN</v>
          </cell>
          <cell r="H390" t="str">
            <v>N</v>
          </cell>
          <cell r="I390"/>
          <cell r="J390"/>
          <cell r="K390"/>
          <cell r="L390"/>
          <cell r="M390"/>
          <cell r="N390"/>
          <cell r="O390"/>
          <cell r="P390"/>
          <cell r="Q390"/>
          <cell r="R390"/>
          <cell r="S390" t="b">
            <v>1</v>
          </cell>
          <cell r="T390" t="b">
            <v>1</v>
          </cell>
          <cell r="U390" t="b">
            <v>1</v>
          </cell>
          <cell r="V390"/>
          <cell r="W390"/>
          <cell r="X390"/>
          <cell r="Y390"/>
          <cell r="Z390"/>
          <cell r="AA390"/>
          <cell r="AB390"/>
          <cell r="AC390"/>
          <cell r="AD390"/>
          <cell r="AE390"/>
          <cell r="AF390"/>
          <cell r="AG390"/>
          <cell r="AH390"/>
          <cell r="AI390"/>
          <cell r="AJ390"/>
          <cell r="AK390"/>
          <cell r="AL390"/>
          <cell r="AM390"/>
          <cell r="AN390"/>
          <cell r="AO390"/>
          <cell r="AP390"/>
          <cell r="AQ390"/>
          <cell r="AR390"/>
          <cell r="AS390"/>
          <cell r="AT390"/>
          <cell r="AU390"/>
          <cell r="AV390"/>
          <cell r="AW390"/>
          <cell r="AX390"/>
          <cell r="AY390"/>
          <cell r="AZ390"/>
          <cell r="BA390"/>
          <cell r="BB390"/>
          <cell r="BC390"/>
          <cell r="BD390"/>
        </row>
        <row r="391">
          <cell r="A391" t="str">
            <v>Common\Operating_Software\Solenoid_Drive_Component</v>
          </cell>
          <cell r="B391" t="str">
            <v>N</v>
          </cell>
          <cell r="C391"/>
          <cell r="D391"/>
          <cell r="E391"/>
          <cell r="F391"/>
          <cell r="G391" t="str">
            <v>CN</v>
          </cell>
          <cell r="H391" t="str">
            <v>N</v>
          </cell>
          <cell r="I391"/>
          <cell r="J391"/>
          <cell r="K391"/>
          <cell r="L391"/>
          <cell r="M391"/>
          <cell r="N391"/>
          <cell r="O391"/>
          <cell r="P391"/>
          <cell r="Q391"/>
          <cell r="R391"/>
          <cell r="S391" t="b">
            <v>1</v>
          </cell>
          <cell r="T391" t="b">
            <v>1</v>
          </cell>
          <cell r="U391" t="b">
            <v>1</v>
          </cell>
          <cell r="V391"/>
          <cell r="W391"/>
          <cell r="X391"/>
          <cell r="Y391"/>
          <cell r="Z391"/>
          <cell r="AA391"/>
          <cell r="AB391"/>
          <cell r="AC391"/>
          <cell r="AD391"/>
          <cell r="AE391"/>
          <cell r="AF391"/>
          <cell r="AG391"/>
          <cell r="AH391"/>
          <cell r="AI391"/>
          <cell r="AJ391"/>
          <cell r="AK391"/>
          <cell r="AL391"/>
          <cell r="AM391"/>
          <cell r="AN391"/>
          <cell r="AO391"/>
          <cell r="AP391"/>
          <cell r="AQ391"/>
          <cell r="AR391"/>
          <cell r="AS391"/>
          <cell r="AT391"/>
          <cell r="AU391"/>
          <cell r="AV391"/>
          <cell r="AW391"/>
          <cell r="AX391"/>
          <cell r="AY391"/>
          <cell r="AZ391"/>
          <cell r="BA391"/>
          <cell r="BB391"/>
          <cell r="BC391"/>
          <cell r="BD391"/>
        </row>
        <row r="392">
          <cell r="A392" t="str">
            <v>Common\Operating_Software\Test_Port_Inputs_Component</v>
          </cell>
          <cell r="B392" t="str">
            <v>N</v>
          </cell>
          <cell r="C392"/>
          <cell r="D392"/>
          <cell r="E392"/>
          <cell r="F392"/>
          <cell r="G392" t="str">
            <v>CN</v>
          </cell>
          <cell r="H392" t="str">
            <v>N</v>
          </cell>
          <cell r="I392"/>
          <cell r="J392"/>
          <cell r="K392"/>
          <cell r="L392"/>
          <cell r="M392"/>
          <cell r="N392"/>
          <cell r="O392"/>
          <cell r="P392"/>
          <cell r="Q392"/>
          <cell r="R392"/>
          <cell r="S392" t="b">
            <v>1</v>
          </cell>
          <cell r="T392" t="b">
            <v>1</v>
          </cell>
          <cell r="U392" t="b">
            <v>1</v>
          </cell>
          <cell r="V392"/>
          <cell r="W392"/>
          <cell r="X392"/>
          <cell r="Y392"/>
          <cell r="Z392"/>
          <cell r="AA392"/>
          <cell r="AB392"/>
          <cell r="AC392"/>
          <cell r="AD392"/>
          <cell r="AE392"/>
          <cell r="AF392"/>
          <cell r="AG392"/>
          <cell r="AH392"/>
          <cell r="AI392"/>
          <cell r="AJ392"/>
          <cell r="AK392"/>
          <cell r="AL392"/>
          <cell r="AM392"/>
          <cell r="AN392"/>
          <cell r="AO392"/>
          <cell r="AP392"/>
          <cell r="AQ392"/>
          <cell r="AR392"/>
          <cell r="AS392"/>
          <cell r="AT392"/>
          <cell r="AU392"/>
          <cell r="AV392"/>
          <cell r="AW392"/>
          <cell r="AX392"/>
          <cell r="AY392"/>
          <cell r="AZ392"/>
          <cell r="BA392"/>
          <cell r="BB392"/>
          <cell r="BC392"/>
          <cell r="BD392"/>
        </row>
        <row r="393">
          <cell r="A393" t="str">
            <v>Common\Operating_Software\Test_Port_Outputs_Component</v>
          </cell>
          <cell r="B393" t="str">
            <v>N</v>
          </cell>
          <cell r="C393"/>
          <cell r="D393"/>
          <cell r="E393"/>
          <cell r="F393"/>
          <cell r="G393" t="str">
            <v>CN</v>
          </cell>
          <cell r="H393" t="str">
            <v>N</v>
          </cell>
          <cell r="I393"/>
          <cell r="J393"/>
          <cell r="K393"/>
          <cell r="L393"/>
          <cell r="M393"/>
          <cell r="N393"/>
          <cell r="O393"/>
          <cell r="P393"/>
          <cell r="Q393"/>
          <cell r="R393"/>
          <cell r="S393" t="b">
            <v>1</v>
          </cell>
          <cell r="T393" t="b">
            <v>1</v>
          </cell>
          <cell r="U393" t="b">
            <v>1</v>
          </cell>
          <cell r="V393"/>
          <cell r="W393"/>
          <cell r="X393"/>
          <cell r="Y393"/>
          <cell r="Z393"/>
          <cell r="AA393"/>
          <cell r="AB393"/>
          <cell r="AC393"/>
          <cell r="AD393"/>
          <cell r="AE393"/>
          <cell r="AF393"/>
          <cell r="AG393"/>
          <cell r="AH393"/>
          <cell r="AI393"/>
          <cell r="AJ393"/>
          <cell r="AK393"/>
          <cell r="AL393"/>
          <cell r="AM393"/>
          <cell r="AN393"/>
          <cell r="AO393"/>
          <cell r="AP393"/>
          <cell r="AQ393"/>
          <cell r="AR393"/>
          <cell r="AS393"/>
          <cell r="AT393"/>
          <cell r="AU393"/>
          <cell r="AV393"/>
          <cell r="AW393"/>
          <cell r="AX393"/>
          <cell r="AY393"/>
          <cell r="AZ393"/>
          <cell r="BA393"/>
          <cell r="BB393"/>
          <cell r="BC393"/>
          <cell r="BD393"/>
        </row>
        <row r="394">
          <cell r="A394" t="str">
            <v>Common\Operating_Software\test_ports_thread_common_d</v>
          </cell>
          <cell r="B394" t="str">
            <v>N</v>
          </cell>
          <cell r="C394" t="str">
            <v>N</v>
          </cell>
          <cell r="D394"/>
          <cell r="E394"/>
          <cell r="F394"/>
          <cell r="G394" t="str">
            <v>CN</v>
          </cell>
          <cell r="H394" t="str">
            <v>N</v>
          </cell>
          <cell r="I394"/>
          <cell r="J394"/>
          <cell r="K394"/>
          <cell r="L394"/>
          <cell r="M394"/>
          <cell r="N394"/>
          <cell r="O394"/>
          <cell r="P394"/>
          <cell r="Q394"/>
          <cell r="R394"/>
          <cell r="S394" t="b">
            <v>1</v>
          </cell>
          <cell r="T394" t="b">
            <v>1</v>
          </cell>
          <cell r="U394" t="b">
            <v>1</v>
          </cell>
          <cell r="V394"/>
          <cell r="W394"/>
          <cell r="X394"/>
          <cell r="Y394"/>
          <cell r="Z394"/>
          <cell r="AA394"/>
          <cell r="AB394"/>
          <cell r="AC394"/>
          <cell r="AD394"/>
          <cell r="AE394"/>
          <cell r="AF394"/>
          <cell r="AG394"/>
          <cell r="AH394"/>
          <cell r="AI394"/>
          <cell r="AJ394"/>
          <cell r="AK394"/>
          <cell r="AL394"/>
          <cell r="AM394"/>
          <cell r="AN394"/>
          <cell r="AO394"/>
          <cell r="AP394"/>
          <cell r="AQ394"/>
          <cell r="AR394"/>
          <cell r="AS394"/>
          <cell r="AT394"/>
          <cell r="AU394"/>
          <cell r="AV394"/>
          <cell r="AW394"/>
          <cell r="AX394"/>
          <cell r="AY394"/>
          <cell r="AZ394"/>
          <cell r="BA394"/>
          <cell r="BB394"/>
          <cell r="BC394"/>
          <cell r="BD394"/>
        </row>
        <row r="395">
          <cell r="A395" t="str">
            <v>Common\Operating_Software\upload_common_d</v>
          </cell>
          <cell r="B395" t="str">
            <v>N</v>
          </cell>
          <cell r="C395"/>
          <cell r="D395"/>
          <cell r="E395"/>
          <cell r="F395"/>
          <cell r="G395" t="str">
            <v>CN</v>
          </cell>
          <cell r="H395" t="str">
            <v>N</v>
          </cell>
          <cell r="I395"/>
          <cell r="J395"/>
          <cell r="K395"/>
          <cell r="L395"/>
          <cell r="M395"/>
          <cell r="N395"/>
          <cell r="O395"/>
          <cell r="P395"/>
          <cell r="Q395"/>
          <cell r="R395"/>
          <cell r="S395" t="b">
            <v>1</v>
          </cell>
          <cell r="T395" t="b">
            <v>1</v>
          </cell>
          <cell r="U395" t="b">
            <v>1</v>
          </cell>
          <cell r="V395"/>
          <cell r="W395"/>
          <cell r="X395"/>
          <cell r="Y395"/>
          <cell r="Z395"/>
          <cell r="AA395"/>
          <cell r="AB395"/>
          <cell r="AC395"/>
          <cell r="AD395"/>
          <cell r="AE395"/>
          <cell r="AF395"/>
          <cell r="AG395"/>
          <cell r="AH395"/>
          <cell r="AI395"/>
          <cell r="AJ395"/>
          <cell r="AK395"/>
          <cell r="AL395"/>
          <cell r="AM395"/>
          <cell r="AN395"/>
          <cell r="AO395"/>
          <cell r="AP395"/>
          <cell r="AQ395"/>
          <cell r="AR395"/>
          <cell r="AS395"/>
          <cell r="AT395"/>
          <cell r="AU395"/>
          <cell r="AV395"/>
          <cell r="AW395"/>
          <cell r="AX395"/>
          <cell r="AY395"/>
          <cell r="AZ395"/>
          <cell r="BA395"/>
          <cell r="BB395"/>
          <cell r="BC395"/>
          <cell r="BD395"/>
        </row>
        <row r="396">
          <cell r="A396" t="str">
            <v>Common\Operating_Software\xwb_br725_reuse_common_d</v>
          </cell>
          <cell r="B396" t="str">
            <v>N</v>
          </cell>
          <cell r="C396"/>
          <cell r="D396"/>
          <cell r="E396"/>
          <cell r="F396"/>
          <cell r="G396" t="str">
            <v>CN</v>
          </cell>
          <cell r="H396" t="str">
            <v>N</v>
          </cell>
          <cell r="I396"/>
          <cell r="J396"/>
          <cell r="K396"/>
          <cell r="L396"/>
          <cell r="M396"/>
          <cell r="N396"/>
          <cell r="O396"/>
          <cell r="P396"/>
          <cell r="Q396"/>
          <cell r="R396"/>
          <cell r="S396" t="b">
            <v>1</v>
          </cell>
          <cell r="T396" t="b">
            <v>1</v>
          </cell>
          <cell r="U396" t="b">
            <v>1</v>
          </cell>
          <cell r="V396"/>
          <cell r="W396"/>
          <cell r="X396"/>
          <cell r="Y396"/>
          <cell r="Z396"/>
          <cell r="AA396"/>
          <cell r="AB396"/>
          <cell r="AC396"/>
          <cell r="AD396"/>
          <cell r="AE396"/>
          <cell r="AF396"/>
          <cell r="AG396"/>
          <cell r="AH396"/>
          <cell r="AI396"/>
          <cell r="AJ396"/>
          <cell r="AK396"/>
          <cell r="AL396"/>
          <cell r="AM396"/>
          <cell r="AN396"/>
          <cell r="AO396"/>
          <cell r="AP396"/>
          <cell r="AQ396"/>
          <cell r="AR396"/>
          <cell r="AS396"/>
          <cell r="AT396"/>
          <cell r="AU396"/>
          <cell r="AV396"/>
          <cell r="AW396"/>
          <cell r="AX396"/>
          <cell r="AY396"/>
          <cell r="AZ396"/>
          <cell r="BA396"/>
          <cell r="BB396"/>
          <cell r="BC396"/>
          <cell r="BD396"/>
        </row>
        <row r="397">
          <cell r="A397" t="str">
            <v>Common\Operating_Software\xwb_trent1000_reuse_common_d</v>
          </cell>
          <cell r="B397" t="str">
            <v>N</v>
          </cell>
          <cell r="C397"/>
          <cell r="D397"/>
          <cell r="E397"/>
          <cell r="F397"/>
          <cell r="G397" t="str">
            <v>CN</v>
          </cell>
          <cell r="H397" t="str">
            <v>N</v>
          </cell>
          <cell r="I397"/>
          <cell r="J397"/>
          <cell r="K397"/>
          <cell r="L397"/>
          <cell r="M397"/>
          <cell r="N397"/>
          <cell r="O397"/>
          <cell r="P397"/>
          <cell r="Q397"/>
          <cell r="R397"/>
          <cell r="S397" t="b">
            <v>1</v>
          </cell>
          <cell r="T397" t="b">
            <v>1</v>
          </cell>
          <cell r="U397" t="b">
            <v>1</v>
          </cell>
          <cell r="V397"/>
          <cell r="W397"/>
          <cell r="X397"/>
          <cell r="Y397"/>
          <cell r="Z397"/>
          <cell r="AA397"/>
          <cell r="AB397"/>
          <cell r="AC397"/>
          <cell r="AD397"/>
          <cell r="AE397"/>
          <cell r="AF397"/>
          <cell r="AG397"/>
          <cell r="AH397"/>
          <cell r="AI397"/>
          <cell r="AJ397"/>
          <cell r="AK397"/>
          <cell r="AL397"/>
          <cell r="AM397"/>
          <cell r="AN397"/>
          <cell r="AO397"/>
          <cell r="AP397"/>
          <cell r="AQ397"/>
          <cell r="AR397"/>
          <cell r="AS397"/>
          <cell r="AT397"/>
          <cell r="AU397"/>
          <cell r="AV397"/>
          <cell r="AW397"/>
          <cell r="AX397"/>
          <cell r="AY397"/>
          <cell r="AZ397"/>
          <cell r="BA397"/>
          <cell r="BB397"/>
          <cell r="BC397"/>
          <cell r="BD397"/>
        </row>
        <row r="398">
          <cell r="A398" t="str">
            <v>Control_CPU\Operating_Software\adc_container_control_d</v>
          </cell>
          <cell r="B398" t="str">
            <v>N</v>
          </cell>
          <cell r="C398" t="str">
            <v>Y</v>
          </cell>
          <cell r="D398"/>
          <cell r="E398"/>
          <cell r="F398"/>
          <cell r="G398" t="str">
            <v>CN</v>
          </cell>
          <cell r="H398" t="str">
            <v>N</v>
          </cell>
          <cell r="I398"/>
          <cell r="J398"/>
          <cell r="K398"/>
          <cell r="L398"/>
          <cell r="M398"/>
          <cell r="N398"/>
          <cell r="O398"/>
          <cell r="P398"/>
          <cell r="Q398"/>
          <cell r="R398"/>
          <cell r="S398" t="b">
            <v>1</v>
          </cell>
          <cell r="T398" t="b">
            <v>1</v>
          </cell>
          <cell r="U398" t="b">
            <v>1</v>
          </cell>
          <cell r="V398"/>
          <cell r="W398"/>
          <cell r="X398"/>
          <cell r="Y398"/>
          <cell r="Z398"/>
          <cell r="AA398"/>
          <cell r="AB398"/>
          <cell r="AC398"/>
          <cell r="AD398"/>
          <cell r="AE398"/>
          <cell r="AF398"/>
          <cell r="AG398"/>
          <cell r="AH398"/>
          <cell r="AI398"/>
          <cell r="AJ398"/>
          <cell r="AK398"/>
          <cell r="AL398"/>
          <cell r="AM398"/>
          <cell r="AN398"/>
          <cell r="AO398"/>
          <cell r="AP398"/>
          <cell r="AQ398"/>
          <cell r="AR398"/>
          <cell r="AS398"/>
          <cell r="AT398"/>
          <cell r="AU398"/>
          <cell r="AV398"/>
          <cell r="AW398"/>
          <cell r="AX398"/>
          <cell r="AY398"/>
          <cell r="AZ398"/>
          <cell r="BA398"/>
          <cell r="BB398"/>
          <cell r="BC398"/>
          <cell r="BD398"/>
        </row>
        <row r="399">
          <cell r="A399" t="str">
            <v>Control_CPU\Operating_Software\adc_thread_control_d</v>
          </cell>
          <cell r="B399" t="str">
            <v>N</v>
          </cell>
          <cell r="C399"/>
          <cell r="D399"/>
          <cell r="E399"/>
          <cell r="F399"/>
          <cell r="G399" t="str">
            <v>CN</v>
          </cell>
          <cell r="H399" t="str">
            <v>N</v>
          </cell>
          <cell r="I399"/>
          <cell r="J399"/>
          <cell r="K399"/>
          <cell r="L399"/>
          <cell r="M399"/>
          <cell r="N399"/>
          <cell r="O399"/>
          <cell r="P399"/>
          <cell r="Q399"/>
          <cell r="R399"/>
          <cell r="S399" t="b">
            <v>1</v>
          </cell>
          <cell r="T399" t="b">
            <v>1</v>
          </cell>
          <cell r="U399" t="b">
            <v>1</v>
          </cell>
          <cell r="V399"/>
          <cell r="W399"/>
          <cell r="X399"/>
          <cell r="Y399"/>
          <cell r="Z399"/>
          <cell r="AA399"/>
          <cell r="AB399"/>
          <cell r="AC399"/>
          <cell r="AD399"/>
          <cell r="AE399"/>
          <cell r="AF399"/>
          <cell r="AG399"/>
          <cell r="AH399"/>
          <cell r="AI399"/>
          <cell r="AJ399"/>
          <cell r="AK399"/>
          <cell r="AL399"/>
          <cell r="AM399"/>
          <cell r="AN399"/>
          <cell r="AO399"/>
          <cell r="AP399"/>
          <cell r="AQ399"/>
          <cell r="AR399"/>
          <cell r="AS399"/>
          <cell r="AT399"/>
          <cell r="AU399"/>
          <cell r="AV399"/>
          <cell r="AW399"/>
          <cell r="AX399"/>
          <cell r="AY399"/>
          <cell r="AZ399"/>
          <cell r="BA399"/>
          <cell r="BB399"/>
          <cell r="BC399"/>
          <cell r="BD399"/>
        </row>
        <row r="400">
          <cell r="A400" t="str">
            <v>Control_CPU\Operating_Software\channel_change_thread_control_d</v>
          </cell>
          <cell r="B400" t="str">
            <v>N</v>
          </cell>
          <cell r="C400"/>
          <cell r="D400"/>
          <cell r="E400"/>
          <cell r="F400"/>
          <cell r="G400" t="str">
            <v>CN</v>
          </cell>
          <cell r="H400" t="str">
            <v>N</v>
          </cell>
          <cell r="I400"/>
          <cell r="J400"/>
          <cell r="K400"/>
          <cell r="L400"/>
          <cell r="M400"/>
          <cell r="N400"/>
          <cell r="O400"/>
          <cell r="P400"/>
          <cell r="Q400"/>
          <cell r="R400"/>
          <cell r="S400" t="b">
            <v>1</v>
          </cell>
          <cell r="T400" t="b">
            <v>1</v>
          </cell>
          <cell r="U400" t="b">
            <v>1</v>
          </cell>
          <cell r="V400"/>
          <cell r="W400"/>
          <cell r="X400"/>
          <cell r="Y400"/>
          <cell r="Z400"/>
          <cell r="AA400"/>
          <cell r="AB400"/>
          <cell r="AC400"/>
          <cell r="AD400"/>
          <cell r="AE400"/>
          <cell r="AF400"/>
          <cell r="AG400"/>
          <cell r="AH400"/>
          <cell r="AI400"/>
          <cell r="AJ400"/>
          <cell r="AK400"/>
          <cell r="AL400"/>
          <cell r="AM400"/>
          <cell r="AN400"/>
          <cell r="AO400"/>
          <cell r="AP400"/>
          <cell r="AQ400"/>
          <cell r="AR400"/>
          <cell r="AS400"/>
          <cell r="AT400"/>
          <cell r="AU400"/>
          <cell r="AV400"/>
          <cell r="AW400"/>
          <cell r="AX400"/>
          <cell r="AY400"/>
          <cell r="AZ400"/>
          <cell r="BA400"/>
          <cell r="BB400"/>
          <cell r="BC400"/>
          <cell r="BD400"/>
        </row>
        <row r="401">
          <cell r="A401" t="str">
            <v>Control_CPU\Operating_Software\continuous_tests_thread_control</v>
          </cell>
          <cell r="B401" t="str">
            <v>N</v>
          </cell>
          <cell r="C401"/>
          <cell r="D401"/>
          <cell r="E401"/>
          <cell r="F401"/>
          <cell r="G401" t="str">
            <v>CN</v>
          </cell>
          <cell r="H401" t="str">
            <v>N</v>
          </cell>
          <cell r="I401"/>
          <cell r="J401"/>
          <cell r="K401"/>
          <cell r="L401"/>
          <cell r="M401"/>
          <cell r="N401"/>
          <cell r="O401"/>
          <cell r="P401"/>
          <cell r="Q401"/>
          <cell r="R401"/>
          <cell r="S401" t="b">
            <v>1</v>
          </cell>
          <cell r="T401" t="b">
            <v>1</v>
          </cell>
          <cell r="U401" t="b">
            <v>1</v>
          </cell>
          <cell r="V401"/>
          <cell r="W401"/>
          <cell r="X401"/>
          <cell r="Y401"/>
          <cell r="Z401"/>
          <cell r="AA401"/>
          <cell r="AB401"/>
          <cell r="AC401"/>
          <cell r="AD401"/>
          <cell r="AE401"/>
          <cell r="AF401"/>
          <cell r="AG401"/>
          <cell r="AH401"/>
          <cell r="AI401"/>
          <cell r="AJ401"/>
          <cell r="AK401"/>
          <cell r="AL401"/>
          <cell r="AM401"/>
          <cell r="AN401"/>
          <cell r="AO401"/>
          <cell r="AP401"/>
          <cell r="AQ401"/>
          <cell r="AR401"/>
          <cell r="AS401"/>
          <cell r="AT401"/>
          <cell r="AU401"/>
          <cell r="AV401"/>
          <cell r="AW401"/>
          <cell r="AX401"/>
          <cell r="AY401"/>
          <cell r="AZ401"/>
          <cell r="BA401"/>
          <cell r="BB401"/>
          <cell r="BC401"/>
          <cell r="BD401"/>
        </row>
        <row r="402">
          <cell r="A402" t="str">
            <v>Control_CPU\Operating_Software\cross_channel_thread_control_d</v>
          </cell>
          <cell r="B402" t="str">
            <v>N</v>
          </cell>
          <cell r="C402" t="str">
            <v>Y</v>
          </cell>
          <cell r="D402"/>
          <cell r="E402"/>
          <cell r="F402"/>
          <cell r="G402" t="str">
            <v>CN</v>
          </cell>
          <cell r="H402" t="str">
            <v>N</v>
          </cell>
          <cell r="I402"/>
          <cell r="J402"/>
          <cell r="K402"/>
          <cell r="L402"/>
          <cell r="M402"/>
          <cell r="N402"/>
          <cell r="O402"/>
          <cell r="P402"/>
          <cell r="Q402"/>
          <cell r="R402"/>
          <cell r="S402" t="b">
            <v>1</v>
          </cell>
          <cell r="T402" t="b">
            <v>1</v>
          </cell>
          <cell r="U402" t="b">
            <v>1</v>
          </cell>
          <cell r="V402"/>
          <cell r="W402"/>
          <cell r="X402"/>
          <cell r="Y402"/>
          <cell r="Z402"/>
          <cell r="AA402"/>
          <cell r="AB402"/>
          <cell r="AC402"/>
          <cell r="AD402"/>
          <cell r="AE402"/>
          <cell r="AF402"/>
          <cell r="AG402"/>
          <cell r="AH402"/>
          <cell r="AI402"/>
          <cell r="AJ402"/>
          <cell r="AK402"/>
          <cell r="AL402"/>
          <cell r="AM402"/>
          <cell r="AN402"/>
          <cell r="AO402"/>
          <cell r="AP402"/>
          <cell r="AQ402"/>
          <cell r="AR402"/>
          <cell r="AS402"/>
          <cell r="AT402"/>
          <cell r="AU402"/>
          <cell r="AV402"/>
          <cell r="AW402"/>
          <cell r="AX402"/>
          <cell r="AY402"/>
          <cell r="AZ402"/>
          <cell r="BA402"/>
          <cell r="BB402"/>
          <cell r="BC402"/>
          <cell r="BD402"/>
        </row>
        <row r="403">
          <cell r="A403" t="str">
            <v>Control_CPU\Operating_Software\cross_processor_thread_control_d</v>
          </cell>
          <cell r="B403" t="str">
            <v>N</v>
          </cell>
          <cell r="C403"/>
          <cell r="D403"/>
          <cell r="E403"/>
          <cell r="F403"/>
          <cell r="G403" t="str">
            <v>CN</v>
          </cell>
          <cell r="H403" t="str">
            <v>N</v>
          </cell>
          <cell r="I403"/>
          <cell r="J403"/>
          <cell r="K403"/>
          <cell r="L403"/>
          <cell r="M403"/>
          <cell r="N403"/>
          <cell r="O403"/>
          <cell r="P403"/>
          <cell r="Q403"/>
          <cell r="R403"/>
          <cell r="S403" t="b">
            <v>1</v>
          </cell>
          <cell r="T403" t="b">
            <v>1</v>
          </cell>
          <cell r="U403" t="b">
            <v>1</v>
          </cell>
          <cell r="V403"/>
          <cell r="W403"/>
          <cell r="X403"/>
          <cell r="Y403"/>
          <cell r="Z403"/>
          <cell r="AA403"/>
          <cell r="AB403"/>
          <cell r="AC403"/>
          <cell r="AD403"/>
          <cell r="AE403"/>
          <cell r="AF403"/>
          <cell r="AG403"/>
          <cell r="AH403"/>
          <cell r="AI403"/>
          <cell r="AJ403"/>
          <cell r="AK403"/>
          <cell r="AL403"/>
          <cell r="AM403"/>
          <cell r="AN403"/>
          <cell r="AO403"/>
          <cell r="AP403"/>
          <cell r="AQ403"/>
          <cell r="AR403"/>
          <cell r="AS403"/>
          <cell r="AT403"/>
          <cell r="AU403"/>
          <cell r="AV403"/>
          <cell r="AW403"/>
          <cell r="AX403"/>
          <cell r="AY403"/>
          <cell r="AZ403"/>
          <cell r="BA403"/>
          <cell r="BB403"/>
          <cell r="BC403"/>
          <cell r="BD403"/>
        </row>
        <row r="404">
          <cell r="A404" t="str">
            <v>Control_CPU\Operating_Software\dep_control_d</v>
          </cell>
          <cell r="B404" t="str">
            <v>N</v>
          </cell>
          <cell r="C404"/>
          <cell r="D404"/>
          <cell r="E404"/>
          <cell r="F404"/>
          <cell r="G404" t="str">
            <v>CN</v>
          </cell>
          <cell r="H404" t="str">
            <v>N</v>
          </cell>
          <cell r="I404"/>
          <cell r="J404"/>
          <cell r="K404"/>
          <cell r="L404"/>
          <cell r="M404"/>
          <cell r="N404"/>
          <cell r="O404"/>
          <cell r="P404"/>
          <cell r="Q404"/>
          <cell r="R404"/>
          <cell r="S404" t="b">
            <v>1</v>
          </cell>
          <cell r="T404" t="b">
            <v>1</v>
          </cell>
          <cell r="U404" t="b">
            <v>1</v>
          </cell>
          <cell r="V404"/>
          <cell r="W404"/>
          <cell r="X404"/>
          <cell r="Y404"/>
          <cell r="Z404"/>
          <cell r="AA404"/>
          <cell r="AB404"/>
          <cell r="AC404"/>
          <cell r="AD404"/>
          <cell r="AE404"/>
          <cell r="AF404"/>
          <cell r="AG404"/>
          <cell r="AH404"/>
          <cell r="AI404"/>
          <cell r="AJ404"/>
          <cell r="AK404"/>
          <cell r="AL404"/>
          <cell r="AM404"/>
          <cell r="AN404"/>
          <cell r="AO404"/>
          <cell r="AP404"/>
          <cell r="AQ404"/>
          <cell r="AR404"/>
          <cell r="AS404"/>
          <cell r="AT404"/>
          <cell r="AU404"/>
          <cell r="AV404"/>
          <cell r="AW404"/>
          <cell r="AX404"/>
          <cell r="AY404"/>
          <cell r="AZ404"/>
          <cell r="BA404"/>
          <cell r="BB404"/>
          <cell r="BC404"/>
          <cell r="BD404"/>
        </row>
        <row r="405">
          <cell r="A405" t="str">
            <v>Control_CPU\Operating_Software\dor_container_control_d</v>
          </cell>
          <cell r="B405" t="str">
            <v>N</v>
          </cell>
          <cell r="C405"/>
          <cell r="D405"/>
          <cell r="E405"/>
          <cell r="F405"/>
          <cell r="G405" t="str">
            <v>CN</v>
          </cell>
          <cell r="H405" t="str">
            <v>N</v>
          </cell>
          <cell r="I405"/>
          <cell r="J405"/>
          <cell r="K405"/>
          <cell r="L405"/>
          <cell r="M405"/>
          <cell r="N405"/>
          <cell r="O405"/>
          <cell r="P405"/>
          <cell r="Q405"/>
          <cell r="R405"/>
          <cell r="S405" t="b">
            <v>1</v>
          </cell>
          <cell r="T405" t="b">
            <v>1</v>
          </cell>
          <cell r="U405" t="b">
            <v>1</v>
          </cell>
          <cell r="V405"/>
          <cell r="W405"/>
          <cell r="X405"/>
          <cell r="Y405"/>
          <cell r="Z405"/>
          <cell r="AA405"/>
          <cell r="AB405"/>
          <cell r="AC405"/>
          <cell r="AD405"/>
          <cell r="AE405"/>
          <cell r="AF405"/>
          <cell r="AG405"/>
          <cell r="AH405"/>
          <cell r="AI405"/>
          <cell r="AJ405"/>
          <cell r="AK405"/>
          <cell r="AL405"/>
          <cell r="AM405"/>
          <cell r="AN405"/>
          <cell r="AO405"/>
          <cell r="AP405"/>
          <cell r="AQ405"/>
          <cell r="AR405"/>
          <cell r="AS405"/>
          <cell r="AT405"/>
          <cell r="AU405"/>
          <cell r="AV405"/>
          <cell r="AW405"/>
          <cell r="AX405"/>
          <cell r="AY405"/>
          <cell r="AZ405"/>
          <cell r="BA405"/>
          <cell r="BB405"/>
          <cell r="BC405"/>
          <cell r="BD405"/>
        </row>
        <row r="406">
          <cell r="A406" t="str">
            <v>Control_CPU\Operating_Software\emu_thread_control_d</v>
          </cell>
          <cell r="B406" t="str">
            <v>N</v>
          </cell>
          <cell r="C406"/>
          <cell r="D406"/>
          <cell r="E406"/>
          <cell r="F406"/>
          <cell r="G406" t="str">
            <v>CN</v>
          </cell>
          <cell r="H406" t="str">
            <v>N</v>
          </cell>
          <cell r="I406"/>
          <cell r="J406"/>
          <cell r="K406"/>
          <cell r="L406"/>
          <cell r="M406"/>
          <cell r="N406"/>
          <cell r="O406"/>
          <cell r="P406"/>
          <cell r="Q406"/>
          <cell r="R406"/>
          <cell r="S406" t="b">
            <v>1</v>
          </cell>
          <cell r="T406" t="b">
            <v>1</v>
          </cell>
          <cell r="U406" t="b">
            <v>1</v>
          </cell>
          <cell r="V406"/>
          <cell r="W406"/>
          <cell r="X406"/>
          <cell r="Y406"/>
          <cell r="Z406"/>
          <cell r="AA406"/>
          <cell r="AB406"/>
          <cell r="AC406"/>
          <cell r="AD406"/>
          <cell r="AE406"/>
          <cell r="AF406"/>
          <cell r="AG406"/>
          <cell r="AH406"/>
          <cell r="AI406"/>
          <cell r="AJ406"/>
          <cell r="AK406"/>
          <cell r="AL406"/>
          <cell r="AM406"/>
          <cell r="AN406"/>
          <cell r="AO406"/>
          <cell r="AP406"/>
          <cell r="AQ406"/>
          <cell r="AR406"/>
          <cell r="AS406"/>
          <cell r="AT406"/>
          <cell r="AU406"/>
          <cell r="AV406"/>
          <cell r="AW406"/>
          <cell r="AX406"/>
          <cell r="AY406"/>
          <cell r="AZ406"/>
          <cell r="BA406"/>
          <cell r="BB406"/>
          <cell r="BC406"/>
          <cell r="BD406"/>
        </row>
        <row r="407">
          <cell r="A407" t="str">
            <v>Control_CPU\Operating_Software\fuel_flow_thread_control_d</v>
          </cell>
          <cell r="B407" t="str">
            <v>N</v>
          </cell>
          <cell r="C407"/>
          <cell r="D407"/>
          <cell r="E407"/>
          <cell r="F407"/>
          <cell r="G407" t="str">
            <v>CN</v>
          </cell>
          <cell r="H407" t="str">
            <v>N</v>
          </cell>
          <cell r="I407"/>
          <cell r="J407"/>
          <cell r="K407"/>
          <cell r="L407"/>
          <cell r="M407"/>
          <cell r="N407"/>
          <cell r="O407"/>
          <cell r="P407"/>
          <cell r="Q407"/>
          <cell r="R407"/>
          <cell r="S407" t="b">
            <v>1</v>
          </cell>
          <cell r="T407" t="b">
            <v>1</v>
          </cell>
          <cell r="U407" t="b">
            <v>1</v>
          </cell>
          <cell r="V407"/>
          <cell r="W407"/>
          <cell r="X407"/>
          <cell r="Y407"/>
          <cell r="Z407"/>
          <cell r="AA407"/>
          <cell r="AB407"/>
          <cell r="AC407"/>
          <cell r="AD407"/>
          <cell r="AE407"/>
          <cell r="AF407"/>
          <cell r="AG407"/>
          <cell r="AH407"/>
          <cell r="AI407"/>
          <cell r="AJ407"/>
          <cell r="AK407"/>
          <cell r="AL407"/>
          <cell r="AM407"/>
          <cell r="AN407"/>
          <cell r="AO407"/>
          <cell r="AP407"/>
          <cell r="AQ407"/>
          <cell r="AR407"/>
          <cell r="AS407"/>
          <cell r="AT407"/>
          <cell r="AU407"/>
          <cell r="AV407"/>
          <cell r="AW407"/>
          <cell r="AX407"/>
          <cell r="AY407"/>
          <cell r="AZ407"/>
          <cell r="BA407"/>
          <cell r="BB407"/>
          <cell r="BC407"/>
          <cell r="BD407"/>
        </row>
        <row r="408">
          <cell r="A408" t="str">
            <v>Control_CPU\Operating_Software\igniters_thread_control_d</v>
          </cell>
          <cell r="B408" t="str">
            <v>N</v>
          </cell>
          <cell r="C408"/>
          <cell r="D408"/>
          <cell r="E408"/>
          <cell r="F408"/>
          <cell r="G408" t="str">
            <v>CN</v>
          </cell>
          <cell r="H408" t="str">
            <v>N</v>
          </cell>
          <cell r="I408"/>
          <cell r="J408"/>
          <cell r="K408"/>
          <cell r="L408"/>
          <cell r="M408"/>
          <cell r="N408"/>
          <cell r="O408"/>
          <cell r="P408"/>
          <cell r="Q408"/>
          <cell r="R408"/>
          <cell r="S408" t="b">
            <v>1</v>
          </cell>
          <cell r="T408" t="b">
            <v>1</v>
          </cell>
          <cell r="U408" t="b">
            <v>1</v>
          </cell>
          <cell r="V408"/>
          <cell r="W408"/>
          <cell r="X408"/>
          <cell r="Y408"/>
          <cell r="Z408"/>
          <cell r="AA408"/>
          <cell r="AB408"/>
          <cell r="AC408"/>
          <cell r="AD408"/>
          <cell r="AE408"/>
          <cell r="AF408"/>
          <cell r="AG408"/>
          <cell r="AH408"/>
          <cell r="AI408"/>
          <cell r="AJ408"/>
          <cell r="AK408"/>
          <cell r="AL408"/>
          <cell r="AM408"/>
          <cell r="AN408"/>
          <cell r="AO408"/>
          <cell r="AP408"/>
          <cell r="AQ408"/>
          <cell r="AR408"/>
          <cell r="AS408"/>
          <cell r="AT408"/>
          <cell r="AU408"/>
          <cell r="AV408"/>
          <cell r="AW408"/>
          <cell r="AX408"/>
          <cell r="AY408"/>
          <cell r="AZ408"/>
          <cell r="BA408"/>
          <cell r="BB408"/>
          <cell r="BC408"/>
          <cell r="BD408"/>
        </row>
        <row r="409">
          <cell r="A409" t="str">
            <v>Control_CPU\Operating_Software\interrupt_handler_thread_control</v>
          </cell>
          <cell r="B409" t="str">
            <v>N</v>
          </cell>
          <cell r="C409"/>
          <cell r="D409"/>
          <cell r="E409"/>
          <cell r="F409"/>
          <cell r="G409" t="str">
            <v>CN</v>
          </cell>
          <cell r="H409" t="str">
            <v>N</v>
          </cell>
          <cell r="I409"/>
          <cell r="J409"/>
          <cell r="K409"/>
          <cell r="L409"/>
          <cell r="M409"/>
          <cell r="N409"/>
          <cell r="O409"/>
          <cell r="P409"/>
          <cell r="Q409"/>
          <cell r="R409"/>
          <cell r="S409" t="b">
            <v>1</v>
          </cell>
          <cell r="T409" t="b">
            <v>1</v>
          </cell>
          <cell r="U409" t="b">
            <v>1</v>
          </cell>
          <cell r="V409"/>
          <cell r="W409"/>
          <cell r="X409"/>
          <cell r="Y409"/>
          <cell r="Z409"/>
          <cell r="AA409"/>
          <cell r="AB409"/>
          <cell r="AC409"/>
          <cell r="AD409"/>
          <cell r="AE409"/>
          <cell r="AF409"/>
          <cell r="AG409"/>
          <cell r="AH409"/>
          <cell r="AI409"/>
          <cell r="AJ409"/>
          <cell r="AK409"/>
          <cell r="AL409"/>
          <cell r="AM409"/>
          <cell r="AN409"/>
          <cell r="AO409"/>
          <cell r="AP409"/>
          <cell r="AQ409"/>
          <cell r="AR409"/>
          <cell r="AS409"/>
          <cell r="AT409"/>
          <cell r="AU409"/>
          <cell r="AV409"/>
          <cell r="AW409"/>
          <cell r="AX409"/>
          <cell r="AY409"/>
          <cell r="AZ409"/>
          <cell r="BA409"/>
          <cell r="BB409"/>
          <cell r="BC409"/>
          <cell r="BD409"/>
        </row>
        <row r="410">
          <cell r="A410" t="str">
            <v>Control_CPU\Operating_Software\lvdts_thread_control_d</v>
          </cell>
          <cell r="B410" t="str">
            <v>N</v>
          </cell>
          <cell r="C410"/>
          <cell r="D410"/>
          <cell r="F410" t="str">
            <v>6233, NFPR1564,NFPR 1252</v>
          </cell>
          <cell r="G410" t="str">
            <v>CN</v>
          </cell>
          <cell r="H410" t="str">
            <v>Y</v>
          </cell>
          <cell r="I410"/>
          <cell r="J410"/>
          <cell r="K410"/>
          <cell r="L410"/>
          <cell r="M410"/>
          <cell r="N410"/>
          <cell r="O410" t="str">
            <v>Y</v>
          </cell>
          <cell r="P410"/>
          <cell r="Q410"/>
          <cell r="R410"/>
          <cell r="S410" t="b">
            <v>1</v>
          </cell>
          <cell r="T410" t="b">
            <v>1</v>
          </cell>
          <cell r="U410" t="b">
            <v>1</v>
          </cell>
          <cell r="V410">
            <v>1</v>
          </cell>
          <cell r="W410"/>
          <cell r="X410"/>
          <cell r="Y410"/>
          <cell r="Z410"/>
          <cell r="AA410"/>
          <cell r="AB410"/>
          <cell r="AC410"/>
          <cell r="AD410"/>
          <cell r="AE410"/>
          <cell r="AF410" t="str">
            <v>JR</v>
          </cell>
          <cell r="AG410" t="str">
            <v>DHB</v>
          </cell>
          <cell r="AH410"/>
          <cell r="AI410"/>
          <cell r="AJ410"/>
          <cell r="AK410"/>
          <cell r="AL410"/>
          <cell r="AM410"/>
          <cell r="AN410"/>
          <cell r="AO410"/>
          <cell r="AP410"/>
          <cell r="AQ410">
            <v>100</v>
          </cell>
          <cell r="AR410">
            <v>100</v>
          </cell>
          <cell r="AS410" t="str">
            <v>Y</v>
          </cell>
          <cell r="AT410" t="str">
            <v>Y</v>
          </cell>
          <cell r="AU410"/>
          <cell r="AV410"/>
          <cell r="AW410"/>
          <cell r="AX410"/>
          <cell r="AY410"/>
          <cell r="AZ410"/>
          <cell r="BA410"/>
          <cell r="BB410"/>
          <cell r="BC410"/>
          <cell r="BD410"/>
        </row>
        <row r="411">
          <cell r="A411" t="str">
            <v>Control_CPU\Operating_Software\nvm_thread_control_d</v>
          </cell>
          <cell r="B411" t="str">
            <v>N</v>
          </cell>
          <cell r="C411" t="str">
            <v>Y</v>
          </cell>
          <cell r="D411"/>
          <cell r="E411"/>
          <cell r="F411"/>
          <cell r="G411" t="str">
            <v>CN</v>
          </cell>
          <cell r="H411" t="str">
            <v>N</v>
          </cell>
          <cell r="I411"/>
          <cell r="J411"/>
          <cell r="K411"/>
          <cell r="L411"/>
          <cell r="M411"/>
          <cell r="N411"/>
          <cell r="O411"/>
          <cell r="P411"/>
          <cell r="Q411"/>
          <cell r="R411"/>
          <cell r="S411" t="b">
            <v>1</v>
          </cell>
          <cell r="T411" t="b">
            <v>1</v>
          </cell>
          <cell r="U411" t="b">
            <v>1</v>
          </cell>
          <cell r="V411"/>
          <cell r="W411"/>
          <cell r="X411"/>
          <cell r="Y411" t="str">
            <v>2600 &amp; 2610</v>
          </cell>
          <cell r="Z411"/>
          <cell r="AA411"/>
          <cell r="AB411"/>
          <cell r="AC411"/>
          <cell r="AD411"/>
          <cell r="AE411"/>
          <cell r="AF411"/>
          <cell r="AG411"/>
          <cell r="AH411">
            <v>2613</v>
          </cell>
          <cell r="AI411"/>
          <cell r="AJ411"/>
          <cell r="AK411"/>
          <cell r="AL411"/>
          <cell r="AM411"/>
          <cell r="AN411"/>
          <cell r="AO411"/>
          <cell r="AP411"/>
          <cell r="AQ411"/>
          <cell r="AR411"/>
          <cell r="AS411"/>
          <cell r="AT411"/>
          <cell r="AU411"/>
          <cell r="AV411"/>
          <cell r="AW411"/>
          <cell r="AX411"/>
          <cell r="AY411"/>
          <cell r="AZ411"/>
          <cell r="BA411"/>
          <cell r="BB411"/>
          <cell r="BC411"/>
          <cell r="BD411"/>
        </row>
        <row r="412">
          <cell r="A412" t="str">
            <v>Control_CPU\Operating_Software\os_kernel_thread_control</v>
          </cell>
          <cell r="B412" t="str">
            <v>N</v>
          </cell>
          <cell r="C412" t="str">
            <v>Y</v>
          </cell>
          <cell r="D412"/>
          <cell r="E412"/>
          <cell r="F412"/>
          <cell r="G412" t="str">
            <v>CN</v>
          </cell>
          <cell r="H412" t="str">
            <v>N</v>
          </cell>
          <cell r="I412"/>
          <cell r="J412"/>
          <cell r="K412"/>
          <cell r="L412"/>
          <cell r="M412"/>
          <cell r="N412"/>
          <cell r="O412"/>
          <cell r="P412"/>
          <cell r="Q412"/>
          <cell r="R412"/>
          <cell r="S412" t="b">
            <v>1</v>
          </cell>
          <cell r="T412" t="b">
            <v>1</v>
          </cell>
          <cell r="U412" t="b">
            <v>1</v>
          </cell>
          <cell r="V412"/>
          <cell r="W412"/>
          <cell r="X412"/>
          <cell r="Y412"/>
          <cell r="Z412"/>
          <cell r="AA412"/>
          <cell r="AB412"/>
          <cell r="AC412"/>
          <cell r="AD412"/>
          <cell r="AE412"/>
          <cell r="AF412"/>
          <cell r="AG412"/>
          <cell r="AH412"/>
          <cell r="AI412"/>
          <cell r="AJ412"/>
          <cell r="AK412"/>
          <cell r="AL412"/>
          <cell r="AM412"/>
          <cell r="AN412"/>
          <cell r="AO412"/>
          <cell r="AP412"/>
          <cell r="AQ412"/>
          <cell r="AR412"/>
          <cell r="AS412"/>
          <cell r="AT412"/>
          <cell r="AU412"/>
          <cell r="AV412"/>
          <cell r="AW412"/>
          <cell r="AX412"/>
          <cell r="AY412"/>
          <cell r="AZ412"/>
          <cell r="BA412"/>
          <cell r="BB412"/>
          <cell r="BC412"/>
          <cell r="BD412"/>
        </row>
        <row r="413">
          <cell r="A413" t="str">
            <v>Control_CPU\Operating_Software\oscommand_control_d</v>
          </cell>
          <cell r="B413" t="str">
            <v>N</v>
          </cell>
          <cell r="C413" t="str">
            <v>Y</v>
          </cell>
          <cell r="D413"/>
          <cell r="E413"/>
          <cell r="F413" t="str">
            <v>6233,NFPR1562,NFPR1251</v>
          </cell>
          <cell r="G413" t="str">
            <v>CN</v>
          </cell>
          <cell r="H413" t="str">
            <v>Y</v>
          </cell>
          <cell r="I413"/>
          <cell r="J413"/>
          <cell r="K413"/>
          <cell r="L413"/>
          <cell r="M413"/>
          <cell r="N413"/>
          <cell r="O413" t="str">
            <v>Y</v>
          </cell>
          <cell r="P413"/>
          <cell r="Q413"/>
          <cell r="R413"/>
          <cell r="S413" t="b">
            <v>1</v>
          </cell>
          <cell r="T413" t="b">
            <v>1</v>
          </cell>
          <cell r="U413" t="b">
            <v>1</v>
          </cell>
          <cell r="V413">
            <v>1</v>
          </cell>
          <cell r="W413"/>
          <cell r="X413"/>
          <cell r="Y413"/>
          <cell r="Z413"/>
          <cell r="AA413"/>
          <cell r="AB413"/>
          <cell r="AC413"/>
          <cell r="AD413"/>
          <cell r="AE413"/>
          <cell r="AF413" t="str">
            <v>RS</v>
          </cell>
          <cell r="AG413" t="str">
            <v>DHB</v>
          </cell>
          <cell r="AH413"/>
          <cell r="AI413"/>
          <cell r="AJ413"/>
          <cell r="AK413"/>
          <cell r="AL413"/>
          <cell r="AM413"/>
          <cell r="AN413"/>
          <cell r="AO413"/>
          <cell r="AP413"/>
          <cell r="AQ413">
            <v>100</v>
          </cell>
          <cell r="AR413">
            <v>100</v>
          </cell>
          <cell r="AS413" t="str">
            <v>Y</v>
          </cell>
          <cell r="AT413" t="str">
            <v>Y</v>
          </cell>
          <cell r="AU413"/>
          <cell r="AV413"/>
          <cell r="AW413"/>
          <cell r="AX413"/>
          <cell r="AY413"/>
          <cell r="AZ413"/>
          <cell r="BA413"/>
          <cell r="BB413"/>
          <cell r="BC413"/>
          <cell r="BD413"/>
        </row>
        <row r="414">
          <cell r="A414" t="str">
            <v>Control_CPU\Operating_Software\potentiometers_thread_control_d</v>
          </cell>
          <cell r="B414" t="str">
            <v>N</v>
          </cell>
          <cell r="C414" t="str">
            <v>Y</v>
          </cell>
          <cell r="D414"/>
          <cell r="E414"/>
          <cell r="F414"/>
          <cell r="G414" t="str">
            <v>CN</v>
          </cell>
          <cell r="H414" t="str">
            <v>N</v>
          </cell>
          <cell r="I414"/>
          <cell r="J414"/>
          <cell r="K414"/>
          <cell r="L414"/>
          <cell r="M414"/>
          <cell r="N414"/>
          <cell r="O414"/>
          <cell r="P414"/>
          <cell r="Q414"/>
          <cell r="R414"/>
          <cell r="S414" t="b">
            <v>1</v>
          </cell>
          <cell r="T414" t="b">
            <v>1</v>
          </cell>
          <cell r="U414" t="b">
            <v>1</v>
          </cell>
          <cell r="V414"/>
          <cell r="W414"/>
          <cell r="X414"/>
          <cell r="Y414"/>
          <cell r="Z414"/>
          <cell r="AA414"/>
          <cell r="AB414"/>
          <cell r="AC414"/>
          <cell r="AD414"/>
          <cell r="AE414"/>
          <cell r="AF414"/>
          <cell r="AG414"/>
          <cell r="AH414"/>
          <cell r="AI414"/>
          <cell r="AJ414"/>
          <cell r="AK414"/>
          <cell r="AL414"/>
          <cell r="AM414"/>
          <cell r="AN414"/>
          <cell r="AO414"/>
          <cell r="AP414"/>
          <cell r="AQ414"/>
          <cell r="AR414"/>
          <cell r="AS414"/>
          <cell r="AT414"/>
          <cell r="AU414"/>
          <cell r="AV414"/>
          <cell r="AW414"/>
          <cell r="AX414"/>
          <cell r="AY414"/>
          <cell r="AZ414"/>
          <cell r="BA414"/>
          <cell r="BB414"/>
          <cell r="BC414"/>
          <cell r="BD414"/>
        </row>
        <row r="415">
          <cell r="A415" t="str">
            <v>Control_CPU\Operating_Software\power_rail_monitoring_thread_control_d</v>
          </cell>
          <cell r="B415" t="str">
            <v>N</v>
          </cell>
          <cell r="C415"/>
          <cell r="D415"/>
          <cell r="F415" t="str">
            <v>6233, NFPR1565</v>
          </cell>
          <cell r="G415" t="str">
            <v>CN</v>
          </cell>
          <cell r="H415" t="str">
            <v>Y</v>
          </cell>
          <cell r="I415"/>
          <cell r="J415"/>
          <cell r="K415"/>
          <cell r="L415"/>
          <cell r="M415"/>
          <cell r="N415"/>
          <cell r="O415" t="str">
            <v>Y</v>
          </cell>
          <cell r="P415"/>
          <cell r="Q415"/>
          <cell r="R415"/>
          <cell r="S415" t="b">
            <v>1</v>
          </cell>
          <cell r="T415" t="b">
            <v>1</v>
          </cell>
          <cell r="U415" t="b">
            <v>1</v>
          </cell>
          <cell r="V415">
            <v>1</v>
          </cell>
          <cell r="W415"/>
          <cell r="X415"/>
          <cell r="Y415"/>
          <cell r="Z415"/>
          <cell r="AA415"/>
          <cell r="AB415"/>
          <cell r="AC415"/>
          <cell r="AD415"/>
          <cell r="AE415"/>
          <cell r="AF415" t="str">
            <v>AV</v>
          </cell>
          <cell r="AG415" t="str">
            <v>DHB</v>
          </cell>
          <cell r="AH415"/>
          <cell r="AI415"/>
          <cell r="AJ415"/>
          <cell r="AK415"/>
          <cell r="AL415"/>
          <cell r="AM415"/>
          <cell r="AN415"/>
          <cell r="AO415"/>
          <cell r="AP415"/>
          <cell r="AQ415">
            <v>100</v>
          </cell>
          <cell r="AR415">
            <v>100</v>
          </cell>
          <cell r="AS415" t="str">
            <v>Y</v>
          </cell>
          <cell r="AT415" t="str">
            <v>Y</v>
          </cell>
          <cell r="AU415"/>
          <cell r="AV415"/>
          <cell r="AW415"/>
          <cell r="AX415"/>
          <cell r="AY415"/>
          <cell r="AZ415"/>
          <cell r="BA415"/>
          <cell r="BB415"/>
          <cell r="BC415"/>
          <cell r="BD415"/>
        </row>
        <row r="416">
          <cell r="A416" t="str">
            <v>Control_CPU\Operating_Software\power_up_checks_thread_control</v>
          </cell>
          <cell r="B416" t="str">
            <v>N</v>
          </cell>
          <cell r="C416" t="str">
            <v>Y</v>
          </cell>
          <cell r="D416"/>
          <cell r="E416"/>
          <cell r="F416"/>
          <cell r="G416" t="str">
            <v>CN</v>
          </cell>
          <cell r="H416" t="str">
            <v>N</v>
          </cell>
          <cell r="I416"/>
          <cell r="J416"/>
          <cell r="K416"/>
          <cell r="L416"/>
          <cell r="M416"/>
          <cell r="N416"/>
          <cell r="O416"/>
          <cell r="P416"/>
          <cell r="Q416"/>
          <cell r="R416"/>
          <cell r="S416" t="b">
            <v>1</v>
          </cell>
          <cell r="T416" t="b">
            <v>1</v>
          </cell>
          <cell r="U416" t="b">
            <v>1</v>
          </cell>
          <cell r="V416"/>
          <cell r="W416"/>
          <cell r="X416"/>
          <cell r="Y416"/>
          <cell r="Z416"/>
          <cell r="AA416"/>
          <cell r="AB416"/>
          <cell r="AC416"/>
          <cell r="AD416"/>
          <cell r="AE416"/>
          <cell r="AF416"/>
          <cell r="AG416"/>
          <cell r="AH416"/>
          <cell r="AI416"/>
          <cell r="AJ416"/>
          <cell r="AK416"/>
          <cell r="AL416"/>
          <cell r="AM416"/>
          <cell r="AN416"/>
          <cell r="AO416"/>
          <cell r="AP416"/>
          <cell r="AQ416"/>
          <cell r="AR416"/>
          <cell r="AS416"/>
          <cell r="AT416"/>
          <cell r="AU416"/>
          <cell r="AV416"/>
          <cell r="AW416"/>
          <cell r="AX416"/>
          <cell r="AY416"/>
          <cell r="AZ416"/>
          <cell r="BA416"/>
          <cell r="BB416"/>
          <cell r="BC416"/>
          <cell r="BD416"/>
        </row>
        <row r="417">
          <cell r="A417" t="str">
            <v>Control_CPU\Operating_Software\pressures_thread_control_d</v>
          </cell>
          <cell r="B417" t="str">
            <v>N</v>
          </cell>
          <cell r="C417" t="str">
            <v>Y</v>
          </cell>
          <cell r="D417"/>
          <cell r="E417"/>
          <cell r="F417"/>
          <cell r="G417" t="str">
            <v>CN</v>
          </cell>
          <cell r="H417" t="str">
            <v>N</v>
          </cell>
          <cell r="I417"/>
          <cell r="J417"/>
          <cell r="K417"/>
          <cell r="L417"/>
          <cell r="M417"/>
          <cell r="N417"/>
          <cell r="O417"/>
          <cell r="P417"/>
          <cell r="Q417"/>
          <cell r="R417"/>
          <cell r="S417" t="b">
            <v>1</v>
          </cell>
          <cell r="T417" t="b">
            <v>1</v>
          </cell>
          <cell r="U417" t="b">
            <v>1</v>
          </cell>
          <cell r="V417"/>
          <cell r="W417"/>
          <cell r="X417"/>
          <cell r="Y417"/>
          <cell r="Z417"/>
          <cell r="AA417"/>
          <cell r="AB417"/>
          <cell r="AC417"/>
          <cell r="AD417"/>
          <cell r="AE417"/>
          <cell r="AF417"/>
          <cell r="AG417"/>
          <cell r="AH417"/>
          <cell r="AI417"/>
          <cell r="AJ417"/>
          <cell r="AK417"/>
          <cell r="AL417"/>
          <cell r="AM417"/>
          <cell r="AN417"/>
          <cell r="AO417"/>
          <cell r="AP417"/>
          <cell r="AQ417"/>
          <cell r="AR417"/>
          <cell r="AS417"/>
          <cell r="AT417"/>
          <cell r="AU417"/>
          <cell r="AV417"/>
          <cell r="AW417"/>
          <cell r="AX417"/>
          <cell r="AY417"/>
          <cell r="AZ417"/>
          <cell r="BA417"/>
          <cell r="BB417"/>
          <cell r="BC417"/>
          <cell r="BD417"/>
        </row>
        <row r="418">
          <cell r="A418" t="str">
            <v>Control_CPU\Operating_Software\project_identifier_control_d</v>
          </cell>
          <cell r="B418" t="str">
            <v>N</v>
          </cell>
          <cell r="C418"/>
          <cell r="D418"/>
          <cell r="E418"/>
          <cell r="F418"/>
          <cell r="G418" t="str">
            <v>CN</v>
          </cell>
          <cell r="H418" t="str">
            <v>N</v>
          </cell>
          <cell r="I418"/>
          <cell r="J418"/>
          <cell r="K418"/>
          <cell r="L418"/>
          <cell r="M418"/>
          <cell r="N418"/>
          <cell r="O418"/>
          <cell r="P418"/>
          <cell r="Q418"/>
          <cell r="R418"/>
          <cell r="S418" t="b">
            <v>1</v>
          </cell>
          <cell r="T418" t="b">
            <v>1</v>
          </cell>
          <cell r="U418" t="b">
            <v>1</v>
          </cell>
          <cell r="V418"/>
          <cell r="W418"/>
          <cell r="X418"/>
          <cell r="Y418"/>
          <cell r="Z418"/>
          <cell r="AA418"/>
          <cell r="AB418"/>
          <cell r="AC418"/>
          <cell r="AD418"/>
          <cell r="AE418"/>
          <cell r="AF418"/>
          <cell r="AG418"/>
          <cell r="AH418"/>
          <cell r="AI418"/>
          <cell r="AJ418"/>
          <cell r="AK418"/>
          <cell r="AL418"/>
          <cell r="AM418"/>
          <cell r="AN418"/>
          <cell r="AO418"/>
          <cell r="AP418"/>
          <cell r="AQ418"/>
          <cell r="AR418"/>
          <cell r="AS418"/>
          <cell r="AT418"/>
          <cell r="AU418"/>
          <cell r="AV418"/>
          <cell r="AW418"/>
          <cell r="AX418"/>
          <cell r="AY418"/>
          <cell r="AZ418"/>
          <cell r="BA418"/>
          <cell r="BB418"/>
          <cell r="BC418"/>
          <cell r="BD418"/>
        </row>
        <row r="419">
          <cell r="A419" t="str">
            <v>Control_CPU\Operating_Software\register_comms_thread_control_d</v>
          </cell>
          <cell r="B419" t="str">
            <v>N</v>
          </cell>
          <cell r="C419"/>
          <cell r="D419"/>
          <cell r="E419"/>
          <cell r="F419"/>
          <cell r="G419" t="str">
            <v>CN</v>
          </cell>
          <cell r="H419" t="str">
            <v>N</v>
          </cell>
          <cell r="I419"/>
          <cell r="J419"/>
          <cell r="K419"/>
          <cell r="L419"/>
          <cell r="M419"/>
          <cell r="N419"/>
          <cell r="O419"/>
          <cell r="P419"/>
          <cell r="Q419"/>
          <cell r="R419"/>
          <cell r="S419" t="b">
            <v>1</v>
          </cell>
          <cell r="T419" t="b">
            <v>1</v>
          </cell>
          <cell r="U419" t="b">
            <v>1</v>
          </cell>
          <cell r="V419"/>
          <cell r="W419"/>
          <cell r="X419"/>
          <cell r="Y419"/>
          <cell r="Z419"/>
          <cell r="AA419"/>
          <cell r="AB419"/>
          <cell r="AC419"/>
          <cell r="AD419"/>
          <cell r="AE419"/>
          <cell r="AF419"/>
          <cell r="AG419"/>
          <cell r="AH419"/>
          <cell r="AI419"/>
          <cell r="AJ419"/>
          <cell r="AK419"/>
          <cell r="AL419"/>
          <cell r="AM419"/>
          <cell r="AN419"/>
          <cell r="AO419"/>
          <cell r="AP419"/>
          <cell r="AQ419"/>
          <cell r="AR419"/>
          <cell r="AS419"/>
          <cell r="AT419"/>
          <cell r="AU419"/>
          <cell r="AV419"/>
          <cell r="AW419"/>
          <cell r="AX419"/>
          <cell r="AY419"/>
          <cell r="AZ419"/>
          <cell r="BA419"/>
          <cell r="BB419"/>
          <cell r="BC419"/>
          <cell r="BD419"/>
        </row>
        <row r="420">
          <cell r="A420" t="str">
            <v>Control_CPU\Operating_Software\simple_transfer_comms_containers_control_d</v>
          </cell>
          <cell r="B420" t="str">
            <v>N</v>
          </cell>
          <cell r="C420"/>
          <cell r="D420"/>
          <cell r="E420"/>
          <cell r="F420"/>
          <cell r="G420" t="str">
            <v>CN</v>
          </cell>
          <cell r="H420" t="str">
            <v>N</v>
          </cell>
          <cell r="I420"/>
          <cell r="J420"/>
          <cell r="K420"/>
          <cell r="L420"/>
          <cell r="M420"/>
          <cell r="N420"/>
          <cell r="O420"/>
          <cell r="P420"/>
          <cell r="Q420"/>
          <cell r="R420"/>
          <cell r="S420" t="b">
            <v>1</v>
          </cell>
          <cell r="T420" t="b">
            <v>1</v>
          </cell>
          <cell r="U420" t="b">
            <v>1</v>
          </cell>
          <cell r="V420"/>
          <cell r="W420"/>
          <cell r="X420"/>
          <cell r="Y420"/>
          <cell r="Z420"/>
          <cell r="AA420"/>
          <cell r="AB420"/>
          <cell r="AC420"/>
          <cell r="AD420"/>
          <cell r="AE420"/>
          <cell r="AF420"/>
          <cell r="AG420"/>
          <cell r="AH420"/>
          <cell r="AI420"/>
          <cell r="AJ420"/>
          <cell r="AK420"/>
          <cell r="AL420"/>
          <cell r="AM420"/>
          <cell r="AN420"/>
          <cell r="AO420"/>
          <cell r="AP420"/>
          <cell r="AQ420"/>
          <cell r="AR420"/>
          <cell r="AS420"/>
          <cell r="AT420"/>
          <cell r="AU420"/>
          <cell r="AV420"/>
          <cell r="AW420"/>
          <cell r="AX420"/>
          <cell r="AY420"/>
          <cell r="AZ420"/>
          <cell r="BA420"/>
          <cell r="BB420"/>
          <cell r="BC420"/>
          <cell r="BD420"/>
        </row>
        <row r="421">
          <cell r="A421" t="str">
            <v>Control_CPU\Operating_Software\smartcal_thread_control_d</v>
          </cell>
          <cell r="B421" t="str">
            <v>N</v>
          </cell>
          <cell r="C421" t="str">
            <v>Y</v>
          </cell>
          <cell r="D421"/>
          <cell r="E421"/>
          <cell r="F421"/>
          <cell r="G421" t="str">
            <v>CN</v>
          </cell>
          <cell r="H421" t="str">
            <v>N</v>
          </cell>
          <cell r="I421"/>
          <cell r="J421"/>
          <cell r="K421"/>
          <cell r="L421"/>
          <cell r="M421"/>
          <cell r="N421"/>
          <cell r="O421"/>
          <cell r="P421"/>
          <cell r="Q421"/>
          <cell r="R421"/>
          <cell r="S421" t="b">
            <v>1</v>
          </cell>
          <cell r="T421" t="b">
            <v>1</v>
          </cell>
          <cell r="U421" t="b">
            <v>1</v>
          </cell>
          <cell r="V421"/>
          <cell r="W421"/>
          <cell r="X421"/>
          <cell r="Y421">
            <v>295</v>
          </cell>
          <cell r="Z421"/>
          <cell r="AA421"/>
          <cell r="AB421"/>
          <cell r="AC421"/>
          <cell r="AD421"/>
          <cell r="AE421"/>
          <cell r="AF421"/>
          <cell r="AG421"/>
          <cell r="AH421">
            <v>294</v>
          </cell>
          <cell r="AI421"/>
          <cell r="AJ421"/>
          <cell r="AK421"/>
          <cell r="AL421"/>
          <cell r="AM421"/>
          <cell r="AN421"/>
          <cell r="AO421"/>
          <cell r="AP421"/>
          <cell r="AQ421"/>
          <cell r="AR421"/>
          <cell r="AS421"/>
          <cell r="AT421"/>
          <cell r="AU421"/>
          <cell r="AV421"/>
          <cell r="AW421"/>
          <cell r="AX421"/>
          <cell r="AY421"/>
          <cell r="AZ421"/>
          <cell r="BA421"/>
          <cell r="BB421"/>
          <cell r="BC421"/>
          <cell r="BD421"/>
        </row>
        <row r="422">
          <cell r="A422" t="str">
            <v>Control_CPU\Operating_Software\solenoids_thread_control_d</v>
          </cell>
          <cell r="B422" t="str">
            <v>N</v>
          </cell>
          <cell r="C422" t="str">
            <v>Y</v>
          </cell>
          <cell r="D422"/>
          <cell r="E422"/>
          <cell r="F422"/>
          <cell r="G422" t="str">
            <v>CN</v>
          </cell>
          <cell r="H422" t="str">
            <v>N</v>
          </cell>
          <cell r="I422"/>
          <cell r="J422"/>
          <cell r="K422"/>
          <cell r="L422"/>
          <cell r="M422"/>
          <cell r="N422"/>
          <cell r="O422"/>
          <cell r="P422"/>
          <cell r="Q422"/>
          <cell r="R422"/>
          <cell r="S422" t="b">
            <v>1</v>
          </cell>
          <cell r="T422" t="b">
            <v>1</v>
          </cell>
          <cell r="U422" t="b">
            <v>1</v>
          </cell>
          <cell r="V422"/>
          <cell r="W422"/>
          <cell r="X422"/>
          <cell r="Y422"/>
          <cell r="Z422"/>
          <cell r="AA422"/>
          <cell r="AB422"/>
          <cell r="AC422"/>
          <cell r="AD422"/>
          <cell r="AE422"/>
          <cell r="AF422"/>
          <cell r="AG422"/>
          <cell r="AH422"/>
          <cell r="AI422"/>
          <cell r="AJ422"/>
          <cell r="AK422"/>
          <cell r="AL422"/>
          <cell r="AM422"/>
          <cell r="AN422"/>
          <cell r="AO422"/>
          <cell r="AP422"/>
          <cell r="AQ422"/>
          <cell r="AR422"/>
          <cell r="AS422"/>
          <cell r="AT422"/>
          <cell r="AU422"/>
          <cell r="AV422"/>
          <cell r="AW422"/>
          <cell r="AX422"/>
          <cell r="AY422"/>
          <cell r="AZ422"/>
          <cell r="BA422"/>
          <cell r="BB422"/>
          <cell r="BC422"/>
          <cell r="BD422"/>
        </row>
        <row r="423">
          <cell r="A423" t="str">
            <v>Control_CPU\Operating_Software\sov_thread_control_d</v>
          </cell>
          <cell r="B423" t="str">
            <v>N</v>
          </cell>
          <cell r="C423"/>
          <cell r="D423"/>
          <cell r="E423"/>
          <cell r="F423"/>
          <cell r="G423" t="str">
            <v>CN</v>
          </cell>
          <cell r="H423" t="str">
            <v>N</v>
          </cell>
          <cell r="I423"/>
          <cell r="J423"/>
          <cell r="K423"/>
          <cell r="L423"/>
          <cell r="M423"/>
          <cell r="N423"/>
          <cell r="O423"/>
          <cell r="P423"/>
          <cell r="Q423"/>
          <cell r="R423"/>
          <cell r="S423" t="b">
            <v>1</v>
          </cell>
          <cell r="T423" t="b">
            <v>1</v>
          </cell>
          <cell r="U423" t="b">
            <v>1</v>
          </cell>
          <cell r="V423"/>
          <cell r="W423"/>
          <cell r="X423"/>
          <cell r="Y423"/>
          <cell r="Z423"/>
          <cell r="AA423"/>
          <cell r="AB423"/>
          <cell r="AC423"/>
          <cell r="AD423"/>
          <cell r="AE423"/>
          <cell r="AF423"/>
          <cell r="AG423"/>
          <cell r="AH423"/>
          <cell r="AI423"/>
          <cell r="AJ423"/>
          <cell r="AK423"/>
          <cell r="AL423"/>
          <cell r="AM423"/>
          <cell r="AN423"/>
          <cell r="AO423"/>
          <cell r="AP423"/>
          <cell r="AQ423"/>
          <cell r="AR423"/>
          <cell r="AS423"/>
          <cell r="AT423"/>
          <cell r="AU423"/>
          <cell r="AV423"/>
          <cell r="AW423"/>
          <cell r="AX423"/>
          <cell r="AY423"/>
          <cell r="AZ423"/>
          <cell r="BA423"/>
          <cell r="BB423"/>
          <cell r="BC423"/>
          <cell r="BD423"/>
        </row>
        <row r="424">
          <cell r="A424" t="str">
            <v>Control_CPU\Operating_Software\spares_thread_control_d</v>
          </cell>
          <cell r="B424" t="str">
            <v>N</v>
          </cell>
          <cell r="C424" t="str">
            <v>Y</v>
          </cell>
          <cell r="D424"/>
          <cell r="E424"/>
          <cell r="F424"/>
          <cell r="G424" t="str">
            <v>CN</v>
          </cell>
          <cell r="H424" t="str">
            <v>N</v>
          </cell>
          <cell r="I424"/>
          <cell r="J424"/>
          <cell r="K424"/>
          <cell r="L424"/>
          <cell r="M424"/>
          <cell r="N424"/>
          <cell r="O424"/>
          <cell r="P424"/>
          <cell r="Q424"/>
          <cell r="R424"/>
          <cell r="S424" t="b">
            <v>1</v>
          </cell>
          <cell r="T424" t="b">
            <v>1</v>
          </cell>
          <cell r="U424" t="b">
            <v>1</v>
          </cell>
          <cell r="V424"/>
          <cell r="W424"/>
          <cell r="X424"/>
          <cell r="Y424"/>
          <cell r="Z424"/>
          <cell r="AA424"/>
          <cell r="AB424"/>
          <cell r="AC424"/>
          <cell r="AD424"/>
          <cell r="AE424"/>
          <cell r="AF424"/>
          <cell r="AG424"/>
          <cell r="AH424"/>
          <cell r="AI424"/>
          <cell r="AJ424"/>
          <cell r="AK424"/>
          <cell r="AL424"/>
          <cell r="AM424"/>
          <cell r="AN424"/>
          <cell r="AO424"/>
          <cell r="AP424"/>
          <cell r="AQ424"/>
          <cell r="AR424"/>
          <cell r="AS424"/>
          <cell r="AT424"/>
          <cell r="AU424"/>
          <cell r="AV424"/>
          <cell r="AW424"/>
          <cell r="AX424"/>
          <cell r="AY424"/>
          <cell r="AZ424"/>
          <cell r="BA424"/>
          <cell r="BB424"/>
          <cell r="BC424"/>
          <cell r="BD424"/>
        </row>
        <row r="425">
          <cell r="A425" t="str">
            <v>Control_CPU\Operating_Software\speeds_thread_control_d</v>
          </cell>
          <cell r="B425" t="str">
            <v>N</v>
          </cell>
          <cell r="C425" t="str">
            <v>Y</v>
          </cell>
          <cell r="D425"/>
          <cell r="E425"/>
          <cell r="F425"/>
          <cell r="G425" t="str">
            <v>CN</v>
          </cell>
          <cell r="H425" t="str">
            <v>N</v>
          </cell>
          <cell r="I425"/>
          <cell r="J425"/>
          <cell r="K425"/>
          <cell r="L425"/>
          <cell r="M425"/>
          <cell r="N425"/>
          <cell r="O425"/>
          <cell r="P425"/>
          <cell r="Q425"/>
          <cell r="R425"/>
          <cell r="S425" t="b">
            <v>1</v>
          </cell>
          <cell r="T425" t="b">
            <v>1</v>
          </cell>
          <cell r="U425" t="b">
            <v>1</v>
          </cell>
          <cell r="V425"/>
          <cell r="W425"/>
          <cell r="X425"/>
          <cell r="Y425"/>
          <cell r="Z425"/>
          <cell r="AA425"/>
          <cell r="AB425"/>
          <cell r="AC425"/>
          <cell r="AD425"/>
          <cell r="AE425"/>
          <cell r="AF425"/>
          <cell r="AG425"/>
          <cell r="AH425"/>
          <cell r="AI425"/>
          <cell r="AJ425"/>
          <cell r="AK425"/>
          <cell r="AL425"/>
          <cell r="AM425"/>
          <cell r="AN425"/>
          <cell r="AO425"/>
          <cell r="AP425"/>
          <cell r="AQ425"/>
          <cell r="AR425"/>
          <cell r="AS425"/>
          <cell r="AT425"/>
          <cell r="AU425"/>
          <cell r="AV425"/>
          <cell r="AW425"/>
          <cell r="AX425"/>
          <cell r="AY425"/>
          <cell r="AZ425"/>
          <cell r="BA425"/>
          <cell r="BB425"/>
          <cell r="BC425"/>
          <cell r="BD425"/>
        </row>
        <row r="426">
          <cell r="A426" t="str">
            <v>Control_CPU\Operating_Software\temperatures_thread_control_d</v>
          </cell>
          <cell r="B426" t="str">
            <v>N</v>
          </cell>
          <cell r="C426"/>
          <cell r="D426"/>
          <cell r="E426"/>
          <cell r="F426"/>
          <cell r="G426" t="str">
            <v>CN</v>
          </cell>
          <cell r="H426" t="str">
            <v>N</v>
          </cell>
          <cell r="I426"/>
          <cell r="J426"/>
          <cell r="K426"/>
          <cell r="L426"/>
          <cell r="M426"/>
          <cell r="N426"/>
          <cell r="O426"/>
          <cell r="P426"/>
          <cell r="Q426"/>
          <cell r="R426"/>
          <cell r="S426" t="b">
            <v>1</v>
          </cell>
          <cell r="T426" t="b">
            <v>1</v>
          </cell>
          <cell r="U426" t="b">
            <v>1</v>
          </cell>
          <cell r="V426"/>
          <cell r="W426"/>
          <cell r="X426"/>
          <cell r="Y426"/>
          <cell r="Z426"/>
          <cell r="AA426"/>
          <cell r="AB426"/>
          <cell r="AC426"/>
          <cell r="AD426"/>
          <cell r="AE426"/>
          <cell r="AF426"/>
          <cell r="AG426"/>
          <cell r="AH426"/>
          <cell r="AI426"/>
          <cell r="AJ426"/>
          <cell r="AK426"/>
          <cell r="AL426"/>
          <cell r="AM426"/>
          <cell r="AN426"/>
          <cell r="AO426"/>
          <cell r="AP426"/>
          <cell r="AQ426"/>
          <cell r="AR426"/>
          <cell r="AS426"/>
          <cell r="AT426"/>
          <cell r="AU426"/>
          <cell r="AV426"/>
          <cell r="AW426"/>
          <cell r="AX426"/>
          <cell r="AY426"/>
          <cell r="AZ426"/>
          <cell r="BA426"/>
          <cell r="BB426"/>
          <cell r="BC426"/>
          <cell r="BD426"/>
        </row>
        <row r="427">
          <cell r="A427" t="str">
            <v>Control_CPU\Operating_Software\torque_motors_thread_control_d</v>
          </cell>
          <cell r="B427" t="str">
            <v>N</v>
          </cell>
          <cell r="C427"/>
          <cell r="D427"/>
          <cell r="E427"/>
          <cell r="F427" t="str">
            <v>6233, NFPR1563,NFPR1249</v>
          </cell>
          <cell r="G427" t="str">
            <v>CN</v>
          </cell>
          <cell r="H427" t="str">
            <v>Y</v>
          </cell>
          <cell r="I427"/>
          <cell r="J427"/>
          <cell r="K427"/>
          <cell r="L427"/>
          <cell r="M427"/>
          <cell r="N427"/>
          <cell r="O427" t="str">
            <v>Y</v>
          </cell>
          <cell r="P427"/>
          <cell r="Q427"/>
          <cell r="R427"/>
          <cell r="S427" t="b">
            <v>1</v>
          </cell>
          <cell r="T427" t="b">
            <v>1</v>
          </cell>
          <cell r="U427" t="b">
            <v>1</v>
          </cell>
          <cell r="V427">
            <v>1</v>
          </cell>
          <cell r="W427"/>
          <cell r="X427"/>
          <cell r="Y427"/>
          <cell r="Z427"/>
          <cell r="AA427"/>
          <cell r="AB427"/>
          <cell r="AC427"/>
          <cell r="AD427"/>
          <cell r="AE427"/>
          <cell r="AF427" t="str">
            <v>KV</v>
          </cell>
          <cell r="AG427" t="str">
            <v>JR</v>
          </cell>
          <cell r="AH427"/>
          <cell r="AI427"/>
          <cell r="AJ427"/>
          <cell r="AK427"/>
          <cell r="AL427"/>
          <cell r="AM427"/>
          <cell r="AN427"/>
          <cell r="AO427"/>
          <cell r="AP427"/>
          <cell r="AQ427">
            <v>100</v>
          </cell>
          <cell r="AR427">
            <v>100</v>
          </cell>
          <cell r="AS427" t="str">
            <v>Y</v>
          </cell>
          <cell r="AT427" t="str">
            <v>Y</v>
          </cell>
          <cell r="AU427"/>
          <cell r="AV427"/>
          <cell r="AW427"/>
          <cell r="AX427"/>
          <cell r="AY427"/>
          <cell r="AZ427"/>
          <cell r="BA427"/>
          <cell r="BB427"/>
          <cell r="BC427"/>
          <cell r="BD427"/>
        </row>
        <row r="428">
          <cell r="A428" t="str">
            <v>Safety_CPU\Operating_Software\adc_container_safety_d</v>
          </cell>
          <cell r="B428" t="str">
            <v>N</v>
          </cell>
          <cell r="C428" t="str">
            <v>Y</v>
          </cell>
          <cell r="D428"/>
          <cell r="E428"/>
          <cell r="F428"/>
          <cell r="G428" t="str">
            <v>CN</v>
          </cell>
          <cell r="H428" t="str">
            <v>N</v>
          </cell>
          <cell r="I428"/>
          <cell r="J428"/>
          <cell r="K428"/>
          <cell r="L428"/>
          <cell r="M428"/>
          <cell r="N428"/>
          <cell r="O428"/>
          <cell r="P428"/>
          <cell r="Q428"/>
          <cell r="R428"/>
          <cell r="S428" t="b">
            <v>1</v>
          </cell>
          <cell r="T428" t="b">
            <v>1</v>
          </cell>
          <cell r="U428" t="b">
            <v>1</v>
          </cell>
          <cell r="V428"/>
          <cell r="W428"/>
          <cell r="X428"/>
          <cell r="Y428"/>
          <cell r="Z428"/>
          <cell r="AA428"/>
          <cell r="AB428"/>
          <cell r="AC428"/>
          <cell r="AD428"/>
          <cell r="AE428"/>
          <cell r="AF428"/>
          <cell r="AG428"/>
          <cell r="AH428"/>
          <cell r="AI428"/>
          <cell r="AJ428"/>
          <cell r="AK428"/>
          <cell r="AL428"/>
          <cell r="AM428"/>
          <cell r="AN428"/>
          <cell r="AO428"/>
          <cell r="AP428"/>
          <cell r="AQ428"/>
          <cell r="AR428"/>
          <cell r="AS428"/>
          <cell r="AT428"/>
          <cell r="AU428"/>
          <cell r="AV428"/>
          <cell r="AW428"/>
          <cell r="AX428"/>
          <cell r="AY428"/>
          <cell r="AZ428"/>
          <cell r="BA428"/>
          <cell r="BB428"/>
          <cell r="BC428"/>
          <cell r="BD428"/>
        </row>
        <row r="429">
          <cell r="A429" t="str">
            <v>Safety_CPU\Operating_Software\adc_thread_safety_d</v>
          </cell>
          <cell r="B429" t="str">
            <v>N</v>
          </cell>
          <cell r="C429"/>
          <cell r="D429"/>
          <cell r="E429"/>
          <cell r="F429"/>
          <cell r="G429" t="str">
            <v>CN</v>
          </cell>
          <cell r="H429" t="str">
            <v>N</v>
          </cell>
          <cell r="I429"/>
          <cell r="J429"/>
          <cell r="K429"/>
          <cell r="L429"/>
          <cell r="M429"/>
          <cell r="N429"/>
          <cell r="O429"/>
          <cell r="P429"/>
          <cell r="Q429"/>
          <cell r="R429"/>
          <cell r="S429" t="b">
            <v>1</v>
          </cell>
          <cell r="T429" t="b">
            <v>1</v>
          </cell>
          <cell r="U429" t="b">
            <v>1</v>
          </cell>
          <cell r="V429"/>
          <cell r="W429"/>
          <cell r="X429"/>
          <cell r="Y429"/>
          <cell r="Z429"/>
          <cell r="AA429"/>
          <cell r="AB429"/>
          <cell r="AC429"/>
          <cell r="AD429"/>
          <cell r="AE429"/>
          <cell r="AF429"/>
          <cell r="AG429"/>
          <cell r="AH429"/>
          <cell r="AI429"/>
          <cell r="AJ429"/>
          <cell r="AK429"/>
          <cell r="AL429"/>
          <cell r="AM429"/>
          <cell r="AN429"/>
          <cell r="AO429"/>
          <cell r="AP429"/>
          <cell r="AQ429"/>
          <cell r="AR429"/>
          <cell r="AS429"/>
          <cell r="AT429"/>
          <cell r="AU429"/>
          <cell r="AV429"/>
          <cell r="AW429"/>
          <cell r="AX429"/>
          <cell r="AY429"/>
          <cell r="AZ429"/>
          <cell r="BA429"/>
          <cell r="BB429"/>
          <cell r="BC429"/>
          <cell r="BD429"/>
        </row>
        <row r="430">
          <cell r="A430" t="str">
            <v>Safety_CPU\Operating_Software\arinc_664_interfaces_safety_d</v>
          </cell>
          <cell r="B430" t="str">
            <v>N</v>
          </cell>
          <cell r="C430"/>
          <cell r="D430"/>
          <cell r="E430"/>
          <cell r="F430"/>
          <cell r="G430" t="str">
            <v>CN</v>
          </cell>
          <cell r="H430" t="str">
            <v>N</v>
          </cell>
          <cell r="I430"/>
          <cell r="J430"/>
          <cell r="K430"/>
          <cell r="L430"/>
          <cell r="M430"/>
          <cell r="N430"/>
          <cell r="O430"/>
          <cell r="P430"/>
          <cell r="Q430"/>
          <cell r="R430"/>
          <cell r="S430" t="b">
            <v>1</v>
          </cell>
          <cell r="T430" t="b">
            <v>1</v>
          </cell>
          <cell r="U430" t="b">
            <v>1</v>
          </cell>
          <cell r="V430"/>
          <cell r="W430"/>
          <cell r="X430"/>
          <cell r="Y430"/>
          <cell r="Z430"/>
          <cell r="AA430"/>
          <cell r="AB430"/>
          <cell r="AC430"/>
          <cell r="AD430"/>
          <cell r="AE430"/>
          <cell r="AF430"/>
          <cell r="AG430"/>
          <cell r="AH430"/>
          <cell r="AI430"/>
          <cell r="AJ430"/>
          <cell r="AK430"/>
          <cell r="AL430"/>
          <cell r="AM430"/>
          <cell r="AN430"/>
          <cell r="AO430"/>
          <cell r="AP430"/>
          <cell r="AQ430"/>
          <cell r="AR430"/>
          <cell r="AS430"/>
          <cell r="AT430"/>
          <cell r="AU430"/>
          <cell r="AV430"/>
          <cell r="AW430"/>
          <cell r="AX430"/>
          <cell r="AY430"/>
          <cell r="AZ430"/>
          <cell r="BA430"/>
          <cell r="BB430"/>
          <cell r="BC430"/>
          <cell r="BD430"/>
        </row>
        <row r="431">
          <cell r="A431" t="str">
            <v>Safety_CPU\Operating_Software\build_standard_safety_d</v>
          </cell>
          <cell r="B431" t="str">
            <v>N</v>
          </cell>
          <cell r="C431" t="str">
            <v>Y</v>
          </cell>
          <cell r="D431"/>
          <cell r="E431"/>
          <cell r="F431"/>
          <cell r="G431" t="str">
            <v>CN</v>
          </cell>
          <cell r="H431" t="str">
            <v>N</v>
          </cell>
          <cell r="I431"/>
          <cell r="J431"/>
          <cell r="K431"/>
          <cell r="L431"/>
          <cell r="M431"/>
          <cell r="N431"/>
          <cell r="O431"/>
          <cell r="P431"/>
          <cell r="Q431"/>
          <cell r="R431"/>
          <cell r="S431" t="b">
            <v>1</v>
          </cell>
          <cell r="T431" t="b">
            <v>1</v>
          </cell>
          <cell r="U431" t="b">
            <v>1</v>
          </cell>
          <cell r="V431"/>
          <cell r="W431"/>
          <cell r="X431"/>
          <cell r="Y431"/>
          <cell r="Z431"/>
          <cell r="AA431"/>
          <cell r="AB431"/>
          <cell r="AC431"/>
          <cell r="AD431"/>
          <cell r="AE431"/>
          <cell r="AF431"/>
          <cell r="AG431"/>
          <cell r="AH431">
            <v>847</v>
          </cell>
          <cell r="AI431"/>
          <cell r="AJ431"/>
          <cell r="AK431"/>
          <cell r="AL431"/>
          <cell r="AM431"/>
          <cell r="AN431"/>
          <cell r="AO431"/>
          <cell r="AP431"/>
          <cell r="AQ431"/>
          <cell r="AR431"/>
          <cell r="AS431"/>
          <cell r="AT431"/>
          <cell r="AU431"/>
          <cell r="AV431"/>
          <cell r="AW431"/>
          <cell r="AX431"/>
          <cell r="AY431"/>
          <cell r="AZ431"/>
          <cell r="BA431"/>
          <cell r="BB431"/>
          <cell r="BC431"/>
          <cell r="BD431"/>
        </row>
        <row r="432">
          <cell r="A432" t="str">
            <v>Safety_CPU\Operating_Software\can_thread_safety_d</v>
          </cell>
          <cell r="B432" t="str">
            <v>N</v>
          </cell>
          <cell r="C432" t="str">
            <v>N</v>
          </cell>
          <cell r="D432"/>
          <cell r="E432"/>
          <cell r="F432"/>
          <cell r="G432" t="str">
            <v>CN</v>
          </cell>
          <cell r="H432" t="str">
            <v>N</v>
          </cell>
          <cell r="I432"/>
          <cell r="J432"/>
          <cell r="K432"/>
          <cell r="L432"/>
          <cell r="M432"/>
          <cell r="N432"/>
          <cell r="O432"/>
          <cell r="P432"/>
          <cell r="Q432"/>
          <cell r="R432"/>
          <cell r="S432" t="b">
            <v>1</v>
          </cell>
          <cell r="T432" t="b">
            <v>1</v>
          </cell>
          <cell r="U432" t="b">
            <v>1</v>
          </cell>
          <cell r="V432"/>
          <cell r="W432"/>
          <cell r="X432"/>
          <cell r="Y432"/>
          <cell r="Z432"/>
          <cell r="AA432"/>
          <cell r="AB432"/>
          <cell r="AC432"/>
          <cell r="AD432"/>
          <cell r="AE432"/>
          <cell r="AF432"/>
          <cell r="AG432"/>
          <cell r="AH432">
            <v>847</v>
          </cell>
          <cell r="AI432"/>
          <cell r="AJ432"/>
          <cell r="AK432"/>
          <cell r="AL432"/>
          <cell r="AM432"/>
          <cell r="AN432"/>
          <cell r="AO432"/>
          <cell r="AP432"/>
          <cell r="AQ432"/>
          <cell r="AR432"/>
          <cell r="AS432"/>
          <cell r="AT432"/>
          <cell r="AU432"/>
          <cell r="AV432"/>
          <cell r="AW432"/>
          <cell r="AX432"/>
          <cell r="AY432"/>
          <cell r="AZ432"/>
          <cell r="BA432"/>
          <cell r="BB432"/>
          <cell r="BC432"/>
          <cell r="BD432"/>
        </row>
        <row r="433">
          <cell r="A433" t="str">
            <v>Safety_CPU\Operating_Software\channel_change_thread_safety_d</v>
          </cell>
          <cell r="B433" t="str">
            <v>N</v>
          </cell>
          <cell r="C433"/>
          <cell r="D433"/>
          <cell r="E433"/>
          <cell r="F433"/>
          <cell r="G433" t="str">
            <v>CN</v>
          </cell>
          <cell r="H433" t="str">
            <v>N</v>
          </cell>
          <cell r="I433"/>
          <cell r="J433"/>
          <cell r="K433"/>
          <cell r="L433"/>
          <cell r="M433"/>
          <cell r="N433"/>
          <cell r="O433"/>
          <cell r="P433"/>
          <cell r="Q433"/>
          <cell r="R433"/>
          <cell r="S433" t="b">
            <v>1</v>
          </cell>
          <cell r="T433" t="b">
            <v>1</v>
          </cell>
          <cell r="U433" t="b">
            <v>1</v>
          </cell>
          <cell r="V433"/>
          <cell r="W433"/>
          <cell r="X433"/>
          <cell r="Y433"/>
          <cell r="Z433"/>
          <cell r="AA433"/>
          <cell r="AB433"/>
          <cell r="AC433"/>
          <cell r="AD433"/>
          <cell r="AE433"/>
          <cell r="AF433"/>
          <cell r="AG433"/>
          <cell r="AH433"/>
          <cell r="AI433"/>
          <cell r="AJ433"/>
          <cell r="AK433"/>
          <cell r="AL433"/>
          <cell r="AM433"/>
          <cell r="AN433"/>
          <cell r="AO433"/>
          <cell r="AP433"/>
          <cell r="AQ433"/>
          <cell r="AR433"/>
          <cell r="AS433"/>
          <cell r="AT433"/>
          <cell r="AU433"/>
          <cell r="AV433"/>
          <cell r="AW433"/>
          <cell r="AX433"/>
          <cell r="AY433"/>
          <cell r="AZ433"/>
          <cell r="BA433"/>
          <cell r="BB433"/>
          <cell r="BC433"/>
          <cell r="BD433"/>
        </row>
        <row r="434">
          <cell r="A434" t="str">
            <v>Safety_CPU\Operating_Software\continuous_tests_thread_safety</v>
          </cell>
          <cell r="B434" t="str">
            <v>N</v>
          </cell>
          <cell r="C434"/>
          <cell r="D434"/>
          <cell r="E434"/>
          <cell r="F434"/>
          <cell r="G434" t="str">
            <v>CN</v>
          </cell>
          <cell r="H434" t="str">
            <v>N</v>
          </cell>
          <cell r="I434"/>
          <cell r="J434"/>
          <cell r="K434"/>
          <cell r="L434"/>
          <cell r="M434"/>
          <cell r="N434"/>
          <cell r="O434"/>
          <cell r="P434"/>
          <cell r="Q434"/>
          <cell r="R434"/>
          <cell r="S434" t="b">
            <v>1</v>
          </cell>
          <cell r="T434" t="b">
            <v>1</v>
          </cell>
          <cell r="U434" t="b">
            <v>1</v>
          </cell>
          <cell r="V434"/>
          <cell r="W434"/>
          <cell r="X434"/>
          <cell r="Y434"/>
          <cell r="Z434"/>
          <cell r="AA434"/>
          <cell r="AB434"/>
          <cell r="AC434"/>
          <cell r="AD434"/>
          <cell r="AE434"/>
          <cell r="AF434"/>
          <cell r="AG434"/>
          <cell r="AH434"/>
          <cell r="AI434"/>
          <cell r="AJ434"/>
          <cell r="AK434"/>
          <cell r="AL434"/>
          <cell r="AM434"/>
          <cell r="AN434"/>
          <cell r="AO434"/>
          <cell r="AP434"/>
          <cell r="AQ434"/>
          <cell r="AR434"/>
          <cell r="AS434"/>
          <cell r="AT434"/>
          <cell r="AU434"/>
          <cell r="AV434"/>
          <cell r="AW434"/>
          <cell r="AX434"/>
          <cell r="AY434"/>
          <cell r="AZ434"/>
          <cell r="BA434"/>
          <cell r="BB434"/>
          <cell r="BC434"/>
          <cell r="BD434"/>
        </row>
        <row r="435">
          <cell r="A435" t="str">
            <v>Safety_CPU\Operating_Software\cross_channel_thread_safety_d</v>
          </cell>
          <cell r="B435" t="str">
            <v>N</v>
          </cell>
          <cell r="C435"/>
          <cell r="D435"/>
          <cell r="E435"/>
          <cell r="F435"/>
          <cell r="G435" t="str">
            <v>CN</v>
          </cell>
          <cell r="H435" t="str">
            <v>N</v>
          </cell>
          <cell r="I435"/>
          <cell r="J435"/>
          <cell r="K435"/>
          <cell r="L435"/>
          <cell r="M435"/>
          <cell r="N435"/>
          <cell r="O435"/>
          <cell r="P435"/>
          <cell r="Q435"/>
          <cell r="R435"/>
          <cell r="S435" t="b">
            <v>1</v>
          </cell>
          <cell r="T435" t="b">
            <v>1</v>
          </cell>
          <cell r="U435" t="b">
            <v>1</v>
          </cell>
          <cell r="V435"/>
          <cell r="W435"/>
          <cell r="X435"/>
          <cell r="Y435"/>
          <cell r="Z435"/>
          <cell r="AA435"/>
          <cell r="AB435"/>
          <cell r="AC435"/>
          <cell r="AD435"/>
          <cell r="AE435"/>
          <cell r="AF435"/>
          <cell r="AG435"/>
          <cell r="AH435"/>
          <cell r="AI435"/>
          <cell r="AJ435"/>
          <cell r="AK435"/>
          <cell r="AL435"/>
          <cell r="AM435"/>
          <cell r="AN435"/>
          <cell r="AO435"/>
          <cell r="AP435"/>
          <cell r="AQ435"/>
          <cell r="AR435"/>
          <cell r="AS435"/>
          <cell r="AT435"/>
          <cell r="AU435"/>
          <cell r="AV435"/>
          <cell r="AW435"/>
          <cell r="AX435"/>
          <cell r="AY435"/>
          <cell r="AZ435"/>
          <cell r="BA435"/>
          <cell r="BB435"/>
          <cell r="BC435"/>
          <cell r="BD435"/>
        </row>
        <row r="436">
          <cell r="A436" t="str">
            <v>Safety_CPU\Operating_Software\cross_processor_thread_safety_d</v>
          </cell>
          <cell r="B436" t="str">
            <v>N</v>
          </cell>
          <cell r="C436"/>
          <cell r="D436"/>
          <cell r="E436"/>
          <cell r="F436"/>
          <cell r="G436" t="str">
            <v>CN</v>
          </cell>
          <cell r="H436" t="str">
            <v>N</v>
          </cell>
          <cell r="I436"/>
          <cell r="J436"/>
          <cell r="K436"/>
          <cell r="L436"/>
          <cell r="M436"/>
          <cell r="N436"/>
          <cell r="O436"/>
          <cell r="P436"/>
          <cell r="Q436"/>
          <cell r="R436"/>
          <cell r="S436" t="b">
            <v>1</v>
          </cell>
          <cell r="T436" t="b">
            <v>1</v>
          </cell>
          <cell r="U436" t="b">
            <v>1</v>
          </cell>
          <cell r="V436"/>
          <cell r="W436"/>
          <cell r="X436"/>
          <cell r="Y436"/>
          <cell r="Z436"/>
          <cell r="AA436"/>
          <cell r="AB436"/>
          <cell r="AC436"/>
          <cell r="AD436"/>
          <cell r="AE436"/>
          <cell r="AF436"/>
          <cell r="AG436"/>
          <cell r="AH436"/>
          <cell r="AI436"/>
          <cell r="AJ436"/>
          <cell r="AK436"/>
          <cell r="AL436"/>
          <cell r="AM436"/>
          <cell r="AN436"/>
          <cell r="AO436"/>
          <cell r="AP436"/>
          <cell r="AQ436"/>
          <cell r="AR436"/>
          <cell r="AS436"/>
          <cell r="AT436"/>
          <cell r="AU436"/>
          <cell r="AV436"/>
          <cell r="AW436"/>
          <cell r="AX436"/>
          <cell r="AY436"/>
          <cell r="AZ436"/>
          <cell r="BA436"/>
          <cell r="BB436"/>
          <cell r="BC436"/>
          <cell r="BD436"/>
        </row>
        <row r="437">
          <cell r="A437" t="str">
            <v>Safety_CPU\Operating_Software\dor_container_safety_d</v>
          </cell>
          <cell r="B437" t="str">
            <v>N</v>
          </cell>
          <cell r="C437"/>
          <cell r="D437"/>
          <cell r="E437"/>
          <cell r="F437"/>
          <cell r="G437" t="str">
            <v>CN</v>
          </cell>
          <cell r="H437" t="str">
            <v>N</v>
          </cell>
          <cell r="I437"/>
          <cell r="J437"/>
          <cell r="K437"/>
          <cell r="L437"/>
          <cell r="M437"/>
          <cell r="N437"/>
          <cell r="O437"/>
          <cell r="P437"/>
          <cell r="Q437"/>
          <cell r="R437"/>
          <cell r="S437" t="b">
            <v>1</v>
          </cell>
          <cell r="T437" t="b">
            <v>1</v>
          </cell>
          <cell r="U437" t="b">
            <v>1</v>
          </cell>
          <cell r="V437"/>
          <cell r="W437"/>
          <cell r="X437"/>
          <cell r="Y437"/>
          <cell r="Z437"/>
          <cell r="AA437"/>
          <cell r="AB437"/>
          <cell r="AC437"/>
          <cell r="AD437"/>
          <cell r="AE437"/>
          <cell r="AF437"/>
          <cell r="AG437"/>
          <cell r="AH437"/>
          <cell r="AI437"/>
          <cell r="AJ437"/>
          <cell r="AK437"/>
          <cell r="AL437"/>
          <cell r="AM437"/>
          <cell r="AN437"/>
          <cell r="AO437"/>
          <cell r="AP437"/>
          <cell r="AQ437"/>
          <cell r="AR437"/>
          <cell r="AS437"/>
          <cell r="AT437"/>
          <cell r="AU437"/>
          <cell r="AV437"/>
          <cell r="AW437"/>
          <cell r="AX437"/>
          <cell r="AY437"/>
          <cell r="AZ437"/>
          <cell r="BA437"/>
          <cell r="BB437"/>
          <cell r="BC437"/>
          <cell r="BD437"/>
        </row>
        <row r="438">
          <cell r="A438" t="str">
            <v>Safety_CPU\Operating_Software\eec_config_data_root_safety_d</v>
          </cell>
          <cell r="B438" t="str">
            <v>N</v>
          </cell>
          <cell r="C438" t="str">
            <v>Y</v>
          </cell>
          <cell r="D438"/>
          <cell r="E438"/>
          <cell r="F438"/>
          <cell r="G438" t="str">
            <v>CN</v>
          </cell>
          <cell r="H438" t="str">
            <v>N</v>
          </cell>
          <cell r="I438"/>
          <cell r="J438"/>
          <cell r="K438"/>
          <cell r="L438"/>
          <cell r="M438"/>
          <cell r="N438"/>
          <cell r="O438"/>
          <cell r="P438"/>
          <cell r="Q438"/>
          <cell r="R438"/>
          <cell r="S438" t="b">
            <v>1</v>
          </cell>
          <cell r="T438" t="b">
            <v>1</v>
          </cell>
          <cell r="U438" t="b">
            <v>1</v>
          </cell>
          <cell r="V438"/>
          <cell r="W438"/>
          <cell r="X438"/>
          <cell r="Y438">
            <v>2954</v>
          </cell>
          <cell r="Z438"/>
          <cell r="AA438"/>
          <cell r="AB438"/>
          <cell r="AC438"/>
          <cell r="AD438"/>
          <cell r="AE438"/>
          <cell r="AF438"/>
          <cell r="AG438"/>
          <cell r="AH438">
            <v>2955</v>
          </cell>
          <cell r="AI438"/>
          <cell r="AJ438"/>
          <cell r="AK438"/>
          <cell r="AL438"/>
          <cell r="AM438"/>
          <cell r="AN438"/>
          <cell r="AO438"/>
          <cell r="AP438"/>
          <cell r="AQ438"/>
          <cell r="AR438"/>
          <cell r="AS438"/>
          <cell r="AT438"/>
          <cell r="AU438"/>
          <cell r="AV438"/>
          <cell r="AW438"/>
          <cell r="AX438"/>
          <cell r="AY438"/>
          <cell r="AZ438"/>
          <cell r="BA438"/>
          <cell r="BB438"/>
          <cell r="BC438"/>
          <cell r="BD438"/>
        </row>
        <row r="439">
          <cell r="A439" t="str">
            <v>Safety_CPU\Operating_Software\GenericA664_Source_Safety</v>
          </cell>
          <cell r="B439" t="str">
            <v>N</v>
          </cell>
          <cell r="C439"/>
          <cell r="D439"/>
          <cell r="E439"/>
          <cell r="F439"/>
          <cell r="G439" t="str">
            <v>CN</v>
          </cell>
          <cell r="H439" t="str">
            <v>N</v>
          </cell>
          <cell r="I439"/>
          <cell r="J439"/>
          <cell r="K439"/>
          <cell r="L439"/>
          <cell r="M439"/>
          <cell r="N439"/>
          <cell r="O439"/>
          <cell r="P439"/>
          <cell r="Q439"/>
          <cell r="R439"/>
          <cell r="S439" t="b">
            <v>1</v>
          </cell>
          <cell r="T439" t="b">
            <v>1</v>
          </cell>
          <cell r="U439" t="b">
            <v>1</v>
          </cell>
          <cell r="V439"/>
          <cell r="W439"/>
          <cell r="X439"/>
          <cell r="Y439"/>
          <cell r="Z439"/>
          <cell r="AA439"/>
          <cell r="AB439"/>
          <cell r="AC439"/>
          <cell r="AD439"/>
          <cell r="AE439"/>
          <cell r="AF439"/>
          <cell r="AG439"/>
          <cell r="AH439"/>
          <cell r="AI439"/>
          <cell r="AJ439"/>
          <cell r="AK439"/>
          <cell r="AL439"/>
          <cell r="AM439"/>
          <cell r="AN439"/>
          <cell r="AO439"/>
          <cell r="AP439"/>
          <cell r="AQ439"/>
          <cell r="AR439"/>
          <cell r="AS439"/>
          <cell r="AT439"/>
          <cell r="AU439"/>
          <cell r="AV439"/>
          <cell r="AW439"/>
          <cell r="AX439"/>
          <cell r="AY439"/>
          <cell r="AZ439"/>
          <cell r="BA439"/>
          <cell r="BB439"/>
          <cell r="BC439"/>
          <cell r="BD439"/>
        </row>
        <row r="440">
          <cell r="A440" t="str">
            <v>Safety_CPU\Operating_Software\interrupt_handler_thread_safety</v>
          </cell>
          <cell r="B440" t="str">
            <v>N</v>
          </cell>
          <cell r="C440"/>
          <cell r="D440"/>
          <cell r="E440"/>
          <cell r="F440"/>
          <cell r="G440" t="str">
            <v>CN</v>
          </cell>
          <cell r="H440" t="str">
            <v>N</v>
          </cell>
          <cell r="I440"/>
          <cell r="J440"/>
          <cell r="K440"/>
          <cell r="L440"/>
          <cell r="M440"/>
          <cell r="N440"/>
          <cell r="O440"/>
          <cell r="P440"/>
          <cell r="Q440"/>
          <cell r="R440"/>
          <cell r="S440" t="b">
            <v>1</v>
          </cell>
          <cell r="T440" t="b">
            <v>1</v>
          </cell>
          <cell r="U440" t="b">
            <v>1</v>
          </cell>
          <cell r="V440"/>
          <cell r="W440"/>
          <cell r="X440"/>
          <cell r="Y440"/>
          <cell r="Z440"/>
          <cell r="AA440"/>
          <cell r="AB440"/>
          <cell r="AC440"/>
          <cell r="AD440"/>
          <cell r="AE440"/>
          <cell r="AF440"/>
          <cell r="AG440"/>
          <cell r="AH440"/>
          <cell r="AI440"/>
          <cell r="AJ440"/>
          <cell r="AK440"/>
          <cell r="AL440"/>
          <cell r="AM440"/>
          <cell r="AN440"/>
          <cell r="AO440"/>
          <cell r="AP440"/>
          <cell r="AQ440"/>
          <cell r="AR440"/>
          <cell r="AS440"/>
          <cell r="AT440"/>
          <cell r="AU440"/>
          <cell r="AV440"/>
          <cell r="AW440"/>
          <cell r="AX440"/>
          <cell r="AY440"/>
          <cell r="AZ440"/>
          <cell r="BA440"/>
          <cell r="BB440"/>
          <cell r="BC440"/>
          <cell r="BD440"/>
        </row>
        <row r="441">
          <cell r="A441" t="str">
            <v>Safety_CPU\Operating_Software\lvdts_thread_safety_d</v>
          </cell>
          <cell r="B441" t="str">
            <v>N</v>
          </cell>
          <cell r="C441" t="str">
            <v>N</v>
          </cell>
          <cell r="D441"/>
          <cell r="E441"/>
          <cell r="F441"/>
          <cell r="G441" t="str">
            <v>CN</v>
          </cell>
          <cell r="H441" t="str">
            <v>N</v>
          </cell>
          <cell r="I441"/>
          <cell r="J441"/>
          <cell r="K441"/>
          <cell r="L441"/>
          <cell r="M441"/>
          <cell r="N441"/>
          <cell r="O441"/>
          <cell r="P441"/>
          <cell r="Q441"/>
          <cell r="R441"/>
          <cell r="S441" t="b">
            <v>1</v>
          </cell>
          <cell r="T441" t="b">
            <v>1</v>
          </cell>
          <cell r="U441" t="b">
            <v>1</v>
          </cell>
          <cell r="V441">
            <v>3</v>
          </cell>
          <cell r="W441"/>
          <cell r="X441"/>
          <cell r="Y441"/>
          <cell r="Z441"/>
          <cell r="AA441"/>
          <cell r="AB441"/>
          <cell r="AC441"/>
          <cell r="AD441"/>
          <cell r="AE441"/>
          <cell r="AF441"/>
          <cell r="AG441"/>
          <cell r="AH441"/>
          <cell r="AI441"/>
          <cell r="AJ441"/>
          <cell r="AK441"/>
          <cell r="AL441"/>
          <cell r="AM441"/>
          <cell r="AN441"/>
          <cell r="AO441"/>
          <cell r="AP441"/>
          <cell r="AQ441"/>
          <cell r="AR441"/>
          <cell r="AS441"/>
          <cell r="AT441"/>
          <cell r="AU441"/>
          <cell r="AV441"/>
          <cell r="AW441"/>
          <cell r="AX441"/>
          <cell r="AY441"/>
          <cell r="AZ441"/>
          <cell r="BA441"/>
          <cell r="BB441"/>
          <cell r="BC441"/>
          <cell r="BD441"/>
        </row>
        <row r="442">
          <cell r="A442" t="str">
            <v>Safety_CPU\Operating_Software\nvm_thread_safety_d</v>
          </cell>
          <cell r="B442" t="str">
            <v>N</v>
          </cell>
          <cell r="C442"/>
          <cell r="D442"/>
          <cell r="E442"/>
          <cell r="F442"/>
          <cell r="G442" t="str">
            <v>CN</v>
          </cell>
          <cell r="H442" t="str">
            <v>N</v>
          </cell>
          <cell r="I442"/>
          <cell r="J442"/>
          <cell r="K442"/>
          <cell r="L442"/>
          <cell r="M442"/>
          <cell r="N442"/>
          <cell r="O442"/>
          <cell r="P442"/>
          <cell r="Q442"/>
          <cell r="R442"/>
          <cell r="S442" t="b">
            <v>1</v>
          </cell>
          <cell r="T442" t="b">
            <v>1</v>
          </cell>
          <cell r="U442" t="b">
            <v>1</v>
          </cell>
          <cell r="V442"/>
          <cell r="W442"/>
          <cell r="X442"/>
          <cell r="Y442"/>
          <cell r="Z442"/>
          <cell r="AA442"/>
          <cell r="AB442"/>
          <cell r="AC442"/>
          <cell r="AD442"/>
          <cell r="AE442"/>
          <cell r="AF442"/>
          <cell r="AG442"/>
          <cell r="AH442"/>
          <cell r="AI442"/>
          <cell r="AJ442"/>
          <cell r="AK442"/>
          <cell r="AL442"/>
          <cell r="AM442"/>
          <cell r="AN442"/>
          <cell r="AO442"/>
          <cell r="AP442"/>
          <cell r="AQ442"/>
          <cell r="AR442"/>
          <cell r="AS442"/>
          <cell r="AT442"/>
          <cell r="AU442"/>
          <cell r="AV442"/>
          <cell r="AW442"/>
          <cell r="AX442"/>
          <cell r="AY442"/>
          <cell r="AZ442"/>
          <cell r="BA442"/>
          <cell r="BB442"/>
          <cell r="BC442"/>
          <cell r="BD442"/>
        </row>
        <row r="443">
          <cell r="A443" t="str">
            <v>Safety_CPU\Operating_Software\odms_thread_safety_d</v>
          </cell>
          <cell r="B443" t="str">
            <v>N</v>
          </cell>
          <cell r="C443" t="str">
            <v>N</v>
          </cell>
          <cell r="D443"/>
          <cell r="E443"/>
          <cell r="F443"/>
          <cell r="G443" t="str">
            <v>CN</v>
          </cell>
          <cell r="H443" t="str">
            <v>N</v>
          </cell>
          <cell r="I443"/>
          <cell r="J443"/>
          <cell r="K443"/>
          <cell r="L443"/>
          <cell r="M443"/>
          <cell r="N443"/>
          <cell r="O443"/>
          <cell r="P443"/>
          <cell r="Q443"/>
          <cell r="R443"/>
          <cell r="S443" t="b">
            <v>1</v>
          </cell>
          <cell r="T443" t="b">
            <v>1</v>
          </cell>
          <cell r="U443" t="b">
            <v>1</v>
          </cell>
          <cell r="V443"/>
          <cell r="W443"/>
          <cell r="X443"/>
          <cell r="Y443"/>
          <cell r="Z443"/>
          <cell r="AA443"/>
          <cell r="AB443"/>
          <cell r="AC443"/>
          <cell r="AD443"/>
          <cell r="AE443"/>
          <cell r="AF443"/>
          <cell r="AG443"/>
          <cell r="AH443"/>
          <cell r="AI443"/>
          <cell r="AJ443"/>
          <cell r="AK443"/>
          <cell r="AL443"/>
          <cell r="AM443"/>
          <cell r="AN443"/>
          <cell r="AO443"/>
          <cell r="AP443"/>
          <cell r="AQ443"/>
          <cell r="AR443"/>
          <cell r="AS443"/>
          <cell r="AT443"/>
          <cell r="AU443"/>
          <cell r="AV443"/>
          <cell r="AW443"/>
          <cell r="AX443"/>
          <cell r="AY443"/>
          <cell r="AZ443"/>
          <cell r="BA443"/>
          <cell r="BB443"/>
          <cell r="BC443"/>
          <cell r="BD443"/>
        </row>
        <row r="444">
          <cell r="A444" t="str">
            <v>Safety_CPU\Operating_Software\os_kernel_thread_safety_d</v>
          </cell>
          <cell r="B444" t="str">
            <v>N</v>
          </cell>
          <cell r="C444" t="str">
            <v>Y</v>
          </cell>
          <cell r="D444"/>
          <cell r="E444"/>
          <cell r="F444"/>
          <cell r="G444" t="str">
            <v>CN</v>
          </cell>
          <cell r="H444" t="str">
            <v>N</v>
          </cell>
          <cell r="I444"/>
          <cell r="J444"/>
          <cell r="K444"/>
          <cell r="L444"/>
          <cell r="M444"/>
          <cell r="N444"/>
          <cell r="O444"/>
          <cell r="P444"/>
          <cell r="Q444"/>
          <cell r="R444"/>
          <cell r="S444" t="b">
            <v>1</v>
          </cell>
          <cell r="T444" t="b">
            <v>1</v>
          </cell>
          <cell r="U444" t="b">
            <v>1</v>
          </cell>
          <cell r="V444"/>
          <cell r="W444"/>
          <cell r="X444"/>
          <cell r="Y444"/>
          <cell r="Z444"/>
          <cell r="AA444"/>
          <cell r="AB444"/>
          <cell r="AC444"/>
          <cell r="AD444"/>
          <cell r="AE444"/>
          <cell r="AF444"/>
          <cell r="AG444"/>
          <cell r="AH444"/>
          <cell r="AI444"/>
          <cell r="AJ444"/>
          <cell r="AK444"/>
          <cell r="AL444"/>
          <cell r="AM444"/>
          <cell r="AN444"/>
          <cell r="AO444"/>
          <cell r="AP444"/>
          <cell r="AQ444"/>
          <cell r="AR444"/>
          <cell r="AS444"/>
          <cell r="AT444"/>
          <cell r="AU444"/>
          <cell r="AV444"/>
          <cell r="AW444"/>
          <cell r="AX444"/>
          <cell r="AY444"/>
          <cell r="AZ444"/>
          <cell r="BA444"/>
          <cell r="BB444"/>
          <cell r="BC444"/>
          <cell r="BD444"/>
        </row>
        <row r="445">
          <cell r="A445" t="str">
            <v>Safety_CPU\Operating_Software\oscommand_safety_d</v>
          </cell>
          <cell r="B445" t="str">
            <v>N</v>
          </cell>
          <cell r="C445"/>
          <cell r="D445"/>
          <cell r="E445"/>
          <cell r="F445"/>
          <cell r="G445" t="str">
            <v>CN</v>
          </cell>
          <cell r="H445" t="str">
            <v>N</v>
          </cell>
          <cell r="I445"/>
          <cell r="J445"/>
          <cell r="K445"/>
          <cell r="L445"/>
          <cell r="M445"/>
          <cell r="N445"/>
          <cell r="O445"/>
          <cell r="P445"/>
          <cell r="Q445"/>
          <cell r="R445"/>
          <cell r="S445" t="b">
            <v>1</v>
          </cell>
          <cell r="T445" t="b">
            <v>1</v>
          </cell>
          <cell r="U445" t="b">
            <v>1</v>
          </cell>
          <cell r="V445">
            <v>3</v>
          </cell>
          <cell r="W445"/>
          <cell r="X445"/>
          <cell r="Y445"/>
          <cell r="Z445"/>
          <cell r="AA445"/>
          <cell r="AB445"/>
          <cell r="AC445"/>
          <cell r="AD445"/>
          <cell r="AE445"/>
          <cell r="AF445"/>
          <cell r="AG445"/>
          <cell r="AH445"/>
          <cell r="AI445"/>
          <cell r="AJ445"/>
          <cell r="AK445"/>
          <cell r="AL445"/>
          <cell r="AM445"/>
          <cell r="AN445"/>
          <cell r="AO445"/>
          <cell r="AP445"/>
          <cell r="AQ445"/>
          <cell r="AR445"/>
          <cell r="AS445"/>
          <cell r="AT445"/>
          <cell r="AU445"/>
          <cell r="AV445"/>
          <cell r="AW445"/>
          <cell r="AX445"/>
          <cell r="AY445"/>
          <cell r="AZ445"/>
          <cell r="BA445"/>
          <cell r="BB445"/>
          <cell r="BC445"/>
          <cell r="BD445"/>
        </row>
        <row r="446">
          <cell r="A446" t="str">
            <v>Safety_CPU\Operating_Software\potentiometers_thread_safety_d</v>
          </cell>
          <cell r="B446" t="str">
            <v>N</v>
          </cell>
          <cell r="C446" t="str">
            <v>N</v>
          </cell>
          <cell r="D446"/>
          <cell r="E446"/>
          <cell r="F446"/>
          <cell r="G446" t="str">
            <v>CN</v>
          </cell>
          <cell r="H446" t="str">
            <v>N</v>
          </cell>
          <cell r="I446"/>
          <cell r="J446"/>
          <cell r="K446"/>
          <cell r="L446"/>
          <cell r="M446"/>
          <cell r="N446"/>
          <cell r="O446"/>
          <cell r="P446"/>
          <cell r="Q446"/>
          <cell r="R446"/>
          <cell r="S446" t="b">
            <v>1</v>
          </cell>
          <cell r="T446" t="b">
            <v>1</v>
          </cell>
          <cell r="U446" t="b">
            <v>1</v>
          </cell>
          <cell r="V446"/>
          <cell r="W446"/>
          <cell r="X446"/>
          <cell r="Y446"/>
          <cell r="Z446"/>
          <cell r="AA446"/>
          <cell r="AB446"/>
          <cell r="AC446"/>
          <cell r="AD446"/>
          <cell r="AE446"/>
          <cell r="AF446"/>
          <cell r="AG446"/>
          <cell r="AH446"/>
          <cell r="AI446"/>
          <cell r="AJ446"/>
          <cell r="AK446"/>
          <cell r="AL446"/>
          <cell r="AM446"/>
          <cell r="AN446"/>
          <cell r="AO446"/>
          <cell r="AP446"/>
          <cell r="AQ446"/>
          <cell r="AR446"/>
          <cell r="AS446"/>
          <cell r="AT446"/>
          <cell r="AU446"/>
          <cell r="AV446"/>
          <cell r="AW446"/>
          <cell r="AX446"/>
          <cell r="AY446"/>
          <cell r="AZ446"/>
          <cell r="BA446"/>
          <cell r="BB446"/>
          <cell r="BC446"/>
          <cell r="BD446"/>
        </row>
        <row r="447">
          <cell r="A447" t="str">
            <v>Safety_CPU\Operating_Software\power_rail_monitoring_thread_safety_d</v>
          </cell>
          <cell r="B447" t="str">
            <v>N</v>
          </cell>
          <cell r="C447" t="str">
            <v>Y</v>
          </cell>
          <cell r="D447"/>
          <cell r="E447"/>
          <cell r="F447"/>
          <cell r="G447" t="str">
            <v>CN</v>
          </cell>
          <cell r="H447" t="str">
            <v>N</v>
          </cell>
          <cell r="I447"/>
          <cell r="J447"/>
          <cell r="K447"/>
          <cell r="L447"/>
          <cell r="M447"/>
          <cell r="N447"/>
          <cell r="O447"/>
          <cell r="P447"/>
          <cell r="Q447"/>
          <cell r="R447"/>
          <cell r="S447" t="b">
            <v>1</v>
          </cell>
          <cell r="T447" t="b">
            <v>1</v>
          </cell>
          <cell r="U447" t="b">
            <v>1</v>
          </cell>
          <cell r="V447">
            <v>3</v>
          </cell>
          <cell r="W447"/>
          <cell r="X447"/>
          <cell r="Y447"/>
          <cell r="Z447"/>
          <cell r="AA447"/>
          <cell r="AB447"/>
          <cell r="AC447"/>
          <cell r="AD447"/>
          <cell r="AE447"/>
          <cell r="AF447"/>
          <cell r="AG447"/>
          <cell r="AH447"/>
          <cell r="AI447"/>
          <cell r="AJ447"/>
          <cell r="AK447"/>
          <cell r="AL447"/>
          <cell r="AM447"/>
          <cell r="AN447"/>
          <cell r="AO447"/>
          <cell r="AP447"/>
          <cell r="AQ447"/>
          <cell r="AR447"/>
          <cell r="AS447"/>
          <cell r="AT447"/>
          <cell r="AU447"/>
          <cell r="AV447"/>
          <cell r="AW447"/>
          <cell r="AX447"/>
          <cell r="AY447"/>
          <cell r="AZ447"/>
          <cell r="BA447"/>
          <cell r="BB447"/>
          <cell r="BC447"/>
          <cell r="BD447"/>
        </row>
        <row r="448">
          <cell r="A448" t="str">
            <v>Safety_CPU\Operating_Software\power_up_checks_thread_safety_d</v>
          </cell>
          <cell r="B448" t="str">
            <v>N</v>
          </cell>
          <cell r="C448" t="str">
            <v>Y</v>
          </cell>
          <cell r="D448"/>
          <cell r="E448"/>
          <cell r="F448"/>
          <cell r="G448" t="str">
            <v>CN</v>
          </cell>
          <cell r="H448" t="str">
            <v>N</v>
          </cell>
          <cell r="I448"/>
          <cell r="J448"/>
          <cell r="K448"/>
          <cell r="L448"/>
          <cell r="M448"/>
          <cell r="N448"/>
          <cell r="O448"/>
          <cell r="P448"/>
          <cell r="Q448"/>
          <cell r="R448"/>
          <cell r="S448" t="b">
            <v>1</v>
          </cell>
          <cell r="T448" t="b">
            <v>1</v>
          </cell>
          <cell r="U448" t="b">
            <v>1</v>
          </cell>
          <cell r="V448"/>
          <cell r="W448"/>
          <cell r="X448"/>
          <cell r="Y448"/>
          <cell r="Z448"/>
          <cell r="AA448"/>
          <cell r="AB448"/>
          <cell r="AC448"/>
          <cell r="AD448"/>
          <cell r="AE448"/>
          <cell r="AF448"/>
          <cell r="AG448"/>
          <cell r="AH448">
            <v>1243</v>
          </cell>
          <cell r="AI448"/>
          <cell r="AJ448"/>
          <cell r="AK448"/>
          <cell r="AL448"/>
          <cell r="AM448"/>
          <cell r="AN448"/>
          <cell r="AO448"/>
          <cell r="AP448"/>
          <cell r="AQ448"/>
          <cell r="AR448"/>
          <cell r="AS448"/>
          <cell r="AT448"/>
          <cell r="AU448"/>
          <cell r="AV448"/>
          <cell r="AW448"/>
          <cell r="AX448"/>
          <cell r="AY448"/>
          <cell r="AZ448"/>
          <cell r="BA448"/>
          <cell r="BB448"/>
          <cell r="BC448"/>
          <cell r="BD448"/>
        </row>
        <row r="449">
          <cell r="A449" t="str">
            <v>Safety_CPU\Operating_Software\pressures_thread_safety_d</v>
          </cell>
          <cell r="B449" t="str">
            <v>N</v>
          </cell>
          <cell r="C449" t="str">
            <v>N</v>
          </cell>
          <cell r="D449"/>
          <cell r="E449"/>
          <cell r="F449"/>
          <cell r="G449" t="str">
            <v>CN</v>
          </cell>
          <cell r="H449" t="str">
            <v>N</v>
          </cell>
          <cell r="I449"/>
          <cell r="J449"/>
          <cell r="K449"/>
          <cell r="L449"/>
          <cell r="M449"/>
          <cell r="N449"/>
          <cell r="O449"/>
          <cell r="P449"/>
          <cell r="Q449"/>
          <cell r="R449"/>
          <cell r="S449" t="b">
            <v>1</v>
          </cell>
          <cell r="T449" t="b">
            <v>1</v>
          </cell>
          <cell r="U449" t="b">
            <v>1</v>
          </cell>
          <cell r="V449"/>
          <cell r="W449"/>
          <cell r="X449"/>
          <cell r="Y449"/>
          <cell r="Z449"/>
          <cell r="AA449"/>
          <cell r="AB449"/>
          <cell r="AC449"/>
          <cell r="AD449"/>
          <cell r="AE449"/>
          <cell r="AF449"/>
          <cell r="AG449"/>
          <cell r="AH449"/>
          <cell r="AI449"/>
          <cell r="AJ449"/>
          <cell r="AK449"/>
          <cell r="AL449"/>
          <cell r="AM449"/>
          <cell r="AN449"/>
          <cell r="AO449"/>
          <cell r="AP449"/>
          <cell r="AQ449"/>
          <cell r="AR449"/>
          <cell r="AS449"/>
          <cell r="AT449"/>
          <cell r="AU449"/>
          <cell r="AV449"/>
          <cell r="AW449"/>
          <cell r="AX449"/>
          <cell r="AY449"/>
          <cell r="AZ449"/>
          <cell r="BA449"/>
          <cell r="BB449"/>
          <cell r="BC449"/>
          <cell r="BD449"/>
        </row>
        <row r="450">
          <cell r="A450" t="str">
            <v>Safety_CPU\Operating_Software\project_identifier_safety_d</v>
          </cell>
          <cell r="B450" t="str">
            <v>N</v>
          </cell>
          <cell r="C450"/>
          <cell r="D450"/>
          <cell r="E450"/>
          <cell r="F450"/>
          <cell r="G450" t="str">
            <v>CN</v>
          </cell>
          <cell r="H450" t="str">
            <v>N</v>
          </cell>
          <cell r="I450"/>
          <cell r="J450"/>
          <cell r="K450"/>
          <cell r="L450"/>
          <cell r="M450"/>
          <cell r="N450"/>
          <cell r="O450"/>
          <cell r="P450"/>
          <cell r="Q450"/>
          <cell r="R450"/>
          <cell r="S450" t="b">
            <v>1</v>
          </cell>
          <cell r="T450" t="b">
            <v>1</v>
          </cell>
          <cell r="U450" t="b">
            <v>1</v>
          </cell>
          <cell r="V450"/>
          <cell r="W450"/>
          <cell r="X450"/>
          <cell r="Y450"/>
          <cell r="Z450"/>
          <cell r="AA450"/>
          <cell r="AB450"/>
          <cell r="AC450"/>
          <cell r="AD450"/>
          <cell r="AE450"/>
          <cell r="AF450"/>
          <cell r="AG450"/>
          <cell r="AH450"/>
          <cell r="AI450"/>
          <cell r="AJ450"/>
          <cell r="AK450"/>
          <cell r="AL450"/>
          <cell r="AM450"/>
          <cell r="AN450"/>
          <cell r="AO450"/>
          <cell r="AP450"/>
          <cell r="AQ450"/>
          <cell r="AR450"/>
          <cell r="AS450"/>
          <cell r="AT450"/>
          <cell r="AU450"/>
          <cell r="AV450"/>
          <cell r="AW450"/>
          <cell r="AX450"/>
          <cell r="AY450"/>
          <cell r="AZ450"/>
          <cell r="BA450"/>
          <cell r="BB450"/>
          <cell r="BC450"/>
          <cell r="BD450"/>
        </row>
        <row r="451">
          <cell r="A451" t="str">
            <v>Safety_CPU\Operating_Software\proximity_inputs_thread_safety_d</v>
          </cell>
          <cell r="B451" t="str">
            <v>N</v>
          </cell>
          <cell r="C451" t="str">
            <v>N</v>
          </cell>
          <cell r="D451"/>
          <cell r="E451"/>
          <cell r="F451"/>
          <cell r="G451" t="str">
            <v>CN</v>
          </cell>
          <cell r="H451" t="str">
            <v>N</v>
          </cell>
          <cell r="I451"/>
          <cell r="J451"/>
          <cell r="K451"/>
          <cell r="L451"/>
          <cell r="M451"/>
          <cell r="N451"/>
          <cell r="O451"/>
          <cell r="P451"/>
          <cell r="Q451"/>
          <cell r="R451"/>
          <cell r="S451" t="b">
            <v>1</v>
          </cell>
          <cell r="T451" t="b">
            <v>1</v>
          </cell>
          <cell r="U451" t="b">
            <v>1</v>
          </cell>
          <cell r="V451"/>
          <cell r="W451"/>
          <cell r="X451"/>
          <cell r="Y451"/>
          <cell r="Z451"/>
          <cell r="AA451"/>
          <cell r="AB451"/>
          <cell r="AC451"/>
          <cell r="AD451"/>
          <cell r="AE451"/>
          <cell r="AF451"/>
          <cell r="AG451"/>
          <cell r="AH451"/>
          <cell r="AI451"/>
          <cell r="AJ451"/>
          <cell r="AK451"/>
          <cell r="AL451"/>
          <cell r="AM451"/>
          <cell r="AN451"/>
          <cell r="AO451"/>
          <cell r="AP451"/>
          <cell r="AQ451"/>
          <cell r="AR451"/>
          <cell r="AS451"/>
          <cell r="AT451"/>
          <cell r="AU451"/>
          <cell r="AV451"/>
          <cell r="AW451"/>
          <cell r="AX451"/>
          <cell r="AY451"/>
          <cell r="AZ451"/>
          <cell r="BA451"/>
          <cell r="BB451"/>
          <cell r="BC451"/>
          <cell r="BD451"/>
        </row>
        <row r="452">
          <cell r="A452" t="str">
            <v>Safety_CPU\Operating_Software\register_comms_thread_safety_d</v>
          </cell>
          <cell r="B452" t="str">
            <v>N</v>
          </cell>
          <cell r="C452"/>
          <cell r="D452"/>
          <cell r="E452"/>
          <cell r="F452"/>
          <cell r="G452" t="str">
            <v>CN</v>
          </cell>
          <cell r="H452" t="str">
            <v>N</v>
          </cell>
          <cell r="I452"/>
          <cell r="J452"/>
          <cell r="K452"/>
          <cell r="L452"/>
          <cell r="M452"/>
          <cell r="N452"/>
          <cell r="O452"/>
          <cell r="P452"/>
          <cell r="Q452"/>
          <cell r="R452"/>
          <cell r="S452" t="b">
            <v>1</v>
          </cell>
          <cell r="T452" t="b">
            <v>1</v>
          </cell>
          <cell r="U452" t="b">
            <v>1</v>
          </cell>
          <cell r="V452"/>
          <cell r="W452"/>
          <cell r="X452"/>
          <cell r="Y452"/>
          <cell r="Z452"/>
          <cell r="AA452"/>
          <cell r="AB452"/>
          <cell r="AC452"/>
          <cell r="AD452"/>
          <cell r="AE452"/>
          <cell r="AF452"/>
          <cell r="AG452"/>
          <cell r="AH452"/>
          <cell r="AI452"/>
          <cell r="AJ452"/>
          <cell r="AK452"/>
          <cell r="AL452"/>
          <cell r="AM452"/>
          <cell r="AN452"/>
          <cell r="AO452"/>
          <cell r="AP452"/>
          <cell r="AQ452"/>
          <cell r="AR452"/>
          <cell r="AS452"/>
          <cell r="AT452"/>
          <cell r="AU452"/>
          <cell r="AV452"/>
          <cell r="AW452"/>
          <cell r="AX452"/>
          <cell r="AY452"/>
          <cell r="AZ452"/>
          <cell r="BA452"/>
          <cell r="BB452"/>
          <cell r="BC452"/>
          <cell r="BD452"/>
        </row>
        <row r="453">
          <cell r="A453" t="str">
            <v>Safety_CPU\Operating_Software\reset_safe_ram_safety_d</v>
          </cell>
          <cell r="B453" t="str">
            <v>N</v>
          </cell>
          <cell r="C453"/>
          <cell r="D453"/>
          <cell r="E453"/>
          <cell r="F453"/>
          <cell r="G453" t="str">
            <v>CN</v>
          </cell>
          <cell r="H453" t="str">
            <v>N</v>
          </cell>
          <cell r="I453"/>
          <cell r="J453"/>
          <cell r="K453"/>
          <cell r="L453"/>
          <cell r="M453"/>
          <cell r="N453"/>
          <cell r="O453"/>
          <cell r="P453"/>
          <cell r="Q453"/>
          <cell r="R453"/>
          <cell r="S453" t="b">
            <v>1</v>
          </cell>
          <cell r="T453" t="b">
            <v>1</v>
          </cell>
          <cell r="U453" t="b">
            <v>1</v>
          </cell>
          <cell r="V453"/>
          <cell r="W453"/>
          <cell r="X453"/>
          <cell r="Y453"/>
          <cell r="Z453"/>
          <cell r="AA453"/>
          <cell r="AB453"/>
          <cell r="AC453"/>
          <cell r="AD453"/>
          <cell r="AE453"/>
          <cell r="AF453"/>
          <cell r="AG453"/>
          <cell r="AH453"/>
          <cell r="AI453"/>
          <cell r="AJ453"/>
          <cell r="AK453"/>
          <cell r="AL453"/>
          <cell r="AM453"/>
          <cell r="AN453"/>
          <cell r="AO453"/>
          <cell r="AP453"/>
          <cell r="AQ453"/>
          <cell r="AR453"/>
          <cell r="AS453"/>
          <cell r="AT453"/>
          <cell r="AU453"/>
          <cell r="AV453"/>
          <cell r="AW453"/>
          <cell r="AX453"/>
          <cell r="AY453"/>
          <cell r="AZ453"/>
          <cell r="BA453"/>
          <cell r="BB453"/>
          <cell r="BC453"/>
          <cell r="BD453"/>
        </row>
        <row r="454">
          <cell r="A454" t="str">
            <v>Safety_CPU\Operating_Software\sav_thread_safety_d</v>
          </cell>
          <cell r="B454" t="str">
            <v>N</v>
          </cell>
          <cell r="C454"/>
          <cell r="D454"/>
          <cell r="E454"/>
          <cell r="F454"/>
          <cell r="G454" t="str">
            <v>CN</v>
          </cell>
          <cell r="H454" t="str">
            <v>N</v>
          </cell>
          <cell r="I454"/>
          <cell r="J454"/>
          <cell r="K454"/>
          <cell r="L454"/>
          <cell r="M454"/>
          <cell r="N454"/>
          <cell r="O454"/>
          <cell r="P454"/>
          <cell r="Q454"/>
          <cell r="R454"/>
          <cell r="S454" t="b">
            <v>1</v>
          </cell>
          <cell r="T454" t="b">
            <v>1</v>
          </cell>
          <cell r="U454" t="b">
            <v>1</v>
          </cell>
          <cell r="V454"/>
          <cell r="W454"/>
          <cell r="X454"/>
          <cell r="Y454"/>
          <cell r="Z454"/>
          <cell r="AA454"/>
          <cell r="AB454"/>
          <cell r="AC454"/>
          <cell r="AD454"/>
          <cell r="AE454"/>
          <cell r="AF454"/>
          <cell r="AG454"/>
          <cell r="AH454"/>
          <cell r="AI454"/>
          <cell r="AJ454"/>
          <cell r="AK454"/>
          <cell r="AL454"/>
          <cell r="AM454"/>
          <cell r="AN454"/>
          <cell r="AO454"/>
          <cell r="AP454"/>
          <cell r="AQ454"/>
          <cell r="AR454"/>
          <cell r="AS454"/>
          <cell r="AT454"/>
          <cell r="AU454"/>
          <cell r="AV454"/>
          <cell r="AW454"/>
          <cell r="AX454"/>
          <cell r="AY454"/>
          <cell r="AZ454"/>
          <cell r="BA454"/>
          <cell r="BB454"/>
          <cell r="BC454"/>
          <cell r="BD454"/>
        </row>
        <row r="455">
          <cell r="A455" t="str">
            <v>Safety_CPU\Operating_Software\simple_transfer_comms_containers_safety_d</v>
          </cell>
          <cell r="B455" t="str">
            <v>N</v>
          </cell>
          <cell r="C455"/>
          <cell r="D455"/>
          <cell r="E455"/>
          <cell r="F455"/>
          <cell r="G455" t="str">
            <v>CN</v>
          </cell>
          <cell r="H455" t="str">
            <v>N</v>
          </cell>
          <cell r="I455"/>
          <cell r="J455"/>
          <cell r="K455"/>
          <cell r="L455"/>
          <cell r="M455"/>
          <cell r="N455"/>
          <cell r="O455"/>
          <cell r="P455"/>
          <cell r="Q455"/>
          <cell r="R455"/>
          <cell r="S455" t="b">
            <v>1</v>
          </cell>
          <cell r="T455" t="b">
            <v>1</v>
          </cell>
          <cell r="U455" t="b">
            <v>1</v>
          </cell>
          <cell r="V455"/>
          <cell r="W455"/>
          <cell r="X455"/>
          <cell r="Y455"/>
          <cell r="Z455"/>
          <cell r="AA455"/>
          <cell r="AB455"/>
          <cell r="AC455"/>
          <cell r="AD455"/>
          <cell r="AE455"/>
          <cell r="AF455"/>
          <cell r="AG455"/>
          <cell r="AH455"/>
          <cell r="AI455"/>
          <cell r="AJ455"/>
          <cell r="AK455"/>
          <cell r="AL455"/>
          <cell r="AM455"/>
          <cell r="AN455"/>
          <cell r="AO455"/>
          <cell r="AP455"/>
          <cell r="AQ455"/>
          <cell r="AR455"/>
          <cell r="AS455"/>
          <cell r="AT455"/>
          <cell r="AU455"/>
          <cell r="AV455"/>
          <cell r="AW455"/>
          <cell r="AX455"/>
          <cell r="AY455"/>
          <cell r="AZ455"/>
          <cell r="BA455"/>
          <cell r="BB455"/>
          <cell r="BC455"/>
          <cell r="BD455"/>
        </row>
        <row r="456">
          <cell r="A456" t="str">
            <v>Safety_CPU\Operating_Software\sis_module_thread_safety_d</v>
          </cell>
          <cell r="B456" t="str">
            <v>N</v>
          </cell>
          <cell r="C456"/>
          <cell r="D456"/>
          <cell r="E456"/>
          <cell r="F456"/>
          <cell r="G456" t="str">
            <v>CN</v>
          </cell>
          <cell r="H456" t="str">
            <v>N</v>
          </cell>
          <cell r="I456"/>
          <cell r="J456"/>
          <cell r="K456"/>
          <cell r="L456"/>
          <cell r="M456"/>
          <cell r="N456"/>
          <cell r="O456"/>
          <cell r="P456"/>
          <cell r="Q456"/>
          <cell r="R456"/>
          <cell r="S456" t="b">
            <v>1</v>
          </cell>
          <cell r="T456" t="b">
            <v>1</v>
          </cell>
          <cell r="U456" t="b">
            <v>1</v>
          </cell>
          <cell r="V456"/>
          <cell r="W456"/>
          <cell r="X456"/>
          <cell r="Y456"/>
          <cell r="Z456"/>
          <cell r="AA456"/>
          <cell r="AB456"/>
          <cell r="AC456"/>
          <cell r="AD456"/>
          <cell r="AE456"/>
          <cell r="AF456"/>
          <cell r="AG456"/>
          <cell r="AH456"/>
          <cell r="AI456"/>
          <cell r="AJ456"/>
          <cell r="AK456"/>
          <cell r="AL456"/>
          <cell r="AM456"/>
          <cell r="AN456"/>
          <cell r="AO456"/>
          <cell r="AP456"/>
          <cell r="AQ456"/>
          <cell r="AR456"/>
          <cell r="AS456"/>
          <cell r="AT456"/>
          <cell r="AU456"/>
          <cell r="AV456"/>
          <cell r="AW456"/>
          <cell r="AX456"/>
          <cell r="AY456"/>
          <cell r="AZ456"/>
          <cell r="BA456"/>
          <cell r="BB456"/>
          <cell r="BC456"/>
          <cell r="BD456"/>
        </row>
        <row r="457">
          <cell r="A457" t="str">
            <v>Safety_CPU\Operating_Software\solenoids_thread_safety_d</v>
          </cell>
          <cell r="B457" t="str">
            <v>N</v>
          </cell>
          <cell r="C457" t="str">
            <v>N</v>
          </cell>
          <cell r="D457"/>
          <cell r="E457"/>
          <cell r="F457"/>
          <cell r="G457" t="str">
            <v>CN</v>
          </cell>
          <cell r="H457" t="str">
            <v>N</v>
          </cell>
          <cell r="I457"/>
          <cell r="J457"/>
          <cell r="K457"/>
          <cell r="L457"/>
          <cell r="M457"/>
          <cell r="N457"/>
          <cell r="O457"/>
          <cell r="P457"/>
          <cell r="Q457"/>
          <cell r="R457"/>
          <cell r="S457" t="b">
            <v>1</v>
          </cell>
          <cell r="T457" t="b">
            <v>1</v>
          </cell>
          <cell r="U457" t="b">
            <v>1</v>
          </cell>
          <cell r="V457"/>
          <cell r="W457"/>
          <cell r="X457"/>
          <cell r="Y457"/>
          <cell r="Z457"/>
          <cell r="AA457"/>
          <cell r="AB457"/>
          <cell r="AC457"/>
          <cell r="AD457"/>
          <cell r="AE457"/>
          <cell r="AF457"/>
          <cell r="AG457"/>
          <cell r="AH457"/>
          <cell r="AI457"/>
          <cell r="AJ457"/>
          <cell r="AK457"/>
          <cell r="AL457"/>
          <cell r="AM457"/>
          <cell r="AN457"/>
          <cell r="AO457"/>
          <cell r="AP457"/>
          <cell r="AQ457"/>
          <cell r="AR457"/>
          <cell r="AS457"/>
          <cell r="AT457"/>
          <cell r="AU457"/>
          <cell r="AV457"/>
          <cell r="AW457"/>
          <cell r="AX457"/>
          <cell r="AY457"/>
          <cell r="AZ457"/>
          <cell r="BA457"/>
          <cell r="BB457"/>
          <cell r="BC457"/>
          <cell r="BD457"/>
        </row>
        <row r="458">
          <cell r="A458" t="str">
            <v>Safety_CPU\Operating_Software\sov_thread_safety_d</v>
          </cell>
          <cell r="B458" t="str">
            <v>N</v>
          </cell>
          <cell r="C458" t="str">
            <v>N</v>
          </cell>
          <cell r="D458"/>
          <cell r="E458"/>
          <cell r="F458"/>
          <cell r="G458" t="str">
            <v>CN</v>
          </cell>
          <cell r="H458" t="str">
            <v>N</v>
          </cell>
          <cell r="I458"/>
          <cell r="J458"/>
          <cell r="K458"/>
          <cell r="L458"/>
          <cell r="M458"/>
          <cell r="N458"/>
          <cell r="O458"/>
          <cell r="P458"/>
          <cell r="Q458"/>
          <cell r="R458"/>
          <cell r="S458" t="b">
            <v>1</v>
          </cell>
          <cell r="T458" t="b">
            <v>1</v>
          </cell>
          <cell r="U458" t="b">
            <v>1</v>
          </cell>
          <cell r="V458"/>
          <cell r="W458"/>
          <cell r="X458"/>
          <cell r="Y458"/>
          <cell r="Z458"/>
          <cell r="AA458"/>
          <cell r="AB458"/>
          <cell r="AC458"/>
          <cell r="AD458"/>
          <cell r="AE458"/>
          <cell r="AF458"/>
          <cell r="AG458"/>
          <cell r="AH458"/>
          <cell r="AI458"/>
          <cell r="AJ458"/>
          <cell r="AK458"/>
          <cell r="AL458"/>
          <cell r="AM458"/>
          <cell r="AN458"/>
          <cell r="AO458"/>
          <cell r="AP458"/>
          <cell r="AQ458"/>
          <cell r="AR458"/>
          <cell r="AS458"/>
          <cell r="AT458"/>
          <cell r="AU458"/>
          <cell r="AV458"/>
          <cell r="AW458"/>
          <cell r="AX458"/>
          <cell r="AY458"/>
          <cell r="AZ458"/>
          <cell r="BA458"/>
          <cell r="BB458"/>
          <cell r="BC458"/>
          <cell r="BD458"/>
        </row>
        <row r="459">
          <cell r="A459" t="str">
            <v>Safety_CPU\Operating_Software\spares_thread_safety_d</v>
          </cell>
          <cell r="B459" t="str">
            <v>N</v>
          </cell>
          <cell r="C459" t="str">
            <v>N</v>
          </cell>
          <cell r="D459"/>
          <cell r="E459"/>
          <cell r="F459"/>
          <cell r="G459" t="str">
            <v>CN</v>
          </cell>
          <cell r="H459" t="str">
            <v>N</v>
          </cell>
          <cell r="I459"/>
          <cell r="J459"/>
          <cell r="K459"/>
          <cell r="L459"/>
          <cell r="M459"/>
          <cell r="N459"/>
          <cell r="O459"/>
          <cell r="P459"/>
          <cell r="Q459"/>
          <cell r="R459"/>
          <cell r="S459" t="b">
            <v>1</v>
          </cell>
          <cell r="T459" t="b">
            <v>1</v>
          </cell>
          <cell r="U459" t="b">
            <v>1</v>
          </cell>
          <cell r="V459"/>
          <cell r="W459"/>
          <cell r="X459"/>
          <cell r="Y459"/>
          <cell r="Z459"/>
          <cell r="AA459"/>
          <cell r="AB459"/>
          <cell r="AC459"/>
          <cell r="AD459"/>
          <cell r="AE459"/>
          <cell r="AF459"/>
          <cell r="AG459"/>
          <cell r="AH459"/>
          <cell r="AI459"/>
          <cell r="AJ459"/>
          <cell r="AK459"/>
          <cell r="AL459"/>
          <cell r="AM459"/>
          <cell r="AN459"/>
          <cell r="AO459"/>
          <cell r="AP459"/>
          <cell r="AQ459"/>
          <cell r="AR459"/>
          <cell r="AS459"/>
          <cell r="AT459"/>
          <cell r="AU459"/>
          <cell r="AV459"/>
          <cell r="AW459"/>
          <cell r="AX459"/>
          <cell r="AY459"/>
          <cell r="AZ459"/>
          <cell r="BA459"/>
          <cell r="BB459"/>
          <cell r="BC459"/>
          <cell r="BD459"/>
        </row>
        <row r="460">
          <cell r="A460" t="str">
            <v>Safety_CPU\Operating_Software\speeds_thread_safety_d</v>
          </cell>
          <cell r="B460" t="str">
            <v>N</v>
          </cell>
          <cell r="C460"/>
          <cell r="D460"/>
          <cell r="E460"/>
          <cell r="F460"/>
          <cell r="G460" t="str">
            <v>CN</v>
          </cell>
          <cell r="H460" t="str">
            <v>N</v>
          </cell>
          <cell r="I460"/>
          <cell r="J460"/>
          <cell r="K460"/>
          <cell r="L460"/>
          <cell r="M460"/>
          <cell r="N460"/>
          <cell r="O460"/>
          <cell r="P460"/>
          <cell r="Q460"/>
          <cell r="R460"/>
          <cell r="S460" t="b">
            <v>1</v>
          </cell>
          <cell r="T460" t="b">
            <v>1</v>
          </cell>
          <cell r="U460" t="b">
            <v>1</v>
          </cell>
          <cell r="V460"/>
          <cell r="W460"/>
          <cell r="X460"/>
          <cell r="Y460"/>
          <cell r="Z460"/>
          <cell r="AA460"/>
          <cell r="AB460"/>
          <cell r="AC460"/>
          <cell r="AD460"/>
          <cell r="AE460"/>
          <cell r="AF460"/>
          <cell r="AG460"/>
          <cell r="AH460">
            <v>298</v>
          </cell>
          <cell r="AI460"/>
          <cell r="AJ460"/>
          <cell r="AK460"/>
          <cell r="AL460"/>
          <cell r="AM460"/>
          <cell r="AN460"/>
          <cell r="AO460"/>
          <cell r="AP460"/>
          <cell r="AQ460"/>
          <cell r="AR460"/>
          <cell r="AS460"/>
          <cell r="AT460"/>
          <cell r="AU460"/>
          <cell r="AV460"/>
          <cell r="AW460"/>
          <cell r="AX460"/>
          <cell r="AY460"/>
          <cell r="AZ460"/>
          <cell r="BA460"/>
          <cell r="BB460"/>
          <cell r="BC460"/>
          <cell r="BD460"/>
        </row>
        <row r="461">
          <cell r="A461" t="str">
            <v>Safety_CPU\Operating_Software\tcma_thread_safety_d</v>
          </cell>
          <cell r="B461" t="str">
            <v>N</v>
          </cell>
          <cell r="C461"/>
          <cell r="D461"/>
          <cell r="E461"/>
          <cell r="F461"/>
          <cell r="G461" t="str">
            <v>CN</v>
          </cell>
          <cell r="H461" t="str">
            <v>N</v>
          </cell>
          <cell r="I461"/>
          <cell r="J461"/>
          <cell r="K461"/>
          <cell r="L461"/>
          <cell r="M461"/>
          <cell r="N461"/>
          <cell r="O461"/>
          <cell r="P461"/>
          <cell r="Q461"/>
          <cell r="R461"/>
          <cell r="S461" t="b">
            <v>1</v>
          </cell>
          <cell r="T461" t="b">
            <v>1</v>
          </cell>
          <cell r="U461" t="b">
            <v>1</v>
          </cell>
          <cell r="V461"/>
          <cell r="W461"/>
          <cell r="X461"/>
          <cell r="Y461"/>
          <cell r="Z461"/>
          <cell r="AA461"/>
          <cell r="AB461"/>
          <cell r="AC461"/>
          <cell r="AD461"/>
          <cell r="AE461"/>
          <cell r="AF461"/>
          <cell r="AG461"/>
          <cell r="AH461"/>
          <cell r="AI461"/>
          <cell r="AJ461"/>
          <cell r="AK461"/>
          <cell r="AL461"/>
          <cell r="AM461"/>
          <cell r="AN461"/>
          <cell r="AO461"/>
          <cell r="AP461"/>
          <cell r="AQ461"/>
          <cell r="AR461"/>
          <cell r="AS461"/>
          <cell r="AT461"/>
          <cell r="AU461"/>
          <cell r="AV461"/>
          <cell r="AW461"/>
          <cell r="AX461"/>
          <cell r="AY461"/>
          <cell r="AZ461"/>
          <cell r="BA461"/>
          <cell r="BB461"/>
          <cell r="BC461"/>
          <cell r="BD461"/>
        </row>
        <row r="462">
          <cell r="A462" t="str">
            <v>Safety_CPU\Operating_Software\temperatures_thread_safety_d</v>
          </cell>
          <cell r="B462" t="str">
            <v>N</v>
          </cell>
          <cell r="C462" t="str">
            <v>N</v>
          </cell>
          <cell r="D462"/>
          <cell r="E462"/>
          <cell r="F462"/>
          <cell r="G462" t="str">
            <v>CN</v>
          </cell>
          <cell r="H462" t="str">
            <v>N</v>
          </cell>
          <cell r="I462"/>
          <cell r="J462"/>
          <cell r="K462"/>
          <cell r="L462"/>
          <cell r="M462"/>
          <cell r="N462"/>
          <cell r="O462"/>
          <cell r="P462"/>
          <cell r="Q462"/>
          <cell r="R462"/>
          <cell r="S462" t="b">
            <v>1</v>
          </cell>
          <cell r="T462" t="b">
            <v>1</v>
          </cell>
          <cell r="U462" t="b">
            <v>1</v>
          </cell>
          <cell r="V462"/>
          <cell r="W462"/>
          <cell r="X462"/>
          <cell r="Y462"/>
          <cell r="Z462"/>
          <cell r="AA462"/>
          <cell r="AB462"/>
          <cell r="AC462"/>
          <cell r="AD462"/>
          <cell r="AE462"/>
          <cell r="AF462"/>
          <cell r="AG462"/>
          <cell r="AH462"/>
          <cell r="AI462"/>
          <cell r="AJ462"/>
          <cell r="AK462"/>
          <cell r="AL462"/>
          <cell r="AM462"/>
          <cell r="AN462"/>
          <cell r="AO462"/>
          <cell r="AP462"/>
          <cell r="AQ462"/>
          <cell r="AR462"/>
          <cell r="AS462"/>
          <cell r="AT462"/>
          <cell r="AU462"/>
          <cell r="AV462"/>
          <cell r="AW462"/>
          <cell r="AX462"/>
          <cell r="AY462"/>
          <cell r="AZ462"/>
          <cell r="BA462"/>
          <cell r="BB462"/>
          <cell r="BC462"/>
          <cell r="BD462"/>
        </row>
        <row r="463">
          <cell r="A463" t="str">
            <v>Safety_CPU\Operating_Software\torque_motors_thread_safety_d</v>
          </cell>
          <cell r="B463" t="str">
            <v>N</v>
          </cell>
          <cell r="C463" t="str">
            <v>N</v>
          </cell>
          <cell r="D463"/>
          <cell r="E463"/>
          <cell r="F463"/>
          <cell r="G463" t="str">
            <v>CN</v>
          </cell>
          <cell r="H463" t="str">
            <v>N</v>
          </cell>
          <cell r="I463"/>
          <cell r="J463"/>
          <cell r="K463"/>
          <cell r="L463"/>
          <cell r="M463"/>
          <cell r="N463"/>
          <cell r="O463"/>
          <cell r="P463"/>
          <cell r="Q463"/>
          <cell r="R463"/>
          <cell r="S463" t="b">
            <v>1</v>
          </cell>
          <cell r="T463" t="b">
            <v>1</v>
          </cell>
          <cell r="U463" t="b">
            <v>1</v>
          </cell>
          <cell r="V463"/>
          <cell r="W463"/>
          <cell r="X463"/>
          <cell r="Y463"/>
          <cell r="Z463"/>
          <cell r="AA463"/>
          <cell r="AB463"/>
          <cell r="AC463"/>
          <cell r="AD463"/>
          <cell r="AE463"/>
          <cell r="AF463"/>
          <cell r="AG463"/>
          <cell r="AH463"/>
          <cell r="AI463"/>
          <cell r="AJ463"/>
          <cell r="AK463"/>
          <cell r="AL463"/>
          <cell r="AM463"/>
          <cell r="AN463"/>
          <cell r="AO463"/>
          <cell r="AP463"/>
          <cell r="AQ463"/>
          <cell r="AR463"/>
          <cell r="AS463"/>
          <cell r="AT463"/>
          <cell r="AU463"/>
          <cell r="AV463"/>
          <cell r="AW463"/>
          <cell r="AX463"/>
          <cell r="AY463"/>
          <cell r="AZ463"/>
          <cell r="BA463"/>
          <cell r="BB463"/>
          <cell r="BC463"/>
          <cell r="BD463"/>
        </row>
        <row r="464">
          <cell r="A464" t="str">
            <v>Trims\ACComms</v>
          </cell>
          <cell r="B464" t="str">
            <v>N</v>
          </cell>
          <cell r="C464"/>
          <cell r="D464"/>
          <cell r="E464"/>
          <cell r="F464"/>
          <cell r="G464" t="str">
            <v>CN</v>
          </cell>
          <cell r="H464" t="str">
            <v>N</v>
          </cell>
          <cell r="I464"/>
          <cell r="J464"/>
          <cell r="K464"/>
          <cell r="L464"/>
          <cell r="M464"/>
          <cell r="N464"/>
          <cell r="O464"/>
          <cell r="P464"/>
          <cell r="Q464"/>
          <cell r="R464"/>
          <cell r="S464" t="b">
            <v>1</v>
          </cell>
          <cell r="T464" t="b">
            <v>1</v>
          </cell>
          <cell r="U464" t="b">
            <v>1</v>
          </cell>
          <cell r="V464"/>
          <cell r="W464"/>
          <cell r="X464"/>
          <cell r="Y464"/>
          <cell r="Z464"/>
          <cell r="AA464"/>
          <cell r="AB464"/>
          <cell r="AC464"/>
          <cell r="AD464"/>
          <cell r="AE464"/>
          <cell r="AF464"/>
          <cell r="AG464"/>
          <cell r="AH464"/>
          <cell r="AI464"/>
          <cell r="AJ464"/>
          <cell r="AK464"/>
          <cell r="AL464"/>
          <cell r="AM464"/>
          <cell r="AN464"/>
          <cell r="AO464"/>
          <cell r="AP464"/>
          <cell r="AQ464"/>
          <cell r="AR464"/>
          <cell r="AS464"/>
          <cell r="AT464"/>
          <cell r="AU464"/>
          <cell r="AV464"/>
          <cell r="AW464"/>
          <cell r="AX464"/>
          <cell r="AY464"/>
          <cell r="AZ464"/>
          <cell r="BA464"/>
          <cell r="BB464"/>
          <cell r="BC464"/>
          <cell r="BD464"/>
        </row>
        <row r="465">
          <cell r="A465" t="str">
            <v>Trims\Control</v>
          </cell>
          <cell r="B465" t="str">
            <v>N</v>
          </cell>
          <cell r="C465" t="str">
            <v>N</v>
          </cell>
          <cell r="D465"/>
          <cell r="E465"/>
          <cell r="F465"/>
          <cell r="G465" t="str">
            <v>CN</v>
          </cell>
          <cell r="H465" t="str">
            <v>N</v>
          </cell>
          <cell r="I465"/>
          <cell r="J465"/>
          <cell r="K465"/>
          <cell r="L465"/>
          <cell r="M465"/>
          <cell r="N465"/>
          <cell r="O465"/>
          <cell r="P465"/>
          <cell r="Q465"/>
          <cell r="R465"/>
          <cell r="S465" t="b">
            <v>1</v>
          </cell>
          <cell r="T465" t="b">
            <v>1</v>
          </cell>
          <cell r="U465" t="b">
            <v>1</v>
          </cell>
          <cell r="V465"/>
          <cell r="W465"/>
          <cell r="X465"/>
          <cell r="Y465"/>
          <cell r="Z465"/>
          <cell r="AA465"/>
          <cell r="AB465"/>
          <cell r="AC465"/>
          <cell r="AD465"/>
          <cell r="AE465"/>
          <cell r="AF465"/>
          <cell r="AG465"/>
          <cell r="AH465"/>
          <cell r="AI465"/>
          <cell r="AJ465"/>
          <cell r="AK465"/>
          <cell r="AL465"/>
          <cell r="AM465"/>
          <cell r="AN465"/>
          <cell r="AO465"/>
          <cell r="AP465"/>
          <cell r="AQ465"/>
          <cell r="AR465"/>
          <cell r="AS465"/>
          <cell r="AT465"/>
          <cell r="AU465"/>
          <cell r="AV465"/>
          <cell r="AW465"/>
          <cell r="AX465"/>
          <cell r="AY465"/>
          <cell r="AZ465"/>
          <cell r="BA465"/>
          <cell r="BB465"/>
          <cell r="BC465"/>
          <cell r="BD465"/>
        </row>
        <row r="466">
          <cell r="A466" t="str">
            <v>Trims\Safety</v>
          </cell>
          <cell r="B466" t="str">
            <v>N</v>
          </cell>
          <cell r="C466" t="str">
            <v>N</v>
          </cell>
          <cell r="D466"/>
          <cell r="E466"/>
          <cell r="F466"/>
          <cell r="G466" t="str">
            <v>CN</v>
          </cell>
          <cell r="H466" t="str">
            <v>N</v>
          </cell>
          <cell r="I466"/>
          <cell r="J466"/>
          <cell r="K466"/>
          <cell r="L466"/>
          <cell r="M466"/>
          <cell r="N466"/>
          <cell r="O466"/>
          <cell r="P466"/>
          <cell r="Q466"/>
          <cell r="R466"/>
          <cell r="S466" t="b">
            <v>1</v>
          </cell>
          <cell r="T466" t="b">
            <v>1</v>
          </cell>
          <cell r="U466" t="b">
            <v>1</v>
          </cell>
          <cell r="V466"/>
          <cell r="W466"/>
          <cell r="X466"/>
          <cell r="Y466"/>
          <cell r="Z466"/>
          <cell r="AA466"/>
          <cell r="AB466"/>
          <cell r="AC466"/>
          <cell r="AD466"/>
          <cell r="AE466"/>
          <cell r="AF466"/>
          <cell r="AG466"/>
          <cell r="AH466"/>
          <cell r="AI466"/>
          <cell r="AJ466"/>
          <cell r="AK466"/>
          <cell r="AL466"/>
          <cell r="AM466"/>
          <cell r="AN466"/>
          <cell r="AO466"/>
          <cell r="AP466"/>
          <cell r="AQ466"/>
          <cell r="AR466"/>
          <cell r="AS466"/>
          <cell r="AT466"/>
          <cell r="AU466"/>
          <cell r="AV466"/>
          <cell r="AW466"/>
          <cell r="AX466"/>
          <cell r="AY466"/>
          <cell r="AZ466"/>
          <cell r="BA466"/>
          <cell r="BB466"/>
          <cell r="BC466"/>
          <cell r="BD466"/>
        </row>
        <row r="467">
          <cell r="A467" t="str">
            <v>SWDL_Loaders\Bootloader_Manager</v>
          </cell>
          <cell r="B467" t="str">
            <v>N</v>
          </cell>
          <cell r="C467" t="str">
            <v>Y</v>
          </cell>
          <cell r="D467"/>
          <cell r="E467"/>
          <cell r="F467"/>
          <cell r="G467" t="str">
            <v>CN</v>
          </cell>
          <cell r="H467" t="str">
            <v>N</v>
          </cell>
          <cell r="I467"/>
          <cell r="J467"/>
          <cell r="K467"/>
          <cell r="L467"/>
          <cell r="M467"/>
          <cell r="N467"/>
          <cell r="O467"/>
          <cell r="P467"/>
          <cell r="Q467"/>
          <cell r="R467"/>
          <cell r="S467" t="b">
            <v>1</v>
          </cell>
          <cell r="T467" t="b">
            <v>1</v>
          </cell>
          <cell r="U467" t="b">
            <v>1</v>
          </cell>
          <cell r="V467"/>
          <cell r="W467"/>
          <cell r="X467"/>
          <cell r="Y467"/>
          <cell r="Z467"/>
          <cell r="AA467"/>
          <cell r="AB467"/>
          <cell r="AC467"/>
          <cell r="AD467"/>
          <cell r="AE467"/>
          <cell r="AF467"/>
          <cell r="AG467"/>
          <cell r="AH467"/>
          <cell r="AI467"/>
          <cell r="AJ467"/>
          <cell r="AK467"/>
          <cell r="AL467"/>
          <cell r="AM467"/>
          <cell r="AN467"/>
          <cell r="AO467"/>
          <cell r="AP467"/>
          <cell r="AQ467"/>
          <cell r="AR467"/>
          <cell r="AS467"/>
          <cell r="AT467"/>
          <cell r="AU467"/>
          <cell r="AV467"/>
          <cell r="AW467"/>
          <cell r="AX467"/>
          <cell r="AY467"/>
          <cell r="AZ467"/>
          <cell r="BA467"/>
          <cell r="BB467"/>
          <cell r="BC467"/>
          <cell r="BD467"/>
        </row>
        <row r="468">
          <cell r="A468" t="str">
            <v>ACComms_CPU\Operating_Software\GenericA664_Source_ACComms\ACComms</v>
          </cell>
          <cell r="B468" t="str">
            <v>N</v>
          </cell>
          <cell r="C468" t="str">
            <v>Y</v>
          </cell>
          <cell r="D468"/>
          <cell r="E468"/>
          <cell r="F468"/>
          <cell r="G468" t="str">
            <v>CN</v>
          </cell>
          <cell r="H468" t="str">
            <v>N</v>
          </cell>
          <cell r="I468"/>
          <cell r="J468"/>
          <cell r="K468"/>
          <cell r="L468"/>
          <cell r="M468"/>
          <cell r="N468"/>
          <cell r="O468"/>
          <cell r="P468"/>
          <cell r="Q468"/>
          <cell r="R468"/>
          <cell r="S468" t="b">
            <v>1</v>
          </cell>
          <cell r="T468" t="b">
            <v>1</v>
          </cell>
          <cell r="U468" t="b">
            <v>1</v>
          </cell>
          <cell r="V468"/>
          <cell r="W468"/>
          <cell r="X468"/>
          <cell r="Y468"/>
          <cell r="Z468"/>
          <cell r="AA468"/>
          <cell r="AB468"/>
          <cell r="AC468"/>
          <cell r="AD468"/>
          <cell r="AE468"/>
          <cell r="AF468"/>
          <cell r="AG468"/>
          <cell r="AH468"/>
          <cell r="AI468"/>
          <cell r="AJ468"/>
          <cell r="AK468"/>
          <cell r="AL468"/>
          <cell r="AM468"/>
          <cell r="AN468"/>
          <cell r="AO468"/>
          <cell r="AP468"/>
          <cell r="AQ468"/>
          <cell r="AR468"/>
          <cell r="AS468"/>
          <cell r="AT468"/>
          <cell r="AU468"/>
          <cell r="AV468"/>
          <cell r="AW468"/>
          <cell r="AX468"/>
          <cell r="AY468"/>
          <cell r="AZ468"/>
          <cell r="BA468"/>
          <cell r="BB468"/>
          <cell r="BC468"/>
          <cell r="BD468"/>
        </row>
        <row r="469">
          <cell r="A469"/>
          <cell r="B469"/>
          <cell r="C469"/>
          <cell r="D469"/>
          <cell r="E469"/>
          <cell r="F469"/>
          <cell r="G469"/>
          <cell r="H469"/>
          <cell r="I469"/>
          <cell r="J469"/>
          <cell r="K469"/>
          <cell r="L469"/>
          <cell r="M469"/>
          <cell r="N469"/>
          <cell r="O469"/>
          <cell r="P469"/>
          <cell r="Q469"/>
          <cell r="R469"/>
          <cell r="S469"/>
          <cell r="T469"/>
          <cell r="U469"/>
          <cell r="V469">
            <v>1</v>
          </cell>
          <cell r="W469"/>
          <cell r="X469"/>
          <cell r="Y469"/>
          <cell r="Z469"/>
          <cell r="AA469"/>
          <cell r="AB469"/>
          <cell r="AC469"/>
          <cell r="AD469"/>
          <cell r="AE469"/>
          <cell r="AF469"/>
          <cell r="AG469"/>
          <cell r="AH469"/>
          <cell r="AI469"/>
          <cell r="AJ469"/>
          <cell r="AK469"/>
          <cell r="AL469"/>
          <cell r="AM469"/>
          <cell r="AN469"/>
          <cell r="AO469"/>
          <cell r="AP469"/>
          <cell r="AQ469"/>
          <cell r="AR469"/>
          <cell r="AS469"/>
          <cell r="AT469"/>
          <cell r="AU469"/>
          <cell r="AV469"/>
          <cell r="AW469"/>
          <cell r="AX469"/>
          <cell r="AY469"/>
          <cell r="AZ469"/>
          <cell r="BA469"/>
          <cell r="BB469"/>
          <cell r="BC469"/>
          <cell r="BD469"/>
        </row>
        <row r="470">
          <cell r="A470"/>
          <cell r="B470"/>
          <cell r="C470"/>
          <cell r="D470"/>
          <cell r="E470"/>
          <cell r="F470"/>
          <cell r="G470"/>
          <cell r="H470"/>
          <cell r="I470"/>
          <cell r="J470"/>
          <cell r="K470"/>
          <cell r="L470"/>
          <cell r="M470"/>
          <cell r="N470"/>
          <cell r="O470"/>
          <cell r="P470"/>
          <cell r="Q470"/>
          <cell r="R470"/>
          <cell r="V470"/>
          <cell r="W470"/>
          <cell r="X470"/>
          <cell r="Y470"/>
          <cell r="Z470"/>
          <cell r="AA470"/>
          <cell r="AB470"/>
          <cell r="AC470"/>
          <cell r="AD470"/>
          <cell r="AE470"/>
          <cell r="AF470"/>
          <cell r="AG470"/>
          <cell r="AH470"/>
          <cell r="AI470"/>
          <cell r="AJ470"/>
          <cell r="AK470"/>
          <cell r="AL470"/>
          <cell r="AM470"/>
          <cell r="AN470"/>
          <cell r="AO470"/>
          <cell r="AP470"/>
          <cell r="AQ470"/>
          <cell r="AR470"/>
          <cell r="AS470"/>
          <cell r="AT470"/>
          <cell r="AU470"/>
          <cell r="AV470"/>
          <cell r="AW470"/>
          <cell r="AY470"/>
          <cell r="AZ470"/>
          <cell r="BA470"/>
          <cell r="BB470"/>
          <cell r="BC470"/>
          <cell r="BD470"/>
        </row>
        <row r="471">
          <cell r="A471" t="str">
            <v>s</v>
          </cell>
          <cell r="B471"/>
          <cell r="C471"/>
          <cell r="D471"/>
          <cell r="E471"/>
          <cell r="F471"/>
          <cell r="G471"/>
          <cell r="H471"/>
          <cell r="I471"/>
          <cell r="J471"/>
          <cell r="K471"/>
          <cell r="L471"/>
          <cell r="M471"/>
          <cell r="N471"/>
          <cell r="O471"/>
          <cell r="P471"/>
          <cell r="Q471"/>
          <cell r="R471"/>
          <cell r="S471" t="b">
            <v>1</v>
          </cell>
          <cell r="T471" t="b">
            <v>1</v>
          </cell>
          <cell r="U471" t="b">
            <v>1</v>
          </cell>
          <cell r="V471"/>
          <cell r="W471"/>
          <cell r="X471"/>
          <cell r="Y471"/>
          <cell r="Z471"/>
          <cell r="AA471"/>
          <cell r="AB471"/>
          <cell r="AC471"/>
          <cell r="AD471"/>
          <cell r="AE471"/>
          <cell r="AF471"/>
          <cell r="AG471"/>
          <cell r="AH471"/>
          <cell r="AI471"/>
          <cell r="AJ471"/>
          <cell r="AK471"/>
          <cell r="AL471"/>
          <cell r="AM471"/>
          <cell r="AN471"/>
          <cell r="AO471"/>
          <cell r="AP471"/>
          <cell r="AQ471"/>
          <cell r="AR471"/>
          <cell r="AS471"/>
          <cell r="AT471"/>
          <cell r="AU471"/>
          <cell r="AV471"/>
          <cell r="AW471"/>
          <cell r="AX471"/>
          <cell r="AY471"/>
          <cell r="AZ471"/>
          <cell r="BA471"/>
          <cell r="BB471"/>
          <cell r="BC471"/>
          <cell r="BD471"/>
        </row>
        <row r="472">
          <cell r="A472" t="str">
            <v>% High Priority</v>
          </cell>
          <cell r="B472"/>
          <cell r="C472"/>
          <cell r="D472"/>
          <cell r="E472"/>
          <cell r="F472"/>
          <cell r="G472"/>
          <cell r="H472"/>
          <cell r="I472"/>
          <cell r="J472"/>
          <cell r="K472"/>
          <cell r="L472"/>
          <cell r="M472"/>
          <cell r="N472"/>
          <cell r="O472"/>
          <cell r="P472"/>
          <cell r="Q472"/>
          <cell r="R472"/>
          <cell r="S472" t="b">
            <v>1</v>
          </cell>
          <cell r="T472" t="b">
            <v>1</v>
          </cell>
          <cell r="U472" t="b">
            <v>1</v>
          </cell>
          <cell r="V472"/>
          <cell r="W472"/>
          <cell r="X472"/>
          <cell r="Y472"/>
          <cell r="Z472"/>
          <cell r="AA472"/>
          <cell r="AB472"/>
          <cell r="AC472"/>
          <cell r="AD472"/>
          <cell r="AE472"/>
          <cell r="AF472"/>
          <cell r="AG472"/>
          <cell r="AH472"/>
          <cell r="AI472"/>
          <cell r="AJ472"/>
          <cell r="AK472"/>
          <cell r="AL472"/>
          <cell r="AM472"/>
          <cell r="AN472"/>
          <cell r="AO472"/>
          <cell r="AP472"/>
          <cell r="AQ472"/>
          <cell r="AR472"/>
          <cell r="AS472"/>
          <cell r="AT472"/>
          <cell r="AU472"/>
          <cell r="AV472"/>
          <cell r="AW472"/>
          <cell r="AX472"/>
          <cell r="AY472"/>
          <cell r="AZ472"/>
          <cell r="BA472"/>
          <cell r="BB472"/>
          <cell r="BC472"/>
          <cell r="BD472"/>
        </row>
        <row r="473">
          <cell r="A473" t="str">
            <v>Timing Budget Document</v>
          </cell>
          <cell r="B473" t="str">
            <v>N</v>
          </cell>
          <cell r="C473" t="str">
            <v>N</v>
          </cell>
          <cell r="D473"/>
          <cell r="E473"/>
          <cell r="F473"/>
          <cell r="G473" t="str">
            <v>PH</v>
          </cell>
          <cell r="H473" t="str">
            <v>N</v>
          </cell>
          <cell r="I473"/>
          <cell r="J473"/>
          <cell r="K473"/>
          <cell r="L473"/>
          <cell r="M473"/>
          <cell r="N473"/>
          <cell r="O473"/>
          <cell r="P473"/>
          <cell r="Q473"/>
          <cell r="R473"/>
          <cell r="S473" t="b">
            <v>1</v>
          </cell>
          <cell r="T473" t="b">
            <v>1</v>
          </cell>
          <cell r="U473" t="b">
            <v>1</v>
          </cell>
          <cell r="V473"/>
          <cell r="W473"/>
          <cell r="X473"/>
          <cell r="Y473"/>
          <cell r="Z473"/>
          <cell r="AA473"/>
          <cell r="AB473"/>
          <cell r="AC473"/>
          <cell r="AD473"/>
          <cell r="AE473"/>
          <cell r="AF473"/>
          <cell r="AG473"/>
          <cell r="AH473"/>
          <cell r="AI473"/>
          <cell r="AJ473"/>
          <cell r="AK473"/>
          <cell r="AL473"/>
          <cell r="AM473"/>
          <cell r="AN473"/>
          <cell r="AO473"/>
          <cell r="AP473"/>
          <cell r="AQ473"/>
          <cell r="AR473"/>
          <cell r="AS473"/>
          <cell r="AT473"/>
          <cell r="AU473"/>
          <cell r="AV473"/>
          <cell r="AW473"/>
          <cell r="AX473"/>
          <cell r="AY473"/>
          <cell r="AZ473"/>
          <cell r="BA473"/>
          <cell r="BB473"/>
          <cell r="BC473"/>
          <cell r="BD473"/>
        </row>
        <row r="474">
          <cell r="A474" t="str">
            <v>Model Only Changes</v>
          </cell>
          <cell r="B474" t="str">
            <v>N</v>
          </cell>
          <cell r="C474" t="str">
            <v>N</v>
          </cell>
          <cell r="D474"/>
          <cell r="E474"/>
          <cell r="F474"/>
          <cell r="G474" t="str">
            <v>PH</v>
          </cell>
          <cell r="H474" t="str">
            <v>N</v>
          </cell>
          <cell r="I474"/>
          <cell r="J474"/>
          <cell r="K474"/>
          <cell r="L474"/>
          <cell r="M474"/>
          <cell r="N474"/>
          <cell r="O474"/>
          <cell r="P474"/>
          <cell r="Q474"/>
          <cell r="R474"/>
          <cell r="S474" t="b">
            <v>1</v>
          </cell>
          <cell r="T474" t="b">
            <v>1</v>
          </cell>
          <cell r="U474" t="b">
            <v>1</v>
          </cell>
          <cell r="V474"/>
          <cell r="W474"/>
          <cell r="X474"/>
          <cell r="Y474"/>
          <cell r="Z474"/>
          <cell r="AA474"/>
          <cell r="AB474"/>
          <cell r="AC474"/>
          <cell r="AD474"/>
          <cell r="AE474"/>
          <cell r="AF474"/>
          <cell r="AG474"/>
          <cell r="AH474"/>
          <cell r="AI474"/>
          <cell r="AJ474"/>
          <cell r="AK474"/>
          <cell r="AL474"/>
          <cell r="AM474"/>
          <cell r="AN474"/>
          <cell r="AO474"/>
          <cell r="AP474"/>
          <cell r="AQ474"/>
          <cell r="AR474"/>
          <cell r="AS474"/>
          <cell r="AT474"/>
          <cell r="AU474"/>
          <cell r="AV474"/>
          <cell r="AW474"/>
          <cell r="AX474"/>
          <cell r="AY474"/>
          <cell r="AZ474"/>
          <cell r="BA474"/>
          <cell r="BB474"/>
          <cell r="BC474"/>
          <cell r="BD474"/>
        </row>
        <row r="475">
          <cell r="A475" t="str">
            <v>OS Changes</v>
          </cell>
          <cell r="B475"/>
          <cell r="C475"/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/>
          <cell r="V475"/>
          <cell r="W475"/>
          <cell r="X475"/>
          <cell r="Y475"/>
          <cell r="Z475"/>
          <cell r="AA475"/>
          <cell r="AB475"/>
          <cell r="AC475"/>
          <cell r="AD475"/>
          <cell r="AE475"/>
          <cell r="AF475"/>
          <cell r="AG475"/>
          <cell r="AH475"/>
          <cell r="AP475"/>
          <cell r="AR475"/>
          <cell r="AT475"/>
          <cell r="AV475"/>
          <cell r="AX475"/>
          <cell r="AY475"/>
          <cell r="AZ475"/>
          <cell r="BA475"/>
          <cell r="BB475"/>
          <cell r="BC475"/>
          <cell r="BD475"/>
        </row>
        <row r="476">
          <cell r="A476"/>
          <cell r="B476"/>
          <cell r="C476"/>
          <cell r="D476"/>
          <cell r="E476"/>
          <cell r="F476"/>
          <cell r="G476"/>
          <cell r="H476"/>
          <cell r="I476"/>
          <cell r="J476"/>
          <cell r="K476"/>
          <cell r="L476"/>
          <cell r="M476"/>
          <cell r="N476"/>
          <cell r="O476"/>
          <cell r="P476"/>
          <cell r="Q476"/>
          <cell r="R476"/>
          <cell r="V476"/>
          <cell r="W476"/>
          <cell r="X476"/>
          <cell r="Y476"/>
          <cell r="Z476"/>
          <cell r="AA476"/>
          <cell r="AB476"/>
          <cell r="AC476"/>
          <cell r="AD476"/>
          <cell r="AE476"/>
          <cell r="AF476"/>
          <cell r="AG476"/>
          <cell r="AH476"/>
          <cell r="AP476"/>
          <cell r="AR476"/>
          <cell r="AT476"/>
          <cell r="AV476"/>
          <cell r="AX476"/>
        </row>
        <row r="477">
          <cell r="A477"/>
          <cell r="B477"/>
          <cell r="C477"/>
          <cell r="D477"/>
          <cell r="E477" t="str">
            <v>SW Drumbeat Week</v>
          </cell>
          <cell r="F477">
            <v>6</v>
          </cell>
          <cell r="G477" t="str">
            <v>of 6</v>
          </cell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/>
          <cell r="V477"/>
          <cell r="W477"/>
          <cell r="X477"/>
          <cell r="Y477"/>
          <cell r="Z477"/>
          <cell r="AA477"/>
          <cell r="AB477"/>
          <cell r="AC477"/>
          <cell r="AD477"/>
          <cell r="AE477"/>
          <cell r="AF477"/>
          <cell r="AG477"/>
          <cell r="AH477"/>
          <cell r="AP477"/>
          <cell r="AR477"/>
          <cell r="AT477"/>
          <cell r="AV477"/>
          <cell r="AX477"/>
        </row>
        <row r="478">
          <cell r="A478"/>
          <cell r="B478"/>
          <cell r="C478"/>
          <cell r="D478"/>
          <cell r="E478"/>
          <cell r="F478"/>
          <cell r="G478"/>
          <cell r="H478"/>
          <cell r="I478"/>
          <cell r="J478"/>
          <cell r="K478"/>
          <cell r="L478"/>
          <cell r="M478"/>
          <cell r="N478"/>
          <cell r="O478"/>
          <cell r="P478"/>
          <cell r="Q478"/>
          <cell r="R478"/>
          <cell r="V478"/>
          <cell r="W478"/>
          <cell r="X478"/>
          <cell r="Y478"/>
          <cell r="Z478"/>
          <cell r="AA478"/>
          <cell r="AB478"/>
          <cell r="AC478"/>
          <cell r="AD478"/>
          <cell r="AE478"/>
          <cell r="AF478"/>
          <cell r="AG478"/>
          <cell r="AH478"/>
          <cell r="AP478"/>
          <cell r="AR478"/>
          <cell r="AT478"/>
          <cell r="AV478"/>
          <cell r="AX478"/>
        </row>
        <row r="479">
          <cell r="A479"/>
          <cell r="B479"/>
          <cell r="C479"/>
          <cell r="D479"/>
          <cell r="E479"/>
          <cell r="F479"/>
          <cell r="G479"/>
          <cell r="H479"/>
          <cell r="I479"/>
          <cell r="J479"/>
          <cell r="K479"/>
          <cell r="L479"/>
          <cell r="M479"/>
          <cell r="N479"/>
          <cell r="O479"/>
          <cell r="P479"/>
          <cell r="Q479"/>
          <cell r="R479"/>
          <cell r="V479"/>
          <cell r="W479"/>
          <cell r="X479"/>
          <cell r="Y479"/>
          <cell r="Z479"/>
          <cell r="AA479"/>
          <cell r="AB479"/>
          <cell r="AC479"/>
          <cell r="AD479"/>
          <cell r="AE479"/>
          <cell r="AF479"/>
          <cell r="AG479"/>
          <cell r="AH479"/>
          <cell r="AP479"/>
          <cell r="AR479"/>
          <cell r="AT479"/>
          <cell r="AV479"/>
          <cell r="AX479"/>
        </row>
        <row r="480">
          <cell r="A480"/>
          <cell r="B480"/>
          <cell r="C480"/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/>
          <cell r="V480"/>
          <cell r="W480"/>
          <cell r="X480"/>
          <cell r="Y480"/>
          <cell r="Z480"/>
          <cell r="AA480"/>
          <cell r="AB480"/>
          <cell r="AC480"/>
          <cell r="AD480"/>
          <cell r="AE480"/>
          <cell r="AF480"/>
          <cell r="AG480"/>
          <cell r="AH480"/>
          <cell r="AP480"/>
          <cell r="AR480"/>
          <cell r="AT480"/>
          <cell r="AV480"/>
          <cell r="AX480"/>
        </row>
        <row r="481">
          <cell r="A481"/>
          <cell r="B481"/>
          <cell r="C481"/>
          <cell r="D481"/>
          <cell r="E481"/>
          <cell r="F481"/>
          <cell r="G481"/>
          <cell r="H481"/>
          <cell r="I481"/>
          <cell r="J481"/>
          <cell r="K481"/>
          <cell r="L481"/>
          <cell r="M481"/>
          <cell r="N481"/>
          <cell r="O481"/>
          <cell r="P481"/>
          <cell r="Q481"/>
          <cell r="R481"/>
          <cell r="V481"/>
          <cell r="W481"/>
          <cell r="X481"/>
          <cell r="Y481"/>
          <cell r="Z481"/>
          <cell r="AA481"/>
          <cell r="AB481"/>
          <cell r="AC481"/>
          <cell r="AD481"/>
          <cell r="AE481"/>
          <cell r="AF481"/>
          <cell r="AG481"/>
          <cell r="AH481"/>
          <cell r="AP481"/>
          <cell r="AR481"/>
          <cell r="AT481"/>
          <cell r="AV481"/>
          <cell r="AX481"/>
        </row>
        <row r="482">
          <cell r="A482"/>
          <cell r="B482"/>
          <cell r="C482"/>
          <cell r="D482"/>
          <cell r="E482" t="str">
            <v>Integ 1</v>
          </cell>
          <cell r="F482">
            <v>43187</v>
          </cell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/>
          <cell r="V482"/>
          <cell r="W482"/>
          <cell r="X482"/>
          <cell r="Y482"/>
          <cell r="Z482"/>
          <cell r="AA482"/>
          <cell r="AB482"/>
          <cell r="AC482"/>
          <cell r="AD482"/>
          <cell r="AE482"/>
          <cell r="AF482"/>
          <cell r="AG482"/>
          <cell r="AH482"/>
          <cell r="AP482"/>
          <cell r="AR482"/>
          <cell r="AT482"/>
          <cell r="AV482"/>
          <cell r="AX482"/>
          <cell r="BA482" t="str">
            <v xml:space="preserve"> </v>
          </cell>
        </row>
        <row r="483">
          <cell r="A483" t="str">
            <v>??</v>
          </cell>
          <cell r="B483"/>
          <cell r="C483"/>
          <cell r="D483"/>
          <cell r="E483" t="str">
            <v>Integ 2</v>
          </cell>
          <cell r="F483">
            <v>43201</v>
          </cell>
          <cell r="G483">
            <v>0</v>
          </cell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/>
          <cell r="V483"/>
          <cell r="W483"/>
          <cell r="X483"/>
          <cell r="Y483"/>
          <cell r="Z483"/>
          <cell r="AA483"/>
          <cell r="AB483"/>
          <cell r="AC483"/>
          <cell r="AD483"/>
          <cell r="AE483"/>
          <cell r="AF483"/>
          <cell r="AG483"/>
          <cell r="AH483"/>
          <cell r="AP483"/>
          <cell r="AR483"/>
          <cell r="AT483"/>
          <cell r="AV483"/>
          <cell r="AX483"/>
        </row>
        <row r="484">
          <cell r="A484" t="str">
            <v>Framework</v>
          </cell>
          <cell r="B484"/>
          <cell r="C484"/>
          <cell r="D484"/>
          <cell r="E484" t="str">
            <v>Integ 3</v>
          </cell>
          <cell r="F484" t="str">
            <v>TBD</v>
          </cell>
          <cell r="G484">
            <v>0</v>
          </cell>
          <cell r="H484"/>
          <cell r="I484"/>
          <cell r="J484"/>
          <cell r="K484"/>
          <cell r="L484"/>
          <cell r="M484"/>
          <cell r="N484"/>
          <cell r="O484"/>
          <cell r="P484"/>
          <cell r="Q484"/>
          <cell r="R484"/>
          <cell r="V484"/>
          <cell r="W484"/>
          <cell r="X484"/>
          <cell r="Y484"/>
          <cell r="Z484"/>
          <cell r="AA484"/>
          <cell r="AB484"/>
          <cell r="AC484"/>
          <cell r="AD484"/>
          <cell r="AE484"/>
          <cell r="AF484"/>
          <cell r="AG484"/>
          <cell r="AH484"/>
          <cell r="AP484"/>
          <cell r="AR484"/>
          <cell r="AT484"/>
          <cell r="AV484"/>
          <cell r="AX484"/>
        </row>
        <row r="485">
          <cell r="A485" t="str">
            <v>High</v>
          </cell>
          <cell r="B485"/>
          <cell r="C485"/>
          <cell r="D485"/>
          <cell r="E485" t="str">
            <v>Formal Build</v>
          </cell>
          <cell r="F485">
            <v>43224</v>
          </cell>
          <cell r="G485">
            <v>0</v>
          </cell>
          <cell r="H485"/>
          <cell r="I485"/>
          <cell r="J485"/>
          <cell r="K485"/>
          <cell r="L485"/>
          <cell r="M485"/>
          <cell r="N485"/>
          <cell r="O485"/>
          <cell r="P485"/>
          <cell r="Q485"/>
          <cell r="R485"/>
          <cell r="V485"/>
          <cell r="W485"/>
          <cell r="X485"/>
          <cell r="Y485"/>
          <cell r="Z485"/>
          <cell r="AA485"/>
          <cell r="AB485"/>
          <cell r="AC485"/>
          <cell r="AD485"/>
          <cell r="AE485"/>
          <cell r="AF485"/>
          <cell r="AG485"/>
          <cell r="AH485"/>
          <cell r="AP485"/>
          <cell r="AR485"/>
          <cell r="AT485"/>
          <cell r="AV485"/>
          <cell r="AX485"/>
        </row>
        <row r="486">
          <cell r="A486" t="str">
            <v>Low</v>
          </cell>
          <cell r="B486"/>
          <cell r="C486"/>
          <cell r="D486"/>
          <cell r="E486"/>
          <cell r="F486"/>
          <cell r="G486">
            <v>0</v>
          </cell>
          <cell r="H486"/>
          <cell r="I486"/>
          <cell r="J486"/>
          <cell r="K486"/>
          <cell r="L486"/>
          <cell r="M486"/>
          <cell r="N486"/>
          <cell r="O486"/>
          <cell r="P486"/>
          <cell r="Q486"/>
          <cell r="R486"/>
          <cell r="V486"/>
          <cell r="W486"/>
          <cell r="X486"/>
          <cell r="Y486"/>
          <cell r="Z486"/>
          <cell r="AA486"/>
          <cell r="AB486"/>
          <cell r="AC486"/>
          <cell r="AD486"/>
          <cell r="AE486"/>
          <cell r="AF486"/>
          <cell r="AG486"/>
          <cell r="AH486"/>
          <cell r="AP486"/>
          <cell r="AR486"/>
          <cell r="AT486"/>
          <cell r="AV486"/>
          <cell r="AX486"/>
        </row>
        <row r="487">
          <cell r="A487" t="str">
            <v>Medium</v>
          </cell>
          <cell r="B487"/>
          <cell r="C487"/>
          <cell r="D487"/>
          <cell r="E487"/>
          <cell r="F487"/>
          <cell r="G487">
            <v>0</v>
          </cell>
          <cell r="H487"/>
          <cell r="I487"/>
          <cell r="J487"/>
          <cell r="K487"/>
          <cell r="L487"/>
          <cell r="M487"/>
          <cell r="N487"/>
          <cell r="O487"/>
          <cell r="P487"/>
          <cell r="Q487"/>
          <cell r="R487"/>
          <cell r="V487"/>
          <cell r="W487"/>
          <cell r="X487"/>
          <cell r="Y487"/>
          <cell r="Z487"/>
          <cell r="AA487"/>
          <cell r="AB487"/>
          <cell r="AC487"/>
          <cell r="AD487"/>
          <cell r="AE487"/>
          <cell r="AF487"/>
          <cell r="AG487"/>
          <cell r="AH487"/>
          <cell r="AP487"/>
          <cell r="AR487"/>
          <cell r="AT487"/>
          <cell r="AV487"/>
          <cell r="AX487"/>
        </row>
        <row r="488">
          <cell r="A488"/>
          <cell r="B488"/>
          <cell r="C488"/>
          <cell r="D488"/>
          <cell r="E488"/>
          <cell r="F488"/>
          <cell r="G488"/>
          <cell r="H488"/>
          <cell r="I488"/>
          <cell r="J488"/>
          <cell r="K488"/>
          <cell r="L488"/>
          <cell r="M488"/>
          <cell r="N488"/>
          <cell r="O488"/>
          <cell r="P488"/>
          <cell r="Q488"/>
          <cell r="R488"/>
          <cell r="V488"/>
          <cell r="W488"/>
          <cell r="X488"/>
          <cell r="Y488"/>
          <cell r="Z488"/>
          <cell r="AA488"/>
          <cell r="AB488"/>
          <cell r="AC488"/>
          <cell r="AD488"/>
          <cell r="AE488"/>
          <cell r="AF488"/>
          <cell r="AG488"/>
          <cell r="AH488"/>
          <cell r="AP488"/>
          <cell r="AR488"/>
          <cell r="AT488"/>
          <cell r="AV488"/>
          <cell r="AX488"/>
        </row>
        <row r="489">
          <cell r="A489"/>
          <cell r="B489"/>
          <cell r="C489"/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/>
          <cell r="W489"/>
          <cell r="X489"/>
          <cell r="Y489"/>
          <cell r="Z489"/>
          <cell r="AA489"/>
          <cell r="AB489"/>
          <cell r="AC489"/>
          <cell r="AD489"/>
          <cell r="AE489"/>
          <cell r="AF489"/>
          <cell r="AG489"/>
          <cell r="AH489"/>
          <cell r="AP489"/>
          <cell r="AR489"/>
          <cell r="AT489"/>
          <cell r="AV489"/>
          <cell r="AX489"/>
        </row>
        <row r="490">
          <cell r="A490"/>
          <cell r="B490"/>
          <cell r="C490"/>
          <cell r="D490"/>
          <cell r="E490"/>
          <cell r="F490"/>
          <cell r="G490"/>
          <cell r="H490"/>
          <cell r="I490"/>
          <cell r="J490"/>
          <cell r="K490"/>
          <cell r="L490"/>
          <cell r="M490"/>
          <cell r="N490"/>
          <cell r="O490"/>
          <cell r="P490"/>
          <cell r="Q490"/>
          <cell r="R490"/>
          <cell r="W490"/>
          <cell r="X490"/>
          <cell r="Y490"/>
          <cell r="Z490"/>
          <cell r="AA490"/>
          <cell r="AB490"/>
          <cell r="AC490"/>
          <cell r="AD490"/>
          <cell r="AE490"/>
          <cell r="AF490"/>
          <cell r="AG490"/>
          <cell r="AH490"/>
          <cell r="AP490"/>
          <cell r="AR490"/>
          <cell r="AT490"/>
          <cell r="AV490"/>
          <cell r="AX490"/>
        </row>
        <row r="491">
          <cell r="A491"/>
          <cell r="B491"/>
          <cell r="C491"/>
          <cell r="D491"/>
          <cell r="E491"/>
          <cell r="F491"/>
          <cell r="G491"/>
          <cell r="H491"/>
          <cell r="I491"/>
          <cell r="J491"/>
          <cell r="K491"/>
          <cell r="L491"/>
          <cell r="M491"/>
          <cell r="N491"/>
          <cell r="O491"/>
          <cell r="P491"/>
          <cell r="Q491"/>
          <cell r="R491"/>
          <cell r="W491"/>
          <cell r="X491"/>
          <cell r="Y491"/>
          <cell r="Z491"/>
          <cell r="AA491"/>
          <cell r="AB491"/>
          <cell r="AC491"/>
          <cell r="AD491"/>
          <cell r="AE491"/>
          <cell r="AF491"/>
          <cell r="AG491"/>
          <cell r="AH491"/>
          <cell r="AP491"/>
          <cell r="AR491"/>
          <cell r="AT491"/>
          <cell r="AV491"/>
          <cell r="AX491"/>
        </row>
        <row r="492">
          <cell r="A492"/>
          <cell r="B492"/>
          <cell r="C492"/>
          <cell r="D492"/>
          <cell r="E492"/>
          <cell r="F492"/>
          <cell r="G492"/>
          <cell r="H492"/>
          <cell r="I492"/>
          <cell r="J492"/>
          <cell r="K492"/>
          <cell r="L492"/>
          <cell r="M492"/>
          <cell r="N492"/>
          <cell r="O492"/>
          <cell r="P492"/>
          <cell r="Q492"/>
          <cell r="R492"/>
          <cell r="W492"/>
          <cell r="X492"/>
          <cell r="Y492"/>
          <cell r="Z492"/>
          <cell r="AA492"/>
          <cell r="AB492"/>
          <cell r="AC492"/>
          <cell r="AD492"/>
          <cell r="AE492"/>
          <cell r="AF492"/>
          <cell r="AG492"/>
          <cell r="AH492"/>
          <cell r="AP492"/>
          <cell r="AR492"/>
          <cell r="AT492"/>
          <cell r="AV492"/>
          <cell r="AX492"/>
        </row>
        <row r="493">
          <cell r="A493"/>
          <cell r="B493"/>
          <cell r="C493"/>
          <cell r="D493"/>
          <cell r="E493"/>
          <cell r="F493"/>
          <cell r="G493"/>
          <cell r="H493"/>
          <cell r="I493"/>
          <cell r="J493"/>
          <cell r="K493"/>
          <cell r="L493"/>
          <cell r="M493"/>
          <cell r="N493"/>
          <cell r="O493"/>
          <cell r="P493"/>
          <cell r="Q493"/>
          <cell r="R493"/>
          <cell r="W493"/>
          <cell r="X493"/>
          <cell r="Y493"/>
          <cell r="Z493"/>
          <cell r="AA493"/>
          <cell r="AB493"/>
          <cell r="AC493"/>
          <cell r="AD493"/>
          <cell r="AE493"/>
          <cell r="AF493"/>
          <cell r="AG493"/>
          <cell r="AH493"/>
          <cell r="AP493"/>
          <cell r="AR493"/>
          <cell r="AT493"/>
          <cell r="AV493"/>
          <cell r="AX493"/>
        </row>
        <row r="494">
          <cell r="A494"/>
          <cell r="B494"/>
          <cell r="C494"/>
          <cell r="D494"/>
          <cell r="E494"/>
          <cell r="F494"/>
          <cell r="G494"/>
          <cell r="H494"/>
          <cell r="I494"/>
          <cell r="J494"/>
          <cell r="K494"/>
          <cell r="L494"/>
          <cell r="M494"/>
          <cell r="N494"/>
          <cell r="O494"/>
          <cell r="P494"/>
          <cell r="Q494"/>
          <cell r="R494"/>
          <cell r="W494"/>
          <cell r="X494"/>
          <cell r="Y494"/>
          <cell r="Z494"/>
          <cell r="AA494"/>
          <cell r="AB494"/>
          <cell r="AC494"/>
          <cell r="AD494"/>
          <cell r="AE494"/>
          <cell r="AF494"/>
          <cell r="AG494"/>
          <cell r="AH494"/>
          <cell r="AP494"/>
          <cell r="AR494"/>
          <cell r="AT494"/>
          <cell r="AV494"/>
          <cell r="AX494"/>
        </row>
        <row r="495">
          <cell r="A495"/>
          <cell r="B495"/>
          <cell r="C495"/>
          <cell r="D495"/>
          <cell r="E495"/>
          <cell r="F495"/>
          <cell r="G495"/>
          <cell r="H495"/>
          <cell r="I495"/>
          <cell r="J495"/>
          <cell r="K495"/>
          <cell r="L495"/>
          <cell r="M495"/>
          <cell r="N495"/>
          <cell r="O495"/>
          <cell r="P495"/>
          <cell r="Q495"/>
          <cell r="R495"/>
          <cell r="W495"/>
          <cell r="X495"/>
          <cell r="Y495"/>
          <cell r="Z495"/>
          <cell r="AA495"/>
          <cell r="AB495"/>
          <cell r="AC495"/>
          <cell r="AD495"/>
          <cell r="AE495"/>
          <cell r="AF495"/>
          <cell r="AG495"/>
          <cell r="AH495"/>
          <cell r="AP495"/>
          <cell r="AR495"/>
          <cell r="AT495"/>
          <cell r="AV495"/>
          <cell r="AX495"/>
        </row>
        <row r="496">
          <cell r="A496"/>
          <cell r="B496"/>
          <cell r="C496"/>
          <cell r="D496"/>
          <cell r="E496"/>
          <cell r="F496"/>
          <cell r="G496"/>
          <cell r="H496"/>
          <cell r="I496"/>
          <cell r="J496"/>
          <cell r="K496"/>
          <cell r="L496"/>
          <cell r="M496"/>
          <cell r="N496"/>
          <cell r="O496"/>
          <cell r="P496"/>
          <cell r="Q496"/>
          <cell r="R496"/>
          <cell r="W496"/>
          <cell r="X496"/>
          <cell r="Y496"/>
          <cell r="Z496"/>
          <cell r="AA496"/>
          <cell r="AB496"/>
          <cell r="AC496"/>
          <cell r="AD496"/>
          <cell r="AE496"/>
          <cell r="AF496"/>
          <cell r="AG496"/>
          <cell r="AH496"/>
          <cell r="AP496"/>
          <cell r="AR496"/>
          <cell r="AT496"/>
          <cell r="AV496"/>
          <cell r="AX496"/>
        </row>
        <row r="497">
          <cell r="A497"/>
          <cell r="B497"/>
          <cell r="C497"/>
          <cell r="D497"/>
          <cell r="E497"/>
          <cell r="F497"/>
          <cell r="G497"/>
          <cell r="H497"/>
          <cell r="I497"/>
          <cell r="J497"/>
          <cell r="K497"/>
          <cell r="L497"/>
          <cell r="M497"/>
          <cell r="N497"/>
          <cell r="O497"/>
          <cell r="P497"/>
          <cell r="Q497"/>
          <cell r="R497"/>
          <cell r="W497"/>
          <cell r="X497"/>
          <cell r="Y497"/>
          <cell r="Z497"/>
          <cell r="AA497"/>
          <cell r="AB497"/>
          <cell r="AC497"/>
          <cell r="AD497"/>
          <cell r="AE497"/>
          <cell r="AF497"/>
          <cell r="AG497"/>
          <cell r="AH497"/>
          <cell r="AP497"/>
          <cell r="AR497"/>
          <cell r="AT497"/>
          <cell r="AV497"/>
          <cell r="AX497"/>
        </row>
        <row r="498">
          <cell r="A498"/>
          <cell r="B498"/>
          <cell r="C498"/>
          <cell r="D498"/>
          <cell r="E498"/>
          <cell r="F498"/>
          <cell r="G498"/>
          <cell r="H498"/>
          <cell r="I498"/>
          <cell r="J498"/>
          <cell r="K498"/>
          <cell r="L498"/>
          <cell r="M498"/>
          <cell r="N498"/>
          <cell r="O498"/>
          <cell r="P498"/>
          <cell r="Q498"/>
          <cell r="R498"/>
          <cell r="W498"/>
          <cell r="X498"/>
          <cell r="Y498"/>
          <cell r="Z498"/>
          <cell r="AA498"/>
          <cell r="AB498"/>
          <cell r="AC498"/>
          <cell r="AD498"/>
          <cell r="AE498"/>
          <cell r="AF498"/>
          <cell r="AG498"/>
          <cell r="AH498"/>
          <cell r="AP498"/>
          <cell r="AR498"/>
          <cell r="AT498"/>
          <cell r="AV498"/>
          <cell r="AX498"/>
        </row>
        <row r="499">
          <cell r="A499"/>
          <cell r="B499"/>
          <cell r="C499"/>
          <cell r="D499"/>
          <cell r="E499"/>
          <cell r="F499"/>
          <cell r="G499"/>
          <cell r="H499"/>
          <cell r="I499"/>
          <cell r="J499"/>
          <cell r="K499"/>
          <cell r="L499"/>
          <cell r="M499"/>
          <cell r="N499"/>
          <cell r="O499"/>
          <cell r="P499"/>
          <cell r="Q499"/>
          <cell r="R499"/>
          <cell r="W499"/>
          <cell r="X499"/>
          <cell r="Y499"/>
          <cell r="Z499"/>
          <cell r="AA499"/>
          <cell r="AB499"/>
          <cell r="AC499"/>
          <cell r="AD499"/>
          <cell r="AE499"/>
          <cell r="AF499"/>
          <cell r="AG499"/>
          <cell r="AH499"/>
          <cell r="AP499"/>
          <cell r="AR499"/>
          <cell r="AT499"/>
          <cell r="AV499"/>
          <cell r="AX499"/>
        </row>
        <row r="500">
          <cell r="A500"/>
          <cell r="B500"/>
          <cell r="C500"/>
          <cell r="D500"/>
          <cell r="E500"/>
          <cell r="F500"/>
          <cell r="G500"/>
          <cell r="H500"/>
          <cell r="I500"/>
          <cell r="J500"/>
          <cell r="K500"/>
          <cell r="L500"/>
          <cell r="M500"/>
          <cell r="N500"/>
          <cell r="O500"/>
          <cell r="P500"/>
          <cell r="Q500"/>
          <cell r="R500"/>
          <cell r="W500"/>
          <cell r="X500"/>
          <cell r="Y500"/>
          <cell r="Z500"/>
          <cell r="AA500"/>
          <cell r="AB500"/>
          <cell r="AC500"/>
          <cell r="AD500"/>
          <cell r="AE500"/>
          <cell r="AF500"/>
          <cell r="AG500"/>
          <cell r="AH500"/>
          <cell r="AP500"/>
          <cell r="AR500"/>
          <cell r="AT500"/>
          <cell r="AV500"/>
          <cell r="AX500"/>
        </row>
        <row r="501">
          <cell r="A501"/>
          <cell r="B501"/>
          <cell r="C501"/>
          <cell r="D501"/>
          <cell r="E501"/>
          <cell r="F501"/>
          <cell r="G501"/>
          <cell r="H501"/>
          <cell r="I501"/>
          <cell r="J501"/>
          <cell r="K501"/>
          <cell r="L501"/>
          <cell r="M501"/>
          <cell r="N501"/>
          <cell r="O501"/>
          <cell r="P501"/>
          <cell r="Q501"/>
          <cell r="R501"/>
          <cell r="W501"/>
          <cell r="X501"/>
          <cell r="Y501"/>
          <cell r="Z501"/>
          <cell r="AA501"/>
          <cell r="AB501"/>
          <cell r="AC501"/>
          <cell r="AD501"/>
          <cell r="AE501"/>
          <cell r="AF501"/>
          <cell r="AG501"/>
          <cell r="AH501"/>
          <cell r="AP501"/>
          <cell r="AR501"/>
          <cell r="AT501"/>
          <cell r="AV501"/>
          <cell r="AX501"/>
        </row>
        <row r="502">
          <cell r="A502"/>
          <cell r="B502"/>
          <cell r="C502"/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/>
          <cell r="W502"/>
          <cell r="X502"/>
          <cell r="Y502"/>
          <cell r="Z502"/>
          <cell r="AA502"/>
          <cell r="AB502"/>
          <cell r="AC502"/>
          <cell r="AD502"/>
          <cell r="AE502"/>
          <cell r="AF502"/>
          <cell r="AG502"/>
          <cell r="AH502"/>
          <cell r="AP502"/>
          <cell r="AR502"/>
          <cell r="AT502"/>
          <cell r="AV502"/>
          <cell r="AX502"/>
        </row>
        <row r="503">
          <cell r="A503"/>
          <cell r="B503"/>
          <cell r="C503"/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/>
          <cell r="W503"/>
          <cell r="X503"/>
          <cell r="Y503"/>
          <cell r="Z503"/>
          <cell r="AA503"/>
          <cell r="AB503"/>
          <cell r="AC503"/>
          <cell r="AD503"/>
          <cell r="AE503"/>
          <cell r="AF503"/>
          <cell r="AG503"/>
          <cell r="AH503"/>
          <cell r="AP503"/>
          <cell r="AR503"/>
          <cell r="AT503"/>
          <cell r="AV503"/>
          <cell r="AX503"/>
        </row>
        <row r="504">
          <cell r="A504"/>
          <cell r="B504"/>
          <cell r="C504"/>
          <cell r="D504"/>
          <cell r="E504"/>
          <cell r="F504"/>
          <cell r="G504"/>
          <cell r="H504"/>
          <cell r="I504"/>
          <cell r="J504"/>
          <cell r="K504"/>
          <cell r="L504"/>
          <cell r="M504"/>
          <cell r="N504"/>
          <cell r="O504"/>
          <cell r="P504"/>
          <cell r="Q504"/>
          <cell r="R504"/>
          <cell r="W504"/>
          <cell r="X504"/>
          <cell r="Y504"/>
          <cell r="Z504"/>
          <cell r="AA504"/>
          <cell r="AB504"/>
          <cell r="AC504"/>
          <cell r="AD504"/>
          <cell r="AE504"/>
          <cell r="AF504"/>
          <cell r="AG504"/>
          <cell r="AH504"/>
          <cell r="AP504"/>
          <cell r="AR504"/>
          <cell r="AT504"/>
          <cell r="AV504"/>
          <cell r="AX504"/>
        </row>
        <row r="505">
          <cell r="A505"/>
          <cell r="B505"/>
          <cell r="C505"/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/>
          <cell r="W505"/>
          <cell r="X505"/>
          <cell r="Y505"/>
          <cell r="Z505"/>
          <cell r="AA505"/>
          <cell r="AB505"/>
          <cell r="AC505"/>
          <cell r="AD505"/>
          <cell r="AE505"/>
          <cell r="AF505"/>
          <cell r="AG505"/>
          <cell r="AH505"/>
          <cell r="AP505"/>
          <cell r="AR505"/>
          <cell r="AT505"/>
          <cell r="AV505"/>
          <cell r="AX505"/>
        </row>
        <row r="506">
          <cell r="A506"/>
          <cell r="B506"/>
          <cell r="C506"/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/>
          <cell r="W506"/>
          <cell r="X506"/>
          <cell r="Y506"/>
          <cell r="Z506"/>
          <cell r="AA506"/>
          <cell r="AB506"/>
          <cell r="AC506"/>
          <cell r="AD506"/>
          <cell r="AE506"/>
          <cell r="AF506"/>
          <cell r="AG506"/>
          <cell r="AH506"/>
          <cell r="AP506"/>
          <cell r="AR506"/>
          <cell r="AT506"/>
          <cell r="AV506"/>
          <cell r="AX506"/>
        </row>
        <row r="507">
          <cell r="A507"/>
          <cell r="B507"/>
          <cell r="C507"/>
          <cell r="D507"/>
          <cell r="E507"/>
          <cell r="F507"/>
          <cell r="G507"/>
          <cell r="H507"/>
          <cell r="I507"/>
          <cell r="J507"/>
          <cell r="K507"/>
          <cell r="L507"/>
          <cell r="M507"/>
          <cell r="N507"/>
          <cell r="O507"/>
          <cell r="P507"/>
          <cell r="Q507"/>
          <cell r="R507"/>
          <cell r="W507"/>
          <cell r="X507"/>
          <cell r="Y507"/>
          <cell r="Z507"/>
          <cell r="AA507"/>
          <cell r="AB507"/>
          <cell r="AC507"/>
          <cell r="AD507"/>
          <cell r="AE507"/>
          <cell r="AF507"/>
          <cell r="AG507"/>
          <cell r="AH507"/>
          <cell r="AP507"/>
          <cell r="AR507"/>
          <cell r="AT507"/>
          <cell r="AV507"/>
          <cell r="AX507"/>
        </row>
        <row r="508">
          <cell r="A508"/>
          <cell r="B508"/>
          <cell r="C508"/>
          <cell r="D508"/>
          <cell r="E508"/>
          <cell r="F508"/>
          <cell r="G508"/>
          <cell r="H508"/>
          <cell r="I508"/>
          <cell r="J508"/>
          <cell r="K508"/>
          <cell r="L508"/>
          <cell r="M508"/>
          <cell r="N508"/>
          <cell r="O508"/>
          <cell r="P508"/>
          <cell r="Q508"/>
          <cell r="R508"/>
          <cell r="W508"/>
          <cell r="X508"/>
          <cell r="Y508"/>
          <cell r="Z508"/>
          <cell r="AA508"/>
          <cell r="AB508"/>
          <cell r="AC508"/>
          <cell r="AD508"/>
          <cell r="AE508"/>
          <cell r="AF508"/>
          <cell r="AG508"/>
          <cell r="AH508"/>
          <cell r="AP508"/>
          <cell r="AR508"/>
          <cell r="AT508"/>
          <cell r="AV508"/>
          <cell r="AX508"/>
        </row>
        <row r="509">
          <cell r="A509"/>
          <cell r="B509"/>
          <cell r="C509"/>
          <cell r="D509"/>
          <cell r="E509"/>
          <cell r="F509"/>
          <cell r="G509"/>
          <cell r="H509"/>
          <cell r="I509"/>
          <cell r="J509"/>
          <cell r="K509"/>
          <cell r="L509"/>
          <cell r="M509"/>
          <cell r="N509"/>
          <cell r="O509"/>
          <cell r="P509"/>
          <cell r="Q509"/>
          <cell r="R509"/>
          <cell r="W509"/>
          <cell r="X509"/>
          <cell r="Y509"/>
          <cell r="Z509"/>
          <cell r="AA509"/>
          <cell r="AB509"/>
          <cell r="AC509"/>
          <cell r="AD509"/>
          <cell r="AE509"/>
          <cell r="AF509"/>
          <cell r="AG509"/>
          <cell r="AH509"/>
          <cell r="AP509"/>
          <cell r="AR509"/>
          <cell r="AT509"/>
          <cell r="AV509"/>
          <cell r="AX509"/>
        </row>
        <row r="510">
          <cell r="A510"/>
          <cell r="B510"/>
          <cell r="C510"/>
          <cell r="D510"/>
          <cell r="E510"/>
          <cell r="F510"/>
          <cell r="G510"/>
          <cell r="H510"/>
          <cell r="I510"/>
          <cell r="J510"/>
          <cell r="K510"/>
          <cell r="L510"/>
          <cell r="M510"/>
          <cell r="N510"/>
          <cell r="O510"/>
          <cell r="P510"/>
          <cell r="Q510"/>
          <cell r="R510"/>
          <cell r="W510"/>
          <cell r="X510"/>
          <cell r="Y510"/>
          <cell r="Z510"/>
          <cell r="AA510"/>
          <cell r="AB510"/>
          <cell r="AC510"/>
          <cell r="AD510"/>
          <cell r="AE510"/>
          <cell r="AF510"/>
          <cell r="AG510"/>
          <cell r="AH510"/>
          <cell r="AP510"/>
          <cell r="AR510"/>
          <cell r="AT510"/>
          <cell r="AV510"/>
          <cell r="AX510"/>
        </row>
        <row r="511">
          <cell r="A511"/>
          <cell r="B511"/>
          <cell r="C511"/>
          <cell r="D511"/>
          <cell r="E511"/>
          <cell r="F511"/>
          <cell r="G511"/>
          <cell r="H511"/>
          <cell r="I511"/>
          <cell r="J511"/>
          <cell r="K511"/>
          <cell r="L511"/>
          <cell r="M511"/>
          <cell r="N511"/>
          <cell r="O511"/>
          <cell r="P511"/>
          <cell r="Q511"/>
          <cell r="R511"/>
          <cell r="W511"/>
          <cell r="X511"/>
          <cell r="Y511"/>
          <cell r="Z511"/>
          <cell r="AA511"/>
          <cell r="AB511"/>
          <cell r="AC511"/>
          <cell r="AD511"/>
          <cell r="AE511"/>
          <cell r="AF511"/>
          <cell r="AG511"/>
          <cell r="AH511"/>
          <cell r="AP511"/>
          <cell r="AR511"/>
          <cell r="AT511"/>
          <cell r="AV511"/>
          <cell r="AX511"/>
        </row>
        <row r="512">
          <cell r="A512"/>
          <cell r="B512"/>
          <cell r="C512"/>
          <cell r="D512"/>
          <cell r="E512"/>
          <cell r="F512"/>
          <cell r="G512"/>
          <cell r="H512"/>
          <cell r="I512"/>
          <cell r="J512"/>
          <cell r="K512"/>
          <cell r="L512"/>
          <cell r="M512"/>
          <cell r="N512"/>
          <cell r="O512"/>
          <cell r="P512"/>
          <cell r="Q512"/>
          <cell r="R512"/>
          <cell r="W512"/>
          <cell r="X512"/>
          <cell r="Y512"/>
          <cell r="Z512"/>
          <cell r="AA512"/>
          <cell r="AB512"/>
          <cell r="AC512"/>
          <cell r="AD512"/>
          <cell r="AE512"/>
          <cell r="AF512"/>
          <cell r="AG512"/>
          <cell r="AH512"/>
          <cell r="AP512"/>
          <cell r="AR512"/>
          <cell r="AT512"/>
          <cell r="AV512"/>
          <cell r="AX512"/>
        </row>
        <row r="513">
          <cell r="A513"/>
          <cell r="B513"/>
          <cell r="C513"/>
          <cell r="D513"/>
          <cell r="E513"/>
          <cell r="F513"/>
          <cell r="G513"/>
          <cell r="H513"/>
          <cell r="I513"/>
          <cell r="J513"/>
          <cell r="K513"/>
          <cell r="L513"/>
          <cell r="M513"/>
          <cell r="N513"/>
          <cell r="O513"/>
          <cell r="P513"/>
          <cell r="Q513"/>
          <cell r="R513"/>
          <cell r="W513"/>
          <cell r="X513"/>
          <cell r="Y513"/>
          <cell r="Z513"/>
          <cell r="AA513"/>
          <cell r="AB513"/>
          <cell r="AC513"/>
          <cell r="AD513"/>
          <cell r="AE513"/>
          <cell r="AF513"/>
          <cell r="AG513"/>
          <cell r="AH513"/>
          <cell r="AP513"/>
          <cell r="AR513"/>
          <cell r="AT513"/>
          <cell r="AV513"/>
          <cell r="AX513"/>
        </row>
        <row r="514">
          <cell r="A514"/>
          <cell r="B514"/>
          <cell r="C514"/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/>
          <cell r="W514"/>
          <cell r="X514"/>
          <cell r="Y514"/>
          <cell r="Z514"/>
          <cell r="AA514"/>
          <cell r="AB514"/>
          <cell r="AC514"/>
          <cell r="AD514"/>
          <cell r="AE514"/>
          <cell r="AF514"/>
          <cell r="AG514"/>
          <cell r="AH514"/>
          <cell r="AP514"/>
          <cell r="AR514"/>
          <cell r="AT514"/>
          <cell r="AV514"/>
          <cell r="AX514"/>
        </row>
        <row r="515">
          <cell r="A515"/>
          <cell r="B515"/>
          <cell r="C515"/>
          <cell r="D515"/>
          <cell r="E515"/>
          <cell r="F515"/>
          <cell r="G515"/>
          <cell r="H515"/>
          <cell r="I515"/>
          <cell r="J515"/>
          <cell r="K515"/>
          <cell r="L515"/>
          <cell r="M515"/>
          <cell r="N515"/>
          <cell r="O515"/>
          <cell r="P515"/>
          <cell r="Q515"/>
          <cell r="R515"/>
          <cell r="W515"/>
          <cell r="X515"/>
          <cell r="Y515"/>
          <cell r="Z515"/>
          <cell r="AA515"/>
          <cell r="AB515"/>
          <cell r="AC515"/>
          <cell r="AD515"/>
          <cell r="AE515"/>
          <cell r="AF515"/>
          <cell r="AG515"/>
          <cell r="AH515"/>
          <cell r="AP515"/>
          <cell r="AR515"/>
          <cell r="AT515"/>
          <cell r="AV515"/>
          <cell r="AX515"/>
        </row>
        <row r="516">
          <cell r="A516"/>
          <cell r="B516"/>
          <cell r="C516"/>
          <cell r="D516"/>
          <cell r="E516"/>
          <cell r="F516"/>
          <cell r="G516"/>
          <cell r="H516"/>
          <cell r="I516"/>
          <cell r="J516"/>
          <cell r="K516"/>
          <cell r="L516"/>
          <cell r="M516"/>
          <cell r="N516"/>
          <cell r="O516"/>
          <cell r="P516"/>
          <cell r="Q516"/>
          <cell r="R516"/>
          <cell r="W516"/>
          <cell r="X516"/>
          <cell r="Y516"/>
          <cell r="Z516"/>
          <cell r="AA516"/>
          <cell r="AB516"/>
          <cell r="AC516"/>
          <cell r="AD516"/>
          <cell r="AE516"/>
          <cell r="AF516"/>
          <cell r="AG516"/>
          <cell r="AH516"/>
          <cell r="AP516"/>
          <cell r="AR516"/>
          <cell r="AT516"/>
          <cell r="AV516"/>
          <cell r="AX516"/>
        </row>
        <row r="517">
          <cell r="A517"/>
          <cell r="B517"/>
          <cell r="C517"/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/>
          <cell r="W517"/>
          <cell r="X517"/>
          <cell r="Y517"/>
          <cell r="Z517"/>
          <cell r="AA517"/>
          <cell r="AB517"/>
          <cell r="AC517"/>
          <cell r="AD517"/>
          <cell r="AE517"/>
          <cell r="AF517"/>
          <cell r="AG517"/>
          <cell r="AH517"/>
          <cell r="AP517"/>
          <cell r="AR517"/>
          <cell r="AT517"/>
          <cell r="AV517"/>
          <cell r="AX517"/>
        </row>
        <row r="518">
          <cell r="A518"/>
          <cell r="B518"/>
          <cell r="C518"/>
          <cell r="D518"/>
          <cell r="E518"/>
          <cell r="F518"/>
          <cell r="G518"/>
          <cell r="H518"/>
          <cell r="I518"/>
          <cell r="J518"/>
          <cell r="K518"/>
          <cell r="L518"/>
          <cell r="M518"/>
          <cell r="N518"/>
          <cell r="O518"/>
          <cell r="P518"/>
          <cell r="Q518"/>
          <cell r="R518"/>
          <cell r="W518"/>
          <cell r="X518"/>
          <cell r="Y518"/>
          <cell r="Z518"/>
          <cell r="AA518"/>
          <cell r="AB518"/>
          <cell r="AC518"/>
          <cell r="AD518"/>
          <cell r="AE518"/>
          <cell r="AF518"/>
          <cell r="AG518"/>
          <cell r="AH518"/>
          <cell r="AP518"/>
          <cell r="AR518"/>
          <cell r="AT518"/>
          <cell r="AV518"/>
          <cell r="AX518"/>
        </row>
        <row r="519">
          <cell r="A519"/>
          <cell r="B519"/>
          <cell r="C519"/>
          <cell r="D519"/>
          <cell r="E519"/>
          <cell r="F519"/>
          <cell r="G519"/>
          <cell r="H519"/>
          <cell r="I519"/>
          <cell r="J519"/>
          <cell r="K519"/>
          <cell r="L519"/>
          <cell r="M519"/>
          <cell r="N519"/>
          <cell r="O519"/>
          <cell r="P519"/>
          <cell r="Q519"/>
          <cell r="R519"/>
          <cell r="W519"/>
          <cell r="X519"/>
          <cell r="Y519"/>
          <cell r="Z519"/>
          <cell r="AA519"/>
          <cell r="AB519"/>
          <cell r="AC519"/>
          <cell r="AD519"/>
          <cell r="AE519"/>
          <cell r="AF519"/>
          <cell r="AG519"/>
          <cell r="AH519"/>
          <cell r="AP519"/>
          <cell r="AR519"/>
          <cell r="AT519"/>
          <cell r="AV519"/>
          <cell r="AX519"/>
        </row>
        <row r="520">
          <cell r="A520"/>
          <cell r="B520"/>
          <cell r="C520"/>
          <cell r="D520"/>
          <cell r="E520"/>
          <cell r="F520"/>
          <cell r="G520"/>
          <cell r="H520"/>
          <cell r="I520"/>
          <cell r="J520"/>
          <cell r="K520"/>
          <cell r="L520"/>
          <cell r="M520"/>
          <cell r="N520"/>
          <cell r="O520"/>
          <cell r="P520"/>
          <cell r="Q520"/>
          <cell r="R520"/>
          <cell r="W520"/>
          <cell r="X520"/>
          <cell r="Y520"/>
          <cell r="Z520"/>
          <cell r="AA520"/>
          <cell r="AB520"/>
          <cell r="AC520"/>
          <cell r="AD520"/>
          <cell r="AE520"/>
          <cell r="AF520"/>
          <cell r="AG520"/>
          <cell r="AH520"/>
          <cell r="AP520"/>
          <cell r="AR520"/>
          <cell r="AT520"/>
          <cell r="AV520"/>
          <cell r="AX520"/>
        </row>
        <row r="521">
          <cell r="A521"/>
          <cell r="B521"/>
          <cell r="C521"/>
          <cell r="D521"/>
          <cell r="E521"/>
          <cell r="F521"/>
          <cell r="G521"/>
          <cell r="H521"/>
          <cell r="I521"/>
          <cell r="J521"/>
          <cell r="K521"/>
          <cell r="L521"/>
          <cell r="M521"/>
          <cell r="N521"/>
          <cell r="O521"/>
          <cell r="P521"/>
          <cell r="Q521"/>
          <cell r="R521"/>
          <cell r="W521"/>
          <cell r="X521"/>
          <cell r="Y521"/>
          <cell r="Z521"/>
          <cell r="AA521"/>
          <cell r="AB521"/>
          <cell r="AC521"/>
          <cell r="AD521"/>
          <cell r="AE521"/>
          <cell r="AF521"/>
          <cell r="AG521"/>
          <cell r="AH521"/>
          <cell r="AP521"/>
          <cell r="AR521"/>
          <cell r="AT521"/>
          <cell r="AV521"/>
          <cell r="AX521"/>
        </row>
        <row r="522">
          <cell r="A522"/>
          <cell r="B522"/>
          <cell r="C522"/>
          <cell r="D522"/>
          <cell r="E522"/>
          <cell r="F522"/>
          <cell r="G522"/>
          <cell r="H522"/>
          <cell r="I522"/>
          <cell r="J522"/>
          <cell r="K522"/>
          <cell r="L522"/>
          <cell r="M522"/>
          <cell r="N522"/>
          <cell r="O522"/>
          <cell r="P522"/>
          <cell r="Q522"/>
          <cell r="R522"/>
          <cell r="W522"/>
          <cell r="X522"/>
          <cell r="Y522"/>
          <cell r="Z522"/>
          <cell r="AA522"/>
          <cell r="AB522"/>
          <cell r="AC522"/>
          <cell r="AD522"/>
          <cell r="AE522"/>
          <cell r="AF522"/>
          <cell r="AG522"/>
          <cell r="AH522"/>
          <cell r="AP522"/>
          <cell r="AR522"/>
          <cell r="AT522"/>
          <cell r="AV522"/>
          <cell r="AX522"/>
        </row>
        <row r="523">
          <cell r="A523"/>
          <cell r="B523"/>
          <cell r="C523"/>
          <cell r="D523"/>
          <cell r="E523"/>
          <cell r="F523"/>
          <cell r="G523"/>
          <cell r="H523"/>
          <cell r="I523"/>
          <cell r="J523"/>
          <cell r="K523"/>
          <cell r="L523"/>
          <cell r="M523"/>
          <cell r="N523"/>
          <cell r="O523"/>
          <cell r="P523"/>
          <cell r="Q523"/>
          <cell r="R523"/>
          <cell r="W523"/>
          <cell r="X523"/>
          <cell r="Y523"/>
          <cell r="Z523"/>
          <cell r="AA523"/>
          <cell r="AB523"/>
          <cell r="AC523"/>
          <cell r="AD523"/>
          <cell r="AE523"/>
          <cell r="AF523"/>
          <cell r="AG523"/>
          <cell r="AH523"/>
          <cell r="AP523"/>
          <cell r="AR523"/>
          <cell r="AT523"/>
          <cell r="AV523"/>
          <cell r="AX523"/>
        </row>
        <row r="524">
          <cell r="A524"/>
          <cell r="B524"/>
          <cell r="C524"/>
          <cell r="D524"/>
          <cell r="E524"/>
          <cell r="F524"/>
          <cell r="G524"/>
          <cell r="H524"/>
          <cell r="I524"/>
          <cell r="J524"/>
          <cell r="K524"/>
          <cell r="L524"/>
          <cell r="M524"/>
          <cell r="N524"/>
          <cell r="O524"/>
          <cell r="P524"/>
          <cell r="Q524"/>
          <cell r="R524"/>
          <cell r="W524"/>
          <cell r="X524"/>
          <cell r="Y524"/>
          <cell r="Z524"/>
          <cell r="AA524"/>
          <cell r="AB524"/>
          <cell r="AC524"/>
          <cell r="AD524"/>
          <cell r="AE524"/>
          <cell r="AF524"/>
          <cell r="AG524"/>
          <cell r="AH524"/>
          <cell r="AP524"/>
          <cell r="AR524"/>
          <cell r="AT524"/>
          <cell r="AV524"/>
          <cell r="AX524"/>
        </row>
        <row r="525">
          <cell r="A525"/>
          <cell r="B525"/>
          <cell r="C525"/>
          <cell r="D525"/>
          <cell r="E525"/>
          <cell r="F525"/>
          <cell r="G525"/>
          <cell r="H525"/>
          <cell r="I525"/>
          <cell r="J525"/>
          <cell r="K525"/>
          <cell r="L525"/>
          <cell r="M525"/>
          <cell r="N525"/>
          <cell r="O525"/>
          <cell r="P525"/>
          <cell r="Q525"/>
          <cell r="R525"/>
          <cell r="W525"/>
          <cell r="X525"/>
          <cell r="Y525"/>
          <cell r="Z525"/>
          <cell r="AA525"/>
          <cell r="AB525"/>
          <cell r="AC525"/>
          <cell r="AD525"/>
          <cell r="AE525"/>
          <cell r="AF525"/>
          <cell r="AG525"/>
          <cell r="AH525"/>
          <cell r="AP525"/>
          <cell r="AR525"/>
          <cell r="AT525"/>
          <cell r="AV525"/>
          <cell r="AX525"/>
        </row>
        <row r="526">
          <cell r="A526"/>
          <cell r="B526"/>
          <cell r="C526"/>
          <cell r="D526"/>
          <cell r="E526"/>
          <cell r="F526"/>
          <cell r="G526"/>
          <cell r="H526"/>
          <cell r="I526"/>
          <cell r="J526"/>
          <cell r="K526"/>
          <cell r="L526"/>
          <cell r="M526"/>
          <cell r="N526"/>
          <cell r="O526"/>
          <cell r="P526"/>
          <cell r="Q526"/>
          <cell r="R526"/>
          <cell r="W526"/>
          <cell r="X526"/>
          <cell r="Y526"/>
          <cell r="Z526"/>
          <cell r="AA526"/>
          <cell r="AB526"/>
          <cell r="AC526"/>
          <cell r="AD526"/>
          <cell r="AE526"/>
          <cell r="AF526"/>
          <cell r="AG526"/>
          <cell r="AH526"/>
          <cell r="AP526"/>
          <cell r="AR526"/>
          <cell r="AT526"/>
          <cell r="AV526"/>
          <cell r="AX526"/>
        </row>
        <row r="527">
          <cell r="A527"/>
          <cell r="B527"/>
          <cell r="C527"/>
          <cell r="D527"/>
          <cell r="E527"/>
          <cell r="F527"/>
          <cell r="G527"/>
          <cell r="H527"/>
          <cell r="I527"/>
          <cell r="J527"/>
          <cell r="K527"/>
          <cell r="L527"/>
          <cell r="M527"/>
          <cell r="N527"/>
          <cell r="O527"/>
          <cell r="P527"/>
          <cell r="Q527"/>
          <cell r="R527"/>
          <cell r="W527"/>
          <cell r="X527"/>
          <cell r="Y527"/>
          <cell r="Z527"/>
          <cell r="AA527"/>
          <cell r="AB527"/>
          <cell r="AC527"/>
          <cell r="AD527"/>
          <cell r="AE527"/>
          <cell r="AF527"/>
          <cell r="AG527"/>
          <cell r="AH527"/>
          <cell r="AP527"/>
          <cell r="AR527"/>
          <cell r="AT527"/>
          <cell r="AV527"/>
          <cell r="AX527"/>
        </row>
        <row r="528">
          <cell r="A528"/>
          <cell r="B528"/>
          <cell r="C528"/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/>
          <cell r="W528"/>
          <cell r="X528"/>
          <cell r="Y528"/>
          <cell r="Z528"/>
          <cell r="AA528"/>
          <cell r="AB528"/>
          <cell r="AC528"/>
          <cell r="AD528"/>
          <cell r="AE528"/>
          <cell r="AF528"/>
          <cell r="AG528"/>
          <cell r="AH528"/>
          <cell r="AP528"/>
          <cell r="AR528"/>
          <cell r="AT528"/>
          <cell r="AV528"/>
          <cell r="AX528"/>
        </row>
        <row r="529">
          <cell r="A529"/>
          <cell r="B529"/>
          <cell r="C529"/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/>
          <cell r="W529"/>
          <cell r="X529"/>
          <cell r="Y529"/>
          <cell r="Z529"/>
          <cell r="AA529"/>
          <cell r="AB529"/>
          <cell r="AC529"/>
          <cell r="AD529"/>
          <cell r="AE529"/>
          <cell r="AF529"/>
          <cell r="AG529"/>
          <cell r="AH529"/>
          <cell r="AP529"/>
          <cell r="AR529"/>
          <cell r="AT529"/>
          <cell r="AV529"/>
          <cell r="AX529"/>
        </row>
        <row r="530">
          <cell r="A530"/>
          <cell r="B530"/>
          <cell r="C530"/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/>
          <cell r="W530"/>
          <cell r="X530"/>
          <cell r="Y530"/>
          <cell r="Z530"/>
          <cell r="AA530"/>
          <cell r="AB530"/>
          <cell r="AC530"/>
          <cell r="AD530"/>
          <cell r="AE530"/>
          <cell r="AF530"/>
          <cell r="AG530"/>
          <cell r="AH530"/>
          <cell r="AP530"/>
          <cell r="AR530"/>
          <cell r="AT530"/>
          <cell r="AV530"/>
          <cell r="AX530"/>
        </row>
        <row r="531">
          <cell r="A531"/>
          <cell r="B531"/>
          <cell r="C531"/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/>
          <cell r="W531"/>
          <cell r="X531"/>
          <cell r="Y531"/>
          <cell r="Z531"/>
          <cell r="AA531"/>
          <cell r="AB531"/>
          <cell r="AC531"/>
          <cell r="AD531"/>
          <cell r="AE531"/>
          <cell r="AF531"/>
          <cell r="AG531"/>
          <cell r="AH531"/>
          <cell r="AP531"/>
          <cell r="AR531"/>
          <cell r="AT531"/>
          <cell r="AV531"/>
          <cell r="AX531"/>
        </row>
        <row r="532">
          <cell r="A532"/>
          <cell r="B532"/>
          <cell r="C532"/>
          <cell r="D532"/>
          <cell r="E532"/>
          <cell r="F532"/>
          <cell r="G532"/>
          <cell r="H532"/>
          <cell r="I532"/>
          <cell r="J532"/>
          <cell r="K532"/>
          <cell r="L532"/>
          <cell r="M532"/>
          <cell r="N532"/>
          <cell r="O532"/>
          <cell r="P532"/>
          <cell r="Q532"/>
          <cell r="R532"/>
          <cell r="W532"/>
          <cell r="X532"/>
          <cell r="Y532"/>
          <cell r="Z532"/>
          <cell r="AA532"/>
          <cell r="AB532"/>
          <cell r="AC532"/>
          <cell r="AD532"/>
          <cell r="AE532"/>
          <cell r="AF532"/>
          <cell r="AG532"/>
          <cell r="AH532"/>
          <cell r="AP532"/>
          <cell r="AR532"/>
          <cell r="AT532"/>
          <cell r="AV532"/>
          <cell r="AX532"/>
        </row>
        <row r="533">
          <cell r="A533"/>
          <cell r="B533"/>
          <cell r="C533"/>
          <cell r="D533"/>
          <cell r="E533"/>
          <cell r="F533"/>
          <cell r="G533"/>
          <cell r="H533"/>
          <cell r="I533"/>
          <cell r="J533"/>
          <cell r="K533"/>
          <cell r="L533"/>
          <cell r="M533"/>
          <cell r="N533"/>
          <cell r="O533"/>
          <cell r="P533"/>
          <cell r="Q533"/>
          <cell r="R533"/>
          <cell r="W533"/>
          <cell r="X533"/>
          <cell r="Y533"/>
          <cell r="Z533"/>
          <cell r="AA533"/>
          <cell r="AB533"/>
          <cell r="AC533"/>
          <cell r="AD533"/>
          <cell r="AE533"/>
          <cell r="AF533"/>
          <cell r="AG533"/>
          <cell r="AH533"/>
          <cell r="AP533"/>
          <cell r="AR533"/>
          <cell r="AT533"/>
          <cell r="AV533"/>
          <cell r="AX533"/>
        </row>
        <row r="534">
          <cell r="A534"/>
          <cell r="B534"/>
          <cell r="C534"/>
          <cell r="D534"/>
          <cell r="E534"/>
          <cell r="F534"/>
          <cell r="G534"/>
          <cell r="H534"/>
          <cell r="I534"/>
          <cell r="J534"/>
          <cell r="K534"/>
          <cell r="L534"/>
          <cell r="M534"/>
          <cell r="N534"/>
          <cell r="O534"/>
          <cell r="P534"/>
          <cell r="Q534"/>
          <cell r="R534"/>
          <cell r="W534"/>
          <cell r="X534"/>
          <cell r="Y534"/>
          <cell r="Z534"/>
          <cell r="AA534"/>
          <cell r="AB534"/>
          <cell r="AC534"/>
          <cell r="AD534"/>
          <cell r="AE534"/>
          <cell r="AF534"/>
          <cell r="AG534"/>
          <cell r="AH534"/>
          <cell r="AP534"/>
          <cell r="AR534"/>
          <cell r="AT534"/>
          <cell r="AV534"/>
          <cell r="AX534"/>
        </row>
        <row r="535">
          <cell r="A535"/>
          <cell r="B535"/>
          <cell r="C535"/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/>
          <cell r="W535"/>
          <cell r="X535"/>
          <cell r="Y535"/>
          <cell r="Z535"/>
          <cell r="AA535"/>
          <cell r="AB535"/>
          <cell r="AC535"/>
          <cell r="AD535"/>
          <cell r="AE535"/>
          <cell r="AF535"/>
          <cell r="AG535"/>
          <cell r="AH535"/>
          <cell r="AP535"/>
          <cell r="AR535"/>
          <cell r="AT535"/>
          <cell r="AV535"/>
          <cell r="AX535"/>
        </row>
        <row r="536">
          <cell r="A536"/>
          <cell r="B536"/>
          <cell r="C536"/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/>
          <cell r="W536"/>
          <cell r="X536"/>
          <cell r="Y536"/>
          <cell r="Z536"/>
          <cell r="AA536"/>
          <cell r="AB536"/>
          <cell r="AC536"/>
          <cell r="AD536"/>
          <cell r="AE536"/>
          <cell r="AF536"/>
          <cell r="AG536"/>
          <cell r="AH536"/>
          <cell r="AP536"/>
          <cell r="AR536"/>
          <cell r="AT536"/>
          <cell r="AV536"/>
          <cell r="AX536"/>
        </row>
        <row r="537">
          <cell r="A537"/>
          <cell r="B537"/>
          <cell r="C537"/>
          <cell r="D537"/>
          <cell r="E537"/>
          <cell r="F537"/>
          <cell r="G537"/>
          <cell r="H537"/>
          <cell r="I537"/>
          <cell r="J537"/>
          <cell r="K537"/>
          <cell r="L537"/>
          <cell r="M537"/>
          <cell r="N537"/>
          <cell r="O537"/>
          <cell r="P537"/>
          <cell r="Q537"/>
          <cell r="R537"/>
          <cell r="W537"/>
          <cell r="X537"/>
          <cell r="Y537"/>
          <cell r="Z537"/>
          <cell r="AA537"/>
          <cell r="AB537"/>
          <cell r="AC537"/>
          <cell r="AD537"/>
          <cell r="AE537"/>
          <cell r="AF537"/>
          <cell r="AG537"/>
          <cell r="AH537"/>
          <cell r="AP537"/>
          <cell r="AR537"/>
          <cell r="AT537"/>
          <cell r="AV537"/>
          <cell r="AX537"/>
        </row>
        <row r="538">
          <cell r="A538"/>
          <cell r="B538"/>
          <cell r="C538"/>
          <cell r="D538"/>
          <cell r="E538"/>
          <cell r="F538"/>
          <cell r="G538"/>
          <cell r="H538"/>
          <cell r="I538"/>
          <cell r="J538"/>
          <cell r="K538"/>
          <cell r="L538"/>
          <cell r="M538"/>
          <cell r="N538"/>
          <cell r="O538"/>
          <cell r="P538"/>
          <cell r="Q538"/>
          <cell r="R538"/>
          <cell r="W538"/>
          <cell r="X538"/>
          <cell r="Y538"/>
          <cell r="Z538"/>
          <cell r="AA538"/>
          <cell r="AB538"/>
          <cell r="AC538"/>
          <cell r="AD538"/>
          <cell r="AE538"/>
          <cell r="AF538"/>
          <cell r="AG538"/>
          <cell r="AH538"/>
          <cell r="AP538"/>
          <cell r="AR538"/>
          <cell r="AT538"/>
          <cell r="AV538"/>
          <cell r="AX538"/>
        </row>
        <row r="539">
          <cell r="A539"/>
          <cell r="B539"/>
          <cell r="C539"/>
          <cell r="D539"/>
          <cell r="E539"/>
          <cell r="F539"/>
          <cell r="G539"/>
          <cell r="H539"/>
          <cell r="I539"/>
          <cell r="J539"/>
          <cell r="K539"/>
          <cell r="L539"/>
          <cell r="M539"/>
          <cell r="N539"/>
          <cell r="O539"/>
          <cell r="P539"/>
          <cell r="Q539"/>
          <cell r="R539"/>
          <cell r="W539"/>
          <cell r="X539"/>
          <cell r="Y539"/>
          <cell r="Z539"/>
          <cell r="AA539"/>
          <cell r="AB539"/>
          <cell r="AC539"/>
          <cell r="AD539"/>
          <cell r="AE539"/>
          <cell r="AF539"/>
          <cell r="AG539"/>
          <cell r="AH539"/>
          <cell r="AP539"/>
          <cell r="AR539"/>
          <cell r="AT539"/>
          <cell r="AV539"/>
          <cell r="AX539"/>
        </row>
        <row r="540">
          <cell r="A540"/>
          <cell r="B540"/>
          <cell r="C540"/>
          <cell r="D540"/>
          <cell r="E540"/>
          <cell r="F540"/>
          <cell r="G540"/>
          <cell r="H540"/>
          <cell r="I540"/>
          <cell r="J540"/>
          <cell r="K540"/>
          <cell r="L540"/>
          <cell r="M540"/>
          <cell r="N540"/>
          <cell r="O540"/>
          <cell r="P540"/>
          <cell r="Q540"/>
          <cell r="R540"/>
          <cell r="W540"/>
          <cell r="X540"/>
          <cell r="Y540"/>
          <cell r="Z540"/>
          <cell r="AA540"/>
          <cell r="AB540"/>
          <cell r="AC540"/>
          <cell r="AD540"/>
          <cell r="AE540"/>
          <cell r="AF540"/>
          <cell r="AG540"/>
          <cell r="AH540"/>
          <cell r="AP540"/>
          <cell r="AR540"/>
          <cell r="AT540"/>
          <cell r="AV540"/>
          <cell r="AX540"/>
        </row>
        <row r="541">
          <cell r="A541"/>
          <cell r="B541"/>
          <cell r="C541"/>
          <cell r="D541"/>
          <cell r="E541"/>
          <cell r="F541"/>
          <cell r="G541"/>
          <cell r="H541"/>
          <cell r="I541"/>
          <cell r="J541"/>
          <cell r="K541"/>
          <cell r="L541"/>
          <cell r="M541"/>
          <cell r="N541"/>
          <cell r="O541"/>
          <cell r="P541"/>
          <cell r="Q541"/>
          <cell r="R541"/>
          <cell r="W541"/>
          <cell r="X541"/>
          <cell r="Y541"/>
          <cell r="Z541"/>
          <cell r="AA541"/>
          <cell r="AB541"/>
          <cell r="AC541"/>
          <cell r="AD541"/>
          <cell r="AE541"/>
          <cell r="AF541"/>
          <cell r="AG541"/>
          <cell r="AH541"/>
          <cell r="AP541"/>
          <cell r="AR541"/>
          <cell r="AT541"/>
          <cell r="AV541"/>
          <cell r="AX541"/>
        </row>
        <row r="542">
          <cell r="A542"/>
          <cell r="B542"/>
          <cell r="C542"/>
          <cell r="D542"/>
          <cell r="E542"/>
          <cell r="F542"/>
          <cell r="G542"/>
          <cell r="H542"/>
          <cell r="I542"/>
          <cell r="J542"/>
          <cell r="K542"/>
          <cell r="L542"/>
          <cell r="M542"/>
          <cell r="N542"/>
          <cell r="O542"/>
          <cell r="P542"/>
          <cell r="Q542"/>
          <cell r="R542"/>
          <cell r="W542"/>
          <cell r="X542"/>
          <cell r="Y542"/>
          <cell r="Z542"/>
          <cell r="AA542"/>
          <cell r="AB542"/>
          <cell r="AC542"/>
          <cell r="AD542"/>
          <cell r="AE542"/>
          <cell r="AF542"/>
          <cell r="AG542"/>
          <cell r="AH542"/>
          <cell r="AP542"/>
          <cell r="AR542"/>
          <cell r="AT542"/>
          <cell r="AV542"/>
          <cell r="AX542"/>
        </row>
        <row r="543">
          <cell r="A543"/>
          <cell r="B543"/>
          <cell r="C543"/>
          <cell r="D543"/>
          <cell r="E543"/>
          <cell r="F543"/>
          <cell r="G543"/>
          <cell r="H543"/>
          <cell r="I543"/>
          <cell r="J543"/>
          <cell r="K543"/>
          <cell r="L543"/>
          <cell r="M543"/>
          <cell r="N543"/>
          <cell r="O543"/>
          <cell r="P543"/>
          <cell r="Q543"/>
          <cell r="R543"/>
          <cell r="W543"/>
          <cell r="X543"/>
          <cell r="Y543"/>
          <cell r="Z543"/>
          <cell r="AA543"/>
          <cell r="AB543"/>
          <cell r="AC543"/>
          <cell r="AD543"/>
          <cell r="AE543"/>
          <cell r="AF543"/>
          <cell r="AG543"/>
          <cell r="AH543"/>
          <cell r="AP543"/>
          <cell r="AR543"/>
          <cell r="AT543"/>
          <cell r="AV543"/>
          <cell r="AX543"/>
        </row>
        <row r="544">
          <cell r="A544"/>
          <cell r="B544"/>
          <cell r="C544"/>
          <cell r="D544"/>
          <cell r="E544"/>
          <cell r="F544"/>
          <cell r="G544"/>
          <cell r="H544"/>
          <cell r="I544"/>
          <cell r="J544"/>
          <cell r="K544"/>
          <cell r="L544"/>
          <cell r="M544"/>
          <cell r="N544"/>
          <cell r="O544"/>
          <cell r="P544"/>
          <cell r="Q544"/>
          <cell r="R544"/>
          <cell r="W544"/>
          <cell r="X544"/>
          <cell r="Y544"/>
          <cell r="Z544"/>
          <cell r="AA544"/>
          <cell r="AB544"/>
          <cell r="AC544"/>
          <cell r="AD544"/>
          <cell r="AE544"/>
          <cell r="AF544"/>
          <cell r="AG544"/>
          <cell r="AH544"/>
          <cell r="AP544"/>
          <cell r="AR544"/>
          <cell r="AT544"/>
          <cell r="AV544"/>
          <cell r="AX544"/>
        </row>
        <row r="545">
          <cell r="A545"/>
          <cell r="B545"/>
          <cell r="C545"/>
          <cell r="D545"/>
          <cell r="E545"/>
          <cell r="F545"/>
          <cell r="G545"/>
          <cell r="H545"/>
          <cell r="I545"/>
          <cell r="J545"/>
          <cell r="K545"/>
          <cell r="L545"/>
          <cell r="M545"/>
          <cell r="N545"/>
          <cell r="O545"/>
          <cell r="P545"/>
          <cell r="Q545"/>
          <cell r="R545"/>
          <cell r="W545"/>
          <cell r="X545"/>
          <cell r="Y545"/>
          <cell r="Z545"/>
          <cell r="AA545"/>
          <cell r="AB545"/>
          <cell r="AC545"/>
          <cell r="AD545"/>
          <cell r="AE545"/>
          <cell r="AF545"/>
          <cell r="AG545"/>
          <cell r="AH545"/>
          <cell r="AP545"/>
          <cell r="AR545"/>
          <cell r="AT545"/>
          <cell r="AV545"/>
          <cell r="AX545"/>
        </row>
        <row r="546">
          <cell r="A546"/>
          <cell r="B546"/>
          <cell r="C546"/>
          <cell r="D546"/>
          <cell r="E546"/>
          <cell r="F546"/>
          <cell r="G546"/>
          <cell r="H546"/>
          <cell r="I546"/>
          <cell r="J546"/>
          <cell r="K546"/>
          <cell r="L546"/>
          <cell r="M546"/>
          <cell r="N546"/>
          <cell r="O546"/>
          <cell r="P546"/>
          <cell r="Q546"/>
          <cell r="R546"/>
          <cell r="W546"/>
          <cell r="X546"/>
          <cell r="Y546"/>
          <cell r="Z546"/>
          <cell r="AA546"/>
          <cell r="AB546"/>
          <cell r="AC546"/>
          <cell r="AD546"/>
          <cell r="AE546"/>
          <cell r="AF546"/>
          <cell r="AG546"/>
          <cell r="AH546"/>
          <cell r="AP546"/>
          <cell r="AR546"/>
          <cell r="AT546"/>
          <cell r="AV546"/>
          <cell r="AX546"/>
        </row>
        <row r="547">
          <cell r="A547"/>
          <cell r="B547"/>
          <cell r="C547"/>
          <cell r="D547"/>
          <cell r="E547"/>
          <cell r="F547"/>
          <cell r="G547"/>
          <cell r="H547"/>
          <cell r="I547"/>
          <cell r="J547"/>
          <cell r="K547"/>
          <cell r="L547"/>
          <cell r="M547"/>
          <cell r="N547"/>
          <cell r="O547"/>
          <cell r="P547"/>
          <cell r="Q547"/>
          <cell r="R547"/>
          <cell r="W547"/>
          <cell r="X547"/>
          <cell r="Y547"/>
          <cell r="Z547"/>
          <cell r="AA547"/>
          <cell r="AB547"/>
          <cell r="AC547"/>
          <cell r="AD547"/>
          <cell r="AE547"/>
          <cell r="AF547"/>
          <cell r="AG547"/>
          <cell r="AH547"/>
          <cell r="AP547"/>
          <cell r="AR547"/>
          <cell r="AT547"/>
          <cell r="AV547"/>
          <cell r="AX547"/>
        </row>
        <row r="548">
          <cell r="A548"/>
          <cell r="B548"/>
          <cell r="C548"/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/>
          <cell r="W548"/>
          <cell r="X548"/>
          <cell r="Y548"/>
          <cell r="Z548"/>
          <cell r="AA548"/>
          <cell r="AB548"/>
          <cell r="AC548"/>
          <cell r="AD548"/>
          <cell r="AE548"/>
          <cell r="AF548"/>
          <cell r="AG548"/>
          <cell r="AH548"/>
          <cell r="AP548"/>
          <cell r="AR548"/>
          <cell r="AT548"/>
          <cell r="AV548"/>
          <cell r="AX548"/>
        </row>
        <row r="549">
          <cell r="A549"/>
          <cell r="B549"/>
          <cell r="C549"/>
          <cell r="D549"/>
          <cell r="E549"/>
          <cell r="F549"/>
          <cell r="G549"/>
          <cell r="H549"/>
          <cell r="I549"/>
          <cell r="J549"/>
          <cell r="K549"/>
          <cell r="L549"/>
          <cell r="M549"/>
          <cell r="N549"/>
          <cell r="O549"/>
          <cell r="P549"/>
          <cell r="Q549"/>
          <cell r="R549"/>
          <cell r="W549"/>
          <cell r="X549"/>
          <cell r="Y549"/>
          <cell r="Z549"/>
          <cell r="AA549"/>
          <cell r="AB549"/>
          <cell r="AC549"/>
          <cell r="AD549"/>
          <cell r="AE549"/>
          <cell r="AF549"/>
          <cell r="AG549"/>
          <cell r="AH549"/>
          <cell r="AP549"/>
          <cell r="AR549"/>
          <cell r="AT549"/>
          <cell r="AV549"/>
          <cell r="AX549"/>
        </row>
        <row r="550">
          <cell r="A550"/>
          <cell r="B550"/>
          <cell r="C550"/>
          <cell r="D550"/>
          <cell r="E550"/>
          <cell r="F550"/>
          <cell r="G550"/>
          <cell r="H550"/>
          <cell r="I550"/>
          <cell r="J550"/>
          <cell r="K550"/>
          <cell r="L550"/>
          <cell r="M550"/>
          <cell r="N550"/>
          <cell r="O550"/>
          <cell r="P550"/>
          <cell r="Q550"/>
          <cell r="R550"/>
          <cell r="W550"/>
          <cell r="X550"/>
          <cell r="Y550"/>
          <cell r="Z550"/>
          <cell r="AA550"/>
          <cell r="AB550"/>
          <cell r="AC550"/>
          <cell r="AD550"/>
          <cell r="AE550"/>
          <cell r="AF550"/>
          <cell r="AG550"/>
          <cell r="AH550"/>
          <cell r="AP550"/>
          <cell r="AR550"/>
          <cell r="AT550"/>
          <cell r="AV550"/>
          <cell r="AX550"/>
        </row>
        <row r="551">
          <cell r="A551"/>
          <cell r="B551"/>
          <cell r="C551"/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/>
          <cell r="W551"/>
          <cell r="X551"/>
          <cell r="Y551"/>
          <cell r="Z551"/>
          <cell r="AA551"/>
          <cell r="AB551"/>
          <cell r="AC551"/>
          <cell r="AD551"/>
          <cell r="AE551"/>
          <cell r="AF551"/>
          <cell r="AG551"/>
          <cell r="AH551"/>
          <cell r="AP551"/>
          <cell r="AR551"/>
          <cell r="AT551"/>
          <cell r="AV551"/>
          <cell r="AX551"/>
        </row>
        <row r="552">
          <cell r="A552"/>
          <cell r="B552"/>
          <cell r="C552"/>
          <cell r="D552"/>
          <cell r="E552"/>
          <cell r="F552"/>
          <cell r="G552"/>
          <cell r="H552"/>
          <cell r="I552"/>
          <cell r="J552"/>
          <cell r="K552"/>
          <cell r="L552"/>
          <cell r="M552"/>
          <cell r="N552"/>
          <cell r="O552"/>
          <cell r="P552"/>
          <cell r="Q552"/>
          <cell r="R552"/>
          <cell r="W552"/>
          <cell r="X552"/>
          <cell r="Y552"/>
          <cell r="Z552"/>
          <cell r="AA552"/>
          <cell r="AB552"/>
          <cell r="AC552"/>
          <cell r="AD552"/>
          <cell r="AE552"/>
          <cell r="AF552"/>
          <cell r="AG552"/>
          <cell r="AH552"/>
          <cell r="AP552"/>
          <cell r="AR552"/>
          <cell r="AT552"/>
          <cell r="AV552"/>
          <cell r="AX552"/>
        </row>
        <row r="553">
          <cell r="A553"/>
          <cell r="B553"/>
          <cell r="C553"/>
          <cell r="D553"/>
          <cell r="E553"/>
          <cell r="F553"/>
          <cell r="G553"/>
          <cell r="H553"/>
          <cell r="I553"/>
          <cell r="J553"/>
          <cell r="K553"/>
          <cell r="L553"/>
          <cell r="M553"/>
          <cell r="N553"/>
          <cell r="O553"/>
          <cell r="P553"/>
          <cell r="Q553"/>
          <cell r="R553"/>
          <cell r="W553"/>
          <cell r="X553"/>
          <cell r="Y553"/>
          <cell r="Z553"/>
          <cell r="AA553"/>
          <cell r="AB553"/>
          <cell r="AC553"/>
          <cell r="AD553"/>
          <cell r="AE553"/>
          <cell r="AF553"/>
          <cell r="AG553"/>
          <cell r="AH553"/>
          <cell r="AP553"/>
          <cell r="AR553"/>
          <cell r="AT553"/>
          <cell r="AV553"/>
          <cell r="AX553"/>
        </row>
        <row r="554">
          <cell r="A554"/>
          <cell r="B554"/>
          <cell r="C554"/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/>
          <cell r="W554"/>
          <cell r="X554"/>
          <cell r="Y554"/>
          <cell r="Z554"/>
          <cell r="AA554"/>
          <cell r="AB554"/>
          <cell r="AC554"/>
          <cell r="AD554"/>
          <cell r="AE554"/>
          <cell r="AF554"/>
          <cell r="AG554"/>
          <cell r="AH554"/>
          <cell r="AP554"/>
          <cell r="AR554"/>
          <cell r="AT554"/>
          <cell r="AV554"/>
          <cell r="AX554"/>
        </row>
        <row r="555">
          <cell r="A555"/>
          <cell r="B555"/>
          <cell r="C555"/>
          <cell r="D555"/>
          <cell r="E555"/>
          <cell r="F555"/>
          <cell r="G555"/>
          <cell r="H555"/>
          <cell r="I555"/>
          <cell r="J555"/>
          <cell r="K555"/>
          <cell r="L555"/>
          <cell r="M555"/>
          <cell r="N555"/>
          <cell r="O555"/>
          <cell r="P555"/>
          <cell r="Q555"/>
          <cell r="R555"/>
          <cell r="W555"/>
          <cell r="X555"/>
          <cell r="Y555"/>
          <cell r="Z555"/>
          <cell r="AA555"/>
          <cell r="AB555"/>
          <cell r="AC555"/>
          <cell r="AD555"/>
          <cell r="AE555"/>
          <cell r="AF555"/>
          <cell r="AG555"/>
          <cell r="AH555"/>
          <cell r="AP555"/>
          <cell r="AR555"/>
          <cell r="AT555"/>
          <cell r="AV555"/>
          <cell r="AX555"/>
        </row>
        <row r="556">
          <cell r="A556"/>
          <cell r="B556"/>
          <cell r="C556"/>
          <cell r="D556"/>
          <cell r="E556"/>
          <cell r="F556"/>
          <cell r="G556"/>
          <cell r="H556"/>
          <cell r="I556"/>
          <cell r="J556"/>
          <cell r="K556"/>
          <cell r="L556"/>
          <cell r="M556"/>
          <cell r="N556"/>
          <cell r="O556"/>
          <cell r="P556"/>
          <cell r="Q556"/>
          <cell r="R556"/>
          <cell r="W556"/>
          <cell r="X556"/>
          <cell r="Y556"/>
          <cell r="Z556"/>
          <cell r="AA556"/>
          <cell r="AB556"/>
          <cell r="AC556"/>
          <cell r="AD556"/>
          <cell r="AE556"/>
          <cell r="AF556"/>
          <cell r="AG556"/>
          <cell r="AH556"/>
          <cell r="AP556"/>
          <cell r="AR556"/>
          <cell r="AT556"/>
          <cell r="AV556"/>
          <cell r="AX556"/>
        </row>
        <row r="557">
          <cell r="A557"/>
          <cell r="B557"/>
          <cell r="C557"/>
          <cell r="D557"/>
          <cell r="E557"/>
          <cell r="F557"/>
          <cell r="G557"/>
          <cell r="H557"/>
          <cell r="I557"/>
          <cell r="J557"/>
          <cell r="K557"/>
          <cell r="L557"/>
          <cell r="M557"/>
          <cell r="N557"/>
          <cell r="O557"/>
          <cell r="P557"/>
          <cell r="Q557"/>
          <cell r="R557"/>
          <cell r="W557"/>
          <cell r="X557"/>
          <cell r="Y557"/>
          <cell r="Z557"/>
          <cell r="AA557"/>
          <cell r="AB557"/>
          <cell r="AC557"/>
          <cell r="AD557"/>
          <cell r="AE557"/>
          <cell r="AF557"/>
          <cell r="AG557"/>
          <cell r="AH557"/>
          <cell r="AP557"/>
          <cell r="AR557"/>
          <cell r="AT557"/>
          <cell r="AV557"/>
          <cell r="AX557"/>
        </row>
        <row r="558">
          <cell r="A558"/>
          <cell r="B558"/>
          <cell r="C558"/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/>
          <cell r="W558"/>
          <cell r="X558"/>
          <cell r="Y558"/>
          <cell r="Z558"/>
          <cell r="AA558"/>
          <cell r="AB558"/>
          <cell r="AC558"/>
          <cell r="AD558"/>
          <cell r="AE558"/>
          <cell r="AF558"/>
          <cell r="AG558"/>
          <cell r="AH558"/>
          <cell r="AP558"/>
          <cell r="AR558"/>
          <cell r="AT558"/>
          <cell r="AV558"/>
          <cell r="AX558"/>
        </row>
        <row r="559">
          <cell r="A559"/>
          <cell r="B559"/>
          <cell r="C559"/>
          <cell r="D559"/>
          <cell r="E559"/>
          <cell r="F559"/>
          <cell r="G559"/>
          <cell r="H559"/>
          <cell r="I559"/>
          <cell r="J559"/>
          <cell r="K559"/>
          <cell r="L559"/>
          <cell r="M559"/>
          <cell r="N559"/>
          <cell r="O559"/>
          <cell r="P559"/>
          <cell r="Q559"/>
          <cell r="R559"/>
          <cell r="W559"/>
          <cell r="X559"/>
          <cell r="Y559"/>
          <cell r="Z559"/>
          <cell r="AA559"/>
          <cell r="AB559"/>
          <cell r="AC559"/>
          <cell r="AD559"/>
          <cell r="AE559"/>
          <cell r="AF559"/>
          <cell r="AG559"/>
          <cell r="AH559"/>
          <cell r="AP559"/>
          <cell r="AR559"/>
          <cell r="AT559"/>
          <cell r="AV559"/>
          <cell r="AX559"/>
        </row>
        <row r="560">
          <cell r="A560"/>
          <cell r="B560"/>
          <cell r="C560"/>
          <cell r="D560"/>
          <cell r="E560"/>
          <cell r="F560"/>
          <cell r="G560"/>
          <cell r="H560"/>
          <cell r="I560"/>
          <cell r="J560"/>
          <cell r="K560"/>
          <cell r="L560"/>
          <cell r="M560"/>
          <cell r="N560"/>
          <cell r="O560"/>
          <cell r="P560"/>
          <cell r="Q560"/>
          <cell r="R560"/>
          <cell r="W560"/>
          <cell r="X560"/>
          <cell r="Y560"/>
          <cell r="Z560"/>
          <cell r="AA560"/>
          <cell r="AB560"/>
          <cell r="AC560"/>
          <cell r="AD560"/>
          <cell r="AE560"/>
          <cell r="AF560"/>
          <cell r="AG560"/>
          <cell r="AH560"/>
          <cell r="AP560"/>
          <cell r="AR560"/>
          <cell r="AT560"/>
          <cell r="AV560"/>
          <cell r="AX560"/>
        </row>
        <row r="561">
          <cell r="A561"/>
          <cell r="B561"/>
          <cell r="C561"/>
          <cell r="D561"/>
          <cell r="E561"/>
          <cell r="F561"/>
          <cell r="G561"/>
          <cell r="H561"/>
          <cell r="I561"/>
          <cell r="J561"/>
          <cell r="K561"/>
          <cell r="L561"/>
          <cell r="M561"/>
          <cell r="N561"/>
          <cell r="O561"/>
          <cell r="P561"/>
          <cell r="Q561"/>
          <cell r="R561"/>
          <cell r="W561"/>
          <cell r="X561"/>
          <cell r="Y561"/>
          <cell r="Z561"/>
          <cell r="AA561"/>
          <cell r="AB561"/>
          <cell r="AC561"/>
          <cell r="AD561"/>
          <cell r="AE561"/>
          <cell r="AF561"/>
          <cell r="AG561"/>
          <cell r="AH561"/>
          <cell r="AP561"/>
          <cell r="AR561"/>
          <cell r="AT561"/>
          <cell r="AV561"/>
          <cell r="AX561"/>
        </row>
        <row r="562">
          <cell r="A562"/>
          <cell r="B562"/>
          <cell r="C562"/>
          <cell r="D562"/>
          <cell r="E562"/>
          <cell r="F562"/>
          <cell r="G562"/>
          <cell r="H562"/>
          <cell r="I562"/>
          <cell r="J562"/>
          <cell r="K562"/>
          <cell r="L562"/>
          <cell r="M562"/>
          <cell r="N562"/>
          <cell r="O562"/>
          <cell r="P562"/>
          <cell r="Q562"/>
          <cell r="R562"/>
          <cell r="W562"/>
          <cell r="X562"/>
          <cell r="Y562"/>
          <cell r="Z562"/>
          <cell r="AA562"/>
          <cell r="AB562"/>
          <cell r="AC562"/>
          <cell r="AD562"/>
          <cell r="AE562"/>
          <cell r="AF562"/>
          <cell r="AG562"/>
          <cell r="AH562"/>
          <cell r="AP562"/>
          <cell r="AR562"/>
          <cell r="AT562"/>
          <cell r="AV562"/>
          <cell r="AX562"/>
        </row>
        <row r="563">
          <cell r="A563"/>
          <cell r="B563"/>
          <cell r="C563"/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/>
          <cell r="W563"/>
          <cell r="X563"/>
          <cell r="Y563"/>
          <cell r="Z563"/>
          <cell r="AA563"/>
          <cell r="AB563"/>
          <cell r="AC563"/>
          <cell r="AD563"/>
          <cell r="AE563"/>
          <cell r="AF563"/>
          <cell r="AG563"/>
          <cell r="AH563"/>
          <cell r="AP563"/>
          <cell r="AR563"/>
          <cell r="AT563"/>
          <cell r="AV563"/>
          <cell r="AX563"/>
        </row>
        <row r="564">
          <cell r="A564"/>
          <cell r="B564"/>
          <cell r="C564"/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/>
          <cell r="W564"/>
          <cell r="X564"/>
          <cell r="Y564"/>
          <cell r="Z564"/>
          <cell r="AA564"/>
          <cell r="AB564"/>
          <cell r="AC564"/>
          <cell r="AD564"/>
          <cell r="AE564"/>
          <cell r="AF564"/>
          <cell r="AG564"/>
          <cell r="AH564"/>
          <cell r="AP564"/>
          <cell r="AR564"/>
          <cell r="AT564"/>
          <cell r="AV564"/>
          <cell r="AX564"/>
        </row>
        <row r="565">
          <cell r="A565"/>
          <cell r="B565"/>
          <cell r="C565"/>
          <cell r="D565"/>
          <cell r="E565"/>
          <cell r="F565"/>
          <cell r="G565"/>
          <cell r="H565"/>
          <cell r="I565"/>
          <cell r="J565"/>
          <cell r="K565"/>
          <cell r="L565"/>
          <cell r="M565"/>
          <cell r="N565"/>
          <cell r="O565"/>
          <cell r="P565"/>
          <cell r="Q565"/>
          <cell r="R565"/>
          <cell r="W565"/>
          <cell r="X565"/>
          <cell r="Y565"/>
          <cell r="Z565"/>
          <cell r="AA565"/>
          <cell r="AB565"/>
          <cell r="AC565"/>
          <cell r="AD565"/>
          <cell r="AE565"/>
          <cell r="AF565"/>
          <cell r="AG565"/>
          <cell r="AH565"/>
          <cell r="AP565"/>
          <cell r="AR565"/>
          <cell r="AT565"/>
          <cell r="AV565"/>
          <cell r="AX565"/>
        </row>
        <row r="566">
          <cell r="A566"/>
          <cell r="B566"/>
          <cell r="C566"/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/>
          <cell r="W566"/>
          <cell r="X566"/>
          <cell r="Y566"/>
          <cell r="Z566"/>
          <cell r="AA566"/>
          <cell r="AB566"/>
          <cell r="AC566"/>
          <cell r="AD566"/>
          <cell r="AE566"/>
          <cell r="AF566"/>
          <cell r="AG566"/>
          <cell r="AH566"/>
          <cell r="AP566"/>
          <cell r="AR566"/>
          <cell r="AT566"/>
          <cell r="AV566"/>
          <cell r="AX566"/>
        </row>
        <row r="567">
          <cell r="A567"/>
          <cell r="B567"/>
          <cell r="C567"/>
          <cell r="D567"/>
          <cell r="E567"/>
          <cell r="F567"/>
          <cell r="G567"/>
          <cell r="H567"/>
          <cell r="I567"/>
          <cell r="J567"/>
          <cell r="K567"/>
          <cell r="L567"/>
          <cell r="M567"/>
          <cell r="N567"/>
          <cell r="O567"/>
          <cell r="P567"/>
          <cell r="Q567"/>
          <cell r="R567"/>
          <cell r="W567"/>
          <cell r="X567"/>
          <cell r="Y567"/>
          <cell r="Z567"/>
          <cell r="AA567"/>
          <cell r="AB567"/>
          <cell r="AC567"/>
          <cell r="AD567"/>
          <cell r="AE567"/>
          <cell r="AF567"/>
          <cell r="AG567"/>
          <cell r="AH567"/>
          <cell r="AP567"/>
          <cell r="AR567"/>
          <cell r="AT567"/>
          <cell r="AV567"/>
          <cell r="AX567"/>
        </row>
        <row r="568">
          <cell r="A568"/>
          <cell r="B568"/>
          <cell r="C568"/>
          <cell r="D568"/>
          <cell r="E568"/>
          <cell r="F568"/>
          <cell r="G568"/>
          <cell r="H568"/>
          <cell r="I568"/>
          <cell r="J568"/>
          <cell r="K568"/>
          <cell r="L568"/>
          <cell r="M568"/>
          <cell r="N568"/>
          <cell r="O568"/>
          <cell r="P568"/>
          <cell r="Q568"/>
          <cell r="R568"/>
          <cell r="W568"/>
          <cell r="X568"/>
          <cell r="Y568"/>
          <cell r="Z568"/>
          <cell r="AA568"/>
          <cell r="AB568"/>
          <cell r="AC568"/>
          <cell r="AD568"/>
          <cell r="AE568"/>
          <cell r="AF568"/>
          <cell r="AG568"/>
          <cell r="AH568"/>
          <cell r="AP568"/>
          <cell r="AR568"/>
          <cell r="AT568"/>
          <cell r="AV568"/>
          <cell r="AX568"/>
        </row>
        <row r="569">
          <cell r="A569"/>
          <cell r="B569"/>
          <cell r="C569"/>
          <cell r="D569"/>
          <cell r="E569"/>
          <cell r="F569"/>
          <cell r="G569"/>
          <cell r="H569"/>
          <cell r="I569"/>
          <cell r="J569"/>
          <cell r="K569"/>
          <cell r="L569"/>
          <cell r="M569"/>
          <cell r="N569"/>
          <cell r="O569"/>
          <cell r="P569"/>
          <cell r="Q569"/>
          <cell r="R569"/>
          <cell r="W569"/>
          <cell r="X569"/>
          <cell r="Y569"/>
          <cell r="Z569"/>
          <cell r="AA569"/>
          <cell r="AB569"/>
          <cell r="AC569"/>
          <cell r="AD569"/>
          <cell r="AE569"/>
          <cell r="AF569"/>
          <cell r="AG569"/>
          <cell r="AH569"/>
          <cell r="AP569"/>
          <cell r="AR569"/>
          <cell r="AT569"/>
          <cell r="AV569"/>
          <cell r="AX569"/>
        </row>
        <row r="570">
          <cell r="A570"/>
          <cell r="B570"/>
          <cell r="C570"/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/>
          <cell r="W570"/>
          <cell r="X570"/>
          <cell r="Y570"/>
          <cell r="Z570"/>
          <cell r="AA570"/>
          <cell r="AB570"/>
          <cell r="AC570"/>
          <cell r="AD570"/>
          <cell r="AE570"/>
          <cell r="AF570"/>
          <cell r="AG570"/>
          <cell r="AH570"/>
          <cell r="AP570"/>
          <cell r="AR570"/>
          <cell r="AT570"/>
          <cell r="AV570"/>
          <cell r="AX570"/>
        </row>
        <row r="571">
          <cell r="A571"/>
          <cell r="B571"/>
          <cell r="C571"/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/>
          <cell r="W571"/>
          <cell r="X571"/>
          <cell r="Y571"/>
          <cell r="Z571"/>
          <cell r="AA571"/>
          <cell r="AB571"/>
          <cell r="AC571"/>
          <cell r="AD571"/>
          <cell r="AE571"/>
          <cell r="AF571"/>
          <cell r="AG571"/>
          <cell r="AH571"/>
          <cell r="AP571"/>
          <cell r="AR571"/>
          <cell r="AT571"/>
          <cell r="AV571"/>
          <cell r="AX571"/>
        </row>
        <row r="572">
          <cell r="A572"/>
          <cell r="B572"/>
          <cell r="C572"/>
          <cell r="D572"/>
          <cell r="E572"/>
          <cell r="F572"/>
          <cell r="G572"/>
          <cell r="H572"/>
          <cell r="I572"/>
          <cell r="J572"/>
          <cell r="K572"/>
          <cell r="L572"/>
          <cell r="M572"/>
          <cell r="N572"/>
          <cell r="O572"/>
          <cell r="P572"/>
          <cell r="Q572"/>
          <cell r="R572"/>
          <cell r="W572"/>
          <cell r="X572"/>
          <cell r="Y572"/>
          <cell r="Z572"/>
          <cell r="AA572"/>
          <cell r="AB572"/>
          <cell r="AC572"/>
          <cell r="AD572"/>
          <cell r="AE572"/>
          <cell r="AF572"/>
          <cell r="AG572"/>
          <cell r="AH572"/>
          <cell r="AP572"/>
          <cell r="AR572"/>
          <cell r="AT572"/>
          <cell r="AV572"/>
          <cell r="AX572"/>
        </row>
        <row r="573">
          <cell r="A573"/>
          <cell r="B573"/>
          <cell r="C573"/>
          <cell r="D573"/>
          <cell r="E573"/>
          <cell r="F573"/>
          <cell r="G573"/>
          <cell r="H573"/>
          <cell r="I573"/>
          <cell r="J573"/>
          <cell r="K573"/>
          <cell r="L573"/>
          <cell r="M573"/>
          <cell r="N573"/>
          <cell r="O573"/>
          <cell r="P573"/>
          <cell r="Q573"/>
          <cell r="R573"/>
          <cell r="W573"/>
          <cell r="X573"/>
          <cell r="Y573"/>
          <cell r="Z573"/>
          <cell r="AA573"/>
          <cell r="AB573"/>
          <cell r="AC573"/>
          <cell r="AD573"/>
          <cell r="AE573"/>
          <cell r="AF573"/>
          <cell r="AG573"/>
          <cell r="AH573"/>
          <cell r="AP573"/>
          <cell r="AR573"/>
          <cell r="AT573"/>
          <cell r="AV573"/>
          <cell r="AX573"/>
        </row>
        <row r="574">
          <cell r="A574"/>
          <cell r="B574"/>
          <cell r="C574"/>
          <cell r="D574"/>
          <cell r="E574"/>
          <cell r="F574"/>
          <cell r="G574"/>
          <cell r="H574"/>
          <cell r="I574"/>
          <cell r="J574"/>
          <cell r="K574"/>
          <cell r="L574"/>
          <cell r="M574"/>
          <cell r="N574"/>
          <cell r="O574"/>
          <cell r="P574"/>
          <cell r="Q574"/>
          <cell r="R574"/>
          <cell r="W574"/>
          <cell r="X574"/>
          <cell r="Y574"/>
          <cell r="Z574"/>
          <cell r="AA574"/>
          <cell r="AB574"/>
          <cell r="AC574"/>
          <cell r="AD574"/>
          <cell r="AE574"/>
          <cell r="AF574"/>
          <cell r="AG574"/>
          <cell r="AH574"/>
          <cell r="AP574"/>
          <cell r="AR574"/>
          <cell r="AT574"/>
          <cell r="AV574"/>
          <cell r="AX574"/>
        </row>
        <row r="575">
          <cell r="A575"/>
          <cell r="B575"/>
          <cell r="C575"/>
          <cell r="D575"/>
          <cell r="E575"/>
          <cell r="F575"/>
          <cell r="G575"/>
          <cell r="H575"/>
          <cell r="I575"/>
          <cell r="J575"/>
          <cell r="K575"/>
          <cell r="L575"/>
          <cell r="M575"/>
          <cell r="N575"/>
          <cell r="O575"/>
          <cell r="P575"/>
          <cell r="Q575"/>
          <cell r="R575"/>
          <cell r="W575"/>
          <cell r="X575"/>
          <cell r="Y575"/>
          <cell r="Z575"/>
          <cell r="AA575"/>
          <cell r="AB575"/>
          <cell r="AC575"/>
          <cell r="AD575"/>
          <cell r="AE575"/>
          <cell r="AF575"/>
          <cell r="AG575"/>
          <cell r="AH575"/>
          <cell r="AP575"/>
          <cell r="AR575"/>
          <cell r="AT575"/>
          <cell r="AV575"/>
          <cell r="AX575"/>
        </row>
        <row r="576">
          <cell r="A576"/>
          <cell r="B576"/>
          <cell r="C576"/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/>
          <cell r="W576"/>
          <cell r="X576"/>
          <cell r="Y576"/>
          <cell r="Z576"/>
          <cell r="AA576"/>
          <cell r="AB576"/>
          <cell r="AC576"/>
          <cell r="AD576"/>
          <cell r="AE576"/>
          <cell r="AF576"/>
          <cell r="AG576"/>
          <cell r="AH576"/>
          <cell r="AP576"/>
          <cell r="AR576"/>
          <cell r="AT576"/>
          <cell r="AV576"/>
          <cell r="AX576"/>
        </row>
        <row r="577">
          <cell r="A577"/>
          <cell r="B577"/>
          <cell r="C577"/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/>
          <cell r="W577"/>
          <cell r="X577"/>
          <cell r="Y577"/>
          <cell r="Z577"/>
          <cell r="AA577"/>
          <cell r="AB577"/>
          <cell r="AC577"/>
          <cell r="AD577"/>
          <cell r="AE577"/>
          <cell r="AF577"/>
          <cell r="AG577"/>
          <cell r="AH577"/>
          <cell r="AP577"/>
          <cell r="AR577"/>
          <cell r="AT577"/>
          <cell r="AV577"/>
          <cell r="AX577"/>
        </row>
        <row r="578">
          <cell r="A578"/>
          <cell r="B578"/>
          <cell r="C578"/>
          <cell r="D578"/>
          <cell r="E578"/>
          <cell r="F578"/>
          <cell r="G578"/>
          <cell r="H578"/>
          <cell r="I578"/>
          <cell r="J578"/>
          <cell r="K578"/>
          <cell r="L578"/>
          <cell r="M578"/>
          <cell r="N578"/>
          <cell r="O578"/>
          <cell r="P578"/>
          <cell r="Q578"/>
          <cell r="R578"/>
          <cell r="W578"/>
          <cell r="X578"/>
          <cell r="Y578"/>
          <cell r="Z578"/>
          <cell r="AA578"/>
          <cell r="AB578"/>
          <cell r="AC578"/>
          <cell r="AD578"/>
          <cell r="AE578"/>
          <cell r="AF578"/>
          <cell r="AG578"/>
          <cell r="AH578"/>
          <cell r="AP578"/>
          <cell r="AR578"/>
          <cell r="AT578"/>
          <cell r="AV578"/>
          <cell r="AX578"/>
        </row>
        <row r="579">
          <cell r="A579"/>
          <cell r="B579"/>
          <cell r="C579"/>
          <cell r="D579"/>
          <cell r="E579"/>
          <cell r="F579"/>
          <cell r="G579"/>
          <cell r="H579"/>
          <cell r="I579"/>
          <cell r="J579"/>
          <cell r="K579"/>
          <cell r="L579"/>
          <cell r="M579"/>
          <cell r="N579"/>
          <cell r="O579"/>
          <cell r="P579"/>
          <cell r="Q579"/>
          <cell r="R579"/>
          <cell r="W579"/>
          <cell r="X579"/>
          <cell r="Y579"/>
          <cell r="Z579"/>
          <cell r="AA579"/>
          <cell r="AB579"/>
          <cell r="AC579"/>
          <cell r="AD579"/>
          <cell r="AE579"/>
          <cell r="AF579"/>
          <cell r="AG579"/>
          <cell r="AH579"/>
          <cell r="AP579"/>
          <cell r="AR579"/>
          <cell r="AT579"/>
          <cell r="AV579"/>
          <cell r="AX579"/>
        </row>
        <row r="580">
          <cell r="A580"/>
          <cell r="B580"/>
          <cell r="C580"/>
          <cell r="D580"/>
          <cell r="E580"/>
          <cell r="F580"/>
          <cell r="G580"/>
          <cell r="H580"/>
          <cell r="I580"/>
          <cell r="J580"/>
          <cell r="K580"/>
          <cell r="L580"/>
          <cell r="M580"/>
          <cell r="N580"/>
          <cell r="O580"/>
          <cell r="P580"/>
          <cell r="Q580"/>
          <cell r="R580"/>
          <cell r="W580"/>
          <cell r="X580"/>
          <cell r="Y580"/>
          <cell r="Z580"/>
          <cell r="AA580"/>
          <cell r="AB580"/>
          <cell r="AC580"/>
          <cell r="AD580"/>
          <cell r="AE580"/>
          <cell r="AF580"/>
          <cell r="AG580"/>
          <cell r="AH580"/>
          <cell r="AP580"/>
          <cell r="AR580"/>
          <cell r="AT580"/>
          <cell r="AV580"/>
          <cell r="AX580"/>
        </row>
        <row r="581">
          <cell r="A581"/>
          <cell r="B581"/>
          <cell r="C581"/>
          <cell r="D581"/>
          <cell r="E581"/>
          <cell r="F581"/>
          <cell r="G581"/>
          <cell r="H581"/>
          <cell r="I581"/>
          <cell r="J581"/>
          <cell r="K581"/>
          <cell r="L581"/>
          <cell r="M581"/>
          <cell r="N581"/>
          <cell r="O581"/>
          <cell r="P581"/>
          <cell r="Q581"/>
          <cell r="R581"/>
          <cell r="W581"/>
          <cell r="X581"/>
          <cell r="Y581"/>
          <cell r="Z581"/>
          <cell r="AA581"/>
          <cell r="AB581"/>
          <cell r="AC581"/>
          <cell r="AD581"/>
          <cell r="AE581"/>
          <cell r="AF581"/>
          <cell r="AG581"/>
          <cell r="AH581"/>
          <cell r="AP581"/>
          <cell r="AR581"/>
          <cell r="AT581"/>
          <cell r="AV581"/>
          <cell r="AX581"/>
        </row>
        <row r="582">
          <cell r="A582"/>
          <cell r="B582"/>
          <cell r="C582"/>
          <cell r="D582"/>
          <cell r="E582"/>
          <cell r="F582"/>
          <cell r="G582"/>
          <cell r="H582"/>
          <cell r="I582"/>
          <cell r="J582"/>
          <cell r="K582"/>
          <cell r="L582"/>
          <cell r="M582"/>
          <cell r="N582"/>
          <cell r="O582"/>
          <cell r="P582"/>
          <cell r="Q582"/>
          <cell r="R582"/>
          <cell r="W582"/>
          <cell r="X582"/>
          <cell r="Y582"/>
          <cell r="Z582"/>
          <cell r="AA582"/>
          <cell r="AB582"/>
          <cell r="AC582"/>
          <cell r="AD582"/>
          <cell r="AE582"/>
          <cell r="AF582"/>
          <cell r="AG582"/>
          <cell r="AH582"/>
          <cell r="AP582"/>
          <cell r="AR582"/>
          <cell r="AT582"/>
          <cell r="AV582"/>
          <cell r="AX582"/>
        </row>
        <row r="583">
          <cell r="A583"/>
          <cell r="B583"/>
          <cell r="C583"/>
          <cell r="D583"/>
          <cell r="E583"/>
          <cell r="F583"/>
          <cell r="G583"/>
          <cell r="H583"/>
          <cell r="I583"/>
          <cell r="J583"/>
          <cell r="K583"/>
          <cell r="L583"/>
          <cell r="M583"/>
          <cell r="N583"/>
          <cell r="O583"/>
          <cell r="P583"/>
          <cell r="Q583"/>
          <cell r="R583"/>
          <cell r="W583"/>
          <cell r="X583"/>
          <cell r="Y583"/>
          <cell r="Z583"/>
          <cell r="AA583"/>
          <cell r="AB583"/>
          <cell r="AC583"/>
          <cell r="AD583"/>
          <cell r="AE583"/>
          <cell r="AF583"/>
          <cell r="AG583"/>
          <cell r="AH583"/>
          <cell r="AP583"/>
          <cell r="AR583"/>
          <cell r="AT583"/>
          <cell r="AV583"/>
          <cell r="AX583"/>
        </row>
        <row r="584">
          <cell r="A584"/>
          <cell r="B584"/>
          <cell r="C584"/>
          <cell r="D584"/>
          <cell r="E584"/>
          <cell r="F584"/>
          <cell r="G584"/>
          <cell r="H584"/>
          <cell r="I584"/>
          <cell r="J584"/>
          <cell r="K584"/>
          <cell r="L584"/>
          <cell r="M584"/>
          <cell r="N584"/>
          <cell r="O584"/>
          <cell r="P584"/>
          <cell r="Q584"/>
          <cell r="R584"/>
          <cell r="W584"/>
          <cell r="X584"/>
          <cell r="Y584"/>
          <cell r="Z584"/>
          <cell r="AA584"/>
          <cell r="AB584"/>
          <cell r="AC584"/>
          <cell r="AD584"/>
          <cell r="AE584"/>
          <cell r="AF584"/>
          <cell r="AG584"/>
          <cell r="AH584"/>
          <cell r="AP584"/>
          <cell r="AR584"/>
          <cell r="AT584"/>
          <cell r="AV584"/>
          <cell r="AX584"/>
        </row>
        <row r="585">
          <cell r="A585"/>
          <cell r="B585"/>
          <cell r="C585"/>
          <cell r="D585"/>
          <cell r="E585"/>
          <cell r="F585"/>
          <cell r="G585"/>
          <cell r="H585"/>
          <cell r="I585"/>
          <cell r="J585"/>
          <cell r="K585"/>
          <cell r="L585"/>
          <cell r="M585"/>
          <cell r="N585"/>
          <cell r="O585"/>
          <cell r="P585"/>
          <cell r="Q585"/>
          <cell r="R585"/>
          <cell r="W585"/>
          <cell r="X585"/>
          <cell r="Y585"/>
          <cell r="Z585"/>
          <cell r="AA585"/>
          <cell r="AB585"/>
          <cell r="AC585"/>
          <cell r="AD585"/>
          <cell r="AE585"/>
          <cell r="AF585"/>
          <cell r="AG585"/>
          <cell r="AH585"/>
          <cell r="AP585"/>
          <cell r="AR585"/>
          <cell r="AT585"/>
          <cell r="AV585"/>
          <cell r="AX585"/>
        </row>
        <row r="586">
          <cell r="A586"/>
          <cell r="B586"/>
          <cell r="C586"/>
          <cell r="D586"/>
          <cell r="E586"/>
          <cell r="F586"/>
          <cell r="G586"/>
          <cell r="H586"/>
          <cell r="I586"/>
          <cell r="J586"/>
          <cell r="K586"/>
          <cell r="L586"/>
          <cell r="M586"/>
          <cell r="N586"/>
          <cell r="O586"/>
          <cell r="P586"/>
          <cell r="Q586"/>
          <cell r="R586"/>
          <cell r="W586"/>
          <cell r="X586"/>
          <cell r="Y586"/>
          <cell r="Z586"/>
          <cell r="AA586"/>
          <cell r="AB586"/>
          <cell r="AC586"/>
          <cell r="AD586"/>
          <cell r="AE586"/>
          <cell r="AF586"/>
          <cell r="AG586"/>
          <cell r="AH586"/>
          <cell r="AP586"/>
          <cell r="AR586"/>
          <cell r="AT586"/>
          <cell r="AV586"/>
          <cell r="AX586"/>
        </row>
        <row r="587">
          <cell r="A587"/>
          <cell r="B587"/>
          <cell r="C587"/>
          <cell r="D587"/>
          <cell r="E587"/>
          <cell r="F587"/>
          <cell r="G587"/>
          <cell r="H587"/>
          <cell r="I587"/>
          <cell r="J587"/>
          <cell r="K587"/>
          <cell r="L587"/>
          <cell r="M587"/>
          <cell r="N587"/>
          <cell r="O587"/>
          <cell r="P587"/>
          <cell r="Q587"/>
          <cell r="R587"/>
          <cell r="W587"/>
          <cell r="X587"/>
          <cell r="Y587"/>
          <cell r="Z587"/>
          <cell r="AA587"/>
          <cell r="AB587"/>
          <cell r="AC587"/>
          <cell r="AD587"/>
          <cell r="AE587"/>
          <cell r="AF587"/>
          <cell r="AG587"/>
          <cell r="AH587"/>
          <cell r="AP587"/>
          <cell r="AR587"/>
          <cell r="AT587"/>
          <cell r="AV587"/>
          <cell r="AX587"/>
        </row>
        <row r="588">
          <cell r="A588"/>
          <cell r="B588"/>
          <cell r="C588"/>
          <cell r="D588"/>
          <cell r="E588"/>
          <cell r="F588"/>
          <cell r="G588"/>
          <cell r="H588"/>
          <cell r="I588"/>
          <cell r="J588"/>
          <cell r="K588"/>
          <cell r="L588"/>
          <cell r="M588"/>
          <cell r="N588"/>
          <cell r="O588"/>
          <cell r="P588"/>
          <cell r="Q588"/>
          <cell r="R588"/>
          <cell r="W588"/>
          <cell r="X588"/>
          <cell r="Y588"/>
          <cell r="Z588"/>
          <cell r="AA588"/>
          <cell r="AB588"/>
          <cell r="AC588"/>
          <cell r="AD588"/>
          <cell r="AE588"/>
          <cell r="AF588"/>
          <cell r="AG588"/>
          <cell r="AH588"/>
          <cell r="AP588"/>
          <cell r="AR588"/>
          <cell r="AT588"/>
          <cell r="AV588"/>
          <cell r="AX588"/>
        </row>
        <row r="589">
          <cell r="A589"/>
          <cell r="B589"/>
          <cell r="C589"/>
          <cell r="D589"/>
          <cell r="E589"/>
          <cell r="F589"/>
          <cell r="G589"/>
          <cell r="H589"/>
          <cell r="I589"/>
          <cell r="J589"/>
          <cell r="K589"/>
          <cell r="L589"/>
          <cell r="M589"/>
          <cell r="N589"/>
          <cell r="O589"/>
          <cell r="P589"/>
          <cell r="Q589"/>
          <cell r="R589"/>
          <cell r="W589"/>
          <cell r="X589"/>
          <cell r="Y589"/>
          <cell r="Z589"/>
          <cell r="AA589"/>
          <cell r="AB589"/>
          <cell r="AC589"/>
          <cell r="AD589"/>
          <cell r="AE589"/>
          <cell r="AF589"/>
          <cell r="AG589"/>
          <cell r="AH589"/>
          <cell r="AP589"/>
          <cell r="AR589"/>
          <cell r="AT589"/>
          <cell r="AV589"/>
          <cell r="AX589"/>
        </row>
        <row r="590">
          <cell r="A590"/>
          <cell r="B590"/>
          <cell r="C590"/>
          <cell r="D590"/>
          <cell r="E590"/>
          <cell r="F590"/>
          <cell r="G590"/>
          <cell r="H590"/>
          <cell r="I590"/>
          <cell r="J590"/>
          <cell r="K590"/>
          <cell r="L590"/>
          <cell r="M590"/>
          <cell r="N590"/>
          <cell r="O590"/>
          <cell r="P590"/>
          <cell r="Q590"/>
          <cell r="R590"/>
          <cell r="W590"/>
          <cell r="X590"/>
          <cell r="Y590"/>
          <cell r="Z590"/>
          <cell r="AA590"/>
          <cell r="AB590"/>
          <cell r="AC590"/>
          <cell r="AD590"/>
          <cell r="AE590"/>
          <cell r="AF590"/>
          <cell r="AG590"/>
          <cell r="AH590"/>
          <cell r="AP590"/>
          <cell r="AR590"/>
          <cell r="AT590"/>
          <cell r="AV590"/>
          <cell r="AX590"/>
        </row>
        <row r="591">
          <cell r="A591"/>
          <cell r="B591"/>
          <cell r="C591"/>
          <cell r="D591"/>
          <cell r="E591"/>
          <cell r="F591"/>
          <cell r="G591"/>
          <cell r="H591"/>
          <cell r="I591"/>
          <cell r="J591"/>
          <cell r="K591"/>
          <cell r="L591"/>
          <cell r="M591"/>
          <cell r="N591"/>
          <cell r="O591"/>
          <cell r="P591"/>
          <cell r="Q591"/>
          <cell r="R591"/>
          <cell r="W591"/>
          <cell r="X591"/>
          <cell r="Y591"/>
          <cell r="Z591"/>
          <cell r="AA591"/>
          <cell r="AB591"/>
          <cell r="AC591"/>
          <cell r="AD591"/>
          <cell r="AE591"/>
          <cell r="AF591"/>
          <cell r="AG591"/>
          <cell r="AH591"/>
          <cell r="AP591"/>
          <cell r="AR591"/>
          <cell r="AT591"/>
          <cell r="AV591"/>
          <cell r="AX591"/>
        </row>
        <row r="592">
          <cell r="A592"/>
          <cell r="B592"/>
          <cell r="C592"/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/>
          <cell r="W592"/>
          <cell r="X592"/>
          <cell r="Y592"/>
          <cell r="Z592"/>
          <cell r="AA592"/>
          <cell r="AB592"/>
          <cell r="AC592"/>
          <cell r="AD592"/>
          <cell r="AE592"/>
          <cell r="AF592"/>
          <cell r="AG592"/>
          <cell r="AH592"/>
          <cell r="AP592"/>
          <cell r="AR592"/>
          <cell r="AT592"/>
          <cell r="AV592"/>
          <cell r="AX592"/>
        </row>
        <row r="593">
          <cell r="A593"/>
          <cell r="B593"/>
          <cell r="C593"/>
          <cell r="D593"/>
          <cell r="E593"/>
          <cell r="F593"/>
          <cell r="G593"/>
          <cell r="H593"/>
          <cell r="I593"/>
          <cell r="J593"/>
          <cell r="K593"/>
          <cell r="L593"/>
          <cell r="M593"/>
          <cell r="N593"/>
          <cell r="O593"/>
          <cell r="P593"/>
          <cell r="Q593"/>
          <cell r="R593"/>
          <cell r="W593"/>
          <cell r="X593"/>
          <cell r="Y593"/>
          <cell r="Z593"/>
          <cell r="AA593"/>
          <cell r="AB593"/>
          <cell r="AC593"/>
          <cell r="AD593"/>
          <cell r="AE593"/>
          <cell r="AF593"/>
          <cell r="AG593"/>
          <cell r="AH593"/>
          <cell r="AP593"/>
          <cell r="AR593"/>
          <cell r="AT593"/>
          <cell r="AV593"/>
          <cell r="AX593"/>
        </row>
        <row r="594">
          <cell r="A594"/>
          <cell r="B594"/>
          <cell r="C594"/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/>
          <cell r="W594"/>
          <cell r="X594"/>
          <cell r="Y594"/>
          <cell r="Z594"/>
          <cell r="AA594"/>
          <cell r="AB594"/>
          <cell r="AC594"/>
          <cell r="AD594"/>
          <cell r="AE594"/>
          <cell r="AF594"/>
          <cell r="AG594"/>
          <cell r="AH594"/>
          <cell r="AP594"/>
          <cell r="AR594"/>
          <cell r="AT594"/>
          <cell r="AV594"/>
          <cell r="AX594"/>
        </row>
        <row r="595">
          <cell r="A595"/>
          <cell r="B595"/>
          <cell r="C595"/>
          <cell r="D595"/>
          <cell r="E595"/>
          <cell r="F595"/>
          <cell r="G595"/>
          <cell r="H595"/>
          <cell r="I595"/>
          <cell r="J595"/>
          <cell r="K595"/>
          <cell r="L595"/>
          <cell r="M595"/>
          <cell r="N595"/>
          <cell r="O595"/>
          <cell r="P595"/>
          <cell r="Q595"/>
          <cell r="R595"/>
          <cell r="W595"/>
          <cell r="X595"/>
          <cell r="Y595"/>
          <cell r="Z595"/>
          <cell r="AA595"/>
          <cell r="AB595"/>
          <cell r="AC595"/>
          <cell r="AD595"/>
          <cell r="AE595"/>
          <cell r="AF595"/>
          <cell r="AG595"/>
          <cell r="AH595"/>
          <cell r="AP595"/>
          <cell r="AR595"/>
          <cell r="AT595"/>
          <cell r="AV595"/>
          <cell r="AX595"/>
        </row>
        <row r="596">
          <cell r="A596"/>
          <cell r="B596"/>
          <cell r="C596"/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/>
          <cell r="W596"/>
          <cell r="X596"/>
          <cell r="Y596"/>
          <cell r="Z596"/>
          <cell r="AA596"/>
          <cell r="AB596"/>
          <cell r="AC596"/>
          <cell r="AD596"/>
          <cell r="AE596"/>
          <cell r="AF596"/>
          <cell r="AG596"/>
          <cell r="AH596"/>
          <cell r="AP596"/>
          <cell r="AR596"/>
          <cell r="AT596"/>
          <cell r="AV596"/>
          <cell r="AX596"/>
        </row>
        <row r="597">
          <cell r="A597"/>
          <cell r="B597"/>
          <cell r="C597"/>
          <cell r="D597"/>
          <cell r="E597"/>
          <cell r="F597"/>
          <cell r="G597"/>
          <cell r="H597"/>
          <cell r="I597"/>
          <cell r="J597"/>
          <cell r="K597"/>
          <cell r="L597"/>
          <cell r="M597"/>
          <cell r="N597"/>
          <cell r="O597"/>
          <cell r="P597"/>
          <cell r="Q597"/>
          <cell r="R597"/>
          <cell r="W597"/>
          <cell r="X597"/>
          <cell r="Y597"/>
          <cell r="Z597"/>
          <cell r="AA597"/>
          <cell r="AB597"/>
          <cell r="AC597"/>
          <cell r="AD597"/>
          <cell r="AE597"/>
          <cell r="AF597"/>
          <cell r="AG597"/>
          <cell r="AH597"/>
          <cell r="AP597"/>
          <cell r="AR597"/>
          <cell r="AT597"/>
          <cell r="AV597"/>
          <cell r="AX597"/>
        </row>
        <row r="598">
          <cell r="A598"/>
          <cell r="B598"/>
          <cell r="C598"/>
          <cell r="D598"/>
          <cell r="E598"/>
          <cell r="F598"/>
          <cell r="G598"/>
          <cell r="H598"/>
          <cell r="I598"/>
          <cell r="J598"/>
          <cell r="K598"/>
          <cell r="L598"/>
          <cell r="M598"/>
          <cell r="N598"/>
          <cell r="O598"/>
          <cell r="P598"/>
          <cell r="Q598"/>
          <cell r="R598"/>
          <cell r="W598"/>
          <cell r="X598"/>
          <cell r="Y598"/>
          <cell r="Z598"/>
          <cell r="AA598"/>
          <cell r="AB598"/>
          <cell r="AC598"/>
          <cell r="AD598"/>
          <cell r="AE598"/>
          <cell r="AF598"/>
          <cell r="AG598"/>
          <cell r="AH598"/>
          <cell r="AP598"/>
          <cell r="AR598"/>
          <cell r="AT598"/>
          <cell r="AV598"/>
          <cell r="AX598"/>
        </row>
        <row r="599">
          <cell r="A599"/>
          <cell r="B599"/>
          <cell r="C599"/>
          <cell r="D599"/>
          <cell r="E599"/>
          <cell r="F599"/>
          <cell r="G599"/>
          <cell r="H599"/>
          <cell r="I599"/>
          <cell r="J599"/>
          <cell r="K599"/>
          <cell r="L599"/>
          <cell r="M599"/>
          <cell r="N599"/>
          <cell r="O599"/>
          <cell r="P599"/>
          <cell r="Q599"/>
          <cell r="R599"/>
          <cell r="W599"/>
          <cell r="X599"/>
          <cell r="Y599"/>
          <cell r="Z599"/>
          <cell r="AA599"/>
          <cell r="AB599"/>
          <cell r="AC599"/>
          <cell r="AD599"/>
          <cell r="AE599"/>
          <cell r="AF599"/>
          <cell r="AG599"/>
          <cell r="AH599"/>
          <cell r="AP599"/>
          <cell r="AR599"/>
          <cell r="AT599"/>
          <cell r="AV599"/>
          <cell r="AX599"/>
        </row>
        <row r="600">
          <cell r="A600"/>
          <cell r="B600"/>
          <cell r="C600"/>
          <cell r="D600"/>
          <cell r="E600"/>
          <cell r="F600"/>
          <cell r="G600"/>
          <cell r="H600"/>
          <cell r="I600"/>
          <cell r="J600"/>
          <cell r="K600"/>
          <cell r="L600"/>
          <cell r="M600"/>
          <cell r="N600"/>
          <cell r="O600"/>
          <cell r="P600"/>
          <cell r="Q600"/>
          <cell r="R600"/>
          <cell r="W600"/>
          <cell r="X600"/>
          <cell r="Y600"/>
          <cell r="Z600"/>
          <cell r="AA600"/>
          <cell r="AB600"/>
          <cell r="AC600"/>
          <cell r="AD600"/>
          <cell r="AE600"/>
          <cell r="AF600"/>
          <cell r="AG600"/>
          <cell r="AH600"/>
          <cell r="AP600"/>
          <cell r="AR600"/>
          <cell r="AT600"/>
          <cell r="AV600"/>
          <cell r="AX600"/>
        </row>
        <row r="601">
          <cell r="A601"/>
          <cell r="B601"/>
          <cell r="C601"/>
          <cell r="D601"/>
          <cell r="E601"/>
          <cell r="F601"/>
          <cell r="G601"/>
          <cell r="H601"/>
          <cell r="I601"/>
          <cell r="J601"/>
          <cell r="K601"/>
          <cell r="L601"/>
          <cell r="M601"/>
          <cell r="N601"/>
          <cell r="O601"/>
          <cell r="P601"/>
          <cell r="Q601"/>
          <cell r="R601"/>
          <cell r="W601"/>
          <cell r="X601"/>
          <cell r="Y601"/>
          <cell r="Z601"/>
          <cell r="AA601"/>
          <cell r="AB601"/>
          <cell r="AC601"/>
          <cell r="AD601"/>
          <cell r="AE601"/>
          <cell r="AF601"/>
          <cell r="AG601"/>
          <cell r="AH601"/>
          <cell r="AP601"/>
          <cell r="AR601"/>
          <cell r="AT601"/>
          <cell r="AV601"/>
          <cell r="AX601"/>
        </row>
        <row r="602">
          <cell r="A602"/>
          <cell r="B602"/>
          <cell r="C602"/>
          <cell r="D602"/>
          <cell r="E602"/>
          <cell r="F602"/>
          <cell r="G602"/>
          <cell r="H602"/>
          <cell r="I602"/>
          <cell r="J602"/>
          <cell r="K602"/>
          <cell r="L602"/>
          <cell r="M602"/>
          <cell r="N602"/>
          <cell r="O602"/>
          <cell r="P602"/>
          <cell r="Q602"/>
          <cell r="R602"/>
          <cell r="W602"/>
          <cell r="X602"/>
          <cell r="Y602"/>
          <cell r="Z602"/>
          <cell r="AA602"/>
          <cell r="AB602"/>
          <cell r="AC602"/>
          <cell r="AD602"/>
          <cell r="AE602"/>
          <cell r="AF602"/>
          <cell r="AG602"/>
          <cell r="AH602"/>
          <cell r="AP602"/>
          <cell r="AR602"/>
          <cell r="AT602"/>
          <cell r="AV602"/>
          <cell r="AX602"/>
        </row>
        <row r="603">
          <cell r="A603"/>
          <cell r="B603"/>
          <cell r="C603"/>
          <cell r="D603"/>
          <cell r="E603"/>
          <cell r="F603"/>
          <cell r="G603"/>
          <cell r="H603"/>
          <cell r="I603"/>
          <cell r="J603"/>
          <cell r="K603"/>
          <cell r="L603"/>
          <cell r="M603"/>
          <cell r="N603"/>
          <cell r="O603"/>
          <cell r="P603"/>
          <cell r="Q603"/>
          <cell r="R603"/>
          <cell r="W603"/>
          <cell r="X603"/>
          <cell r="Y603"/>
          <cell r="Z603"/>
          <cell r="AA603"/>
          <cell r="AB603"/>
          <cell r="AC603"/>
          <cell r="AD603"/>
          <cell r="AE603"/>
          <cell r="AF603"/>
          <cell r="AG603"/>
          <cell r="AH603"/>
          <cell r="AP603"/>
          <cell r="AR603"/>
          <cell r="AT603"/>
          <cell r="AV603"/>
          <cell r="AX603"/>
        </row>
        <row r="604">
          <cell r="A604"/>
          <cell r="B604"/>
          <cell r="C604"/>
          <cell r="D604"/>
          <cell r="E604"/>
          <cell r="F604"/>
          <cell r="G604"/>
          <cell r="H604"/>
          <cell r="I604"/>
          <cell r="J604"/>
          <cell r="K604"/>
          <cell r="L604"/>
          <cell r="M604"/>
          <cell r="N604"/>
          <cell r="O604"/>
          <cell r="P604"/>
          <cell r="Q604"/>
          <cell r="R604"/>
          <cell r="W604"/>
          <cell r="X604"/>
          <cell r="Y604"/>
          <cell r="Z604"/>
          <cell r="AA604"/>
          <cell r="AB604"/>
          <cell r="AC604"/>
          <cell r="AD604"/>
          <cell r="AE604"/>
          <cell r="AF604"/>
          <cell r="AG604"/>
          <cell r="AH604"/>
          <cell r="AP604"/>
          <cell r="AR604"/>
          <cell r="AT604"/>
          <cell r="AV604"/>
          <cell r="AX604"/>
        </row>
        <row r="605">
          <cell r="A605"/>
          <cell r="B605"/>
          <cell r="C605"/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/>
          <cell r="W605"/>
          <cell r="X605"/>
          <cell r="Y605"/>
          <cell r="Z605"/>
          <cell r="AA605"/>
          <cell r="AB605"/>
          <cell r="AC605"/>
          <cell r="AD605"/>
          <cell r="AE605"/>
          <cell r="AF605"/>
          <cell r="AG605"/>
          <cell r="AH605"/>
          <cell r="AP605"/>
          <cell r="AR605"/>
          <cell r="AT605"/>
          <cell r="AV605"/>
          <cell r="AX605"/>
        </row>
        <row r="606">
          <cell r="A606"/>
          <cell r="B606"/>
          <cell r="C606"/>
          <cell r="D606"/>
          <cell r="E606"/>
          <cell r="F606"/>
          <cell r="G606"/>
          <cell r="H606"/>
          <cell r="I606"/>
          <cell r="J606"/>
          <cell r="K606"/>
          <cell r="L606"/>
          <cell r="M606"/>
          <cell r="N606"/>
          <cell r="O606"/>
          <cell r="P606"/>
          <cell r="Q606"/>
          <cell r="R606"/>
          <cell r="W606"/>
          <cell r="X606"/>
          <cell r="Y606"/>
          <cell r="Z606"/>
          <cell r="AA606"/>
          <cell r="AB606"/>
          <cell r="AC606"/>
          <cell r="AD606"/>
          <cell r="AE606"/>
          <cell r="AF606"/>
          <cell r="AG606"/>
          <cell r="AH606"/>
          <cell r="AP606"/>
          <cell r="AR606"/>
          <cell r="AT606"/>
          <cell r="AV606"/>
          <cell r="AX606"/>
        </row>
        <row r="607">
          <cell r="A607"/>
          <cell r="B607"/>
          <cell r="C607"/>
          <cell r="D607"/>
          <cell r="E607"/>
          <cell r="F607"/>
          <cell r="G607"/>
          <cell r="H607"/>
          <cell r="I607"/>
          <cell r="J607"/>
          <cell r="K607"/>
          <cell r="L607"/>
          <cell r="M607"/>
          <cell r="N607"/>
          <cell r="O607"/>
          <cell r="P607"/>
          <cell r="Q607"/>
          <cell r="R607"/>
          <cell r="W607"/>
          <cell r="X607"/>
          <cell r="Y607"/>
          <cell r="Z607"/>
          <cell r="AA607"/>
          <cell r="AB607"/>
          <cell r="AC607"/>
          <cell r="AD607"/>
          <cell r="AE607"/>
          <cell r="AF607"/>
          <cell r="AG607"/>
          <cell r="AH607"/>
          <cell r="AP607"/>
          <cell r="AR607"/>
          <cell r="AT607"/>
          <cell r="AV607"/>
          <cell r="AX607"/>
        </row>
        <row r="608">
          <cell r="A608"/>
          <cell r="B608"/>
          <cell r="C608"/>
          <cell r="D608"/>
          <cell r="E608"/>
          <cell r="F608"/>
          <cell r="G608"/>
          <cell r="H608"/>
          <cell r="I608"/>
          <cell r="J608"/>
          <cell r="K608"/>
          <cell r="L608"/>
          <cell r="M608"/>
          <cell r="N608"/>
          <cell r="O608"/>
          <cell r="P608"/>
          <cell r="Q608"/>
          <cell r="R608"/>
          <cell r="W608"/>
          <cell r="X608"/>
          <cell r="Y608"/>
          <cell r="Z608"/>
          <cell r="AA608"/>
          <cell r="AB608"/>
          <cell r="AC608"/>
          <cell r="AD608"/>
          <cell r="AE608"/>
          <cell r="AF608"/>
          <cell r="AG608"/>
          <cell r="AH608"/>
          <cell r="AP608"/>
          <cell r="AR608"/>
          <cell r="AT608"/>
          <cell r="AV608"/>
          <cell r="AX608"/>
        </row>
        <row r="609">
          <cell r="A609"/>
          <cell r="B609"/>
          <cell r="C609"/>
          <cell r="D609"/>
          <cell r="E609"/>
          <cell r="F609"/>
          <cell r="G609"/>
          <cell r="H609"/>
          <cell r="I609"/>
          <cell r="J609"/>
          <cell r="K609"/>
          <cell r="L609"/>
          <cell r="M609"/>
          <cell r="N609"/>
          <cell r="O609"/>
          <cell r="P609"/>
          <cell r="Q609"/>
          <cell r="R609"/>
          <cell r="W609"/>
          <cell r="X609"/>
          <cell r="Y609"/>
          <cell r="Z609"/>
          <cell r="AA609"/>
          <cell r="AB609"/>
          <cell r="AC609"/>
          <cell r="AD609"/>
          <cell r="AE609"/>
          <cell r="AF609"/>
          <cell r="AG609"/>
          <cell r="AH609"/>
          <cell r="AP609"/>
          <cell r="AR609"/>
          <cell r="AT609"/>
          <cell r="AV609"/>
          <cell r="AX609"/>
        </row>
        <row r="610">
          <cell r="A610"/>
          <cell r="B610"/>
          <cell r="C610"/>
          <cell r="D610"/>
          <cell r="E610"/>
          <cell r="F610"/>
          <cell r="G610"/>
          <cell r="H610"/>
          <cell r="I610"/>
          <cell r="J610"/>
          <cell r="K610"/>
          <cell r="L610"/>
          <cell r="M610"/>
          <cell r="N610"/>
          <cell r="O610"/>
          <cell r="P610"/>
          <cell r="Q610"/>
          <cell r="R610"/>
          <cell r="W610"/>
          <cell r="X610"/>
          <cell r="Y610"/>
          <cell r="Z610"/>
          <cell r="AA610"/>
          <cell r="AB610"/>
          <cell r="AC610"/>
          <cell r="AD610"/>
          <cell r="AE610"/>
          <cell r="AF610"/>
          <cell r="AG610"/>
          <cell r="AH610"/>
          <cell r="AP610"/>
          <cell r="AR610"/>
          <cell r="AT610"/>
          <cell r="AV610"/>
          <cell r="AX610"/>
        </row>
        <row r="611">
          <cell r="A611"/>
          <cell r="B611"/>
          <cell r="C611"/>
          <cell r="D611"/>
          <cell r="E611"/>
          <cell r="F611"/>
          <cell r="G611"/>
          <cell r="H611"/>
          <cell r="I611"/>
          <cell r="J611"/>
          <cell r="K611"/>
          <cell r="L611"/>
          <cell r="M611"/>
          <cell r="N611"/>
          <cell r="O611"/>
          <cell r="P611"/>
          <cell r="Q611"/>
          <cell r="R611"/>
          <cell r="W611"/>
          <cell r="X611"/>
          <cell r="Y611"/>
          <cell r="Z611"/>
          <cell r="AA611"/>
          <cell r="AB611"/>
          <cell r="AC611"/>
          <cell r="AD611"/>
          <cell r="AE611"/>
          <cell r="AF611"/>
          <cell r="AG611"/>
          <cell r="AH611"/>
          <cell r="AP611"/>
          <cell r="AR611"/>
          <cell r="AT611"/>
          <cell r="AV611"/>
          <cell r="AX611"/>
        </row>
        <row r="612">
          <cell r="A612"/>
          <cell r="B612"/>
          <cell r="C612"/>
          <cell r="D612"/>
          <cell r="E612"/>
          <cell r="F612"/>
          <cell r="G612"/>
          <cell r="H612"/>
          <cell r="I612"/>
          <cell r="J612"/>
          <cell r="K612"/>
          <cell r="L612"/>
          <cell r="M612"/>
          <cell r="N612"/>
          <cell r="O612"/>
          <cell r="P612"/>
          <cell r="Q612"/>
          <cell r="R612"/>
          <cell r="W612"/>
          <cell r="X612"/>
          <cell r="Y612"/>
          <cell r="Z612"/>
          <cell r="AA612"/>
          <cell r="AB612"/>
          <cell r="AC612"/>
          <cell r="AD612"/>
          <cell r="AE612"/>
          <cell r="AF612"/>
          <cell r="AG612"/>
          <cell r="AH612"/>
          <cell r="AP612"/>
          <cell r="AR612"/>
          <cell r="AT612"/>
          <cell r="AV612"/>
          <cell r="AX612"/>
        </row>
        <row r="613">
          <cell r="A613"/>
          <cell r="B613"/>
          <cell r="C613"/>
          <cell r="D613"/>
          <cell r="E613"/>
          <cell r="F613"/>
          <cell r="G613"/>
          <cell r="H613"/>
          <cell r="I613"/>
          <cell r="J613"/>
          <cell r="K613"/>
          <cell r="L613"/>
          <cell r="M613"/>
          <cell r="N613"/>
          <cell r="O613"/>
          <cell r="P613"/>
          <cell r="Q613"/>
          <cell r="R613"/>
          <cell r="W613"/>
          <cell r="X613"/>
          <cell r="Y613"/>
          <cell r="Z613"/>
          <cell r="AA613"/>
          <cell r="AB613"/>
          <cell r="AC613"/>
          <cell r="AD613"/>
          <cell r="AE613"/>
          <cell r="AF613"/>
          <cell r="AG613"/>
          <cell r="AH613"/>
          <cell r="AP613"/>
          <cell r="AR613"/>
          <cell r="AT613"/>
          <cell r="AV613"/>
          <cell r="AX613"/>
        </row>
        <row r="614">
          <cell r="A614"/>
          <cell r="B614"/>
          <cell r="C614"/>
          <cell r="D614"/>
          <cell r="E614"/>
          <cell r="F614"/>
          <cell r="G614"/>
          <cell r="H614"/>
          <cell r="I614"/>
          <cell r="J614"/>
          <cell r="K614"/>
          <cell r="L614"/>
          <cell r="M614"/>
          <cell r="N614"/>
          <cell r="O614"/>
          <cell r="P614"/>
          <cell r="Q614"/>
          <cell r="R614"/>
          <cell r="W614"/>
          <cell r="X614"/>
          <cell r="Y614"/>
          <cell r="Z614"/>
          <cell r="AA614"/>
          <cell r="AB614"/>
          <cell r="AC614"/>
          <cell r="AD614"/>
          <cell r="AE614"/>
          <cell r="AF614"/>
          <cell r="AG614"/>
          <cell r="AH614"/>
          <cell r="AP614"/>
          <cell r="AR614"/>
          <cell r="AT614"/>
          <cell r="AV614"/>
          <cell r="AX614"/>
        </row>
        <row r="615">
          <cell r="A615"/>
          <cell r="B615"/>
          <cell r="C615"/>
          <cell r="D615"/>
          <cell r="E615"/>
          <cell r="F615"/>
          <cell r="G615"/>
          <cell r="H615"/>
          <cell r="I615"/>
          <cell r="J615"/>
          <cell r="K615"/>
          <cell r="L615"/>
          <cell r="M615"/>
          <cell r="N615"/>
          <cell r="O615"/>
          <cell r="P615"/>
          <cell r="Q615"/>
          <cell r="R615"/>
          <cell r="W615"/>
          <cell r="X615"/>
          <cell r="Y615"/>
          <cell r="Z615"/>
          <cell r="AA615"/>
          <cell r="AB615"/>
          <cell r="AC615"/>
          <cell r="AD615"/>
          <cell r="AE615"/>
          <cell r="AF615"/>
          <cell r="AG615"/>
          <cell r="AH615"/>
          <cell r="AP615"/>
          <cell r="AR615"/>
          <cell r="AT615"/>
          <cell r="AV615"/>
          <cell r="AX615"/>
        </row>
        <row r="616">
          <cell r="A616"/>
          <cell r="B616"/>
          <cell r="C616"/>
          <cell r="D616"/>
          <cell r="E616"/>
          <cell r="F616"/>
          <cell r="G616"/>
          <cell r="H616"/>
          <cell r="I616"/>
          <cell r="J616"/>
          <cell r="K616"/>
          <cell r="L616"/>
          <cell r="M616"/>
          <cell r="N616"/>
          <cell r="O616"/>
          <cell r="P616"/>
          <cell r="Q616"/>
          <cell r="R616"/>
          <cell r="W616"/>
          <cell r="X616"/>
          <cell r="Y616"/>
          <cell r="Z616"/>
          <cell r="AA616"/>
          <cell r="AB616"/>
          <cell r="AC616"/>
          <cell r="AD616"/>
          <cell r="AE616"/>
          <cell r="AF616"/>
          <cell r="AG616"/>
          <cell r="AH616"/>
          <cell r="AP616"/>
          <cell r="AR616"/>
          <cell r="AT616"/>
          <cell r="AV616"/>
          <cell r="AX616"/>
        </row>
        <row r="617">
          <cell r="A617"/>
          <cell r="B617"/>
          <cell r="C617"/>
          <cell r="D617"/>
          <cell r="E617"/>
          <cell r="F617"/>
          <cell r="G617"/>
          <cell r="H617"/>
          <cell r="I617"/>
          <cell r="J617"/>
          <cell r="K617"/>
          <cell r="L617"/>
          <cell r="M617"/>
          <cell r="N617"/>
          <cell r="O617"/>
          <cell r="P617"/>
          <cell r="Q617"/>
          <cell r="R617"/>
          <cell r="W617"/>
          <cell r="X617"/>
          <cell r="Y617"/>
          <cell r="Z617"/>
          <cell r="AA617"/>
          <cell r="AB617"/>
          <cell r="AC617"/>
          <cell r="AD617"/>
          <cell r="AE617"/>
          <cell r="AF617"/>
          <cell r="AG617"/>
          <cell r="AH617"/>
          <cell r="AP617"/>
          <cell r="AR617"/>
          <cell r="AT617"/>
          <cell r="AV617"/>
          <cell r="AX617"/>
        </row>
        <row r="618">
          <cell r="A618"/>
          <cell r="B618"/>
          <cell r="C618"/>
          <cell r="D618"/>
          <cell r="E618"/>
          <cell r="F618"/>
          <cell r="G618"/>
          <cell r="H618"/>
          <cell r="I618"/>
          <cell r="J618"/>
          <cell r="K618"/>
          <cell r="L618"/>
          <cell r="M618"/>
          <cell r="N618"/>
          <cell r="O618"/>
          <cell r="P618"/>
          <cell r="Q618"/>
          <cell r="R618"/>
          <cell r="W618"/>
          <cell r="X618"/>
          <cell r="Y618"/>
          <cell r="Z618"/>
          <cell r="AA618"/>
          <cell r="AB618"/>
          <cell r="AC618"/>
          <cell r="AD618"/>
          <cell r="AE618"/>
          <cell r="AF618"/>
          <cell r="AG618"/>
          <cell r="AH618"/>
          <cell r="AP618"/>
          <cell r="AR618"/>
          <cell r="AT618"/>
          <cell r="AV618"/>
          <cell r="AX618"/>
        </row>
        <row r="619">
          <cell r="A619"/>
          <cell r="B619"/>
          <cell r="C619"/>
          <cell r="D619"/>
          <cell r="E619"/>
          <cell r="F619"/>
          <cell r="G619"/>
          <cell r="H619"/>
          <cell r="I619"/>
          <cell r="J619"/>
          <cell r="K619"/>
          <cell r="L619"/>
          <cell r="M619"/>
          <cell r="N619"/>
          <cell r="O619"/>
          <cell r="P619"/>
          <cell r="Q619"/>
          <cell r="R619"/>
          <cell r="W619"/>
          <cell r="X619"/>
          <cell r="Y619"/>
          <cell r="Z619"/>
          <cell r="AA619"/>
          <cell r="AB619"/>
          <cell r="AC619"/>
          <cell r="AD619"/>
          <cell r="AE619"/>
          <cell r="AF619"/>
          <cell r="AG619"/>
          <cell r="AH619"/>
          <cell r="AP619"/>
          <cell r="AR619"/>
          <cell r="AT619"/>
          <cell r="AV619"/>
          <cell r="AX619"/>
        </row>
        <row r="620">
          <cell r="A620"/>
          <cell r="B620"/>
          <cell r="C620"/>
          <cell r="D620"/>
          <cell r="E620"/>
          <cell r="F620"/>
          <cell r="G620"/>
          <cell r="H620"/>
          <cell r="I620"/>
          <cell r="J620"/>
          <cell r="K620"/>
          <cell r="L620"/>
          <cell r="M620"/>
          <cell r="N620"/>
          <cell r="O620"/>
          <cell r="P620"/>
          <cell r="Q620"/>
          <cell r="R620"/>
          <cell r="W620"/>
          <cell r="X620"/>
          <cell r="Y620"/>
          <cell r="Z620"/>
          <cell r="AA620"/>
          <cell r="AB620"/>
          <cell r="AC620"/>
          <cell r="AD620"/>
          <cell r="AE620"/>
          <cell r="AF620"/>
          <cell r="AG620"/>
          <cell r="AH620"/>
          <cell r="AP620"/>
          <cell r="AR620"/>
          <cell r="AT620"/>
          <cell r="AV620"/>
          <cell r="AX620"/>
        </row>
        <row r="621">
          <cell r="A621"/>
          <cell r="B621"/>
          <cell r="C621"/>
          <cell r="D621"/>
          <cell r="E621"/>
          <cell r="F621"/>
          <cell r="G621"/>
          <cell r="H621"/>
          <cell r="I621"/>
          <cell r="J621"/>
          <cell r="K621"/>
          <cell r="L621"/>
          <cell r="M621"/>
          <cell r="N621"/>
          <cell r="O621"/>
          <cell r="P621"/>
          <cell r="Q621"/>
          <cell r="R621"/>
          <cell r="W621"/>
          <cell r="X621"/>
          <cell r="Y621"/>
          <cell r="Z621"/>
          <cell r="AA621"/>
          <cell r="AB621"/>
          <cell r="AC621"/>
          <cell r="AD621"/>
          <cell r="AE621"/>
          <cell r="AF621"/>
          <cell r="AG621"/>
          <cell r="AH621"/>
          <cell r="AP621"/>
          <cell r="AR621"/>
          <cell r="AT621"/>
          <cell r="AV621"/>
          <cell r="AX621"/>
        </row>
        <row r="622">
          <cell r="A622"/>
          <cell r="B622"/>
          <cell r="C622"/>
          <cell r="D622"/>
          <cell r="E622"/>
          <cell r="F622"/>
          <cell r="G622"/>
          <cell r="H622"/>
          <cell r="I622"/>
          <cell r="J622"/>
          <cell r="K622"/>
          <cell r="L622"/>
          <cell r="M622"/>
          <cell r="N622"/>
          <cell r="O622"/>
          <cell r="P622"/>
          <cell r="Q622"/>
          <cell r="R622"/>
          <cell r="W622"/>
          <cell r="X622"/>
          <cell r="Y622"/>
          <cell r="Z622"/>
          <cell r="AA622"/>
          <cell r="AB622"/>
          <cell r="AC622"/>
          <cell r="AD622"/>
          <cell r="AE622"/>
          <cell r="AF622"/>
          <cell r="AG622"/>
          <cell r="AH622"/>
          <cell r="AP622"/>
          <cell r="AR622"/>
          <cell r="AT622"/>
          <cell r="AV622"/>
          <cell r="AX622"/>
        </row>
        <row r="623">
          <cell r="A623"/>
          <cell r="B623"/>
          <cell r="C623"/>
          <cell r="D623"/>
          <cell r="E623"/>
          <cell r="F623"/>
          <cell r="G623"/>
          <cell r="H623"/>
          <cell r="I623"/>
          <cell r="J623"/>
          <cell r="K623"/>
          <cell r="L623"/>
          <cell r="M623"/>
          <cell r="N623"/>
          <cell r="O623"/>
          <cell r="P623"/>
          <cell r="Q623"/>
          <cell r="R623"/>
          <cell r="W623"/>
          <cell r="X623"/>
          <cell r="Y623"/>
          <cell r="Z623"/>
          <cell r="AA623"/>
          <cell r="AB623"/>
          <cell r="AC623"/>
          <cell r="AD623"/>
          <cell r="AE623"/>
          <cell r="AF623"/>
          <cell r="AG623"/>
          <cell r="AH623"/>
          <cell r="AP623"/>
          <cell r="AR623"/>
          <cell r="AT623"/>
          <cell r="AV623"/>
          <cell r="AX623"/>
        </row>
        <row r="624">
          <cell r="A624"/>
          <cell r="B624"/>
          <cell r="C624"/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/>
          <cell r="W624"/>
          <cell r="X624"/>
          <cell r="Y624"/>
          <cell r="Z624"/>
          <cell r="AA624"/>
          <cell r="AB624"/>
          <cell r="AC624"/>
          <cell r="AD624"/>
          <cell r="AE624"/>
          <cell r="AF624"/>
          <cell r="AG624"/>
          <cell r="AH624"/>
          <cell r="AP624"/>
          <cell r="AR624"/>
          <cell r="AT624"/>
          <cell r="AV624"/>
          <cell r="AX624"/>
        </row>
        <row r="625">
          <cell r="A625"/>
          <cell r="B625"/>
          <cell r="C625"/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/>
          <cell r="W625"/>
          <cell r="X625"/>
          <cell r="Y625"/>
          <cell r="Z625"/>
          <cell r="AA625"/>
          <cell r="AB625"/>
          <cell r="AC625"/>
          <cell r="AD625"/>
          <cell r="AE625"/>
          <cell r="AF625"/>
          <cell r="AG625"/>
          <cell r="AH625"/>
          <cell r="AP625"/>
          <cell r="AR625"/>
          <cell r="AT625"/>
          <cell r="AV625"/>
          <cell r="AX625"/>
        </row>
        <row r="626">
          <cell r="A626"/>
          <cell r="B626"/>
          <cell r="C626"/>
          <cell r="D626"/>
          <cell r="E626"/>
          <cell r="F626"/>
          <cell r="G626"/>
          <cell r="H626"/>
          <cell r="I626"/>
          <cell r="J626"/>
          <cell r="K626"/>
          <cell r="L626"/>
          <cell r="M626"/>
          <cell r="N626"/>
          <cell r="O626"/>
          <cell r="P626"/>
          <cell r="Q626"/>
          <cell r="R626"/>
          <cell r="W626"/>
          <cell r="X626"/>
          <cell r="Y626"/>
          <cell r="Z626"/>
          <cell r="AA626"/>
          <cell r="AB626"/>
          <cell r="AC626"/>
          <cell r="AD626"/>
          <cell r="AE626"/>
          <cell r="AF626"/>
          <cell r="AG626"/>
          <cell r="AH626"/>
          <cell r="AP626"/>
          <cell r="AR626"/>
          <cell r="AT626"/>
          <cell r="AV626"/>
          <cell r="AX626"/>
        </row>
        <row r="627">
          <cell r="A627"/>
          <cell r="B627"/>
          <cell r="C627"/>
          <cell r="D627"/>
          <cell r="E627"/>
          <cell r="F627"/>
          <cell r="G627"/>
          <cell r="H627"/>
          <cell r="I627"/>
          <cell r="J627"/>
          <cell r="K627"/>
          <cell r="L627"/>
          <cell r="M627"/>
          <cell r="N627"/>
          <cell r="O627"/>
          <cell r="P627"/>
          <cell r="Q627"/>
          <cell r="R627"/>
          <cell r="W627"/>
          <cell r="X627"/>
          <cell r="Y627"/>
          <cell r="Z627"/>
          <cell r="AA627"/>
          <cell r="AB627"/>
          <cell r="AC627"/>
          <cell r="AD627"/>
          <cell r="AE627"/>
          <cell r="AF627"/>
          <cell r="AG627"/>
          <cell r="AH627"/>
          <cell r="AP627"/>
          <cell r="AR627"/>
          <cell r="AT627"/>
          <cell r="AV627"/>
          <cell r="AX627"/>
        </row>
        <row r="628">
          <cell r="A628"/>
          <cell r="B628"/>
          <cell r="C628"/>
          <cell r="D628"/>
          <cell r="E628"/>
          <cell r="F628"/>
          <cell r="G628"/>
          <cell r="H628"/>
          <cell r="I628"/>
          <cell r="J628"/>
          <cell r="K628"/>
          <cell r="L628"/>
          <cell r="M628"/>
          <cell r="N628"/>
          <cell r="O628"/>
          <cell r="P628"/>
          <cell r="Q628"/>
          <cell r="R628"/>
          <cell r="W628"/>
          <cell r="X628"/>
          <cell r="Y628"/>
          <cell r="Z628"/>
          <cell r="AA628"/>
          <cell r="AB628"/>
          <cell r="AC628"/>
          <cell r="AD628"/>
          <cell r="AE628"/>
          <cell r="AF628"/>
          <cell r="AG628"/>
          <cell r="AH628"/>
          <cell r="AP628"/>
          <cell r="AR628"/>
          <cell r="AT628"/>
          <cell r="AV628"/>
          <cell r="AX628"/>
        </row>
        <row r="629">
          <cell r="A629"/>
          <cell r="B629"/>
          <cell r="C629"/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/>
          <cell r="W629"/>
          <cell r="X629"/>
          <cell r="Y629"/>
          <cell r="Z629"/>
          <cell r="AA629"/>
          <cell r="AB629"/>
          <cell r="AC629"/>
          <cell r="AD629"/>
          <cell r="AE629"/>
          <cell r="AF629"/>
          <cell r="AG629"/>
          <cell r="AH629"/>
          <cell r="AP629"/>
          <cell r="AR629"/>
          <cell r="AT629"/>
          <cell r="AV629"/>
          <cell r="AX629"/>
        </row>
        <row r="630">
          <cell r="A630"/>
          <cell r="B630"/>
          <cell r="C630"/>
          <cell r="D630"/>
          <cell r="E630"/>
          <cell r="F630"/>
          <cell r="G630"/>
          <cell r="H630"/>
          <cell r="I630"/>
          <cell r="J630"/>
          <cell r="K630"/>
          <cell r="L630"/>
          <cell r="M630"/>
          <cell r="N630"/>
          <cell r="O630"/>
          <cell r="P630"/>
          <cell r="Q630"/>
          <cell r="R630"/>
          <cell r="W630"/>
          <cell r="X630"/>
          <cell r="Y630"/>
          <cell r="Z630"/>
          <cell r="AA630"/>
          <cell r="AB630"/>
          <cell r="AC630"/>
          <cell r="AD630"/>
          <cell r="AE630"/>
          <cell r="AF630"/>
          <cell r="AG630"/>
          <cell r="AH630"/>
          <cell r="AP630"/>
          <cell r="AR630"/>
          <cell r="AT630"/>
          <cell r="AV630"/>
          <cell r="AX630"/>
        </row>
        <row r="631">
          <cell r="A631"/>
          <cell r="B631"/>
          <cell r="C631"/>
          <cell r="D631"/>
          <cell r="E631"/>
          <cell r="F631"/>
          <cell r="G631"/>
          <cell r="H631"/>
          <cell r="I631"/>
          <cell r="J631"/>
          <cell r="K631"/>
          <cell r="L631"/>
          <cell r="M631"/>
          <cell r="N631"/>
          <cell r="O631"/>
          <cell r="P631"/>
          <cell r="Q631"/>
          <cell r="R631"/>
          <cell r="W631"/>
          <cell r="X631"/>
          <cell r="Y631"/>
          <cell r="Z631"/>
          <cell r="AA631"/>
          <cell r="AB631"/>
          <cell r="AC631"/>
          <cell r="AD631"/>
          <cell r="AE631"/>
          <cell r="AF631"/>
          <cell r="AG631"/>
          <cell r="AH631"/>
          <cell r="AP631"/>
          <cell r="AR631"/>
          <cell r="AT631"/>
          <cell r="AV631"/>
          <cell r="AX631"/>
        </row>
        <row r="632">
          <cell r="A632"/>
          <cell r="B632"/>
          <cell r="C632"/>
          <cell r="D632"/>
          <cell r="E632"/>
          <cell r="F632"/>
          <cell r="G632"/>
          <cell r="H632"/>
          <cell r="I632"/>
          <cell r="J632"/>
          <cell r="K632"/>
          <cell r="L632"/>
          <cell r="M632"/>
          <cell r="N632"/>
          <cell r="O632"/>
          <cell r="P632"/>
          <cell r="Q632"/>
          <cell r="R632"/>
          <cell r="W632"/>
          <cell r="X632"/>
          <cell r="Y632"/>
          <cell r="Z632"/>
          <cell r="AA632"/>
          <cell r="AB632"/>
          <cell r="AC632"/>
          <cell r="AD632"/>
          <cell r="AE632"/>
          <cell r="AF632"/>
          <cell r="AG632"/>
          <cell r="AH632"/>
          <cell r="AP632"/>
          <cell r="AR632"/>
          <cell r="AT632"/>
          <cell r="AV632"/>
          <cell r="AX632"/>
        </row>
        <row r="633">
          <cell r="A633"/>
          <cell r="B633"/>
          <cell r="C633"/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/>
          <cell r="W633"/>
          <cell r="X633"/>
          <cell r="Y633"/>
          <cell r="Z633"/>
          <cell r="AA633"/>
          <cell r="AB633"/>
          <cell r="AC633"/>
          <cell r="AD633"/>
          <cell r="AE633"/>
          <cell r="AF633"/>
          <cell r="AG633"/>
          <cell r="AH633"/>
          <cell r="AP633"/>
          <cell r="AR633"/>
          <cell r="AT633"/>
          <cell r="AV633"/>
          <cell r="AX633"/>
        </row>
        <row r="634">
          <cell r="A634"/>
          <cell r="B634"/>
          <cell r="C634"/>
          <cell r="D634"/>
          <cell r="E634"/>
          <cell r="F634"/>
          <cell r="G634"/>
          <cell r="H634"/>
          <cell r="I634"/>
          <cell r="J634"/>
          <cell r="K634"/>
          <cell r="L634"/>
          <cell r="M634"/>
          <cell r="N634"/>
          <cell r="O634"/>
          <cell r="P634"/>
          <cell r="Q634"/>
          <cell r="R634"/>
          <cell r="W634"/>
          <cell r="X634"/>
          <cell r="Y634"/>
          <cell r="Z634"/>
          <cell r="AA634"/>
          <cell r="AB634"/>
          <cell r="AC634"/>
          <cell r="AD634"/>
          <cell r="AE634"/>
          <cell r="AF634"/>
          <cell r="AG634"/>
          <cell r="AH634"/>
          <cell r="AP634"/>
          <cell r="AR634"/>
          <cell r="AT634"/>
          <cell r="AV634"/>
          <cell r="AX634"/>
        </row>
        <row r="635">
          <cell r="A635"/>
          <cell r="B635"/>
          <cell r="C635"/>
          <cell r="D635"/>
          <cell r="E635"/>
          <cell r="F635"/>
          <cell r="G635"/>
          <cell r="H635"/>
          <cell r="I635"/>
          <cell r="J635"/>
          <cell r="K635"/>
          <cell r="L635"/>
          <cell r="M635"/>
          <cell r="N635"/>
          <cell r="O635"/>
          <cell r="P635"/>
          <cell r="Q635"/>
          <cell r="R635"/>
          <cell r="W635"/>
          <cell r="X635"/>
          <cell r="Y635"/>
          <cell r="Z635"/>
          <cell r="AA635"/>
          <cell r="AB635"/>
          <cell r="AC635"/>
          <cell r="AD635"/>
          <cell r="AE635"/>
          <cell r="AF635"/>
          <cell r="AG635"/>
          <cell r="AH635"/>
          <cell r="AP635"/>
          <cell r="AR635"/>
          <cell r="AT635"/>
          <cell r="AV635"/>
          <cell r="AX635"/>
        </row>
        <row r="636">
          <cell r="A636"/>
          <cell r="B636"/>
          <cell r="C636"/>
          <cell r="D636"/>
          <cell r="E636"/>
          <cell r="F636"/>
          <cell r="G636"/>
          <cell r="H636"/>
          <cell r="I636"/>
          <cell r="J636"/>
          <cell r="K636"/>
          <cell r="L636"/>
          <cell r="M636"/>
          <cell r="N636"/>
          <cell r="O636"/>
          <cell r="P636"/>
          <cell r="Q636"/>
          <cell r="R636"/>
          <cell r="W636"/>
          <cell r="X636"/>
          <cell r="Y636"/>
          <cell r="Z636"/>
          <cell r="AA636"/>
          <cell r="AB636"/>
          <cell r="AC636"/>
          <cell r="AD636"/>
          <cell r="AE636"/>
          <cell r="AF636"/>
          <cell r="AG636"/>
          <cell r="AH636"/>
          <cell r="AP636"/>
          <cell r="AR636"/>
          <cell r="AT636"/>
          <cell r="AV636"/>
          <cell r="AX636"/>
        </row>
        <row r="637">
          <cell r="A637"/>
          <cell r="B637"/>
          <cell r="C637"/>
          <cell r="D637"/>
          <cell r="E637"/>
          <cell r="F637"/>
          <cell r="G637"/>
          <cell r="H637"/>
          <cell r="I637"/>
          <cell r="J637"/>
          <cell r="K637"/>
          <cell r="L637"/>
          <cell r="M637"/>
          <cell r="N637"/>
          <cell r="O637"/>
          <cell r="P637"/>
          <cell r="Q637"/>
          <cell r="R637"/>
          <cell r="W637"/>
          <cell r="X637"/>
          <cell r="Y637"/>
          <cell r="Z637"/>
          <cell r="AA637"/>
          <cell r="AB637"/>
          <cell r="AC637"/>
          <cell r="AD637"/>
          <cell r="AE637"/>
          <cell r="AF637"/>
          <cell r="AG637"/>
          <cell r="AH637"/>
          <cell r="AP637"/>
          <cell r="AR637"/>
          <cell r="AT637"/>
          <cell r="AV637"/>
          <cell r="AX637"/>
        </row>
        <row r="638">
          <cell r="A638"/>
          <cell r="B638"/>
          <cell r="C638"/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/>
          <cell r="W638"/>
          <cell r="X638"/>
          <cell r="Y638"/>
          <cell r="Z638"/>
          <cell r="AA638"/>
          <cell r="AB638"/>
          <cell r="AC638"/>
          <cell r="AD638"/>
          <cell r="AE638"/>
          <cell r="AF638"/>
          <cell r="AG638"/>
          <cell r="AH638"/>
          <cell r="AP638"/>
          <cell r="AR638"/>
          <cell r="AT638"/>
          <cell r="AV638"/>
          <cell r="AX638"/>
        </row>
        <row r="639">
          <cell r="A639"/>
          <cell r="B639"/>
          <cell r="C639"/>
          <cell r="D639"/>
          <cell r="E639"/>
          <cell r="F639"/>
          <cell r="G639"/>
          <cell r="H639"/>
          <cell r="I639"/>
          <cell r="J639"/>
          <cell r="K639"/>
          <cell r="L639"/>
          <cell r="M639"/>
          <cell r="N639"/>
          <cell r="O639"/>
          <cell r="P639"/>
          <cell r="Q639"/>
          <cell r="R639"/>
          <cell r="W639"/>
          <cell r="X639"/>
          <cell r="Y639"/>
          <cell r="Z639"/>
          <cell r="AA639"/>
          <cell r="AB639"/>
          <cell r="AC639"/>
          <cell r="AD639"/>
          <cell r="AE639"/>
          <cell r="AF639"/>
          <cell r="AG639"/>
          <cell r="AH639"/>
          <cell r="AP639"/>
          <cell r="AR639"/>
          <cell r="AT639"/>
          <cell r="AV639"/>
          <cell r="AX639"/>
        </row>
        <row r="640">
          <cell r="A640"/>
          <cell r="B640"/>
          <cell r="C640"/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/>
          <cell r="W640"/>
          <cell r="X640"/>
          <cell r="Y640"/>
          <cell r="Z640"/>
          <cell r="AA640"/>
          <cell r="AB640"/>
          <cell r="AC640"/>
          <cell r="AD640"/>
          <cell r="AE640"/>
          <cell r="AF640"/>
          <cell r="AG640"/>
          <cell r="AH640"/>
          <cell r="AP640"/>
          <cell r="AR640"/>
          <cell r="AT640"/>
          <cell r="AV640"/>
          <cell r="AX640"/>
        </row>
        <row r="641">
          <cell r="A641"/>
          <cell r="B641"/>
          <cell r="C641"/>
          <cell r="D641"/>
          <cell r="E641"/>
          <cell r="F641"/>
          <cell r="G641"/>
          <cell r="H641"/>
          <cell r="I641"/>
          <cell r="J641"/>
          <cell r="K641"/>
          <cell r="L641"/>
          <cell r="M641"/>
          <cell r="N641"/>
          <cell r="O641"/>
          <cell r="P641"/>
          <cell r="Q641"/>
          <cell r="R641"/>
          <cell r="W641"/>
          <cell r="X641"/>
          <cell r="Y641"/>
          <cell r="Z641"/>
          <cell r="AA641"/>
          <cell r="AB641"/>
          <cell r="AC641"/>
          <cell r="AD641"/>
          <cell r="AE641"/>
          <cell r="AF641"/>
          <cell r="AG641"/>
          <cell r="AH641"/>
          <cell r="AP641"/>
          <cell r="AR641"/>
          <cell r="AT641"/>
          <cell r="AV641"/>
          <cell r="AX641"/>
        </row>
        <row r="642">
          <cell r="A642"/>
          <cell r="B642"/>
          <cell r="C642"/>
          <cell r="D642"/>
          <cell r="E642"/>
          <cell r="F642"/>
          <cell r="G642"/>
          <cell r="H642"/>
          <cell r="I642"/>
          <cell r="J642"/>
          <cell r="K642"/>
          <cell r="L642"/>
          <cell r="M642"/>
          <cell r="N642"/>
          <cell r="O642"/>
          <cell r="P642"/>
          <cell r="Q642"/>
          <cell r="R642"/>
          <cell r="W642"/>
          <cell r="X642"/>
          <cell r="Y642"/>
          <cell r="Z642"/>
          <cell r="AA642"/>
          <cell r="AB642"/>
          <cell r="AC642"/>
          <cell r="AD642"/>
          <cell r="AE642"/>
          <cell r="AF642"/>
          <cell r="AG642"/>
          <cell r="AH642"/>
          <cell r="AP642"/>
          <cell r="AR642"/>
          <cell r="AT642"/>
          <cell r="AV642"/>
          <cell r="AX642"/>
        </row>
        <row r="643">
          <cell r="A643"/>
          <cell r="B643"/>
          <cell r="C643"/>
          <cell r="D643"/>
          <cell r="E643"/>
          <cell r="F643"/>
          <cell r="G643"/>
          <cell r="H643"/>
          <cell r="I643"/>
          <cell r="J643"/>
          <cell r="K643"/>
          <cell r="L643"/>
          <cell r="M643"/>
          <cell r="N643"/>
          <cell r="O643"/>
          <cell r="P643"/>
          <cell r="Q643"/>
          <cell r="R643"/>
          <cell r="W643"/>
          <cell r="X643"/>
          <cell r="Y643"/>
          <cell r="Z643"/>
          <cell r="AA643"/>
          <cell r="AB643"/>
          <cell r="AC643"/>
          <cell r="AD643"/>
          <cell r="AE643"/>
          <cell r="AF643"/>
          <cell r="AG643"/>
          <cell r="AH643"/>
          <cell r="AP643"/>
          <cell r="AR643"/>
          <cell r="AT643"/>
          <cell r="AV643"/>
          <cell r="AX643"/>
        </row>
        <row r="644">
          <cell r="A644"/>
          <cell r="B644"/>
          <cell r="C644"/>
          <cell r="D644"/>
          <cell r="E644"/>
          <cell r="F644"/>
          <cell r="G644"/>
          <cell r="H644"/>
          <cell r="I644"/>
          <cell r="J644"/>
          <cell r="K644"/>
          <cell r="L644"/>
          <cell r="M644"/>
          <cell r="N644"/>
          <cell r="O644"/>
          <cell r="P644"/>
          <cell r="Q644"/>
          <cell r="R644"/>
          <cell r="W644"/>
          <cell r="X644"/>
          <cell r="Y644"/>
          <cell r="Z644"/>
          <cell r="AA644"/>
          <cell r="AB644"/>
          <cell r="AC644"/>
          <cell r="AD644"/>
          <cell r="AE644"/>
          <cell r="AF644"/>
          <cell r="AG644"/>
          <cell r="AH644"/>
          <cell r="AP644"/>
          <cell r="AR644"/>
          <cell r="AT644"/>
          <cell r="AV644"/>
          <cell r="AX644"/>
        </row>
        <row r="645">
          <cell r="A645"/>
          <cell r="B645"/>
          <cell r="C645"/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/>
          <cell r="W645"/>
          <cell r="X645"/>
          <cell r="Y645"/>
          <cell r="Z645"/>
          <cell r="AA645"/>
          <cell r="AB645"/>
          <cell r="AC645"/>
          <cell r="AD645"/>
          <cell r="AE645"/>
          <cell r="AF645"/>
          <cell r="AG645"/>
          <cell r="AH645"/>
          <cell r="AP645"/>
          <cell r="AR645"/>
          <cell r="AT645"/>
          <cell r="AV645"/>
          <cell r="AX645"/>
        </row>
        <row r="646">
          <cell r="A646"/>
          <cell r="B646"/>
          <cell r="C646"/>
          <cell r="D646"/>
          <cell r="E646"/>
          <cell r="F646"/>
          <cell r="G646"/>
          <cell r="H646"/>
          <cell r="I646"/>
          <cell r="J646"/>
          <cell r="K646"/>
          <cell r="L646"/>
          <cell r="M646"/>
          <cell r="N646"/>
          <cell r="O646"/>
          <cell r="P646"/>
          <cell r="Q646"/>
          <cell r="R646"/>
          <cell r="W646"/>
          <cell r="X646"/>
          <cell r="Y646"/>
          <cell r="Z646"/>
          <cell r="AA646"/>
          <cell r="AB646"/>
          <cell r="AC646"/>
          <cell r="AD646"/>
          <cell r="AE646"/>
          <cell r="AF646"/>
          <cell r="AG646"/>
          <cell r="AH646"/>
          <cell r="AP646"/>
          <cell r="AR646"/>
          <cell r="AT646"/>
          <cell r="AV646"/>
          <cell r="AX646"/>
        </row>
        <row r="647">
          <cell r="A647"/>
          <cell r="B647"/>
          <cell r="C647"/>
          <cell r="D647"/>
          <cell r="E647"/>
          <cell r="F647"/>
          <cell r="G647"/>
          <cell r="H647"/>
          <cell r="I647"/>
          <cell r="J647"/>
          <cell r="K647"/>
          <cell r="L647"/>
          <cell r="M647"/>
          <cell r="N647"/>
          <cell r="O647"/>
          <cell r="P647"/>
          <cell r="Q647"/>
          <cell r="R647"/>
          <cell r="W647"/>
          <cell r="X647"/>
          <cell r="Y647"/>
          <cell r="Z647"/>
          <cell r="AA647"/>
          <cell r="AB647"/>
          <cell r="AC647"/>
          <cell r="AD647"/>
          <cell r="AE647"/>
          <cell r="AF647"/>
          <cell r="AG647"/>
          <cell r="AH647"/>
          <cell r="AP647"/>
          <cell r="AR647"/>
          <cell r="AT647"/>
          <cell r="AV647"/>
          <cell r="AX647"/>
        </row>
        <row r="648">
          <cell r="A648"/>
          <cell r="B648"/>
          <cell r="C648"/>
          <cell r="D648"/>
          <cell r="E648"/>
          <cell r="F648"/>
          <cell r="G648"/>
          <cell r="H648"/>
          <cell r="I648"/>
          <cell r="J648"/>
          <cell r="K648"/>
          <cell r="L648"/>
          <cell r="M648"/>
          <cell r="N648"/>
          <cell r="O648"/>
          <cell r="P648"/>
          <cell r="Q648"/>
          <cell r="R648"/>
          <cell r="W648"/>
          <cell r="X648"/>
          <cell r="Y648"/>
          <cell r="Z648"/>
          <cell r="AA648"/>
          <cell r="AB648"/>
          <cell r="AC648"/>
          <cell r="AD648"/>
          <cell r="AE648"/>
          <cell r="AF648"/>
          <cell r="AG648"/>
          <cell r="AH648"/>
          <cell r="AP648"/>
          <cell r="AR648"/>
          <cell r="AT648"/>
          <cell r="AV648"/>
          <cell r="AX648"/>
        </row>
        <row r="649">
          <cell r="A649"/>
          <cell r="B649"/>
          <cell r="C649"/>
          <cell r="D649"/>
          <cell r="E649"/>
          <cell r="F649"/>
          <cell r="G649"/>
          <cell r="H649"/>
          <cell r="I649"/>
          <cell r="J649"/>
          <cell r="K649"/>
          <cell r="L649"/>
          <cell r="M649"/>
          <cell r="N649"/>
          <cell r="O649"/>
          <cell r="P649"/>
          <cell r="Q649"/>
          <cell r="R649"/>
          <cell r="W649"/>
          <cell r="X649"/>
          <cell r="Y649"/>
          <cell r="Z649"/>
          <cell r="AA649"/>
          <cell r="AB649"/>
          <cell r="AC649"/>
          <cell r="AD649"/>
          <cell r="AE649"/>
          <cell r="AF649"/>
          <cell r="AG649"/>
          <cell r="AH649"/>
          <cell r="AP649"/>
          <cell r="AR649"/>
          <cell r="AT649"/>
          <cell r="AV649"/>
          <cell r="AX649"/>
        </row>
        <row r="650">
          <cell r="A650"/>
          <cell r="B650"/>
          <cell r="C650"/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/>
          <cell r="W650"/>
          <cell r="X650"/>
          <cell r="Y650"/>
          <cell r="Z650"/>
          <cell r="AA650"/>
          <cell r="AB650"/>
          <cell r="AC650"/>
          <cell r="AD650"/>
          <cell r="AE650"/>
          <cell r="AF650"/>
          <cell r="AG650"/>
          <cell r="AH650"/>
          <cell r="AP650"/>
          <cell r="AR650"/>
          <cell r="AT650"/>
          <cell r="AV650"/>
          <cell r="AX650"/>
        </row>
        <row r="651">
          <cell r="A651"/>
          <cell r="B651"/>
          <cell r="C651"/>
          <cell r="D651"/>
          <cell r="E651"/>
          <cell r="F651"/>
          <cell r="G651"/>
          <cell r="H651"/>
          <cell r="I651"/>
          <cell r="J651"/>
          <cell r="K651"/>
          <cell r="L651"/>
          <cell r="M651"/>
          <cell r="N651"/>
          <cell r="O651"/>
          <cell r="P651"/>
          <cell r="Q651"/>
          <cell r="R651"/>
          <cell r="W651"/>
          <cell r="X651"/>
          <cell r="Y651"/>
          <cell r="Z651"/>
          <cell r="AA651"/>
          <cell r="AB651"/>
          <cell r="AC651"/>
          <cell r="AD651"/>
          <cell r="AE651"/>
          <cell r="AF651"/>
          <cell r="AG651"/>
          <cell r="AH651"/>
          <cell r="AP651"/>
          <cell r="AR651"/>
          <cell r="AT651"/>
          <cell r="AV651"/>
          <cell r="AX651"/>
        </row>
        <row r="652">
          <cell r="A652"/>
          <cell r="B652"/>
          <cell r="C652"/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/>
          <cell r="W652"/>
          <cell r="X652"/>
          <cell r="Y652"/>
          <cell r="Z652"/>
          <cell r="AA652"/>
          <cell r="AB652"/>
          <cell r="AC652"/>
          <cell r="AD652"/>
          <cell r="AE652"/>
          <cell r="AF652"/>
          <cell r="AG652"/>
          <cell r="AH652"/>
          <cell r="AP652"/>
          <cell r="AR652"/>
          <cell r="AT652"/>
          <cell r="AV652"/>
          <cell r="AX652"/>
        </row>
        <row r="653">
          <cell r="A653"/>
          <cell r="B653"/>
          <cell r="C653"/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/>
          <cell r="W653"/>
          <cell r="X653"/>
          <cell r="Y653"/>
          <cell r="Z653"/>
          <cell r="AA653"/>
          <cell r="AB653"/>
          <cell r="AC653"/>
          <cell r="AD653"/>
          <cell r="AE653"/>
          <cell r="AF653"/>
          <cell r="AG653"/>
          <cell r="AH653"/>
          <cell r="AP653"/>
          <cell r="AR653"/>
          <cell r="AT653"/>
          <cell r="AV653"/>
          <cell r="AX653"/>
        </row>
        <row r="654">
          <cell r="A654"/>
          <cell r="B654"/>
          <cell r="C654"/>
          <cell r="D654"/>
          <cell r="E654"/>
          <cell r="F654"/>
          <cell r="G654"/>
          <cell r="H654"/>
          <cell r="I654"/>
          <cell r="J654"/>
          <cell r="K654"/>
          <cell r="L654"/>
          <cell r="M654"/>
          <cell r="N654"/>
          <cell r="O654"/>
          <cell r="P654"/>
          <cell r="Q654"/>
          <cell r="R654"/>
          <cell r="W654"/>
          <cell r="X654"/>
          <cell r="Y654"/>
          <cell r="Z654"/>
          <cell r="AA654"/>
          <cell r="AB654"/>
          <cell r="AC654"/>
          <cell r="AD654"/>
          <cell r="AE654"/>
          <cell r="AF654"/>
          <cell r="AG654"/>
          <cell r="AH654"/>
          <cell r="AP654"/>
          <cell r="AR654"/>
          <cell r="AT654"/>
          <cell r="AV654"/>
          <cell r="AX654"/>
        </row>
        <row r="655">
          <cell r="A655"/>
          <cell r="B655"/>
          <cell r="C655"/>
          <cell r="D655"/>
          <cell r="E655"/>
          <cell r="F655"/>
          <cell r="G655"/>
          <cell r="H655"/>
          <cell r="I655"/>
          <cell r="J655"/>
          <cell r="K655"/>
          <cell r="L655"/>
          <cell r="M655"/>
          <cell r="N655"/>
          <cell r="O655"/>
          <cell r="P655"/>
          <cell r="Q655"/>
          <cell r="R655"/>
          <cell r="W655"/>
          <cell r="X655"/>
          <cell r="Y655"/>
          <cell r="Z655"/>
          <cell r="AA655"/>
          <cell r="AB655"/>
          <cell r="AC655"/>
          <cell r="AD655"/>
          <cell r="AE655"/>
          <cell r="AF655"/>
          <cell r="AG655"/>
          <cell r="AH655"/>
          <cell r="AP655"/>
          <cell r="AR655"/>
          <cell r="AT655"/>
          <cell r="AV655"/>
          <cell r="AX655"/>
        </row>
        <row r="656">
          <cell r="A656"/>
          <cell r="B656"/>
          <cell r="C656"/>
          <cell r="D656"/>
          <cell r="E656"/>
          <cell r="F656"/>
          <cell r="G656"/>
          <cell r="H656"/>
          <cell r="I656"/>
          <cell r="J656"/>
          <cell r="K656"/>
          <cell r="L656"/>
          <cell r="M656"/>
          <cell r="N656"/>
          <cell r="O656"/>
          <cell r="P656"/>
          <cell r="Q656"/>
          <cell r="R656"/>
          <cell r="W656"/>
          <cell r="X656"/>
          <cell r="Y656"/>
          <cell r="Z656"/>
          <cell r="AA656"/>
          <cell r="AB656"/>
          <cell r="AC656"/>
          <cell r="AD656"/>
          <cell r="AE656"/>
          <cell r="AF656"/>
          <cell r="AG656"/>
          <cell r="AH656"/>
          <cell r="AP656"/>
          <cell r="AR656"/>
          <cell r="AT656"/>
          <cell r="AV656"/>
          <cell r="AX656"/>
        </row>
        <row r="657">
          <cell r="A657"/>
          <cell r="B657"/>
          <cell r="C657"/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/>
          <cell r="W657"/>
          <cell r="X657"/>
          <cell r="Y657"/>
          <cell r="Z657"/>
          <cell r="AA657"/>
          <cell r="AB657"/>
          <cell r="AC657"/>
          <cell r="AD657"/>
          <cell r="AE657"/>
          <cell r="AF657"/>
          <cell r="AG657"/>
          <cell r="AH657"/>
          <cell r="AP657"/>
          <cell r="AR657"/>
          <cell r="AT657"/>
          <cell r="AV657"/>
          <cell r="AX657"/>
        </row>
        <row r="658">
          <cell r="A658"/>
          <cell r="B658"/>
          <cell r="C658"/>
          <cell r="D658"/>
          <cell r="E658"/>
          <cell r="F658"/>
          <cell r="G658"/>
          <cell r="H658"/>
          <cell r="I658"/>
          <cell r="J658"/>
          <cell r="K658"/>
          <cell r="L658"/>
          <cell r="M658"/>
          <cell r="N658"/>
          <cell r="O658"/>
          <cell r="P658"/>
          <cell r="Q658"/>
          <cell r="R658"/>
          <cell r="W658"/>
          <cell r="X658"/>
          <cell r="Y658"/>
          <cell r="Z658"/>
          <cell r="AA658"/>
          <cell r="AB658"/>
          <cell r="AC658"/>
          <cell r="AD658"/>
          <cell r="AE658"/>
          <cell r="AF658"/>
          <cell r="AG658"/>
          <cell r="AH658"/>
          <cell r="AP658"/>
          <cell r="AR658"/>
          <cell r="AT658"/>
          <cell r="AV658"/>
          <cell r="AX658"/>
        </row>
        <row r="659">
          <cell r="A659"/>
          <cell r="B659"/>
          <cell r="C659"/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/>
          <cell r="W659"/>
          <cell r="X659"/>
          <cell r="Y659"/>
          <cell r="Z659"/>
          <cell r="AA659"/>
          <cell r="AB659"/>
          <cell r="AC659"/>
          <cell r="AD659"/>
          <cell r="AE659"/>
          <cell r="AF659"/>
          <cell r="AG659"/>
          <cell r="AH659"/>
          <cell r="AP659"/>
          <cell r="AR659"/>
          <cell r="AT659"/>
          <cell r="AV659"/>
          <cell r="AX659"/>
        </row>
        <row r="660">
          <cell r="A660"/>
          <cell r="B660"/>
          <cell r="C660"/>
          <cell r="D660"/>
          <cell r="E660"/>
          <cell r="F660"/>
          <cell r="G660"/>
          <cell r="H660"/>
          <cell r="I660"/>
          <cell r="J660"/>
          <cell r="K660"/>
          <cell r="L660"/>
          <cell r="M660"/>
          <cell r="N660"/>
          <cell r="O660"/>
          <cell r="P660"/>
          <cell r="Q660"/>
          <cell r="R660"/>
          <cell r="W660"/>
          <cell r="X660"/>
          <cell r="Y660"/>
          <cell r="Z660"/>
          <cell r="AA660"/>
          <cell r="AB660"/>
          <cell r="AC660"/>
          <cell r="AD660"/>
          <cell r="AE660"/>
          <cell r="AF660"/>
          <cell r="AG660"/>
          <cell r="AH660"/>
          <cell r="AP660"/>
          <cell r="AR660"/>
          <cell r="AT660"/>
          <cell r="AV660"/>
          <cell r="AX660"/>
        </row>
        <row r="661">
          <cell r="A661"/>
          <cell r="B661"/>
          <cell r="C661"/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/>
          <cell r="W661"/>
          <cell r="X661"/>
          <cell r="Y661"/>
          <cell r="Z661"/>
          <cell r="AA661"/>
          <cell r="AB661"/>
          <cell r="AC661"/>
          <cell r="AD661"/>
          <cell r="AE661"/>
          <cell r="AF661"/>
          <cell r="AG661"/>
          <cell r="AH661"/>
          <cell r="AP661"/>
          <cell r="AR661"/>
          <cell r="AT661"/>
          <cell r="AV661"/>
          <cell r="AX661"/>
        </row>
        <row r="662">
          <cell r="A662"/>
          <cell r="B662"/>
          <cell r="C662"/>
          <cell r="D662"/>
          <cell r="E662"/>
          <cell r="F662"/>
          <cell r="G662"/>
          <cell r="H662"/>
          <cell r="I662"/>
          <cell r="J662"/>
          <cell r="K662"/>
          <cell r="L662"/>
          <cell r="M662"/>
          <cell r="N662"/>
          <cell r="O662"/>
          <cell r="P662"/>
          <cell r="Q662"/>
          <cell r="R662"/>
          <cell r="W662"/>
          <cell r="X662"/>
          <cell r="Y662"/>
          <cell r="Z662"/>
          <cell r="AA662"/>
          <cell r="AB662"/>
          <cell r="AC662"/>
          <cell r="AD662"/>
          <cell r="AE662"/>
          <cell r="AF662"/>
          <cell r="AG662"/>
          <cell r="AH662"/>
          <cell r="AP662"/>
          <cell r="AR662"/>
          <cell r="AT662"/>
          <cell r="AV662"/>
          <cell r="AX662"/>
        </row>
        <row r="663">
          <cell r="A663"/>
          <cell r="B663"/>
          <cell r="C663"/>
          <cell r="D663"/>
          <cell r="E663"/>
          <cell r="F663"/>
          <cell r="G663"/>
          <cell r="H663"/>
          <cell r="I663"/>
          <cell r="J663"/>
          <cell r="K663"/>
          <cell r="L663"/>
          <cell r="M663"/>
          <cell r="N663"/>
          <cell r="O663"/>
          <cell r="P663"/>
          <cell r="Q663"/>
          <cell r="R663"/>
          <cell r="W663"/>
          <cell r="X663"/>
          <cell r="Y663"/>
          <cell r="Z663"/>
          <cell r="AA663"/>
          <cell r="AB663"/>
          <cell r="AC663"/>
          <cell r="AD663"/>
          <cell r="AE663"/>
          <cell r="AF663"/>
          <cell r="AG663"/>
          <cell r="AH663"/>
          <cell r="AP663"/>
          <cell r="AR663"/>
          <cell r="AT663"/>
          <cell r="AV663"/>
          <cell r="AX663"/>
        </row>
        <row r="664">
          <cell r="A664"/>
          <cell r="B664"/>
          <cell r="C664"/>
          <cell r="D664"/>
          <cell r="E664"/>
          <cell r="F664"/>
          <cell r="G664"/>
          <cell r="H664"/>
          <cell r="I664"/>
          <cell r="J664"/>
          <cell r="K664"/>
          <cell r="L664"/>
          <cell r="M664"/>
          <cell r="N664"/>
          <cell r="O664"/>
          <cell r="P664"/>
          <cell r="Q664"/>
          <cell r="R664"/>
          <cell r="W664"/>
          <cell r="X664"/>
          <cell r="Y664"/>
          <cell r="Z664"/>
          <cell r="AA664"/>
          <cell r="AB664"/>
          <cell r="AC664"/>
          <cell r="AD664"/>
          <cell r="AE664"/>
          <cell r="AF664"/>
          <cell r="AG664"/>
          <cell r="AH664"/>
          <cell r="AP664"/>
          <cell r="AR664"/>
          <cell r="AT664"/>
          <cell r="AV664"/>
          <cell r="AX664"/>
        </row>
        <row r="665">
          <cell r="A665"/>
          <cell r="B665"/>
          <cell r="C665"/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/>
          <cell r="W665"/>
          <cell r="X665"/>
          <cell r="Y665"/>
          <cell r="Z665"/>
          <cell r="AA665"/>
          <cell r="AB665"/>
          <cell r="AC665"/>
          <cell r="AD665"/>
          <cell r="AE665"/>
          <cell r="AF665"/>
          <cell r="AG665"/>
          <cell r="AH665"/>
          <cell r="AP665"/>
          <cell r="AR665"/>
          <cell r="AT665"/>
          <cell r="AV665"/>
          <cell r="AX665"/>
        </row>
        <row r="666">
          <cell r="A666"/>
          <cell r="B666"/>
          <cell r="C666"/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/>
          <cell r="W666"/>
          <cell r="X666"/>
          <cell r="Y666"/>
          <cell r="Z666"/>
          <cell r="AA666"/>
          <cell r="AB666"/>
          <cell r="AC666"/>
          <cell r="AD666"/>
          <cell r="AE666"/>
          <cell r="AF666"/>
          <cell r="AG666"/>
          <cell r="AH666"/>
          <cell r="AP666"/>
          <cell r="AR666"/>
          <cell r="AT666"/>
          <cell r="AV666"/>
          <cell r="AX666"/>
        </row>
        <row r="667">
          <cell r="A667"/>
          <cell r="B667"/>
          <cell r="C667"/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/>
          <cell r="W667"/>
          <cell r="X667"/>
          <cell r="Y667"/>
          <cell r="Z667"/>
          <cell r="AA667"/>
          <cell r="AB667"/>
          <cell r="AC667"/>
          <cell r="AD667"/>
          <cell r="AE667"/>
          <cell r="AF667"/>
          <cell r="AG667"/>
          <cell r="AH667"/>
          <cell r="AP667"/>
          <cell r="AR667"/>
          <cell r="AT667"/>
          <cell r="AV667"/>
          <cell r="AX667"/>
        </row>
        <row r="668">
          <cell r="A668"/>
          <cell r="B668"/>
          <cell r="C668"/>
          <cell r="D668"/>
          <cell r="E668"/>
          <cell r="F668"/>
          <cell r="G668"/>
          <cell r="H668"/>
          <cell r="I668"/>
          <cell r="J668"/>
          <cell r="K668"/>
          <cell r="L668"/>
          <cell r="M668"/>
          <cell r="N668"/>
          <cell r="O668"/>
          <cell r="P668"/>
          <cell r="Q668"/>
          <cell r="R668"/>
          <cell r="W668"/>
          <cell r="X668"/>
          <cell r="Y668"/>
          <cell r="Z668"/>
          <cell r="AA668"/>
          <cell r="AB668"/>
          <cell r="AC668"/>
          <cell r="AD668"/>
          <cell r="AE668"/>
          <cell r="AF668"/>
          <cell r="AG668"/>
          <cell r="AH668"/>
          <cell r="AP668"/>
          <cell r="AR668"/>
          <cell r="AT668"/>
          <cell r="AV668"/>
          <cell r="AX668"/>
        </row>
        <row r="669">
          <cell r="A669"/>
          <cell r="B669"/>
          <cell r="C669"/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/>
          <cell r="W669"/>
          <cell r="X669"/>
          <cell r="Y669"/>
          <cell r="Z669"/>
          <cell r="AA669"/>
          <cell r="AB669"/>
          <cell r="AC669"/>
          <cell r="AD669"/>
          <cell r="AE669"/>
          <cell r="AF669"/>
          <cell r="AG669"/>
          <cell r="AH669"/>
          <cell r="AP669"/>
          <cell r="AR669"/>
          <cell r="AT669"/>
          <cell r="AV669"/>
          <cell r="AX669"/>
        </row>
        <row r="670">
          <cell r="A670"/>
          <cell r="B670"/>
          <cell r="C670"/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/>
          <cell r="W670"/>
          <cell r="X670"/>
          <cell r="Y670"/>
          <cell r="Z670"/>
          <cell r="AA670"/>
          <cell r="AB670"/>
          <cell r="AC670"/>
          <cell r="AD670"/>
          <cell r="AE670"/>
          <cell r="AF670"/>
          <cell r="AG670"/>
          <cell r="AH670"/>
          <cell r="AP670"/>
          <cell r="AR670"/>
          <cell r="AT670"/>
          <cell r="AV670"/>
          <cell r="AX670"/>
        </row>
        <row r="671">
          <cell r="A671"/>
          <cell r="B671"/>
          <cell r="C671"/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/>
          <cell r="W671"/>
          <cell r="X671"/>
          <cell r="Y671"/>
          <cell r="Z671"/>
          <cell r="AA671"/>
          <cell r="AB671"/>
          <cell r="AC671"/>
          <cell r="AD671"/>
          <cell r="AE671"/>
          <cell r="AF671"/>
          <cell r="AG671"/>
          <cell r="AH671"/>
          <cell r="AP671"/>
          <cell r="AR671"/>
          <cell r="AT671"/>
          <cell r="AV671"/>
          <cell r="AX671"/>
        </row>
        <row r="672">
          <cell r="A672"/>
          <cell r="B672"/>
          <cell r="C672"/>
          <cell r="D672"/>
          <cell r="E672"/>
          <cell r="F672"/>
          <cell r="G672"/>
          <cell r="H672"/>
          <cell r="I672"/>
          <cell r="J672"/>
          <cell r="K672"/>
          <cell r="L672"/>
          <cell r="M672"/>
          <cell r="N672"/>
          <cell r="O672"/>
          <cell r="P672"/>
          <cell r="Q672"/>
          <cell r="R672"/>
          <cell r="W672"/>
          <cell r="X672"/>
          <cell r="Y672"/>
          <cell r="Z672"/>
          <cell r="AA672"/>
          <cell r="AB672"/>
          <cell r="AC672"/>
          <cell r="AD672"/>
          <cell r="AE672"/>
          <cell r="AF672"/>
          <cell r="AG672"/>
          <cell r="AH672"/>
          <cell r="AP672"/>
          <cell r="AR672"/>
          <cell r="AT672"/>
          <cell r="AV672"/>
          <cell r="AX672"/>
        </row>
        <row r="673">
          <cell r="A673"/>
          <cell r="B673"/>
          <cell r="C673"/>
          <cell r="D673"/>
          <cell r="E673"/>
          <cell r="F673"/>
          <cell r="G673"/>
          <cell r="H673"/>
          <cell r="I673"/>
          <cell r="J673"/>
          <cell r="K673"/>
          <cell r="L673"/>
          <cell r="M673"/>
          <cell r="N673"/>
          <cell r="O673"/>
          <cell r="P673"/>
          <cell r="Q673"/>
          <cell r="R673"/>
          <cell r="W673"/>
          <cell r="X673"/>
          <cell r="Y673"/>
          <cell r="Z673"/>
          <cell r="AA673"/>
          <cell r="AB673"/>
          <cell r="AC673"/>
          <cell r="AD673"/>
          <cell r="AE673"/>
          <cell r="AF673"/>
          <cell r="AG673"/>
          <cell r="AH673"/>
          <cell r="AP673"/>
          <cell r="AR673"/>
          <cell r="AT673"/>
          <cell r="AV673"/>
          <cell r="AX673"/>
        </row>
        <row r="674">
          <cell r="A674"/>
          <cell r="B674"/>
          <cell r="C674"/>
          <cell r="D674"/>
          <cell r="E674"/>
          <cell r="F674"/>
          <cell r="G674"/>
          <cell r="H674"/>
          <cell r="I674"/>
          <cell r="J674"/>
          <cell r="K674"/>
          <cell r="L674"/>
          <cell r="M674"/>
          <cell r="N674"/>
          <cell r="O674"/>
          <cell r="P674"/>
          <cell r="Q674"/>
          <cell r="R674"/>
          <cell r="W674"/>
          <cell r="X674"/>
          <cell r="Y674"/>
          <cell r="Z674"/>
          <cell r="AA674"/>
          <cell r="AB674"/>
          <cell r="AC674"/>
          <cell r="AD674"/>
          <cell r="AE674"/>
          <cell r="AF674"/>
          <cell r="AG674"/>
          <cell r="AH674"/>
          <cell r="AP674"/>
          <cell r="AR674"/>
          <cell r="AT674"/>
          <cell r="AV674"/>
          <cell r="AX674"/>
        </row>
        <row r="675">
          <cell r="A675"/>
          <cell r="B675"/>
          <cell r="C675"/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/>
          <cell r="W675"/>
          <cell r="X675"/>
          <cell r="Y675"/>
          <cell r="Z675"/>
          <cell r="AA675"/>
          <cell r="AB675"/>
          <cell r="AC675"/>
          <cell r="AD675"/>
          <cell r="AE675"/>
          <cell r="AF675"/>
          <cell r="AG675"/>
          <cell r="AH675"/>
          <cell r="AP675"/>
          <cell r="AR675"/>
          <cell r="AT675"/>
          <cell r="AV675"/>
          <cell r="AX675"/>
        </row>
        <row r="676">
          <cell r="A676"/>
          <cell r="B676"/>
          <cell r="C676"/>
          <cell r="D676"/>
          <cell r="E676"/>
          <cell r="F676"/>
          <cell r="G676"/>
          <cell r="H676"/>
          <cell r="I676"/>
          <cell r="J676"/>
          <cell r="K676"/>
          <cell r="L676"/>
          <cell r="M676"/>
          <cell r="N676"/>
          <cell r="O676"/>
          <cell r="P676"/>
          <cell r="Q676"/>
          <cell r="R676"/>
          <cell r="W676"/>
          <cell r="X676"/>
          <cell r="Y676"/>
          <cell r="Z676"/>
          <cell r="AA676"/>
          <cell r="AB676"/>
          <cell r="AC676"/>
          <cell r="AD676"/>
          <cell r="AE676"/>
          <cell r="AF676"/>
          <cell r="AG676"/>
          <cell r="AH676"/>
          <cell r="AP676"/>
          <cell r="AR676"/>
          <cell r="AT676"/>
          <cell r="AV676"/>
          <cell r="AX676"/>
        </row>
        <row r="677">
          <cell r="A677"/>
          <cell r="B677"/>
          <cell r="C677"/>
          <cell r="D677"/>
          <cell r="E677"/>
          <cell r="F677"/>
          <cell r="G677"/>
          <cell r="H677"/>
          <cell r="I677"/>
          <cell r="J677"/>
          <cell r="K677"/>
          <cell r="L677"/>
          <cell r="M677"/>
          <cell r="N677"/>
          <cell r="O677"/>
          <cell r="P677"/>
          <cell r="Q677"/>
          <cell r="R677"/>
          <cell r="W677"/>
          <cell r="X677"/>
          <cell r="Y677"/>
          <cell r="Z677"/>
          <cell r="AA677"/>
          <cell r="AB677"/>
          <cell r="AC677"/>
          <cell r="AD677"/>
          <cell r="AE677"/>
          <cell r="AF677"/>
          <cell r="AG677"/>
          <cell r="AH677"/>
          <cell r="AP677"/>
          <cell r="AR677"/>
          <cell r="AT677"/>
          <cell r="AV677"/>
          <cell r="AX677"/>
        </row>
        <row r="678">
          <cell r="A678"/>
          <cell r="B678"/>
          <cell r="C678"/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/>
          <cell r="W678"/>
          <cell r="X678"/>
          <cell r="Y678"/>
          <cell r="Z678"/>
          <cell r="AA678"/>
          <cell r="AB678"/>
          <cell r="AC678"/>
          <cell r="AD678"/>
          <cell r="AE678"/>
          <cell r="AF678"/>
          <cell r="AG678"/>
          <cell r="AH678"/>
          <cell r="AP678"/>
          <cell r="AR678"/>
          <cell r="AT678"/>
          <cell r="AV678"/>
          <cell r="AX678"/>
        </row>
        <row r="679">
          <cell r="A679"/>
          <cell r="B679"/>
          <cell r="C679"/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/>
          <cell r="W679"/>
          <cell r="X679"/>
          <cell r="Y679"/>
          <cell r="Z679"/>
          <cell r="AA679"/>
          <cell r="AB679"/>
          <cell r="AC679"/>
          <cell r="AD679"/>
          <cell r="AE679"/>
          <cell r="AF679"/>
          <cell r="AG679"/>
          <cell r="AH679"/>
          <cell r="AP679"/>
          <cell r="AR679"/>
          <cell r="AT679"/>
          <cell r="AV679"/>
          <cell r="AX679"/>
        </row>
        <row r="680">
          <cell r="A680"/>
          <cell r="B680"/>
          <cell r="C680"/>
          <cell r="D680"/>
          <cell r="E680"/>
          <cell r="F680"/>
          <cell r="G680"/>
          <cell r="H680"/>
          <cell r="I680"/>
          <cell r="J680"/>
          <cell r="K680"/>
          <cell r="L680"/>
          <cell r="M680"/>
          <cell r="N680"/>
          <cell r="O680"/>
          <cell r="P680"/>
          <cell r="Q680"/>
          <cell r="R680"/>
          <cell r="W680"/>
          <cell r="X680"/>
          <cell r="Y680"/>
          <cell r="Z680"/>
          <cell r="AA680"/>
          <cell r="AB680"/>
          <cell r="AC680"/>
          <cell r="AD680"/>
          <cell r="AE680"/>
          <cell r="AF680"/>
          <cell r="AG680"/>
          <cell r="AH680"/>
          <cell r="AP680"/>
          <cell r="AR680"/>
          <cell r="AT680"/>
          <cell r="AV680"/>
          <cell r="AX680"/>
        </row>
        <row r="681">
          <cell r="A681"/>
          <cell r="B681"/>
          <cell r="C681"/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/>
          <cell r="W681"/>
          <cell r="X681"/>
          <cell r="Y681"/>
          <cell r="Z681"/>
          <cell r="AA681"/>
          <cell r="AB681"/>
          <cell r="AC681"/>
          <cell r="AD681"/>
          <cell r="AE681"/>
          <cell r="AF681"/>
          <cell r="AG681"/>
          <cell r="AH681"/>
          <cell r="AP681"/>
          <cell r="AR681"/>
          <cell r="AT681"/>
          <cell r="AV681"/>
          <cell r="AX681"/>
        </row>
        <row r="682">
          <cell r="A682"/>
          <cell r="B682"/>
          <cell r="C682"/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/>
          <cell r="W682"/>
          <cell r="X682"/>
          <cell r="Y682"/>
          <cell r="Z682"/>
          <cell r="AA682"/>
          <cell r="AB682"/>
          <cell r="AC682"/>
          <cell r="AD682"/>
          <cell r="AE682"/>
          <cell r="AF682"/>
          <cell r="AG682"/>
          <cell r="AH682"/>
          <cell r="AP682"/>
          <cell r="AR682"/>
          <cell r="AT682"/>
          <cell r="AV682"/>
          <cell r="AX682"/>
        </row>
        <row r="683">
          <cell r="A683"/>
          <cell r="B683"/>
          <cell r="C683"/>
          <cell r="D683"/>
          <cell r="E683"/>
          <cell r="F683"/>
          <cell r="G683"/>
          <cell r="H683"/>
          <cell r="I683"/>
          <cell r="J683"/>
          <cell r="K683"/>
          <cell r="L683"/>
          <cell r="M683"/>
          <cell r="N683"/>
          <cell r="O683"/>
          <cell r="P683"/>
          <cell r="Q683"/>
          <cell r="R683"/>
          <cell r="W683"/>
          <cell r="X683"/>
          <cell r="Y683"/>
          <cell r="Z683"/>
          <cell r="AA683"/>
          <cell r="AB683"/>
          <cell r="AC683"/>
          <cell r="AD683"/>
          <cell r="AE683"/>
          <cell r="AF683"/>
          <cell r="AG683"/>
          <cell r="AH683"/>
          <cell r="AP683"/>
          <cell r="AR683"/>
          <cell r="AT683"/>
          <cell r="AV683"/>
          <cell r="AX683"/>
        </row>
        <row r="684">
          <cell r="A684"/>
          <cell r="B684"/>
          <cell r="C684"/>
          <cell r="D684"/>
          <cell r="E684"/>
          <cell r="F684"/>
          <cell r="G684"/>
          <cell r="H684"/>
          <cell r="I684"/>
          <cell r="J684"/>
          <cell r="K684"/>
          <cell r="L684"/>
          <cell r="M684"/>
          <cell r="N684"/>
          <cell r="O684"/>
          <cell r="P684"/>
          <cell r="Q684"/>
          <cell r="R684"/>
          <cell r="W684"/>
          <cell r="X684"/>
          <cell r="Y684"/>
          <cell r="Z684"/>
          <cell r="AA684"/>
          <cell r="AB684"/>
          <cell r="AC684"/>
          <cell r="AD684"/>
          <cell r="AE684"/>
          <cell r="AF684"/>
          <cell r="AG684"/>
          <cell r="AH684"/>
          <cell r="AP684"/>
          <cell r="AR684"/>
          <cell r="AT684"/>
          <cell r="AV684"/>
          <cell r="AX684"/>
        </row>
        <row r="685">
          <cell r="A685"/>
          <cell r="B685"/>
          <cell r="C685"/>
          <cell r="D685"/>
          <cell r="E685"/>
          <cell r="F685"/>
          <cell r="G685"/>
          <cell r="H685"/>
          <cell r="I685"/>
          <cell r="J685"/>
          <cell r="K685"/>
          <cell r="L685"/>
          <cell r="M685"/>
          <cell r="N685"/>
          <cell r="O685"/>
          <cell r="P685"/>
          <cell r="Q685"/>
          <cell r="R685"/>
          <cell r="W685"/>
          <cell r="X685"/>
          <cell r="Y685"/>
          <cell r="Z685"/>
          <cell r="AA685"/>
          <cell r="AB685"/>
          <cell r="AC685"/>
          <cell r="AD685"/>
          <cell r="AE685"/>
          <cell r="AF685"/>
          <cell r="AG685"/>
          <cell r="AH685"/>
          <cell r="AP685"/>
          <cell r="AR685"/>
          <cell r="AT685"/>
          <cell r="AV685"/>
          <cell r="AX685"/>
        </row>
        <row r="686">
          <cell r="A686"/>
          <cell r="B686"/>
          <cell r="C686"/>
          <cell r="D686"/>
          <cell r="E686"/>
          <cell r="F686"/>
          <cell r="G686"/>
          <cell r="H686"/>
          <cell r="I686"/>
          <cell r="J686"/>
          <cell r="K686"/>
          <cell r="L686"/>
          <cell r="M686"/>
          <cell r="N686"/>
          <cell r="O686"/>
          <cell r="P686"/>
          <cell r="Q686"/>
          <cell r="R686"/>
          <cell r="W686"/>
          <cell r="X686"/>
          <cell r="Y686"/>
          <cell r="Z686"/>
          <cell r="AA686"/>
          <cell r="AB686"/>
          <cell r="AC686"/>
          <cell r="AD686"/>
          <cell r="AE686"/>
          <cell r="AF686"/>
          <cell r="AG686"/>
          <cell r="AH686"/>
          <cell r="AP686"/>
          <cell r="AR686"/>
          <cell r="AT686"/>
          <cell r="AV686"/>
          <cell r="AX686"/>
        </row>
        <row r="687">
          <cell r="A687"/>
          <cell r="B687"/>
          <cell r="C687"/>
          <cell r="D687"/>
          <cell r="E687"/>
          <cell r="F687"/>
          <cell r="G687"/>
          <cell r="H687"/>
          <cell r="I687"/>
          <cell r="J687"/>
          <cell r="K687"/>
          <cell r="L687"/>
          <cell r="M687"/>
          <cell r="N687"/>
          <cell r="O687"/>
          <cell r="P687"/>
          <cell r="Q687"/>
          <cell r="R687"/>
          <cell r="W687"/>
          <cell r="X687"/>
          <cell r="Y687"/>
          <cell r="Z687"/>
          <cell r="AA687"/>
          <cell r="AB687"/>
          <cell r="AC687"/>
          <cell r="AD687"/>
          <cell r="AE687"/>
          <cell r="AF687"/>
          <cell r="AG687"/>
          <cell r="AH687"/>
          <cell r="AP687"/>
          <cell r="AR687"/>
          <cell r="AT687"/>
          <cell r="AV687"/>
          <cell r="AX687"/>
        </row>
        <row r="688">
          <cell r="A688"/>
          <cell r="B688"/>
          <cell r="C688"/>
          <cell r="D688"/>
          <cell r="E688"/>
          <cell r="F688"/>
          <cell r="G688"/>
          <cell r="H688"/>
          <cell r="I688"/>
          <cell r="J688"/>
          <cell r="K688"/>
          <cell r="L688"/>
          <cell r="M688"/>
          <cell r="N688"/>
          <cell r="O688"/>
          <cell r="P688"/>
          <cell r="Q688"/>
          <cell r="R688"/>
          <cell r="W688"/>
          <cell r="X688"/>
          <cell r="Y688"/>
          <cell r="Z688"/>
          <cell r="AA688"/>
          <cell r="AB688"/>
          <cell r="AC688"/>
          <cell r="AD688"/>
          <cell r="AE688"/>
          <cell r="AF688"/>
          <cell r="AG688"/>
          <cell r="AH688"/>
          <cell r="AP688"/>
          <cell r="AR688"/>
          <cell r="AT688"/>
          <cell r="AV688"/>
          <cell r="AX688"/>
        </row>
        <row r="689">
          <cell r="A689"/>
          <cell r="B689"/>
          <cell r="C689"/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/>
          <cell r="W689"/>
          <cell r="X689"/>
          <cell r="Y689"/>
          <cell r="Z689"/>
          <cell r="AA689"/>
          <cell r="AB689"/>
          <cell r="AC689"/>
          <cell r="AD689"/>
          <cell r="AE689"/>
          <cell r="AF689"/>
          <cell r="AG689"/>
          <cell r="AH689"/>
          <cell r="AP689"/>
          <cell r="AR689"/>
          <cell r="AT689"/>
          <cell r="AV689"/>
          <cell r="AX689"/>
        </row>
        <row r="690">
          <cell r="A690"/>
          <cell r="B690"/>
          <cell r="C690"/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/>
          <cell r="W690"/>
          <cell r="X690"/>
          <cell r="Y690"/>
          <cell r="Z690"/>
          <cell r="AA690"/>
          <cell r="AB690"/>
          <cell r="AC690"/>
          <cell r="AD690"/>
          <cell r="AE690"/>
          <cell r="AF690"/>
          <cell r="AG690"/>
          <cell r="AH690"/>
          <cell r="AP690"/>
          <cell r="AR690"/>
          <cell r="AT690"/>
          <cell r="AV690"/>
          <cell r="AX690"/>
        </row>
        <row r="691">
          <cell r="A691"/>
          <cell r="B691"/>
          <cell r="C691"/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/>
          <cell r="W691"/>
          <cell r="X691"/>
          <cell r="Y691"/>
          <cell r="Z691"/>
          <cell r="AA691"/>
          <cell r="AB691"/>
          <cell r="AC691"/>
          <cell r="AD691"/>
          <cell r="AE691"/>
          <cell r="AF691"/>
          <cell r="AG691"/>
          <cell r="AH691"/>
          <cell r="AP691"/>
          <cell r="AR691"/>
          <cell r="AT691"/>
          <cell r="AV691"/>
          <cell r="AX691"/>
        </row>
        <row r="692">
          <cell r="A692"/>
          <cell r="B692"/>
          <cell r="C692"/>
          <cell r="D692"/>
          <cell r="E692"/>
          <cell r="F692"/>
          <cell r="G692"/>
          <cell r="H692"/>
          <cell r="I692"/>
          <cell r="J692"/>
          <cell r="K692"/>
          <cell r="L692"/>
          <cell r="M692"/>
          <cell r="N692"/>
          <cell r="O692"/>
          <cell r="P692"/>
          <cell r="Q692"/>
          <cell r="R692"/>
          <cell r="W692"/>
          <cell r="X692"/>
          <cell r="Y692"/>
          <cell r="Z692"/>
          <cell r="AA692"/>
          <cell r="AB692"/>
          <cell r="AC692"/>
          <cell r="AD692"/>
          <cell r="AE692"/>
          <cell r="AF692"/>
          <cell r="AG692"/>
          <cell r="AH692"/>
          <cell r="AP692"/>
          <cell r="AR692"/>
          <cell r="AT692"/>
          <cell r="AV692"/>
          <cell r="AX692"/>
        </row>
        <row r="693">
          <cell r="A693"/>
          <cell r="B693"/>
          <cell r="C693"/>
          <cell r="D693"/>
          <cell r="E693"/>
          <cell r="F693"/>
          <cell r="G693"/>
          <cell r="H693"/>
          <cell r="I693"/>
          <cell r="J693"/>
          <cell r="K693"/>
          <cell r="L693"/>
          <cell r="M693"/>
          <cell r="N693"/>
          <cell r="O693"/>
          <cell r="P693"/>
          <cell r="Q693"/>
          <cell r="R693"/>
          <cell r="W693"/>
          <cell r="X693"/>
          <cell r="Y693"/>
          <cell r="Z693"/>
          <cell r="AA693"/>
          <cell r="AB693"/>
          <cell r="AC693"/>
          <cell r="AD693"/>
          <cell r="AE693"/>
          <cell r="AF693"/>
          <cell r="AG693"/>
          <cell r="AH693"/>
          <cell r="AP693"/>
          <cell r="AR693"/>
          <cell r="AT693"/>
          <cell r="AV693"/>
          <cell r="AX693"/>
        </row>
        <row r="694">
          <cell r="A694"/>
          <cell r="B694"/>
          <cell r="C694"/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/>
          <cell r="W694"/>
          <cell r="X694"/>
          <cell r="Y694"/>
          <cell r="Z694"/>
          <cell r="AA694"/>
          <cell r="AB694"/>
          <cell r="AC694"/>
          <cell r="AD694"/>
          <cell r="AE694"/>
          <cell r="AF694"/>
          <cell r="AG694"/>
          <cell r="AH694"/>
          <cell r="AP694"/>
          <cell r="AR694"/>
          <cell r="AT694"/>
          <cell r="AV694"/>
          <cell r="AX694"/>
        </row>
        <row r="695">
          <cell r="A695"/>
          <cell r="B695"/>
          <cell r="C695"/>
          <cell r="D695"/>
          <cell r="E695"/>
          <cell r="F695"/>
          <cell r="G695"/>
          <cell r="H695"/>
          <cell r="I695"/>
          <cell r="J695"/>
          <cell r="K695"/>
          <cell r="L695"/>
          <cell r="M695"/>
          <cell r="N695"/>
          <cell r="O695"/>
          <cell r="P695"/>
          <cell r="Q695"/>
          <cell r="R695"/>
          <cell r="W695"/>
          <cell r="X695"/>
          <cell r="Y695"/>
          <cell r="Z695"/>
          <cell r="AA695"/>
          <cell r="AB695"/>
          <cell r="AC695"/>
          <cell r="AD695"/>
          <cell r="AE695"/>
          <cell r="AF695"/>
          <cell r="AG695"/>
          <cell r="AH695"/>
          <cell r="AP695"/>
          <cell r="AR695"/>
          <cell r="AT695"/>
          <cell r="AV695"/>
          <cell r="AX695"/>
        </row>
        <row r="696">
          <cell r="A696"/>
          <cell r="B696"/>
          <cell r="C696"/>
          <cell r="D696"/>
          <cell r="E696"/>
          <cell r="F696"/>
          <cell r="G696"/>
          <cell r="H696"/>
          <cell r="I696"/>
          <cell r="J696"/>
          <cell r="K696"/>
          <cell r="L696"/>
          <cell r="M696"/>
          <cell r="N696"/>
          <cell r="O696"/>
          <cell r="P696"/>
          <cell r="Q696"/>
          <cell r="R696"/>
          <cell r="W696"/>
          <cell r="X696"/>
          <cell r="Y696"/>
          <cell r="Z696"/>
          <cell r="AA696"/>
          <cell r="AB696"/>
          <cell r="AC696"/>
          <cell r="AD696"/>
          <cell r="AE696"/>
          <cell r="AF696"/>
          <cell r="AG696"/>
          <cell r="AH696"/>
          <cell r="AP696"/>
          <cell r="AR696"/>
          <cell r="AT696"/>
          <cell r="AV696"/>
          <cell r="AX696"/>
        </row>
        <row r="697">
          <cell r="A697"/>
          <cell r="B697"/>
          <cell r="C697"/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/>
          <cell r="W697"/>
          <cell r="X697"/>
          <cell r="Y697"/>
          <cell r="Z697"/>
          <cell r="AA697"/>
          <cell r="AB697"/>
          <cell r="AC697"/>
          <cell r="AD697"/>
          <cell r="AE697"/>
          <cell r="AF697"/>
          <cell r="AG697"/>
          <cell r="AH697"/>
          <cell r="AP697"/>
          <cell r="AR697"/>
          <cell r="AT697"/>
          <cell r="AV697"/>
          <cell r="AX697"/>
        </row>
        <row r="698">
          <cell r="A698"/>
          <cell r="B698"/>
          <cell r="C698"/>
          <cell r="D698"/>
          <cell r="E698"/>
          <cell r="F698"/>
          <cell r="G698"/>
          <cell r="H698"/>
          <cell r="I698"/>
          <cell r="J698"/>
          <cell r="K698"/>
          <cell r="L698"/>
          <cell r="M698"/>
          <cell r="N698"/>
          <cell r="O698"/>
          <cell r="P698"/>
          <cell r="Q698"/>
          <cell r="R698"/>
          <cell r="W698"/>
          <cell r="X698"/>
          <cell r="Y698"/>
          <cell r="Z698"/>
          <cell r="AA698"/>
          <cell r="AB698"/>
          <cell r="AC698"/>
          <cell r="AD698"/>
          <cell r="AE698"/>
          <cell r="AF698"/>
          <cell r="AG698"/>
          <cell r="AH698"/>
          <cell r="AP698"/>
          <cell r="AR698"/>
          <cell r="AT698"/>
          <cell r="AV698"/>
          <cell r="AX698"/>
        </row>
        <row r="699">
          <cell r="A699"/>
          <cell r="B699"/>
          <cell r="C699"/>
          <cell r="D699"/>
          <cell r="E699"/>
          <cell r="F699"/>
          <cell r="G699"/>
          <cell r="H699"/>
          <cell r="I699"/>
          <cell r="J699"/>
          <cell r="K699"/>
          <cell r="L699"/>
          <cell r="M699"/>
          <cell r="N699"/>
          <cell r="O699"/>
          <cell r="P699"/>
          <cell r="Q699"/>
          <cell r="R699"/>
          <cell r="W699"/>
          <cell r="X699"/>
          <cell r="Y699"/>
          <cell r="Z699"/>
          <cell r="AA699"/>
          <cell r="AB699"/>
          <cell r="AC699"/>
          <cell r="AD699"/>
          <cell r="AE699"/>
          <cell r="AF699"/>
          <cell r="AG699"/>
          <cell r="AH699"/>
          <cell r="AP699"/>
          <cell r="AR699"/>
          <cell r="AT699"/>
          <cell r="AV699"/>
          <cell r="AX699"/>
        </row>
        <row r="700">
          <cell r="A700"/>
          <cell r="B700"/>
          <cell r="C700"/>
          <cell r="D700"/>
          <cell r="E700"/>
          <cell r="F700"/>
          <cell r="G700"/>
          <cell r="H700"/>
          <cell r="I700"/>
          <cell r="J700"/>
          <cell r="K700"/>
          <cell r="L700"/>
          <cell r="M700"/>
          <cell r="N700"/>
          <cell r="O700"/>
          <cell r="P700"/>
          <cell r="Q700"/>
          <cell r="R700"/>
          <cell r="W700"/>
          <cell r="X700"/>
          <cell r="Y700"/>
          <cell r="Z700"/>
          <cell r="AA700"/>
          <cell r="AB700"/>
          <cell r="AC700"/>
          <cell r="AD700"/>
          <cell r="AE700"/>
          <cell r="AF700"/>
          <cell r="AG700"/>
          <cell r="AH700"/>
          <cell r="AP700"/>
          <cell r="AR700"/>
          <cell r="AT700"/>
          <cell r="AV700"/>
          <cell r="AX700"/>
        </row>
        <row r="701">
          <cell r="A701"/>
          <cell r="B701"/>
          <cell r="C701"/>
          <cell r="D701"/>
          <cell r="E701"/>
          <cell r="F701"/>
          <cell r="G701"/>
          <cell r="H701"/>
          <cell r="I701"/>
          <cell r="J701"/>
          <cell r="K701"/>
          <cell r="L701"/>
          <cell r="M701"/>
          <cell r="N701"/>
          <cell r="O701"/>
          <cell r="P701"/>
          <cell r="Q701"/>
          <cell r="R701"/>
          <cell r="W701"/>
          <cell r="X701"/>
          <cell r="Y701"/>
          <cell r="Z701"/>
          <cell r="AA701"/>
          <cell r="AB701"/>
          <cell r="AC701"/>
          <cell r="AD701"/>
          <cell r="AE701"/>
          <cell r="AF701"/>
          <cell r="AG701"/>
          <cell r="AH701"/>
          <cell r="AP701"/>
          <cell r="AR701"/>
          <cell r="AT701"/>
          <cell r="AV701"/>
          <cell r="AX701"/>
        </row>
        <row r="702">
          <cell r="A702"/>
          <cell r="B702"/>
          <cell r="C702"/>
          <cell r="D702"/>
          <cell r="E702"/>
          <cell r="F702"/>
          <cell r="G702"/>
          <cell r="H702"/>
          <cell r="I702"/>
          <cell r="J702"/>
          <cell r="K702"/>
          <cell r="L702"/>
          <cell r="M702"/>
          <cell r="N702"/>
          <cell r="O702"/>
          <cell r="P702"/>
          <cell r="Q702"/>
          <cell r="R702"/>
          <cell r="W702"/>
          <cell r="X702"/>
          <cell r="Y702"/>
          <cell r="Z702"/>
          <cell r="AA702"/>
          <cell r="AB702"/>
          <cell r="AC702"/>
          <cell r="AD702"/>
          <cell r="AE702"/>
          <cell r="AF702"/>
          <cell r="AG702"/>
          <cell r="AH702"/>
          <cell r="AP702"/>
          <cell r="AR702"/>
          <cell r="AT702"/>
          <cell r="AV702"/>
          <cell r="AX702"/>
        </row>
        <row r="703">
          <cell r="A703"/>
          <cell r="B703"/>
          <cell r="C703"/>
          <cell r="D703"/>
          <cell r="E703"/>
          <cell r="F703"/>
          <cell r="G703"/>
          <cell r="H703"/>
          <cell r="I703"/>
          <cell r="J703"/>
          <cell r="K703"/>
          <cell r="L703"/>
          <cell r="M703"/>
          <cell r="N703"/>
          <cell r="O703"/>
          <cell r="P703"/>
          <cell r="Q703"/>
          <cell r="R703"/>
          <cell r="W703"/>
          <cell r="X703"/>
          <cell r="Y703"/>
          <cell r="Z703"/>
          <cell r="AA703"/>
          <cell r="AB703"/>
          <cell r="AC703"/>
          <cell r="AD703"/>
          <cell r="AE703"/>
          <cell r="AF703"/>
          <cell r="AG703"/>
          <cell r="AH703"/>
          <cell r="AP703"/>
          <cell r="AR703"/>
          <cell r="AT703"/>
          <cell r="AV703"/>
          <cell r="AX703"/>
        </row>
        <row r="704">
          <cell r="A704"/>
          <cell r="B704"/>
          <cell r="C704"/>
          <cell r="D704"/>
          <cell r="E704"/>
          <cell r="F704"/>
          <cell r="G704"/>
          <cell r="H704"/>
          <cell r="I704"/>
          <cell r="J704"/>
          <cell r="K704"/>
          <cell r="L704"/>
          <cell r="M704"/>
          <cell r="N704"/>
          <cell r="O704"/>
          <cell r="P704"/>
          <cell r="Q704"/>
          <cell r="R704"/>
          <cell r="W704"/>
          <cell r="X704"/>
          <cell r="Y704"/>
          <cell r="Z704"/>
          <cell r="AA704"/>
          <cell r="AB704"/>
          <cell r="AC704"/>
          <cell r="AD704"/>
          <cell r="AE704"/>
          <cell r="AF704"/>
          <cell r="AG704"/>
          <cell r="AH704"/>
          <cell r="AP704"/>
          <cell r="AR704"/>
          <cell r="AT704"/>
          <cell r="AV704"/>
          <cell r="AX704"/>
        </row>
        <row r="705">
          <cell r="A705"/>
          <cell r="B705"/>
          <cell r="C705"/>
          <cell r="D705"/>
          <cell r="E705"/>
          <cell r="F705"/>
          <cell r="G705"/>
          <cell r="H705"/>
          <cell r="I705"/>
          <cell r="J705"/>
          <cell r="K705"/>
          <cell r="L705"/>
          <cell r="M705"/>
          <cell r="N705"/>
          <cell r="O705"/>
          <cell r="P705"/>
          <cell r="Q705"/>
          <cell r="R705"/>
          <cell r="W705"/>
          <cell r="X705"/>
          <cell r="Y705"/>
          <cell r="Z705"/>
          <cell r="AA705"/>
          <cell r="AB705"/>
          <cell r="AC705"/>
          <cell r="AD705"/>
          <cell r="AE705"/>
          <cell r="AF705"/>
          <cell r="AG705"/>
          <cell r="AH705"/>
          <cell r="AP705"/>
          <cell r="AR705"/>
          <cell r="AT705"/>
          <cell r="AV705"/>
          <cell r="AX705"/>
        </row>
        <row r="706">
          <cell r="A706"/>
          <cell r="B706"/>
          <cell r="C706"/>
          <cell r="D706"/>
          <cell r="E706"/>
          <cell r="F706"/>
          <cell r="G706"/>
          <cell r="H706"/>
          <cell r="I706"/>
          <cell r="J706"/>
          <cell r="K706"/>
          <cell r="L706"/>
          <cell r="M706"/>
          <cell r="N706"/>
          <cell r="O706"/>
          <cell r="P706"/>
          <cell r="Q706"/>
          <cell r="R706"/>
          <cell r="W706"/>
          <cell r="X706"/>
          <cell r="Y706"/>
          <cell r="Z706"/>
          <cell r="AA706"/>
          <cell r="AB706"/>
          <cell r="AC706"/>
          <cell r="AD706"/>
          <cell r="AE706"/>
          <cell r="AF706"/>
          <cell r="AG706"/>
          <cell r="AH706"/>
          <cell r="AP706"/>
          <cell r="AR706"/>
          <cell r="AT706"/>
          <cell r="AV706"/>
          <cell r="AX706"/>
        </row>
        <row r="707">
          <cell r="A707"/>
          <cell r="B707"/>
          <cell r="C707"/>
          <cell r="D707"/>
          <cell r="E707"/>
          <cell r="F707"/>
          <cell r="G707"/>
          <cell r="H707"/>
          <cell r="I707"/>
          <cell r="J707"/>
          <cell r="K707"/>
          <cell r="L707"/>
          <cell r="M707"/>
          <cell r="N707"/>
          <cell r="O707"/>
          <cell r="P707"/>
          <cell r="Q707"/>
          <cell r="R707"/>
          <cell r="W707"/>
          <cell r="X707"/>
          <cell r="Y707"/>
          <cell r="Z707"/>
          <cell r="AA707"/>
          <cell r="AB707"/>
          <cell r="AC707"/>
          <cell r="AD707"/>
          <cell r="AE707"/>
          <cell r="AF707"/>
          <cell r="AG707"/>
          <cell r="AH707"/>
          <cell r="AP707"/>
          <cell r="AR707"/>
          <cell r="AT707"/>
          <cell r="AV707"/>
          <cell r="AX707"/>
        </row>
        <row r="708">
          <cell r="A708"/>
          <cell r="B708"/>
          <cell r="C708"/>
          <cell r="D708"/>
          <cell r="E708"/>
          <cell r="F708"/>
          <cell r="G708"/>
          <cell r="H708"/>
          <cell r="I708"/>
          <cell r="J708"/>
          <cell r="K708"/>
          <cell r="L708"/>
          <cell r="M708"/>
          <cell r="N708"/>
          <cell r="O708"/>
          <cell r="P708"/>
          <cell r="Q708"/>
          <cell r="R708"/>
          <cell r="W708"/>
          <cell r="X708"/>
          <cell r="Y708"/>
          <cell r="Z708"/>
          <cell r="AA708"/>
          <cell r="AB708"/>
          <cell r="AC708"/>
          <cell r="AD708"/>
          <cell r="AE708"/>
          <cell r="AF708"/>
          <cell r="AG708"/>
          <cell r="AH708"/>
          <cell r="AP708"/>
          <cell r="AR708"/>
          <cell r="AT708"/>
          <cell r="AV708"/>
          <cell r="AX708"/>
        </row>
        <row r="709">
          <cell r="A709"/>
          <cell r="B709"/>
          <cell r="C709"/>
          <cell r="D709"/>
          <cell r="E709"/>
          <cell r="F709"/>
          <cell r="G709"/>
          <cell r="H709"/>
          <cell r="I709"/>
          <cell r="J709"/>
          <cell r="K709"/>
          <cell r="L709"/>
          <cell r="M709"/>
          <cell r="N709"/>
          <cell r="O709"/>
          <cell r="P709"/>
          <cell r="Q709"/>
          <cell r="R709"/>
          <cell r="W709"/>
          <cell r="X709"/>
          <cell r="Y709"/>
          <cell r="Z709"/>
          <cell r="AA709"/>
          <cell r="AB709"/>
          <cell r="AC709"/>
          <cell r="AD709"/>
          <cell r="AE709"/>
          <cell r="AF709"/>
          <cell r="AG709"/>
          <cell r="AH709"/>
          <cell r="AP709"/>
          <cell r="AR709"/>
          <cell r="AT709"/>
          <cell r="AV709"/>
          <cell r="AX709"/>
        </row>
        <row r="710">
          <cell r="A710"/>
          <cell r="B710"/>
          <cell r="C710"/>
          <cell r="D710"/>
          <cell r="E710"/>
          <cell r="F710"/>
          <cell r="G710"/>
          <cell r="H710"/>
          <cell r="I710"/>
          <cell r="J710"/>
          <cell r="K710"/>
          <cell r="L710"/>
          <cell r="M710"/>
          <cell r="N710"/>
          <cell r="O710"/>
          <cell r="P710"/>
          <cell r="Q710"/>
          <cell r="R710"/>
          <cell r="W710"/>
          <cell r="X710"/>
          <cell r="Y710"/>
          <cell r="Z710"/>
          <cell r="AA710"/>
          <cell r="AB710"/>
          <cell r="AC710"/>
          <cell r="AD710"/>
          <cell r="AE710"/>
          <cell r="AF710"/>
          <cell r="AG710"/>
          <cell r="AH710"/>
          <cell r="AP710"/>
          <cell r="AR710"/>
          <cell r="AT710"/>
          <cell r="AV710"/>
          <cell r="AX710"/>
        </row>
        <row r="711">
          <cell r="A711"/>
          <cell r="B711"/>
          <cell r="C711"/>
          <cell r="D711"/>
          <cell r="E711"/>
          <cell r="F711"/>
          <cell r="G711"/>
          <cell r="H711"/>
          <cell r="I711"/>
          <cell r="J711"/>
          <cell r="K711"/>
          <cell r="L711"/>
          <cell r="M711"/>
          <cell r="N711"/>
          <cell r="O711"/>
          <cell r="P711"/>
          <cell r="Q711"/>
          <cell r="R711"/>
          <cell r="W711"/>
          <cell r="X711"/>
          <cell r="Y711"/>
          <cell r="Z711"/>
          <cell r="AA711"/>
          <cell r="AB711"/>
          <cell r="AC711"/>
          <cell r="AD711"/>
          <cell r="AE711"/>
          <cell r="AF711"/>
          <cell r="AG711"/>
          <cell r="AH711"/>
          <cell r="AP711"/>
          <cell r="AR711"/>
          <cell r="AT711"/>
          <cell r="AV711"/>
          <cell r="AX711"/>
        </row>
        <row r="712">
          <cell r="A712"/>
          <cell r="B712"/>
          <cell r="C712"/>
          <cell r="D712"/>
          <cell r="E712"/>
          <cell r="F712"/>
          <cell r="G712"/>
          <cell r="H712"/>
          <cell r="I712"/>
          <cell r="J712"/>
          <cell r="K712"/>
          <cell r="L712"/>
          <cell r="M712"/>
          <cell r="N712"/>
          <cell r="O712"/>
          <cell r="P712"/>
          <cell r="Q712"/>
          <cell r="R712"/>
          <cell r="W712"/>
          <cell r="X712"/>
          <cell r="Y712"/>
          <cell r="Z712"/>
          <cell r="AA712"/>
          <cell r="AB712"/>
          <cell r="AC712"/>
          <cell r="AD712"/>
          <cell r="AE712"/>
          <cell r="AF712"/>
          <cell r="AG712"/>
          <cell r="AH712"/>
          <cell r="AP712"/>
          <cell r="AR712"/>
          <cell r="AT712"/>
          <cell r="AV712"/>
          <cell r="AX712"/>
        </row>
        <row r="713">
          <cell r="A713"/>
          <cell r="B713"/>
          <cell r="C713"/>
          <cell r="D713"/>
          <cell r="E713"/>
          <cell r="F713"/>
          <cell r="G713"/>
          <cell r="H713"/>
          <cell r="I713"/>
          <cell r="J713"/>
          <cell r="K713"/>
          <cell r="L713"/>
          <cell r="M713"/>
          <cell r="N713"/>
          <cell r="O713"/>
          <cell r="P713"/>
          <cell r="Q713"/>
          <cell r="R713"/>
          <cell r="W713"/>
          <cell r="X713"/>
          <cell r="Y713"/>
          <cell r="Z713"/>
          <cell r="AA713"/>
          <cell r="AB713"/>
          <cell r="AC713"/>
          <cell r="AD713"/>
          <cell r="AE713"/>
          <cell r="AF713"/>
          <cell r="AG713"/>
          <cell r="AH713"/>
          <cell r="AP713"/>
          <cell r="AR713"/>
          <cell r="AT713"/>
          <cell r="AV713"/>
          <cell r="AX713"/>
        </row>
        <row r="714">
          <cell r="A714"/>
          <cell r="B714"/>
          <cell r="C714"/>
          <cell r="D714"/>
          <cell r="E714"/>
          <cell r="F714"/>
          <cell r="G714"/>
          <cell r="H714"/>
          <cell r="I714"/>
          <cell r="J714"/>
          <cell r="K714"/>
          <cell r="L714"/>
          <cell r="M714"/>
          <cell r="N714"/>
          <cell r="O714"/>
          <cell r="P714"/>
          <cell r="Q714"/>
          <cell r="R714"/>
          <cell r="W714"/>
          <cell r="X714"/>
          <cell r="Y714"/>
          <cell r="Z714"/>
          <cell r="AA714"/>
          <cell r="AB714"/>
          <cell r="AC714"/>
          <cell r="AD714"/>
          <cell r="AE714"/>
          <cell r="AF714"/>
          <cell r="AG714"/>
          <cell r="AH714"/>
          <cell r="AP714"/>
          <cell r="AR714"/>
          <cell r="AT714"/>
          <cell r="AV714"/>
          <cell r="AX714"/>
        </row>
        <row r="715">
          <cell r="A715"/>
          <cell r="B715"/>
          <cell r="C715"/>
          <cell r="D715"/>
          <cell r="E715"/>
          <cell r="F715"/>
          <cell r="G715"/>
          <cell r="H715"/>
          <cell r="I715"/>
          <cell r="J715"/>
          <cell r="K715"/>
          <cell r="L715"/>
          <cell r="M715"/>
          <cell r="N715"/>
          <cell r="O715"/>
          <cell r="P715"/>
          <cell r="Q715"/>
          <cell r="R715"/>
          <cell r="W715"/>
          <cell r="X715"/>
          <cell r="Y715"/>
          <cell r="Z715"/>
          <cell r="AA715"/>
          <cell r="AB715"/>
          <cell r="AC715"/>
          <cell r="AD715"/>
          <cell r="AE715"/>
          <cell r="AF715"/>
          <cell r="AG715"/>
          <cell r="AH715"/>
          <cell r="AP715"/>
          <cell r="AR715"/>
          <cell r="AT715"/>
          <cell r="AV715"/>
          <cell r="AX715"/>
        </row>
        <row r="716">
          <cell r="A716"/>
          <cell r="B716"/>
          <cell r="C716"/>
          <cell r="D716"/>
          <cell r="E716"/>
          <cell r="F716"/>
          <cell r="G716"/>
          <cell r="H716"/>
          <cell r="I716"/>
          <cell r="J716"/>
          <cell r="K716"/>
          <cell r="L716"/>
          <cell r="M716"/>
          <cell r="N716"/>
          <cell r="O716"/>
          <cell r="P716"/>
          <cell r="Q716"/>
          <cell r="R716"/>
          <cell r="W716"/>
          <cell r="X716"/>
          <cell r="Y716"/>
          <cell r="Z716"/>
          <cell r="AA716"/>
          <cell r="AB716"/>
          <cell r="AC716"/>
          <cell r="AD716"/>
          <cell r="AE716"/>
          <cell r="AF716"/>
          <cell r="AG716"/>
          <cell r="AH716"/>
          <cell r="AP716"/>
          <cell r="AR716"/>
          <cell r="AT716"/>
          <cell r="AV716"/>
          <cell r="AX716"/>
        </row>
        <row r="717">
          <cell r="A717"/>
          <cell r="B717"/>
          <cell r="C717"/>
          <cell r="D717"/>
          <cell r="E717"/>
          <cell r="F717"/>
          <cell r="G717"/>
          <cell r="H717"/>
          <cell r="I717"/>
          <cell r="J717"/>
          <cell r="K717"/>
          <cell r="L717"/>
          <cell r="M717"/>
          <cell r="N717"/>
          <cell r="O717"/>
          <cell r="P717"/>
          <cell r="Q717"/>
          <cell r="R717"/>
          <cell r="W717"/>
          <cell r="X717"/>
          <cell r="Y717"/>
          <cell r="Z717"/>
          <cell r="AA717"/>
          <cell r="AB717"/>
          <cell r="AC717"/>
          <cell r="AD717"/>
          <cell r="AE717"/>
          <cell r="AF717"/>
          <cell r="AG717"/>
          <cell r="AH717"/>
          <cell r="AP717"/>
          <cell r="AR717"/>
          <cell r="AT717"/>
          <cell r="AV717"/>
          <cell r="AX717"/>
        </row>
        <row r="718">
          <cell r="A718"/>
          <cell r="B718"/>
          <cell r="C718"/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/>
          <cell r="W718"/>
          <cell r="X718"/>
          <cell r="Y718"/>
          <cell r="Z718"/>
          <cell r="AA718"/>
          <cell r="AB718"/>
          <cell r="AC718"/>
          <cell r="AD718"/>
          <cell r="AE718"/>
          <cell r="AF718"/>
          <cell r="AG718"/>
          <cell r="AH718"/>
          <cell r="AP718"/>
          <cell r="AR718"/>
          <cell r="AT718"/>
          <cell r="AV718"/>
          <cell r="AX718"/>
        </row>
        <row r="719">
          <cell r="A719"/>
          <cell r="B719"/>
          <cell r="C719"/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/>
          <cell r="W719"/>
          <cell r="X719"/>
          <cell r="Y719"/>
          <cell r="Z719"/>
          <cell r="AA719"/>
          <cell r="AB719"/>
          <cell r="AC719"/>
          <cell r="AD719"/>
          <cell r="AE719"/>
          <cell r="AF719"/>
          <cell r="AG719"/>
          <cell r="AH719"/>
          <cell r="AP719"/>
          <cell r="AR719"/>
          <cell r="AT719"/>
          <cell r="AV719"/>
          <cell r="AX719"/>
        </row>
        <row r="720">
          <cell r="A720"/>
          <cell r="B720"/>
          <cell r="C720"/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/>
          <cell r="W720"/>
          <cell r="X720"/>
          <cell r="Y720"/>
          <cell r="Z720"/>
          <cell r="AA720"/>
          <cell r="AB720"/>
          <cell r="AC720"/>
          <cell r="AD720"/>
          <cell r="AE720"/>
          <cell r="AF720"/>
          <cell r="AG720"/>
          <cell r="AH720"/>
          <cell r="AP720"/>
          <cell r="AR720"/>
          <cell r="AT720"/>
          <cell r="AV720"/>
          <cell r="AX720"/>
        </row>
        <row r="721">
          <cell r="A721"/>
          <cell r="B721"/>
          <cell r="C721"/>
          <cell r="D721"/>
          <cell r="E721"/>
          <cell r="F721"/>
          <cell r="G721"/>
          <cell r="H721"/>
          <cell r="I721"/>
          <cell r="J721"/>
          <cell r="K721"/>
          <cell r="L721"/>
          <cell r="M721"/>
          <cell r="N721"/>
          <cell r="O721"/>
          <cell r="P721"/>
          <cell r="Q721"/>
          <cell r="R721"/>
          <cell r="W721"/>
          <cell r="X721"/>
          <cell r="Y721"/>
          <cell r="Z721"/>
          <cell r="AA721"/>
          <cell r="AB721"/>
          <cell r="AC721"/>
          <cell r="AD721"/>
          <cell r="AE721"/>
          <cell r="AF721"/>
          <cell r="AG721"/>
          <cell r="AH721"/>
          <cell r="AP721"/>
          <cell r="AR721"/>
          <cell r="AT721"/>
          <cell r="AV721"/>
          <cell r="AX721"/>
        </row>
        <row r="722">
          <cell r="A722"/>
          <cell r="B722"/>
          <cell r="C722"/>
          <cell r="D722"/>
          <cell r="E722"/>
          <cell r="F722"/>
          <cell r="G722"/>
          <cell r="H722"/>
          <cell r="I722"/>
          <cell r="J722"/>
          <cell r="K722"/>
          <cell r="L722"/>
          <cell r="M722"/>
          <cell r="N722"/>
          <cell r="O722"/>
          <cell r="P722"/>
          <cell r="Q722"/>
          <cell r="R722"/>
          <cell r="W722"/>
          <cell r="X722"/>
          <cell r="Y722"/>
          <cell r="Z722"/>
          <cell r="AA722"/>
          <cell r="AB722"/>
          <cell r="AC722"/>
          <cell r="AD722"/>
          <cell r="AE722"/>
          <cell r="AF722"/>
          <cell r="AG722"/>
          <cell r="AH722"/>
          <cell r="AP722"/>
          <cell r="AR722"/>
          <cell r="AT722"/>
          <cell r="AV722"/>
          <cell r="AX722"/>
        </row>
        <row r="723">
          <cell r="A723"/>
          <cell r="B723"/>
          <cell r="C723"/>
          <cell r="D723"/>
          <cell r="E723"/>
          <cell r="F723"/>
          <cell r="G723"/>
          <cell r="H723"/>
          <cell r="I723"/>
          <cell r="J723"/>
          <cell r="K723"/>
          <cell r="L723"/>
          <cell r="M723"/>
          <cell r="N723"/>
          <cell r="O723"/>
          <cell r="P723"/>
          <cell r="Q723"/>
          <cell r="R723"/>
          <cell r="W723"/>
          <cell r="X723"/>
          <cell r="Y723"/>
          <cell r="Z723"/>
          <cell r="AA723"/>
          <cell r="AB723"/>
          <cell r="AC723"/>
          <cell r="AD723"/>
          <cell r="AE723"/>
          <cell r="AF723"/>
          <cell r="AG723"/>
          <cell r="AH723"/>
          <cell r="AP723"/>
          <cell r="AR723"/>
          <cell r="AT723"/>
          <cell r="AV723"/>
          <cell r="AX723"/>
        </row>
        <row r="724">
          <cell r="A724"/>
          <cell r="B724"/>
          <cell r="C724"/>
          <cell r="D724"/>
          <cell r="E724"/>
          <cell r="F724"/>
          <cell r="G724"/>
          <cell r="H724"/>
          <cell r="I724"/>
          <cell r="J724"/>
          <cell r="K724"/>
          <cell r="L724"/>
          <cell r="M724"/>
          <cell r="N724"/>
          <cell r="O724"/>
          <cell r="P724"/>
          <cell r="Q724"/>
          <cell r="R724"/>
          <cell r="W724"/>
          <cell r="X724"/>
          <cell r="Y724"/>
          <cell r="Z724"/>
          <cell r="AA724"/>
          <cell r="AB724"/>
          <cell r="AC724"/>
          <cell r="AD724"/>
          <cell r="AE724"/>
          <cell r="AF724"/>
          <cell r="AG724"/>
          <cell r="AH724"/>
          <cell r="AP724"/>
          <cell r="AR724"/>
          <cell r="AT724"/>
          <cell r="AV724"/>
          <cell r="AX724"/>
        </row>
        <row r="725">
          <cell r="A725"/>
          <cell r="B725"/>
          <cell r="C725"/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/>
          <cell r="W725"/>
          <cell r="X725"/>
          <cell r="Y725"/>
          <cell r="Z725"/>
          <cell r="AA725"/>
          <cell r="AB725"/>
          <cell r="AC725"/>
          <cell r="AD725"/>
          <cell r="AE725"/>
          <cell r="AF725"/>
          <cell r="AG725"/>
          <cell r="AH725"/>
          <cell r="AP725"/>
          <cell r="AR725"/>
          <cell r="AT725"/>
          <cell r="AV725"/>
          <cell r="AX725"/>
        </row>
        <row r="726">
          <cell r="A726"/>
          <cell r="B726"/>
          <cell r="C726"/>
          <cell r="D726"/>
          <cell r="E726"/>
          <cell r="F726"/>
          <cell r="G726"/>
          <cell r="H726"/>
          <cell r="I726"/>
          <cell r="J726"/>
          <cell r="K726"/>
          <cell r="L726"/>
          <cell r="M726"/>
          <cell r="N726"/>
          <cell r="O726"/>
          <cell r="P726"/>
          <cell r="Q726"/>
          <cell r="R726"/>
          <cell r="W726"/>
          <cell r="X726"/>
          <cell r="Y726"/>
          <cell r="Z726"/>
          <cell r="AA726"/>
          <cell r="AB726"/>
          <cell r="AC726"/>
          <cell r="AD726"/>
          <cell r="AE726"/>
          <cell r="AF726"/>
          <cell r="AG726"/>
          <cell r="AH726"/>
          <cell r="AP726"/>
          <cell r="AR726"/>
          <cell r="AT726"/>
          <cell r="AV726"/>
          <cell r="AX726"/>
        </row>
        <row r="727">
          <cell r="A727"/>
          <cell r="B727"/>
          <cell r="C727"/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/>
          <cell r="W727"/>
          <cell r="X727"/>
          <cell r="Y727"/>
          <cell r="Z727"/>
          <cell r="AA727"/>
          <cell r="AB727"/>
          <cell r="AC727"/>
          <cell r="AD727"/>
          <cell r="AE727"/>
          <cell r="AF727"/>
          <cell r="AG727"/>
          <cell r="AH727"/>
          <cell r="AP727"/>
          <cell r="AR727"/>
          <cell r="AT727"/>
          <cell r="AV727"/>
          <cell r="AX727"/>
        </row>
        <row r="728">
          <cell r="A728"/>
          <cell r="B728"/>
          <cell r="C728"/>
          <cell r="D728"/>
          <cell r="E728"/>
          <cell r="F728"/>
          <cell r="G728"/>
          <cell r="H728"/>
          <cell r="I728"/>
          <cell r="J728"/>
          <cell r="K728"/>
          <cell r="L728"/>
          <cell r="M728"/>
          <cell r="N728"/>
          <cell r="O728"/>
          <cell r="P728"/>
          <cell r="Q728"/>
          <cell r="R728"/>
          <cell r="W728"/>
          <cell r="X728"/>
          <cell r="Y728"/>
          <cell r="Z728"/>
          <cell r="AA728"/>
          <cell r="AB728"/>
          <cell r="AC728"/>
          <cell r="AD728"/>
          <cell r="AE728"/>
          <cell r="AF728"/>
          <cell r="AG728"/>
          <cell r="AH728"/>
          <cell r="AP728"/>
          <cell r="AR728"/>
          <cell r="AT728"/>
          <cell r="AV728"/>
          <cell r="AX728"/>
        </row>
        <row r="729">
          <cell r="A729"/>
          <cell r="B729"/>
          <cell r="C729"/>
          <cell r="D729"/>
          <cell r="E729"/>
          <cell r="F729"/>
          <cell r="G729"/>
          <cell r="H729"/>
          <cell r="I729"/>
          <cell r="J729"/>
          <cell r="K729"/>
          <cell r="L729"/>
          <cell r="M729"/>
          <cell r="N729"/>
          <cell r="O729"/>
          <cell r="P729"/>
          <cell r="Q729"/>
          <cell r="R729"/>
          <cell r="W729"/>
          <cell r="X729"/>
          <cell r="Y729"/>
          <cell r="Z729"/>
          <cell r="AA729"/>
          <cell r="AB729"/>
          <cell r="AC729"/>
          <cell r="AD729"/>
          <cell r="AE729"/>
          <cell r="AF729"/>
          <cell r="AG729"/>
          <cell r="AH729"/>
          <cell r="AP729"/>
          <cell r="AR729"/>
          <cell r="AT729"/>
          <cell r="AV729"/>
          <cell r="AX729"/>
        </row>
        <row r="730">
          <cell r="A730"/>
          <cell r="B730"/>
          <cell r="C730"/>
          <cell r="D730"/>
          <cell r="E730"/>
          <cell r="F730"/>
          <cell r="G730"/>
          <cell r="H730"/>
          <cell r="I730"/>
          <cell r="J730"/>
          <cell r="K730"/>
          <cell r="L730"/>
          <cell r="M730"/>
          <cell r="N730"/>
          <cell r="O730"/>
          <cell r="P730"/>
          <cell r="Q730"/>
          <cell r="R730"/>
          <cell r="W730"/>
          <cell r="X730"/>
          <cell r="Y730"/>
          <cell r="Z730"/>
          <cell r="AA730"/>
          <cell r="AB730"/>
          <cell r="AC730"/>
          <cell r="AD730"/>
          <cell r="AE730"/>
          <cell r="AF730"/>
          <cell r="AG730"/>
          <cell r="AH730"/>
          <cell r="AP730"/>
          <cell r="AR730"/>
          <cell r="AT730"/>
          <cell r="AV730"/>
          <cell r="AX730"/>
        </row>
        <row r="731">
          <cell r="A731"/>
          <cell r="B731"/>
          <cell r="C731"/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/>
          <cell r="W731"/>
          <cell r="X731"/>
          <cell r="Y731"/>
          <cell r="Z731"/>
          <cell r="AA731"/>
          <cell r="AB731"/>
          <cell r="AC731"/>
          <cell r="AD731"/>
          <cell r="AE731"/>
          <cell r="AF731"/>
          <cell r="AG731"/>
          <cell r="AH731"/>
          <cell r="AP731"/>
          <cell r="AR731"/>
          <cell r="AT731"/>
          <cell r="AV731"/>
          <cell r="AX731"/>
        </row>
        <row r="732">
          <cell r="A732"/>
          <cell r="B732"/>
          <cell r="C732"/>
          <cell r="D732"/>
          <cell r="E732"/>
          <cell r="F732"/>
          <cell r="G732"/>
          <cell r="H732"/>
          <cell r="I732"/>
          <cell r="J732"/>
          <cell r="K732"/>
          <cell r="L732"/>
          <cell r="M732"/>
          <cell r="N732"/>
          <cell r="O732"/>
          <cell r="P732"/>
          <cell r="Q732"/>
          <cell r="R732"/>
          <cell r="W732"/>
          <cell r="X732"/>
          <cell r="Y732"/>
          <cell r="Z732"/>
          <cell r="AA732"/>
          <cell r="AB732"/>
          <cell r="AC732"/>
          <cell r="AD732"/>
          <cell r="AE732"/>
          <cell r="AF732"/>
          <cell r="AG732"/>
          <cell r="AH732"/>
          <cell r="AP732"/>
          <cell r="AR732"/>
          <cell r="AT732"/>
          <cell r="AV732"/>
          <cell r="AX732"/>
        </row>
        <row r="733">
          <cell r="A733"/>
          <cell r="B733"/>
          <cell r="C733"/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/>
          <cell r="W733"/>
          <cell r="X733"/>
          <cell r="Y733"/>
          <cell r="Z733"/>
          <cell r="AA733"/>
          <cell r="AB733"/>
          <cell r="AC733"/>
          <cell r="AD733"/>
          <cell r="AE733"/>
          <cell r="AF733"/>
          <cell r="AG733"/>
          <cell r="AH733"/>
          <cell r="AP733"/>
          <cell r="AR733"/>
          <cell r="AT733"/>
          <cell r="AV733"/>
          <cell r="AX733"/>
        </row>
        <row r="734">
          <cell r="A734"/>
          <cell r="B734"/>
          <cell r="C734"/>
          <cell r="D734"/>
          <cell r="E734"/>
          <cell r="F734"/>
          <cell r="G734"/>
          <cell r="H734"/>
          <cell r="I734"/>
          <cell r="J734"/>
          <cell r="K734"/>
          <cell r="L734"/>
          <cell r="M734"/>
          <cell r="N734"/>
          <cell r="O734"/>
          <cell r="P734"/>
          <cell r="Q734"/>
          <cell r="R734"/>
          <cell r="W734"/>
          <cell r="X734"/>
          <cell r="Y734"/>
          <cell r="Z734"/>
          <cell r="AA734"/>
          <cell r="AB734"/>
          <cell r="AC734"/>
          <cell r="AD734"/>
          <cell r="AE734"/>
          <cell r="AF734"/>
          <cell r="AG734"/>
          <cell r="AH734"/>
          <cell r="AP734"/>
          <cell r="AR734"/>
          <cell r="AT734"/>
          <cell r="AV734"/>
          <cell r="AX734"/>
        </row>
        <row r="735">
          <cell r="A735"/>
          <cell r="B735"/>
          <cell r="C735"/>
          <cell r="D735"/>
          <cell r="E735"/>
          <cell r="F735"/>
          <cell r="G735"/>
          <cell r="H735"/>
          <cell r="I735"/>
          <cell r="J735"/>
          <cell r="K735"/>
          <cell r="L735"/>
          <cell r="M735"/>
          <cell r="N735"/>
          <cell r="O735"/>
          <cell r="P735"/>
          <cell r="Q735"/>
          <cell r="R735"/>
          <cell r="W735"/>
          <cell r="X735"/>
          <cell r="Y735"/>
          <cell r="Z735"/>
          <cell r="AA735"/>
          <cell r="AB735"/>
          <cell r="AC735"/>
          <cell r="AD735"/>
          <cell r="AE735"/>
          <cell r="AF735"/>
          <cell r="AG735"/>
          <cell r="AH735"/>
          <cell r="AP735"/>
          <cell r="AR735"/>
          <cell r="AT735"/>
          <cell r="AV735"/>
          <cell r="AX735"/>
        </row>
        <row r="736">
          <cell r="A736"/>
          <cell r="B736"/>
          <cell r="C736"/>
          <cell r="D736"/>
          <cell r="E736"/>
          <cell r="F736"/>
          <cell r="G736"/>
          <cell r="H736"/>
          <cell r="I736"/>
          <cell r="J736"/>
          <cell r="K736"/>
          <cell r="L736"/>
          <cell r="M736"/>
          <cell r="N736"/>
          <cell r="O736"/>
          <cell r="P736"/>
          <cell r="Q736"/>
          <cell r="R736"/>
          <cell r="W736"/>
          <cell r="X736"/>
          <cell r="Y736"/>
          <cell r="Z736"/>
          <cell r="AA736"/>
          <cell r="AB736"/>
          <cell r="AC736"/>
          <cell r="AD736"/>
          <cell r="AE736"/>
          <cell r="AF736"/>
          <cell r="AG736"/>
          <cell r="AH736"/>
          <cell r="AP736"/>
          <cell r="AR736"/>
          <cell r="AT736"/>
          <cell r="AV736"/>
          <cell r="AX736"/>
        </row>
        <row r="737">
          <cell r="A737"/>
          <cell r="B737"/>
          <cell r="C737"/>
          <cell r="D737"/>
          <cell r="E737"/>
          <cell r="F737"/>
          <cell r="G737"/>
          <cell r="H737"/>
          <cell r="I737"/>
          <cell r="J737"/>
          <cell r="K737"/>
          <cell r="L737"/>
          <cell r="M737"/>
          <cell r="N737"/>
          <cell r="O737"/>
          <cell r="P737"/>
          <cell r="Q737"/>
          <cell r="R737"/>
          <cell r="W737"/>
          <cell r="X737"/>
          <cell r="Y737"/>
          <cell r="Z737"/>
          <cell r="AA737"/>
          <cell r="AB737"/>
          <cell r="AC737"/>
          <cell r="AD737"/>
          <cell r="AE737"/>
          <cell r="AF737"/>
          <cell r="AG737"/>
          <cell r="AH737"/>
          <cell r="AP737"/>
          <cell r="AR737"/>
          <cell r="AT737"/>
          <cell r="AV737"/>
          <cell r="AX737"/>
        </row>
        <row r="738">
          <cell r="A738"/>
          <cell r="B738"/>
          <cell r="C738"/>
          <cell r="D738"/>
          <cell r="E738"/>
          <cell r="F738"/>
          <cell r="G738"/>
          <cell r="H738"/>
          <cell r="I738"/>
          <cell r="J738"/>
          <cell r="K738"/>
          <cell r="L738"/>
          <cell r="M738"/>
          <cell r="N738"/>
          <cell r="O738"/>
          <cell r="P738"/>
          <cell r="Q738"/>
          <cell r="R738"/>
          <cell r="W738"/>
          <cell r="X738"/>
          <cell r="Y738"/>
          <cell r="Z738"/>
          <cell r="AA738"/>
          <cell r="AB738"/>
          <cell r="AC738"/>
          <cell r="AD738"/>
          <cell r="AE738"/>
          <cell r="AF738"/>
          <cell r="AG738"/>
          <cell r="AH738"/>
          <cell r="AP738"/>
          <cell r="AR738"/>
          <cell r="AT738"/>
          <cell r="AV738"/>
          <cell r="AX738"/>
        </row>
        <row r="739">
          <cell r="A739"/>
          <cell r="B739"/>
          <cell r="C739"/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/>
          <cell r="W739"/>
          <cell r="X739"/>
          <cell r="Y739"/>
          <cell r="Z739"/>
          <cell r="AA739"/>
          <cell r="AB739"/>
          <cell r="AC739"/>
          <cell r="AD739"/>
          <cell r="AE739"/>
          <cell r="AF739"/>
          <cell r="AG739"/>
          <cell r="AH739"/>
          <cell r="AP739"/>
          <cell r="AR739"/>
          <cell r="AT739"/>
          <cell r="AV739"/>
          <cell r="AX739"/>
        </row>
        <row r="740">
          <cell r="A740"/>
          <cell r="B740"/>
          <cell r="C740"/>
          <cell r="D740"/>
          <cell r="E740"/>
          <cell r="F740"/>
          <cell r="G740"/>
          <cell r="H740"/>
          <cell r="I740"/>
          <cell r="J740"/>
          <cell r="K740"/>
          <cell r="L740"/>
          <cell r="M740"/>
          <cell r="N740"/>
          <cell r="O740"/>
          <cell r="P740"/>
          <cell r="Q740"/>
          <cell r="R740"/>
          <cell r="W740"/>
          <cell r="X740"/>
          <cell r="Y740"/>
          <cell r="Z740"/>
          <cell r="AA740"/>
          <cell r="AB740"/>
          <cell r="AC740"/>
          <cell r="AD740"/>
          <cell r="AE740"/>
          <cell r="AF740"/>
          <cell r="AG740"/>
          <cell r="AH740"/>
          <cell r="AP740"/>
          <cell r="AR740"/>
          <cell r="AT740"/>
          <cell r="AV740"/>
          <cell r="AX740"/>
        </row>
        <row r="741">
          <cell r="A741"/>
          <cell r="B741"/>
          <cell r="C741"/>
          <cell r="D741"/>
          <cell r="E741"/>
          <cell r="F741"/>
          <cell r="G741"/>
          <cell r="H741"/>
          <cell r="I741"/>
          <cell r="J741"/>
          <cell r="K741"/>
          <cell r="L741"/>
          <cell r="M741"/>
          <cell r="N741"/>
          <cell r="O741"/>
          <cell r="P741"/>
          <cell r="Q741"/>
          <cell r="R741"/>
          <cell r="W741"/>
          <cell r="X741"/>
          <cell r="Y741"/>
          <cell r="Z741"/>
          <cell r="AA741"/>
          <cell r="AB741"/>
          <cell r="AC741"/>
          <cell r="AD741"/>
          <cell r="AE741"/>
          <cell r="AF741"/>
          <cell r="AG741"/>
          <cell r="AH741"/>
          <cell r="AP741"/>
          <cell r="AR741"/>
          <cell r="AT741"/>
          <cell r="AV741"/>
          <cell r="AX741"/>
        </row>
        <row r="742">
          <cell r="A742"/>
          <cell r="B742"/>
          <cell r="C742"/>
          <cell r="D742"/>
          <cell r="E742"/>
          <cell r="F742"/>
          <cell r="G742"/>
          <cell r="H742"/>
          <cell r="I742"/>
          <cell r="J742"/>
          <cell r="K742"/>
          <cell r="L742"/>
          <cell r="M742"/>
          <cell r="N742"/>
          <cell r="O742"/>
          <cell r="P742"/>
          <cell r="Q742"/>
          <cell r="R742"/>
          <cell r="W742"/>
          <cell r="X742"/>
          <cell r="Y742"/>
          <cell r="Z742"/>
          <cell r="AA742"/>
          <cell r="AB742"/>
          <cell r="AC742"/>
          <cell r="AD742"/>
          <cell r="AE742"/>
          <cell r="AF742"/>
          <cell r="AG742"/>
          <cell r="AH742"/>
          <cell r="AP742"/>
          <cell r="AR742"/>
          <cell r="AT742"/>
          <cell r="AV742"/>
          <cell r="AX742"/>
        </row>
        <row r="743">
          <cell r="A743"/>
          <cell r="B743"/>
          <cell r="C743"/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/>
          <cell r="W743"/>
          <cell r="X743"/>
          <cell r="Y743"/>
          <cell r="Z743"/>
          <cell r="AA743"/>
          <cell r="AB743"/>
          <cell r="AC743"/>
          <cell r="AD743"/>
          <cell r="AE743"/>
          <cell r="AF743"/>
          <cell r="AG743"/>
          <cell r="AH743"/>
          <cell r="AP743"/>
          <cell r="AR743"/>
          <cell r="AT743"/>
          <cell r="AV743"/>
          <cell r="AX743"/>
        </row>
        <row r="744">
          <cell r="A744"/>
          <cell r="B744"/>
          <cell r="C744"/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/>
          <cell r="W744"/>
          <cell r="X744"/>
          <cell r="Y744"/>
          <cell r="Z744"/>
          <cell r="AA744"/>
          <cell r="AB744"/>
          <cell r="AC744"/>
          <cell r="AD744"/>
          <cell r="AE744"/>
          <cell r="AF744"/>
          <cell r="AG744"/>
          <cell r="AH744"/>
          <cell r="AP744"/>
          <cell r="AR744"/>
          <cell r="AT744"/>
          <cell r="AV744"/>
          <cell r="AX744"/>
        </row>
        <row r="745">
          <cell r="A745"/>
          <cell r="B745"/>
          <cell r="C745"/>
          <cell r="D745"/>
          <cell r="E745"/>
          <cell r="F745"/>
          <cell r="G745"/>
          <cell r="H745"/>
          <cell r="I745"/>
          <cell r="J745"/>
          <cell r="K745"/>
          <cell r="L745"/>
          <cell r="M745"/>
          <cell r="N745"/>
          <cell r="O745"/>
          <cell r="P745"/>
          <cell r="Q745"/>
          <cell r="R745"/>
          <cell r="W745"/>
          <cell r="X745"/>
          <cell r="Y745"/>
          <cell r="Z745"/>
          <cell r="AA745"/>
          <cell r="AB745"/>
          <cell r="AC745"/>
          <cell r="AD745"/>
          <cell r="AE745"/>
          <cell r="AF745"/>
          <cell r="AG745"/>
          <cell r="AH745"/>
          <cell r="AP745"/>
          <cell r="AR745"/>
          <cell r="AT745"/>
          <cell r="AV745"/>
          <cell r="AX745"/>
        </row>
        <row r="746">
          <cell r="A746"/>
          <cell r="B746"/>
          <cell r="C746"/>
          <cell r="D746"/>
          <cell r="E746"/>
          <cell r="F746"/>
          <cell r="G746"/>
          <cell r="H746"/>
          <cell r="I746"/>
          <cell r="J746"/>
          <cell r="K746"/>
          <cell r="L746"/>
          <cell r="M746"/>
          <cell r="N746"/>
          <cell r="O746"/>
          <cell r="P746"/>
          <cell r="Q746"/>
          <cell r="R746"/>
          <cell r="W746"/>
          <cell r="X746"/>
          <cell r="Y746"/>
          <cell r="Z746"/>
          <cell r="AA746"/>
          <cell r="AB746"/>
          <cell r="AC746"/>
          <cell r="AD746"/>
          <cell r="AE746"/>
          <cell r="AF746"/>
          <cell r="AG746"/>
          <cell r="AH746"/>
          <cell r="AP746"/>
          <cell r="AR746"/>
          <cell r="AT746"/>
          <cell r="AV746"/>
          <cell r="AX746"/>
        </row>
        <row r="747">
          <cell r="A747"/>
          <cell r="B747"/>
          <cell r="C747"/>
          <cell r="D747"/>
          <cell r="E747"/>
          <cell r="F747"/>
          <cell r="G747"/>
          <cell r="H747"/>
          <cell r="I747"/>
          <cell r="J747"/>
          <cell r="K747"/>
          <cell r="L747"/>
          <cell r="M747"/>
          <cell r="N747"/>
          <cell r="O747"/>
          <cell r="P747"/>
          <cell r="Q747"/>
          <cell r="R747"/>
          <cell r="W747"/>
          <cell r="X747"/>
          <cell r="Y747"/>
          <cell r="Z747"/>
          <cell r="AA747"/>
          <cell r="AB747"/>
          <cell r="AC747"/>
          <cell r="AD747"/>
          <cell r="AE747"/>
          <cell r="AF747"/>
          <cell r="AG747"/>
          <cell r="AH747"/>
          <cell r="AP747"/>
          <cell r="AR747"/>
          <cell r="AT747"/>
          <cell r="AV747"/>
          <cell r="AX747"/>
        </row>
        <row r="748">
          <cell r="A748"/>
          <cell r="B748"/>
          <cell r="C748"/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/>
          <cell r="W748"/>
          <cell r="X748"/>
          <cell r="Y748"/>
          <cell r="Z748"/>
          <cell r="AA748"/>
          <cell r="AB748"/>
          <cell r="AC748"/>
          <cell r="AD748"/>
          <cell r="AE748"/>
          <cell r="AF748"/>
          <cell r="AG748"/>
          <cell r="AH748"/>
          <cell r="AP748"/>
          <cell r="AR748"/>
          <cell r="AT748"/>
          <cell r="AV748"/>
          <cell r="AX748"/>
        </row>
        <row r="749">
          <cell r="A749"/>
          <cell r="B749"/>
          <cell r="C749"/>
          <cell r="D749"/>
          <cell r="E749"/>
          <cell r="F749"/>
          <cell r="G749"/>
          <cell r="H749"/>
          <cell r="I749"/>
          <cell r="J749"/>
          <cell r="K749"/>
          <cell r="L749"/>
          <cell r="M749"/>
          <cell r="N749"/>
          <cell r="O749"/>
          <cell r="P749"/>
          <cell r="Q749"/>
          <cell r="R749"/>
          <cell r="W749"/>
          <cell r="X749"/>
          <cell r="Y749"/>
          <cell r="Z749"/>
          <cell r="AA749"/>
          <cell r="AB749"/>
          <cell r="AC749"/>
          <cell r="AD749"/>
          <cell r="AE749"/>
          <cell r="AF749"/>
          <cell r="AG749"/>
          <cell r="AH749"/>
          <cell r="AP749"/>
          <cell r="AR749"/>
          <cell r="AT749"/>
          <cell r="AV749"/>
          <cell r="AX749"/>
        </row>
        <row r="750">
          <cell r="A750"/>
          <cell r="B750"/>
          <cell r="C750"/>
          <cell r="D750"/>
          <cell r="E750"/>
          <cell r="F750"/>
          <cell r="G750"/>
          <cell r="H750"/>
          <cell r="I750"/>
          <cell r="J750"/>
          <cell r="K750"/>
          <cell r="L750"/>
          <cell r="M750"/>
          <cell r="N750"/>
          <cell r="O750"/>
          <cell r="P750"/>
          <cell r="Q750"/>
          <cell r="R750"/>
          <cell r="W750"/>
          <cell r="X750"/>
          <cell r="Y750"/>
          <cell r="Z750"/>
          <cell r="AA750"/>
          <cell r="AB750"/>
          <cell r="AC750"/>
          <cell r="AD750"/>
          <cell r="AE750"/>
          <cell r="AF750"/>
          <cell r="AG750"/>
          <cell r="AH750"/>
          <cell r="AP750"/>
          <cell r="AR750"/>
          <cell r="AT750"/>
          <cell r="AV750"/>
          <cell r="AX750"/>
        </row>
        <row r="751">
          <cell r="A751"/>
          <cell r="B751"/>
          <cell r="C751"/>
          <cell r="D751"/>
          <cell r="E751"/>
          <cell r="F751"/>
          <cell r="G751"/>
          <cell r="H751"/>
          <cell r="I751"/>
          <cell r="J751"/>
          <cell r="K751"/>
          <cell r="L751"/>
          <cell r="M751"/>
          <cell r="N751"/>
          <cell r="O751"/>
          <cell r="P751"/>
          <cell r="Q751"/>
          <cell r="R751"/>
          <cell r="W751"/>
          <cell r="X751"/>
          <cell r="Y751"/>
          <cell r="Z751"/>
          <cell r="AA751"/>
          <cell r="AB751"/>
          <cell r="AC751"/>
          <cell r="AD751"/>
          <cell r="AE751"/>
          <cell r="AF751"/>
          <cell r="AG751"/>
          <cell r="AH751"/>
          <cell r="AP751"/>
          <cell r="AR751"/>
          <cell r="AT751"/>
          <cell r="AV751"/>
          <cell r="AX751"/>
        </row>
        <row r="752">
          <cell r="A752" t="str">
            <v>PW</v>
          </cell>
          <cell r="B752"/>
          <cell r="C752"/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/>
          <cell r="V752"/>
          <cell r="W752"/>
          <cell r="X752"/>
          <cell r="Y752"/>
          <cell r="Z752"/>
          <cell r="AA752"/>
          <cell r="AB752"/>
          <cell r="AC752"/>
          <cell r="AD752"/>
          <cell r="AE752"/>
          <cell r="AF752"/>
          <cell r="AG752"/>
          <cell r="AH752"/>
          <cell r="AP752"/>
          <cell r="AR752"/>
          <cell r="AT752"/>
          <cell r="AV752"/>
          <cell r="AX752"/>
        </row>
        <row r="753">
          <cell r="A753" t="str">
            <v>ABr</v>
          </cell>
          <cell r="B753"/>
          <cell r="C753"/>
          <cell r="D753"/>
          <cell r="E753"/>
          <cell r="F753"/>
          <cell r="G753"/>
          <cell r="H753"/>
          <cell r="I753"/>
          <cell r="J753"/>
          <cell r="K753"/>
          <cell r="L753"/>
          <cell r="M753"/>
          <cell r="N753"/>
          <cell r="O753"/>
          <cell r="P753"/>
          <cell r="Q753"/>
          <cell r="R753"/>
          <cell r="V753"/>
          <cell r="W753"/>
          <cell r="X753"/>
          <cell r="Y753"/>
          <cell r="Z753"/>
          <cell r="AA753"/>
          <cell r="AB753"/>
          <cell r="AC753"/>
          <cell r="AD753"/>
          <cell r="AE753"/>
          <cell r="AF753"/>
          <cell r="AG753"/>
          <cell r="AH753"/>
          <cell r="AP753"/>
          <cell r="AR753"/>
          <cell r="AT753"/>
          <cell r="AV753"/>
          <cell r="AX753"/>
        </row>
        <row r="754">
          <cell r="A754" t="str">
            <v>US</v>
          </cell>
          <cell r="B754"/>
          <cell r="C754"/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/>
          <cell r="V754"/>
          <cell r="W754"/>
          <cell r="X754"/>
          <cell r="Y754"/>
          <cell r="Z754"/>
          <cell r="AA754"/>
          <cell r="AB754"/>
          <cell r="AC754"/>
          <cell r="AD754"/>
          <cell r="AE754"/>
          <cell r="AF754"/>
          <cell r="AG754"/>
          <cell r="AH754"/>
          <cell r="AP754"/>
          <cell r="AR754"/>
          <cell r="AT754"/>
          <cell r="AV754"/>
          <cell r="AX754"/>
        </row>
        <row r="755">
          <cell r="A755" t="str">
            <v>LV</v>
          </cell>
          <cell r="B755"/>
          <cell r="C755"/>
          <cell r="D755"/>
          <cell r="E755"/>
          <cell r="F755"/>
          <cell r="G755"/>
          <cell r="H755"/>
          <cell r="I755"/>
          <cell r="J755"/>
          <cell r="K755"/>
          <cell r="L755"/>
          <cell r="M755"/>
          <cell r="N755"/>
          <cell r="O755"/>
          <cell r="P755"/>
          <cell r="Q755"/>
          <cell r="R755"/>
          <cell r="V755"/>
          <cell r="W755"/>
          <cell r="X755"/>
          <cell r="Y755"/>
          <cell r="Z755"/>
          <cell r="AA755"/>
          <cell r="AB755"/>
          <cell r="AC755"/>
          <cell r="AD755"/>
          <cell r="AE755"/>
          <cell r="AF755"/>
          <cell r="AG755"/>
          <cell r="AH755"/>
          <cell r="AP755"/>
          <cell r="AR755"/>
          <cell r="AT755"/>
          <cell r="AV755"/>
          <cell r="AX755"/>
        </row>
        <row r="756">
          <cell r="A756" t="str">
            <v>BH</v>
          </cell>
          <cell r="B756"/>
          <cell r="C756"/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/>
          <cell r="V756"/>
          <cell r="W756"/>
          <cell r="X756"/>
          <cell r="Y756"/>
          <cell r="Z756"/>
          <cell r="AA756"/>
          <cell r="AB756"/>
          <cell r="AC756"/>
          <cell r="AD756"/>
          <cell r="AE756"/>
          <cell r="AF756"/>
          <cell r="AG756"/>
          <cell r="AH756"/>
          <cell r="AP756"/>
          <cell r="AR756"/>
          <cell r="AT756"/>
          <cell r="AV756"/>
          <cell r="AX756"/>
        </row>
        <row r="757">
          <cell r="A757" t="str">
            <v>TCS</v>
          </cell>
          <cell r="B757"/>
          <cell r="C757"/>
          <cell r="D757"/>
          <cell r="E757"/>
          <cell r="F757"/>
          <cell r="G757"/>
          <cell r="H757"/>
          <cell r="I757"/>
          <cell r="J757"/>
          <cell r="K757"/>
          <cell r="L757"/>
          <cell r="M757"/>
          <cell r="N757"/>
          <cell r="O757"/>
          <cell r="P757"/>
          <cell r="Q757"/>
          <cell r="R757"/>
          <cell r="V757"/>
          <cell r="W757"/>
          <cell r="X757"/>
          <cell r="Y757"/>
          <cell r="Z757"/>
          <cell r="AA757"/>
          <cell r="AB757"/>
          <cell r="AC757"/>
          <cell r="AD757"/>
          <cell r="AE757"/>
          <cell r="AF757"/>
          <cell r="AG757"/>
          <cell r="AH757"/>
          <cell r="AP757"/>
          <cell r="AR757"/>
          <cell r="AT757"/>
          <cell r="AV757"/>
          <cell r="AX757"/>
        </row>
        <row r="758">
          <cell r="A758" t="str">
            <v>RS</v>
          </cell>
          <cell r="B758"/>
          <cell r="C758"/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/>
          <cell r="V758"/>
          <cell r="W758"/>
          <cell r="X758"/>
          <cell r="Y758"/>
          <cell r="Z758"/>
          <cell r="AA758"/>
          <cell r="AB758"/>
          <cell r="AC758"/>
          <cell r="AD758"/>
          <cell r="AE758"/>
          <cell r="AF758"/>
          <cell r="AG758"/>
          <cell r="AH758"/>
          <cell r="AP758"/>
          <cell r="AR758"/>
          <cell r="AT758"/>
          <cell r="AV758"/>
          <cell r="AX758"/>
        </row>
        <row r="759">
          <cell r="A759" t="str">
            <v>BAZ</v>
          </cell>
          <cell r="B759"/>
          <cell r="C759"/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/>
          <cell r="V759"/>
          <cell r="W759"/>
          <cell r="X759"/>
          <cell r="Y759"/>
          <cell r="Z759"/>
          <cell r="AA759"/>
          <cell r="AB759"/>
          <cell r="AC759"/>
          <cell r="AD759"/>
          <cell r="AE759"/>
          <cell r="AF759"/>
          <cell r="AG759"/>
          <cell r="AH759"/>
          <cell r="AP759"/>
          <cell r="AR759"/>
          <cell r="AT759"/>
          <cell r="AV759"/>
          <cell r="AX759"/>
        </row>
        <row r="760">
          <cell r="A760" t="str">
            <v>PD</v>
          </cell>
          <cell r="B760"/>
          <cell r="C760"/>
          <cell r="D760"/>
          <cell r="E760"/>
          <cell r="F760"/>
          <cell r="G760"/>
          <cell r="H760"/>
          <cell r="I760"/>
          <cell r="J760"/>
          <cell r="K760"/>
          <cell r="L760"/>
          <cell r="M760"/>
          <cell r="N760"/>
          <cell r="O760"/>
          <cell r="P760"/>
          <cell r="Q760"/>
          <cell r="R760"/>
          <cell r="V760"/>
          <cell r="W760"/>
          <cell r="X760"/>
          <cell r="Y760"/>
          <cell r="Z760"/>
          <cell r="AA760"/>
          <cell r="AB760"/>
          <cell r="AC760"/>
          <cell r="AD760"/>
          <cell r="AE760"/>
          <cell r="AF760"/>
          <cell r="AG760"/>
          <cell r="AH760"/>
          <cell r="AP760"/>
          <cell r="AR760"/>
          <cell r="AT760"/>
          <cell r="AV760"/>
          <cell r="AX760"/>
        </row>
        <row r="761">
          <cell r="A761" t="str">
            <v>CN</v>
          </cell>
          <cell r="B761"/>
          <cell r="C761"/>
          <cell r="D761"/>
          <cell r="E761"/>
          <cell r="F761"/>
          <cell r="G761"/>
          <cell r="H761"/>
          <cell r="I761"/>
          <cell r="J761"/>
          <cell r="K761"/>
          <cell r="L761"/>
          <cell r="M761"/>
          <cell r="N761"/>
          <cell r="O761"/>
          <cell r="P761"/>
          <cell r="Q761"/>
          <cell r="R761"/>
          <cell r="V761"/>
          <cell r="W761"/>
          <cell r="X761"/>
          <cell r="Y761"/>
          <cell r="Z761"/>
          <cell r="AA761"/>
          <cell r="AB761"/>
          <cell r="AC761"/>
          <cell r="AD761"/>
          <cell r="AE761"/>
          <cell r="AF761"/>
          <cell r="AG761"/>
          <cell r="AH761"/>
          <cell r="AP761"/>
          <cell r="AR761"/>
          <cell r="AT761"/>
          <cell r="AV761"/>
          <cell r="AX761"/>
        </row>
        <row r="762">
          <cell r="A762" t="str">
            <v>CP</v>
          </cell>
          <cell r="B762"/>
          <cell r="C762"/>
          <cell r="D762"/>
          <cell r="E762"/>
          <cell r="F762"/>
          <cell r="G762"/>
          <cell r="H762"/>
          <cell r="I762"/>
          <cell r="J762"/>
          <cell r="K762"/>
          <cell r="L762"/>
          <cell r="M762"/>
          <cell r="N762"/>
          <cell r="O762"/>
          <cell r="P762"/>
          <cell r="Q762"/>
          <cell r="R762"/>
          <cell r="V762"/>
          <cell r="W762"/>
          <cell r="X762"/>
          <cell r="Y762"/>
          <cell r="Z762"/>
          <cell r="AA762"/>
          <cell r="AB762"/>
          <cell r="AC762"/>
          <cell r="AD762"/>
          <cell r="AE762"/>
          <cell r="AF762"/>
          <cell r="AG762"/>
          <cell r="AH762"/>
          <cell r="AP762"/>
          <cell r="AR762"/>
          <cell r="AT762"/>
          <cell r="AV762"/>
          <cell r="AX762"/>
        </row>
        <row r="763">
          <cell r="A763" t="str">
            <v>DB</v>
          </cell>
          <cell r="B763"/>
          <cell r="C763"/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/>
          <cell r="V763"/>
          <cell r="W763"/>
          <cell r="X763"/>
          <cell r="Y763"/>
          <cell r="Z763"/>
          <cell r="AA763"/>
          <cell r="AB763"/>
          <cell r="AC763"/>
          <cell r="AD763"/>
          <cell r="AE763"/>
          <cell r="AF763"/>
          <cell r="AG763"/>
          <cell r="AH763"/>
          <cell r="AP763"/>
          <cell r="AR763"/>
          <cell r="AT763"/>
          <cell r="AV763"/>
          <cell r="AX763"/>
        </row>
        <row r="764">
          <cell r="A764" t="str">
            <v>HG</v>
          </cell>
          <cell r="B764"/>
          <cell r="C764"/>
          <cell r="D764"/>
          <cell r="E764"/>
          <cell r="F764"/>
          <cell r="G764"/>
          <cell r="H764"/>
          <cell r="I764"/>
          <cell r="J764"/>
          <cell r="K764"/>
          <cell r="L764"/>
          <cell r="M764"/>
          <cell r="N764"/>
          <cell r="O764"/>
          <cell r="P764"/>
          <cell r="Q764"/>
          <cell r="R764"/>
          <cell r="V764"/>
          <cell r="W764"/>
          <cell r="X764"/>
          <cell r="Y764"/>
          <cell r="Z764"/>
          <cell r="AA764"/>
          <cell r="AB764"/>
          <cell r="AC764"/>
          <cell r="AD764"/>
          <cell r="AE764"/>
          <cell r="AF764"/>
          <cell r="AG764"/>
          <cell r="AH764"/>
          <cell r="AP764"/>
          <cell r="AR764"/>
          <cell r="AT764"/>
          <cell r="AV764"/>
          <cell r="AX764"/>
        </row>
        <row r="765">
          <cell r="A765" t="str">
            <v>SA</v>
          </cell>
          <cell r="B765"/>
          <cell r="C765"/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/>
          <cell r="V765"/>
          <cell r="W765"/>
          <cell r="X765"/>
          <cell r="Y765"/>
          <cell r="Z765"/>
          <cell r="AA765"/>
          <cell r="AB765"/>
          <cell r="AC765"/>
          <cell r="AD765"/>
          <cell r="AE765"/>
          <cell r="AF765"/>
          <cell r="AG765"/>
          <cell r="AH765"/>
          <cell r="AP765"/>
          <cell r="AR765"/>
          <cell r="AT765"/>
          <cell r="AV765"/>
          <cell r="AX765"/>
        </row>
        <row r="766">
          <cell r="A766" t="str">
            <v>KV</v>
          </cell>
          <cell r="B766"/>
          <cell r="C766"/>
          <cell r="D766"/>
          <cell r="E766"/>
          <cell r="F766"/>
          <cell r="G766"/>
          <cell r="H766"/>
          <cell r="I766"/>
          <cell r="J766"/>
          <cell r="K766"/>
          <cell r="L766"/>
          <cell r="M766"/>
          <cell r="N766"/>
          <cell r="O766"/>
          <cell r="P766"/>
          <cell r="Q766"/>
          <cell r="R766"/>
          <cell r="V766"/>
          <cell r="W766"/>
          <cell r="X766"/>
          <cell r="Y766"/>
          <cell r="Z766"/>
          <cell r="AA766"/>
          <cell r="AB766"/>
          <cell r="AC766"/>
          <cell r="AD766"/>
          <cell r="AE766"/>
          <cell r="AF766"/>
          <cell r="AG766"/>
          <cell r="AH766"/>
          <cell r="AP766"/>
          <cell r="AR766"/>
          <cell r="AT766"/>
          <cell r="AV766"/>
          <cell r="AX766"/>
        </row>
        <row r="767">
          <cell r="A767" t="str">
            <v>Abu</v>
          </cell>
          <cell r="B767"/>
          <cell r="C767"/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/>
          <cell r="V767"/>
          <cell r="W767"/>
          <cell r="X767"/>
          <cell r="Y767"/>
          <cell r="Z767"/>
          <cell r="AA767"/>
          <cell r="AB767"/>
          <cell r="AC767"/>
          <cell r="AD767"/>
          <cell r="AE767"/>
          <cell r="AF767"/>
          <cell r="AG767"/>
          <cell r="AH767"/>
          <cell r="AP767"/>
          <cell r="AR767"/>
          <cell r="AT767"/>
          <cell r="AV767"/>
          <cell r="AX767"/>
        </row>
        <row r="768">
          <cell r="A768" t="str">
            <v>JT</v>
          </cell>
          <cell r="B768"/>
          <cell r="C768"/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/>
          <cell r="V768"/>
          <cell r="W768"/>
          <cell r="X768"/>
          <cell r="Y768"/>
          <cell r="Z768"/>
          <cell r="AA768"/>
          <cell r="AB768"/>
          <cell r="AC768"/>
          <cell r="AD768"/>
          <cell r="AE768"/>
          <cell r="AF768"/>
          <cell r="AG768"/>
          <cell r="AH768"/>
          <cell r="AP768"/>
          <cell r="AR768"/>
          <cell r="AT768"/>
          <cell r="AV768"/>
          <cell r="AX768"/>
        </row>
        <row r="769">
          <cell r="A769" t="str">
            <v>IH</v>
          </cell>
          <cell r="B769"/>
          <cell r="C769"/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/>
          <cell r="V769"/>
          <cell r="W769"/>
          <cell r="X769"/>
          <cell r="Y769"/>
          <cell r="Z769"/>
          <cell r="AA769"/>
          <cell r="AB769"/>
          <cell r="AC769"/>
          <cell r="AD769"/>
          <cell r="AE769"/>
          <cell r="AF769"/>
          <cell r="AG769"/>
          <cell r="AH769"/>
          <cell r="AP769"/>
          <cell r="AR769"/>
          <cell r="AT769"/>
          <cell r="AV769"/>
          <cell r="AX769"/>
        </row>
        <row r="770">
          <cell r="A770" t="str">
            <v>DD</v>
          </cell>
          <cell r="B770"/>
          <cell r="C770"/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/>
          <cell r="V770"/>
          <cell r="W770"/>
          <cell r="X770"/>
          <cell r="Y770"/>
          <cell r="Z770"/>
          <cell r="AA770"/>
          <cell r="AB770"/>
          <cell r="AC770"/>
          <cell r="AD770"/>
          <cell r="AE770"/>
          <cell r="AF770"/>
          <cell r="AG770"/>
          <cell r="AH770"/>
          <cell r="AP770"/>
          <cell r="AR770"/>
          <cell r="AT770"/>
          <cell r="AV770"/>
          <cell r="AX770"/>
        </row>
        <row r="771">
          <cell r="A771" t="str">
            <v>SN</v>
          </cell>
          <cell r="B771"/>
          <cell r="C771"/>
          <cell r="D771"/>
          <cell r="E771"/>
          <cell r="F771"/>
          <cell r="G771"/>
          <cell r="H771"/>
          <cell r="I771"/>
          <cell r="J771"/>
          <cell r="K771"/>
          <cell r="L771"/>
          <cell r="M771"/>
          <cell r="N771"/>
          <cell r="O771"/>
          <cell r="P771"/>
          <cell r="Q771"/>
          <cell r="R771"/>
          <cell r="V771"/>
          <cell r="W771"/>
          <cell r="X771"/>
          <cell r="Y771"/>
          <cell r="Z771"/>
          <cell r="AA771"/>
          <cell r="AB771"/>
          <cell r="AC771"/>
          <cell r="AD771"/>
          <cell r="AE771"/>
          <cell r="AF771"/>
          <cell r="AG771"/>
          <cell r="AH771"/>
          <cell r="AP771"/>
          <cell r="AR771"/>
          <cell r="AT771"/>
          <cell r="AV771"/>
          <cell r="AX771"/>
        </row>
        <row r="772">
          <cell r="A772" t="str">
            <v>FW</v>
          </cell>
          <cell r="B772"/>
          <cell r="C772"/>
          <cell r="D772"/>
          <cell r="E772"/>
          <cell r="F772"/>
          <cell r="G772"/>
          <cell r="H772"/>
          <cell r="I772"/>
          <cell r="J772"/>
          <cell r="K772"/>
          <cell r="L772"/>
          <cell r="M772"/>
          <cell r="N772"/>
          <cell r="O772"/>
          <cell r="P772"/>
          <cell r="Q772"/>
          <cell r="R772"/>
          <cell r="V772"/>
          <cell r="W772"/>
          <cell r="X772"/>
          <cell r="Y772"/>
          <cell r="Z772"/>
          <cell r="AA772"/>
          <cell r="AB772"/>
          <cell r="AC772"/>
          <cell r="AD772"/>
          <cell r="AE772"/>
          <cell r="AF772"/>
          <cell r="AG772"/>
          <cell r="AH772"/>
          <cell r="AP772"/>
          <cell r="AR772"/>
          <cell r="AT772"/>
          <cell r="AV772"/>
          <cell r="AX772"/>
        </row>
        <row r="773">
          <cell r="A773" t="str">
            <v>LC</v>
          </cell>
          <cell r="B773"/>
          <cell r="C773"/>
          <cell r="D773"/>
          <cell r="E773"/>
          <cell r="F773"/>
          <cell r="G773"/>
          <cell r="H773"/>
          <cell r="I773"/>
          <cell r="J773"/>
          <cell r="K773"/>
          <cell r="L773"/>
          <cell r="M773"/>
          <cell r="N773"/>
          <cell r="O773"/>
          <cell r="P773"/>
          <cell r="Q773"/>
          <cell r="R773"/>
          <cell r="V773"/>
          <cell r="W773"/>
          <cell r="X773"/>
          <cell r="Y773"/>
          <cell r="Z773"/>
          <cell r="AA773"/>
          <cell r="AB773"/>
          <cell r="AC773"/>
          <cell r="AD773"/>
          <cell r="AE773"/>
          <cell r="AF773"/>
          <cell r="AG773"/>
          <cell r="AH773"/>
          <cell r="AP773"/>
          <cell r="AR773"/>
          <cell r="AT773"/>
          <cell r="AV773"/>
          <cell r="AX773"/>
        </row>
        <row r="774">
          <cell r="A774" t="str">
            <v>MA</v>
          </cell>
          <cell r="B774"/>
          <cell r="C774"/>
          <cell r="D774"/>
          <cell r="E774"/>
          <cell r="F774"/>
          <cell r="G774"/>
          <cell r="H774"/>
          <cell r="I774"/>
          <cell r="J774"/>
          <cell r="K774"/>
          <cell r="L774"/>
          <cell r="M774"/>
          <cell r="N774"/>
          <cell r="O774"/>
          <cell r="P774"/>
          <cell r="Q774"/>
          <cell r="R774"/>
          <cell r="V774"/>
          <cell r="W774"/>
          <cell r="X774"/>
          <cell r="Y774"/>
          <cell r="Z774"/>
          <cell r="AA774"/>
          <cell r="AB774"/>
          <cell r="AC774"/>
          <cell r="AD774"/>
          <cell r="AE774"/>
          <cell r="AF774"/>
          <cell r="AG774"/>
          <cell r="AH774"/>
          <cell r="AP774"/>
          <cell r="AR774"/>
          <cell r="AT774"/>
          <cell r="AV774"/>
          <cell r="AX774"/>
        </row>
        <row r="775">
          <cell r="A775" t="str">
            <v>MP</v>
          </cell>
          <cell r="B775"/>
          <cell r="C775"/>
          <cell r="D775"/>
          <cell r="E775"/>
          <cell r="F775"/>
          <cell r="G775"/>
          <cell r="H775"/>
          <cell r="I775"/>
          <cell r="J775"/>
          <cell r="K775"/>
          <cell r="L775"/>
          <cell r="M775"/>
          <cell r="N775"/>
          <cell r="O775"/>
          <cell r="P775"/>
          <cell r="Q775"/>
          <cell r="R775"/>
          <cell r="V775"/>
          <cell r="W775"/>
          <cell r="X775"/>
          <cell r="Y775"/>
          <cell r="Z775"/>
          <cell r="AA775"/>
          <cell r="AB775"/>
          <cell r="AC775"/>
          <cell r="AD775"/>
          <cell r="AE775"/>
          <cell r="AF775"/>
          <cell r="AG775"/>
          <cell r="AH775"/>
          <cell r="AP775"/>
          <cell r="AR775"/>
          <cell r="AT775"/>
          <cell r="AV775"/>
          <cell r="AX775"/>
        </row>
        <row r="776">
          <cell r="A776" t="str">
            <v>NC</v>
          </cell>
          <cell r="B776"/>
          <cell r="C776"/>
          <cell r="D776"/>
          <cell r="E776"/>
          <cell r="F776"/>
          <cell r="G776"/>
          <cell r="H776"/>
          <cell r="I776"/>
          <cell r="J776"/>
          <cell r="K776"/>
          <cell r="L776"/>
          <cell r="M776"/>
          <cell r="N776"/>
          <cell r="O776"/>
          <cell r="P776"/>
          <cell r="Q776"/>
          <cell r="R776"/>
          <cell r="V776"/>
          <cell r="W776"/>
          <cell r="X776"/>
          <cell r="Y776"/>
          <cell r="Z776"/>
          <cell r="AA776"/>
          <cell r="AB776"/>
          <cell r="AC776"/>
          <cell r="AD776"/>
          <cell r="AE776"/>
          <cell r="AF776"/>
          <cell r="AG776"/>
          <cell r="AH776"/>
          <cell r="AP776"/>
          <cell r="AR776"/>
          <cell r="AT776"/>
          <cell r="AV776"/>
          <cell r="AX776"/>
        </row>
        <row r="777">
          <cell r="A777" t="str">
            <v>NH</v>
          </cell>
          <cell r="B777"/>
          <cell r="C777"/>
          <cell r="D777"/>
          <cell r="E777"/>
          <cell r="F777"/>
          <cell r="G777"/>
          <cell r="H777"/>
          <cell r="I777"/>
          <cell r="J777"/>
          <cell r="K777"/>
          <cell r="L777"/>
          <cell r="M777"/>
          <cell r="N777"/>
          <cell r="O777"/>
          <cell r="P777"/>
          <cell r="Q777"/>
          <cell r="R777"/>
          <cell r="V777"/>
          <cell r="W777"/>
          <cell r="X777"/>
          <cell r="Y777"/>
          <cell r="Z777"/>
          <cell r="AA777"/>
          <cell r="AB777"/>
          <cell r="AC777"/>
          <cell r="AD777"/>
          <cell r="AE777"/>
          <cell r="AF777"/>
          <cell r="AG777"/>
          <cell r="AH777"/>
          <cell r="AP777"/>
          <cell r="AR777"/>
          <cell r="AT777"/>
          <cell r="AV777"/>
          <cell r="AX777"/>
        </row>
        <row r="778">
          <cell r="A778" t="str">
            <v>NY</v>
          </cell>
          <cell r="B778"/>
          <cell r="C778"/>
          <cell r="D778"/>
          <cell r="E778"/>
          <cell r="F778"/>
          <cell r="G778"/>
          <cell r="H778"/>
          <cell r="I778"/>
          <cell r="J778"/>
          <cell r="K778"/>
          <cell r="L778"/>
          <cell r="M778"/>
          <cell r="N778"/>
          <cell r="O778"/>
          <cell r="P778"/>
          <cell r="Q778"/>
          <cell r="R778"/>
          <cell r="V778"/>
          <cell r="W778"/>
          <cell r="X778"/>
          <cell r="Y778"/>
          <cell r="Z778"/>
          <cell r="AA778"/>
          <cell r="AB778"/>
          <cell r="AC778"/>
          <cell r="AD778"/>
          <cell r="AE778"/>
          <cell r="AF778"/>
          <cell r="AG778"/>
          <cell r="AH778"/>
          <cell r="AP778"/>
          <cell r="AR778"/>
          <cell r="AT778"/>
          <cell r="AV778"/>
          <cell r="AX778"/>
        </row>
        <row r="779">
          <cell r="A779" t="str">
            <v>LS</v>
          </cell>
          <cell r="B779"/>
          <cell r="C779"/>
          <cell r="D779"/>
          <cell r="E779"/>
          <cell r="F779"/>
          <cell r="G779"/>
          <cell r="H779"/>
          <cell r="I779"/>
          <cell r="J779"/>
          <cell r="K779"/>
          <cell r="L779"/>
          <cell r="M779"/>
          <cell r="N779"/>
          <cell r="O779"/>
          <cell r="P779"/>
          <cell r="Q779"/>
          <cell r="R779"/>
          <cell r="V779"/>
          <cell r="W779"/>
          <cell r="X779"/>
          <cell r="Y779"/>
          <cell r="Z779"/>
          <cell r="AA779"/>
          <cell r="AB779"/>
          <cell r="AC779"/>
          <cell r="AD779"/>
          <cell r="AE779"/>
          <cell r="AF779"/>
          <cell r="AG779"/>
          <cell r="AH779"/>
          <cell r="AP779"/>
          <cell r="AR779"/>
          <cell r="AT779"/>
          <cell r="AV779"/>
          <cell r="AX779"/>
        </row>
        <row r="780">
          <cell r="A780" t="str">
            <v>PH</v>
          </cell>
          <cell r="B780"/>
          <cell r="C780"/>
          <cell r="D780"/>
          <cell r="E780"/>
          <cell r="F780"/>
          <cell r="G780"/>
          <cell r="H780"/>
          <cell r="I780"/>
          <cell r="J780"/>
          <cell r="K780"/>
          <cell r="L780"/>
          <cell r="M780"/>
          <cell r="N780"/>
          <cell r="O780"/>
          <cell r="P780"/>
          <cell r="Q780"/>
          <cell r="R780"/>
          <cell r="V780"/>
          <cell r="W780"/>
          <cell r="X780"/>
          <cell r="Y780"/>
          <cell r="Z780"/>
          <cell r="AA780"/>
          <cell r="AB780"/>
          <cell r="AC780"/>
          <cell r="AD780"/>
          <cell r="AE780"/>
          <cell r="AF780"/>
          <cell r="AG780"/>
          <cell r="AH780"/>
          <cell r="AP780"/>
          <cell r="AR780"/>
          <cell r="AT780"/>
          <cell r="AV780"/>
          <cell r="AX780"/>
        </row>
        <row r="781">
          <cell r="A781" t="str">
            <v>PR</v>
          </cell>
          <cell r="B781"/>
          <cell r="C781"/>
          <cell r="D781"/>
          <cell r="E781"/>
          <cell r="F781"/>
          <cell r="G781"/>
          <cell r="H781"/>
          <cell r="I781"/>
          <cell r="J781"/>
          <cell r="K781"/>
          <cell r="L781"/>
          <cell r="M781"/>
          <cell r="N781"/>
          <cell r="O781"/>
          <cell r="P781"/>
          <cell r="Q781"/>
          <cell r="R781"/>
          <cell r="V781"/>
          <cell r="W781"/>
          <cell r="X781"/>
          <cell r="Y781"/>
          <cell r="Z781"/>
          <cell r="AA781"/>
          <cell r="AB781"/>
          <cell r="AC781"/>
          <cell r="AD781"/>
          <cell r="AE781"/>
          <cell r="AF781"/>
          <cell r="AG781"/>
          <cell r="AH781"/>
          <cell r="AP781"/>
          <cell r="AR781"/>
          <cell r="AT781"/>
          <cell r="AV781"/>
          <cell r="AX781"/>
        </row>
        <row r="782">
          <cell r="A782" t="str">
            <v>BS</v>
          </cell>
          <cell r="B782"/>
          <cell r="C782"/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/>
          <cell r="V782"/>
          <cell r="W782"/>
          <cell r="X782"/>
          <cell r="Y782"/>
          <cell r="Z782"/>
          <cell r="AA782"/>
          <cell r="AB782"/>
          <cell r="AC782"/>
          <cell r="AD782"/>
          <cell r="AE782"/>
          <cell r="AF782"/>
          <cell r="AG782"/>
          <cell r="AH782"/>
          <cell r="AP782"/>
          <cell r="AR782"/>
          <cell r="AT782"/>
          <cell r="AV782"/>
          <cell r="AX782"/>
        </row>
        <row r="783">
          <cell r="A783" t="str">
            <v>RDu</v>
          </cell>
          <cell r="B783"/>
          <cell r="C783"/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/>
          <cell r="V783"/>
          <cell r="W783"/>
          <cell r="X783"/>
          <cell r="Y783"/>
          <cell r="Z783"/>
          <cell r="AA783"/>
          <cell r="AB783"/>
          <cell r="AC783"/>
          <cell r="AD783"/>
          <cell r="AE783"/>
          <cell r="AF783"/>
          <cell r="AG783"/>
          <cell r="AH783"/>
          <cell r="AP783"/>
          <cell r="AR783"/>
          <cell r="AT783"/>
          <cell r="AV783"/>
          <cell r="AX783"/>
        </row>
        <row r="784">
          <cell r="A784" t="str">
            <v>SA</v>
          </cell>
          <cell r="B784"/>
          <cell r="C784"/>
          <cell r="D784"/>
          <cell r="E784"/>
          <cell r="F784"/>
          <cell r="G784"/>
          <cell r="H784"/>
          <cell r="I784"/>
          <cell r="J784"/>
          <cell r="K784"/>
          <cell r="L784"/>
          <cell r="M784"/>
          <cell r="N784"/>
          <cell r="O784"/>
          <cell r="P784"/>
          <cell r="Q784"/>
          <cell r="R784"/>
          <cell r="V784"/>
          <cell r="W784"/>
          <cell r="X784"/>
          <cell r="Y784"/>
          <cell r="Z784"/>
          <cell r="AA784"/>
          <cell r="AB784"/>
          <cell r="AC784"/>
          <cell r="AD784"/>
          <cell r="AE784"/>
          <cell r="AF784"/>
          <cell r="AG784"/>
          <cell r="AH784"/>
          <cell r="AP784"/>
          <cell r="AR784"/>
          <cell r="AT784"/>
          <cell r="AV784"/>
          <cell r="AX784"/>
        </row>
        <row r="785">
          <cell r="A785" t="str">
            <v>SH</v>
          </cell>
          <cell r="B785"/>
          <cell r="C785"/>
          <cell r="D785"/>
          <cell r="E785"/>
          <cell r="F785"/>
          <cell r="G785"/>
          <cell r="H785"/>
          <cell r="I785"/>
          <cell r="J785"/>
          <cell r="K785"/>
          <cell r="L785"/>
          <cell r="M785"/>
          <cell r="N785"/>
          <cell r="O785"/>
          <cell r="P785"/>
          <cell r="Q785"/>
          <cell r="R785"/>
          <cell r="V785"/>
          <cell r="W785"/>
          <cell r="X785"/>
          <cell r="Y785"/>
          <cell r="Z785"/>
          <cell r="AA785"/>
          <cell r="AB785"/>
          <cell r="AC785"/>
          <cell r="AD785"/>
          <cell r="AE785"/>
          <cell r="AF785"/>
          <cell r="AG785"/>
          <cell r="AH785"/>
          <cell r="AP785"/>
          <cell r="AR785"/>
          <cell r="AT785"/>
          <cell r="AV785"/>
          <cell r="AX785"/>
        </row>
        <row r="786">
          <cell r="A786" t="str">
            <v>SJ</v>
          </cell>
          <cell r="B786"/>
          <cell r="C786"/>
          <cell r="D786"/>
          <cell r="E786"/>
          <cell r="F786"/>
          <cell r="G786"/>
          <cell r="H786"/>
          <cell r="I786"/>
          <cell r="J786"/>
          <cell r="K786"/>
          <cell r="L786"/>
          <cell r="M786"/>
          <cell r="N786"/>
          <cell r="O786"/>
          <cell r="P786"/>
          <cell r="Q786"/>
          <cell r="R786"/>
          <cell r="V786"/>
          <cell r="W786"/>
          <cell r="X786"/>
          <cell r="Y786"/>
          <cell r="Z786"/>
          <cell r="AA786"/>
          <cell r="AB786"/>
          <cell r="AC786"/>
          <cell r="AD786"/>
          <cell r="AE786"/>
          <cell r="AF786"/>
          <cell r="AG786"/>
          <cell r="AH786"/>
          <cell r="AP786"/>
          <cell r="AR786"/>
          <cell r="AT786"/>
          <cell r="AV786"/>
          <cell r="AX786"/>
        </row>
        <row r="787">
          <cell r="A787" t="str">
            <v>SL</v>
          </cell>
          <cell r="B787"/>
          <cell r="C787"/>
          <cell r="D787"/>
          <cell r="E787"/>
          <cell r="F787"/>
          <cell r="G787"/>
          <cell r="H787"/>
          <cell r="I787"/>
          <cell r="J787"/>
          <cell r="K787"/>
          <cell r="L787"/>
          <cell r="M787"/>
          <cell r="N787"/>
          <cell r="O787"/>
          <cell r="P787"/>
          <cell r="Q787"/>
          <cell r="R787"/>
          <cell r="V787"/>
          <cell r="W787"/>
          <cell r="X787"/>
          <cell r="Y787"/>
          <cell r="Z787"/>
          <cell r="AA787"/>
          <cell r="AB787"/>
          <cell r="AC787"/>
          <cell r="AD787"/>
          <cell r="AE787"/>
          <cell r="AF787"/>
          <cell r="AG787"/>
          <cell r="AH787"/>
          <cell r="AP787"/>
          <cell r="AR787"/>
          <cell r="AT787"/>
          <cell r="AV787"/>
          <cell r="AX787"/>
        </row>
        <row r="788">
          <cell r="A788" t="str">
            <v>JL</v>
          </cell>
          <cell r="B788"/>
          <cell r="C788"/>
          <cell r="D788"/>
          <cell r="E788"/>
          <cell r="F788"/>
          <cell r="G788"/>
          <cell r="H788"/>
          <cell r="I788"/>
          <cell r="J788"/>
          <cell r="K788"/>
          <cell r="L788"/>
          <cell r="M788"/>
          <cell r="N788"/>
          <cell r="O788"/>
          <cell r="P788"/>
          <cell r="Q788"/>
          <cell r="R788"/>
          <cell r="V788"/>
          <cell r="W788"/>
          <cell r="X788"/>
          <cell r="Y788"/>
          <cell r="Z788"/>
          <cell r="AA788"/>
          <cell r="AB788"/>
          <cell r="AC788"/>
          <cell r="AD788"/>
          <cell r="AE788"/>
          <cell r="AF788"/>
          <cell r="AG788"/>
          <cell r="AH788"/>
          <cell r="AP788"/>
          <cell r="AR788"/>
          <cell r="AT788"/>
          <cell r="AV788"/>
          <cell r="AX788"/>
        </row>
        <row r="789">
          <cell r="A789" t="str">
            <v>NY</v>
          </cell>
          <cell r="B789"/>
          <cell r="C789"/>
          <cell r="D789"/>
          <cell r="E789"/>
          <cell r="F789"/>
          <cell r="G789"/>
          <cell r="H789"/>
          <cell r="I789"/>
          <cell r="J789"/>
          <cell r="K789"/>
          <cell r="L789"/>
          <cell r="M789"/>
          <cell r="N789"/>
          <cell r="O789"/>
          <cell r="P789"/>
          <cell r="Q789"/>
          <cell r="R789"/>
          <cell r="V789"/>
          <cell r="W789"/>
          <cell r="X789"/>
          <cell r="Y789"/>
          <cell r="Z789"/>
          <cell r="AA789"/>
          <cell r="AB789"/>
          <cell r="AC789"/>
          <cell r="AD789"/>
          <cell r="AE789"/>
          <cell r="AF789"/>
          <cell r="AG789"/>
          <cell r="AH789"/>
          <cell r="AP789"/>
          <cell r="AR789"/>
          <cell r="AT789"/>
          <cell r="AV789"/>
          <cell r="AX789"/>
        </row>
        <row r="790">
          <cell r="A790" t="str">
            <v>WB</v>
          </cell>
        </row>
        <row r="791">
          <cell r="A791" t="str">
            <v>RRB</v>
          </cell>
        </row>
        <row r="792">
          <cell r="A792" t="str">
            <v>DBY</v>
          </cell>
        </row>
        <row r="793">
          <cell r="A793" t="str">
            <v>DHB</v>
          </cell>
        </row>
        <row r="794">
          <cell r="A794" t="str">
            <v>TS</v>
          </cell>
        </row>
        <row r="795">
          <cell r="A795" t="str">
            <v>PB</v>
          </cell>
        </row>
        <row r="796">
          <cell r="A796" t="str">
            <v>DH</v>
          </cell>
        </row>
        <row r="797">
          <cell r="A797" t="str">
            <v>TIL</v>
          </cell>
        </row>
        <row r="798">
          <cell r="A798" t="str">
            <v>PAL</v>
          </cell>
        </row>
        <row r="799">
          <cell r="A799" t="str">
            <v>VID</v>
          </cell>
        </row>
        <row r="800">
          <cell r="A800" t="str">
            <v>AV</v>
          </cell>
        </row>
        <row r="801">
          <cell r="A801" t="str">
            <v>SP</v>
          </cell>
        </row>
        <row r="802">
          <cell r="A802" t="str">
            <v>JR</v>
          </cell>
        </row>
        <row r="803">
          <cell r="A803" t="str">
            <v>MR</v>
          </cell>
        </row>
        <row r="804">
          <cell r="A804" t="str">
            <v>AK</v>
          </cell>
        </row>
      </sheetData>
      <sheetData sheetId="3"/>
      <sheetData sheetId="4">
        <row r="1">
          <cell r="A1" t="str">
            <v>PR ID (copied from allocation sheet)
[coloured red if does not match ID of PR scoped in same column]</v>
          </cell>
          <cell r="B1"/>
        </row>
        <row r="2">
          <cell r="A2" t="str">
            <v>PR version (copied from allocation sheet)
[coloured orange if does not match version of PR scoped in same column]</v>
          </cell>
          <cell r="B2"/>
        </row>
        <row r="3">
          <cell r="A3" t="str">
            <v>Orange = PRs that we expect to be added
PR title (copied from allocation sheet)</v>
          </cell>
          <cell r="B3"/>
        </row>
        <row r="4">
          <cell r="A4" t="str">
            <v>Initial Derby AS scoping completed?</v>
          </cell>
          <cell r="B4" t="str">
            <v/>
          </cell>
        </row>
        <row r="5">
          <cell r="A5" t="str">
            <v>PR ID</v>
          </cell>
          <cell r="B5">
            <v>9</v>
          </cell>
        </row>
        <row r="6">
          <cell r="A6" t="str">
            <v>PR version (when last scoped)</v>
          </cell>
          <cell r="B6"/>
        </row>
        <row r="7">
          <cell r="A7" t="str">
            <v>On the IP</v>
          </cell>
          <cell r="B7">
            <v>0</v>
          </cell>
        </row>
        <row r="8">
          <cell r="A8" t="str">
            <v>Staying on IP</v>
          </cell>
          <cell r="B8">
            <v>0</v>
          </cell>
        </row>
        <row r="9">
          <cell r="A9" t="str">
            <v>Trim Only Update</v>
          </cell>
          <cell r="B9"/>
        </row>
        <row r="10">
          <cell r="A10" t="str">
            <v>Non-Derby AS impact (minor loops Beacon code)</v>
          </cell>
          <cell r="B10"/>
        </row>
        <row r="11">
          <cell r="A11" t="str">
            <v>OS impact (Derby or Belfast)</v>
          </cell>
          <cell r="B11"/>
        </row>
        <row r="12">
          <cell r="A12" t="str">
            <v>Presented at Systems PDR (&lt;N&gt; = Not completely presented/outstanding actions, &lt;Y&gt; = Fully presented)</v>
          </cell>
          <cell r="B12"/>
        </row>
        <row r="13">
          <cell r="A13" t="str">
            <v>Software owned SRS (IPC, SCH, EOM) impact</v>
          </cell>
          <cell r="B13"/>
        </row>
        <row r="14">
          <cell r="A14" t="str">
            <v>Systems SRS affected</v>
          </cell>
          <cell r="B14"/>
        </row>
        <row r="15">
          <cell r="A15" t="str">
            <v>No Derby AS impact (SRS doc-only with no trace file impact, or re-test only due to being fixed elsewhere)</v>
          </cell>
          <cell r="B15"/>
        </row>
        <row r="16">
          <cell r="A16" t="str">
            <v>Subsystems</v>
          </cell>
          <cell r="B16"/>
        </row>
        <row r="17">
          <cell r="A17" t="str">
            <v>Common\Application_Blackboard</v>
          </cell>
          <cell r="B17"/>
        </row>
        <row r="18">
          <cell r="A18" t="str">
            <v>Common\Engine_Variant</v>
          </cell>
          <cell r="B18"/>
        </row>
        <row r="19">
          <cell r="A19" t="str">
            <v>Common\Hardware_Interfaces\HAL_Interfaces</v>
          </cell>
          <cell r="B19"/>
        </row>
        <row r="20">
          <cell r="A20" t="str">
            <v>Common\Hardware_Interfaces\HEL_Interfaces</v>
          </cell>
          <cell r="B20"/>
        </row>
        <row r="21">
          <cell r="A21" t="str">
            <v>Common\Operating_Software\Modulated_Air_System_Valve_Controller</v>
          </cell>
          <cell r="B21"/>
        </row>
        <row r="22">
          <cell r="A22" t="str">
            <v>Common\Prerequisites\Fault_Utilities\Fault_Reporting</v>
          </cell>
          <cell r="B22"/>
        </row>
        <row r="23">
          <cell r="A23" t="str">
            <v>Common\Prerequisites\Memory_Utilities</v>
          </cell>
          <cell r="B23"/>
        </row>
        <row r="24">
          <cell r="A24" t="str">
            <v>Common\Prerequisites\OS_Utilities</v>
          </cell>
          <cell r="B24">
            <v>6207</v>
          </cell>
        </row>
        <row r="25">
          <cell r="A25" t="str">
            <v>Common\Prerequisites\Scheduler\Kernel</v>
          </cell>
          <cell r="B25"/>
        </row>
        <row r="26">
          <cell r="A26" t="str">
            <v>Common\Prerequisites\Types</v>
          </cell>
          <cell r="B26"/>
        </row>
        <row r="27">
          <cell r="A27" t="str">
            <v>Common\Prerequisites\Utilities</v>
          </cell>
          <cell r="B27"/>
        </row>
        <row r="28">
          <cell r="A28" t="str">
            <v>Common\Service_Interfaces</v>
          </cell>
          <cell r="B28"/>
        </row>
        <row r="29">
          <cell r="A29" t="str">
            <v>Common\Service_Layer\Box_Faults_Monitoring</v>
          </cell>
          <cell r="B29"/>
        </row>
        <row r="30">
          <cell r="A30" t="str">
            <v>Common\Service_Layer\Inter-CPU_Comms\Direct_Comms_Common</v>
          </cell>
          <cell r="B30"/>
        </row>
        <row r="31">
          <cell r="A31" t="str">
            <v>Common\Service_Layer\NVM\NVMUtilities</v>
          </cell>
          <cell r="B31"/>
        </row>
        <row r="32">
          <cell r="A32" t="str">
            <v>Common\System_Interfaces</v>
          </cell>
          <cell r="B32" t="str">
            <v>6275, 6247</v>
          </cell>
        </row>
        <row r="33">
          <cell r="A33" t="str">
            <v>Common\System_Layer\Actuation\LVDT_Actuation_Library</v>
          </cell>
          <cell r="B33"/>
        </row>
        <row r="34">
          <cell r="A34" t="str">
            <v>Common\System_Layer\Actuation\Modulated_Air_System_Actuation</v>
          </cell>
          <cell r="B34"/>
        </row>
        <row r="35">
          <cell r="A35" t="str">
            <v>Common\System_Layer\Validation\Duplex_Validation_Library</v>
          </cell>
          <cell r="B35"/>
        </row>
        <row r="36">
          <cell r="A36" t="str">
            <v>Common\System_Layer\Validation\LVDT_Validation_Library</v>
          </cell>
          <cell r="B36"/>
        </row>
        <row r="37">
          <cell r="A37" t="str">
            <v>Common\System_Layer\Validation\Speeds_Validation_Library</v>
          </cell>
          <cell r="B37"/>
        </row>
        <row r="38">
          <cell r="A38" t="str">
            <v>Common\System_Layer\Validation\Validate_Channel_AB_Identity</v>
          </cell>
          <cell r="B38"/>
        </row>
        <row r="39">
          <cell r="A39" t="str">
            <v>Common\System_Layer\Validation\Validate_Channel_In_Control</v>
          </cell>
          <cell r="B39"/>
        </row>
        <row r="40">
          <cell r="A40" t="str">
            <v>Common\System_Layer\Validation\Validate_Hardwired_Master_Lever_Position</v>
          </cell>
          <cell r="B40"/>
        </row>
        <row r="41">
          <cell r="A41" t="str">
            <v>Common\System_Layer\Validation\Validate_Master_Lever_Position</v>
          </cell>
          <cell r="B41"/>
        </row>
        <row r="42">
          <cell r="A42" t="str">
            <v>Common\System_Layer\Validation\Validate_TCAR_for_MAS</v>
          </cell>
          <cell r="B42"/>
        </row>
        <row r="43">
          <cell r="A43" t="str">
            <v>Control_CPU\Application_Blackboard</v>
          </cell>
          <cell r="B43"/>
        </row>
        <row r="44">
          <cell r="A44" t="str">
            <v>Control_CPU\Application_Layer\Bleed_Valve_Control\ESSAI_Handling_Bleed_Valve_Control</v>
          </cell>
          <cell r="B44"/>
        </row>
        <row r="45">
          <cell r="A45" t="str">
            <v>Control_CPU\Application_Layer\Bleed_Valve_Control\Handling_Bleed_Valve_Control</v>
          </cell>
          <cell r="B45"/>
        </row>
        <row r="46">
          <cell r="A46" t="str">
            <v>Control_CPU\Application_Layer\Bleed_Valve_Control\Handling_Bleed_Valve_Internal_Interfaces</v>
          </cell>
          <cell r="B46"/>
        </row>
        <row r="47">
          <cell r="A47" t="str">
            <v>Control_CPU\Application_Layer\Bleed_Valve_Control\HP31_Handling_Bleed_Valve_Control</v>
          </cell>
          <cell r="B47"/>
        </row>
        <row r="48">
          <cell r="A48" t="str">
            <v>Control_CPU\Application_Layer\Bleed_Valve_Control\HP32_Handling_Bleed_Valve_Control</v>
          </cell>
          <cell r="B48"/>
        </row>
        <row r="49">
          <cell r="A49" t="str">
            <v>Control_CPU\Application_Layer\Bleed_Valve_Control\HP33_Handling_Bleed_Valve_Control</v>
          </cell>
          <cell r="B49"/>
        </row>
        <row r="50">
          <cell r="A50" t="str">
            <v>Control_CPU\Application_Layer\Bleed_Valve_Control\IP81_Handling_Bleed_Valve_Control</v>
          </cell>
          <cell r="B50"/>
        </row>
        <row r="51">
          <cell r="A51" t="str">
            <v>Control_CPU\Application_Layer\Bleed_Valve_Control\IP83_Handling_Bleed_Valve_Control</v>
          </cell>
          <cell r="B51"/>
        </row>
        <row r="52">
          <cell r="A52" t="str">
            <v>Control_CPU\Application_Layer\Bleed_Valve_Control\IP84_Handling_Bleed_Valve_Control</v>
          </cell>
          <cell r="B52"/>
        </row>
        <row r="53">
          <cell r="A53" t="str">
            <v>Control_CPU\Application_Layer\Engine_Events\Flight_Phase_Detection</v>
          </cell>
          <cell r="B53"/>
        </row>
        <row r="54">
          <cell r="A54" t="str">
            <v>Control_CPU\Application_Layer\Engine_Events\Ice_Shedding_Detection</v>
          </cell>
          <cell r="B54"/>
        </row>
        <row r="55">
          <cell r="A55" t="str">
            <v>Control_CPU\Application_Layer\Engine_Events\Stall_Detection</v>
          </cell>
          <cell r="B55"/>
        </row>
        <row r="56">
          <cell r="A56" t="str">
            <v>Control_CPU\Application_Layer\Engine_Events\Start_Condition_Detection</v>
          </cell>
          <cell r="B56"/>
        </row>
        <row r="57">
          <cell r="A57" t="str">
            <v>Control_CPU\Application_Layer\Engine_Events\Surge_Detection</v>
          </cell>
          <cell r="B57"/>
        </row>
        <row r="58">
          <cell r="A58" t="str">
            <v>Control_CPU\Application_Layer\Engine_Events\Transient_and_Steady_State_Detection</v>
          </cell>
          <cell r="B58"/>
        </row>
        <row r="59">
          <cell r="A59" t="str">
            <v>Control_CPU\Application_Layer\Engine_Events\Water_Ingestion_Detection</v>
          </cell>
          <cell r="B59"/>
        </row>
        <row r="60">
          <cell r="A60" t="str">
            <v>Control_CPU\Application_Layer\ESS_Anti_Ice_Control</v>
          </cell>
          <cell r="B60"/>
        </row>
        <row r="61">
          <cell r="A61" t="str">
            <v>Control_CPU\Application_Layer\Front_Bearing_Housing_Oil_Bypass_Valve_Control</v>
          </cell>
          <cell r="B61"/>
        </row>
        <row r="62">
          <cell r="A62" t="str">
            <v>Control_CPU\Application_Layer\Heat_Management\Engine_Oil_Bypass_Valve_Control</v>
          </cell>
          <cell r="B62"/>
        </row>
        <row r="63">
          <cell r="A63" t="str">
            <v>Control_CPU\Application_Layer\Heat_Management\Generator_Oil_Bypass_Valve_Control</v>
          </cell>
          <cell r="B63"/>
        </row>
        <row r="64">
          <cell r="A64" t="str">
            <v>Control_CPU\Application_Layer\HP3_Pipefail_Detection\Flight_Phase_Determination</v>
          </cell>
          <cell r="B64"/>
        </row>
        <row r="65">
          <cell r="A65" t="str">
            <v>Control_CPU\Application_Layer\HP3_Pipefail_Detection\HP3_Pipefail_Detn_Internal_Ifs</v>
          </cell>
          <cell r="B65"/>
        </row>
        <row r="66">
          <cell r="A66" t="str">
            <v>Control_CPU\Application_Layer\HP3_Pipefail_Detection\HP3_Pipefail_Logic</v>
          </cell>
          <cell r="B66"/>
        </row>
        <row r="67">
          <cell r="A67" t="str">
            <v>Control_CPU\Application_Layer\HP3_Pipefail_Detection\Snapshot_Fns</v>
          </cell>
          <cell r="B67"/>
        </row>
        <row r="68">
          <cell r="A68" t="str">
            <v>Control_CPU\Application_Layer\Igniter_Control</v>
          </cell>
          <cell r="B68"/>
        </row>
        <row r="69">
          <cell r="A69" t="str">
            <v>Control_CPU\Application_Layer\Modulated_Air_System_Control</v>
          </cell>
          <cell r="B69"/>
        </row>
        <row r="70">
          <cell r="A70" t="str">
            <v>Control_CPU\Application_Layer\Protection\NH_Dot_Support</v>
          </cell>
          <cell r="B70"/>
        </row>
        <row r="71">
          <cell r="A71" t="str">
            <v>Control_CPU\Application_Layer\Special_Functions\Fuel_Spiking_and_Dipping</v>
          </cell>
          <cell r="B71"/>
        </row>
        <row r="72">
          <cell r="A72" t="str">
            <v>Control_CPU\Application_Layer\Special_Functions\Manual_Fuel_Control</v>
          </cell>
          <cell r="B72"/>
        </row>
        <row r="73">
          <cell r="A73" t="str">
            <v>Control_CPU\Application_Layer\Special_Functions\Special_Functions</v>
          </cell>
          <cell r="B73"/>
        </row>
        <row r="74">
          <cell r="A74" t="str">
            <v>Control_CPU\Application_Layer\Starting\Auto_Relight</v>
          </cell>
          <cell r="B74"/>
        </row>
        <row r="75">
          <cell r="A75" t="str">
            <v>Control_CPU\Application_Layer\Starting\Ground_Autostart</v>
          </cell>
          <cell r="B75">
            <v>6247</v>
          </cell>
        </row>
        <row r="76">
          <cell r="A76" t="str">
            <v>Control_CPU\Application_Layer\Starting\InFlight_Autostart</v>
          </cell>
          <cell r="B76"/>
        </row>
        <row r="77">
          <cell r="A77" t="str">
            <v>Control_CPU\Application_Layer\Starting\Manual_Start</v>
          </cell>
          <cell r="B77"/>
        </row>
        <row r="78">
          <cell r="A78" t="str">
            <v>Control_CPU\Application_Layer\Starting\Quick_Relight</v>
          </cell>
          <cell r="B78"/>
        </row>
        <row r="79">
          <cell r="A79" t="str">
            <v>Control_CPU\Application_Layer\Starting\Internal Starting Interfaces</v>
          </cell>
          <cell r="B79"/>
        </row>
        <row r="80">
          <cell r="A80" t="str">
            <v>Control_CPU\Application_Layer\Starting\Starting</v>
          </cell>
          <cell r="B80"/>
        </row>
        <row r="81">
          <cell r="A81" t="str">
            <v>Control_CPU\Application_Layer\Starting\Starting_Common</v>
          </cell>
          <cell r="B81"/>
        </row>
        <row r="82">
          <cell r="A82" t="str">
            <v>Control_CPU\Application_Layer\Thrust_Control\Control_Loop_Mode_Controller</v>
          </cell>
          <cell r="B82"/>
        </row>
        <row r="83">
          <cell r="A83" t="str">
            <v>Control_CPU\Application_Layer\Thrust_Control\Fuel_Dip</v>
          </cell>
          <cell r="B83"/>
        </row>
        <row r="84">
          <cell r="A84" t="str">
            <v>Control_CPU\Application_Layer\Thrust_Control\Fuel_Index</v>
          </cell>
          <cell r="B84">
            <v>6216</v>
          </cell>
        </row>
        <row r="85">
          <cell r="A85" t="str">
            <v>Control_CPU\Application_Layer\Thrust_Control\PassiveHPTOS</v>
          </cell>
          <cell r="B85"/>
        </row>
        <row r="86">
          <cell r="A86" t="str">
            <v>Control_CPU\Application_Layer\Thrust_Control\Limit_Fuel_Flow</v>
          </cell>
          <cell r="B86"/>
        </row>
        <row r="87">
          <cell r="A87" t="str">
            <v>Control_CPU\Application_Layer\Thrust_Control\Loop_Gains</v>
          </cell>
          <cell r="B87"/>
        </row>
        <row r="88">
          <cell r="A88" t="str">
            <v>Control_CPU\Application_Layer\Thrust_Control\Loops</v>
          </cell>
          <cell r="B88">
            <v>6216</v>
          </cell>
        </row>
        <row r="89">
          <cell r="A89" t="str">
            <v>Control_CPU\Application_Layer\Thrust_Control\LSL_and_RRIM</v>
          </cell>
          <cell r="B89"/>
        </row>
        <row r="90">
          <cell r="A90" t="str">
            <v>Control_CPU\Application_Layer\Thrust_Control\Manifold_Drain</v>
          </cell>
          <cell r="B90"/>
        </row>
        <row r="91">
          <cell r="A91" t="str">
            <v>Control_CPU\Application_Layer\Thrust_Control\Thrust_Control</v>
          </cell>
          <cell r="B91"/>
        </row>
        <row r="92">
          <cell r="A92" t="str">
            <v>Control_CPU\Application_Layer\Thrust_Control\Thrust_Control_Conditioning</v>
          </cell>
          <cell r="B92"/>
        </row>
        <row r="93">
          <cell r="A93" t="str">
            <v>Control_CPU\Application_Layer\Thrust_Limit_Conditions\Control_Limit_Detection</v>
          </cell>
          <cell r="B93"/>
        </row>
        <row r="94">
          <cell r="A94" t="str">
            <v>Control_CPU\Application_Layer\Thrust_Limit_Conditions\Idle_Detection</v>
          </cell>
          <cell r="B94"/>
        </row>
        <row r="95">
          <cell r="A95" t="str">
            <v>Control_CPU\Application_Layer\Thrust_Settings_and_Ratings\ACUTE</v>
          </cell>
          <cell r="B95"/>
        </row>
        <row r="96">
          <cell r="A96" t="str">
            <v>Control_CPU\Application_Layer\Thrust_Settings_and_Ratings\Autothrust</v>
          </cell>
          <cell r="B96"/>
        </row>
        <row r="97">
          <cell r="A97" t="str">
            <v>Control_CPU\Application_Layer\Thrust_Settings_and_Ratings\Int_Thrust_Settings_Ratings</v>
          </cell>
          <cell r="B97"/>
        </row>
        <row r="98">
          <cell r="A98" t="str">
            <v>Control_CPU\Application_Layer\Thrust_Settings_and_Ratings\NL_Thrust_Demand</v>
          </cell>
          <cell r="B98"/>
        </row>
        <row r="99">
          <cell r="A99" t="str">
            <v>Control_CPU\Application_Layer\Thrust_Settings_and_Ratings\Thrust_Ratings</v>
          </cell>
          <cell r="B99"/>
        </row>
        <row r="100">
          <cell r="A100" t="str">
            <v>Control_CPU\Application_Layer\Thrust_Settings_and_Ratings\Thrust_Settings</v>
          </cell>
          <cell r="B100"/>
        </row>
        <row r="101">
          <cell r="A101" t="str">
            <v>Control_CPU\Application_Layer\Turbine_Case_Cooling_Control\HP_Turbine_Case_Cooling_Deterioration</v>
          </cell>
          <cell r="B101"/>
        </row>
        <row r="102">
          <cell r="A102" t="str">
            <v>Control_CPU\Application_Layer\Turbine_Case_Cooling_Control\HP_Turbine_Case_Cooling_Control</v>
          </cell>
          <cell r="B102"/>
        </row>
        <row r="103">
          <cell r="A103" t="str">
            <v>Control_CPU\Application_Layer\Turbine_Case_Cooling_Control\IP_Turbine_Case_Cooling_Deterioration</v>
          </cell>
          <cell r="B103"/>
        </row>
        <row r="104">
          <cell r="A104" t="str">
            <v>Control_CPU\Application_Layer\Turbine_Case_Cooling_Control\IP_Turbine_Case_Cooling_Control</v>
          </cell>
          <cell r="B104"/>
        </row>
        <row r="105">
          <cell r="A105" t="str">
            <v>Control_CPU\Application_Layer\Turbine_Case_Cooling_Control\Turbine_Case_Cooling_Manager</v>
          </cell>
          <cell r="B105"/>
        </row>
        <row r="106">
          <cell r="A106" t="str">
            <v>Control_CPU\Application_Layer\Turbine_Rim_Cooling_Control</v>
          </cell>
          <cell r="B106"/>
        </row>
        <row r="107">
          <cell r="A107" t="str">
            <v>Control_CPU\Application_Layer\VSV_Schedule</v>
          </cell>
          <cell r="B107"/>
        </row>
        <row r="108">
          <cell r="A108" t="str">
            <v>Control_CPU\Combined_Entry_Points</v>
          </cell>
          <cell r="B108"/>
        </row>
        <row r="109">
          <cell r="A109" t="str">
            <v>Control_CPU\Engine_Variant</v>
          </cell>
          <cell r="B109"/>
        </row>
        <row r="110">
          <cell r="A110" t="str">
            <v>Control_CPU\Hardware_Interfaces\ASCommand</v>
          </cell>
          <cell r="B110"/>
        </row>
        <row r="111">
          <cell r="A111" t="str">
            <v>Control_CPU\Hardware_Interfaces\HAL_Types</v>
          </cell>
          <cell r="B111"/>
        </row>
        <row r="112">
          <cell r="A112" t="str">
            <v>Control_CPU\Operating_Software\Modulated_Air_System_Sensors</v>
          </cell>
          <cell r="B112"/>
        </row>
        <row r="113">
          <cell r="A113" t="str">
            <v>Control_CPU\OS_Entry_Points\Combined_OS_Entry_Points</v>
          </cell>
          <cell r="B113"/>
        </row>
        <row r="114">
          <cell r="A114" t="str">
            <v>Control_CPU\Prerequisites\Busy_Wait</v>
          </cell>
          <cell r="B114"/>
        </row>
        <row r="115">
          <cell r="A115" t="str">
            <v>Control_CPU\Prerequisites\Determine_Software_Dataload_State</v>
          </cell>
          <cell r="B115"/>
        </row>
        <row r="116">
          <cell r="A116" t="str">
            <v>Control_CPU\Prerequisites\Dispatcher</v>
          </cell>
          <cell r="B116"/>
        </row>
        <row r="117">
          <cell r="A117" t="str">
            <v>Control_CPU\Prerequisites\EEC_Operating_Modes</v>
          </cell>
          <cell r="B117"/>
        </row>
        <row r="118">
          <cell r="A118" t="str">
            <v>Control_CPU\Prerequisites\Fault_Utilities\Fault_Collation</v>
          </cell>
          <cell r="B118"/>
        </row>
        <row r="119">
          <cell r="A119" t="str">
            <v>Control_CPU\Service_Interfaces</v>
          </cell>
          <cell r="B119"/>
        </row>
        <row r="120">
          <cell r="A120" t="str">
            <v>Control_CPU\Service_Layer\Airframe_Comms\Airframe_Data_Transformations</v>
          </cell>
          <cell r="B120"/>
        </row>
        <row r="121">
          <cell r="A121" t="str">
            <v>Control_CPU\Service_Layer\Airframe_Comms\Airframe_Maint_Reporting</v>
          </cell>
          <cell r="B121"/>
        </row>
        <row r="122">
          <cell r="A122" t="str">
            <v>Control_CPU\Service_Layer\Airframe_Comms\Data_Boundary</v>
          </cell>
          <cell r="B122"/>
        </row>
        <row r="123">
          <cell r="A123" t="str">
            <v>Control_CPU\Service_Layer\Airframe_Comms\Data_Handler\AC_Data_Handler_Types\From_AC_Data_Handler_Types</v>
          </cell>
          <cell r="B123"/>
        </row>
        <row r="124">
          <cell r="A124" t="str">
            <v>Control_CPU\Service_Layer\Airframe_Comms\Data_Handler\AC_Data_Handler_Types\To_AC_Data_Handler_Types</v>
          </cell>
          <cell r="B124"/>
        </row>
        <row r="125">
          <cell r="A125" t="str">
            <v>Control_CPU\Service_Layer\Airframe_Comms\Data_Handler\AC_Data_Handler_Utils</v>
          </cell>
          <cell r="B125"/>
        </row>
        <row r="126">
          <cell r="A126" t="str">
            <v>Control_CPU\Service_Layer\Airframe_Comms\Data_Handler\From_AC_Data_Handler</v>
          </cell>
          <cell r="B126"/>
        </row>
        <row r="127">
          <cell r="A127" t="str">
            <v>Control_CPU\Service_Layer\Airframe_Comms\Data_Handler\From_AC_Data_Handler_A350_Group_1_Control</v>
          </cell>
          <cell r="B127"/>
        </row>
        <row r="128">
          <cell r="A128" t="str">
            <v>Control_CPU\Service_Layer\Airframe_Comms\Data_Handler\From_AC_Data_Handler_RS422_Group_1</v>
          </cell>
          <cell r="B128"/>
        </row>
        <row r="129">
          <cell r="A129" t="str">
            <v>Control_CPU\Service_Layer\Airframe_Comms\Data_Handler\To_AC_Data_Handler</v>
          </cell>
          <cell r="B129"/>
        </row>
        <row r="130">
          <cell r="A130" t="str">
            <v>Control_CPU\Service_Layer\Airframe_Comms\Data_Handler\To_AC_Data_Handler_RS422_Group_1</v>
          </cell>
          <cell r="B130"/>
        </row>
        <row r="131">
          <cell r="A131" t="str">
            <v>Control_CPU\Service_Layer\Airframe_Comms\Data_Handler\To_AC_Data_Handler_RS422_Group_2</v>
          </cell>
          <cell r="B131"/>
        </row>
        <row r="132">
          <cell r="A132" t="str">
            <v>Control_CPU\Service_Layer\Airframe_Comms\Data_Handler\To_AC_Data_Handler_RS422_Group_3</v>
          </cell>
          <cell r="B132"/>
        </row>
        <row r="133">
          <cell r="A133" t="str">
            <v>Control_CPU\Service_Layer\Airframe_Comms\Internal_Comms_Interfaces</v>
          </cell>
          <cell r="B133"/>
        </row>
        <row r="134">
          <cell r="A134" t="str">
            <v>Control_CPU\Service_Layer\Airframe_Comms\Internal_Comms_Manager\From_AC_Internal_Comms_Manager</v>
          </cell>
          <cell r="B134"/>
        </row>
        <row r="135">
          <cell r="A135" t="str">
            <v>Control_CPU\Service_Layer\Airframe_Comms\Message_Controllers\From_AC_Int_Ethernet_Mess_Controller</v>
          </cell>
          <cell r="B135"/>
        </row>
        <row r="136">
          <cell r="A136" t="str">
            <v>Control_CPU\Service_Layer\Airframe_Comms\Message_Controllers\From_RS422_Mess_Controller</v>
          </cell>
          <cell r="B136"/>
        </row>
        <row r="137">
          <cell r="A137" t="str">
            <v>Control_CPU\Service_Layer\Airframe_Comms\Message_Controllers\Message_Store\From_AC_Int_Message_Store</v>
          </cell>
          <cell r="B137"/>
        </row>
        <row r="138">
          <cell r="A138" t="str">
            <v>Control_CPU\Service_Layer\Airframe_Comms\Message_Controllers\To_RS422_Mess_Controller</v>
          </cell>
          <cell r="B138"/>
        </row>
        <row r="139">
          <cell r="A139" t="str">
            <v>Control_CPU\Service_Layer\Airframe_Comms\Scheduler\From_Ac_Scheduler</v>
          </cell>
          <cell r="B139"/>
        </row>
        <row r="140">
          <cell r="A140" t="str">
            <v>Control_CPU\Service_Layer\Airframe_Comms\Scheduler\To_Ac_Scheduler</v>
          </cell>
          <cell r="B140"/>
        </row>
        <row r="141">
          <cell r="A141" t="str">
            <v>Control_CPU\Service_Layer\Airframe_Comms\Validate Inputs\Validate_Airframe_Inputs_Control</v>
          </cell>
          <cell r="B141"/>
        </row>
        <row r="142">
          <cell r="A142" t="str">
            <v>Control_CPU\Service_Layer\Channel_Control</v>
          </cell>
          <cell r="B142"/>
        </row>
        <row r="143">
          <cell r="A143" t="str">
            <v>Control_CPU\Service_Layer\Health</v>
          </cell>
          <cell r="B143"/>
        </row>
        <row r="144">
          <cell r="A144" t="str">
            <v>Control_CPU\Service_Layer\Inter_CPU_Comms\Direct_Comms_Control</v>
          </cell>
          <cell r="B144"/>
        </row>
        <row r="145">
          <cell r="A145" t="str">
            <v>Control_CPU\Service_Layer\Inter_CPU_Comms\Inter-CPU_Comms_Internal_Boundaries</v>
          </cell>
          <cell r="B145"/>
        </row>
        <row r="146">
          <cell r="A146" t="str">
            <v>Control_CPU\Service_Layer\Inter_CPU_Comms\Other_Channel_Comms</v>
          </cell>
          <cell r="B146" t="str">
            <v>6207, 6247</v>
          </cell>
        </row>
        <row r="147">
          <cell r="A147" t="str">
            <v>Control_CPU\Service_Layer\Inter_CPU_Comms\Other_Processor_Comms</v>
          </cell>
          <cell r="B147">
            <v>6207</v>
          </cell>
        </row>
        <row r="148">
          <cell r="A148" t="str">
            <v>Control_CPU\Service_Layer\Maintenance\Int_Maintenance</v>
          </cell>
          <cell r="B148"/>
        </row>
        <row r="149">
          <cell r="A149" t="str">
            <v>Control_CPU\Service_Layer\Maintenance\Failure_Message_Generator</v>
          </cell>
          <cell r="B149"/>
        </row>
        <row r="150">
          <cell r="A150" t="str">
            <v>Control_CPU\Service_Layer\Monitor_HMU_Status</v>
          </cell>
          <cell r="B150"/>
        </row>
        <row r="151">
          <cell r="A151" t="str">
            <v>Control_CPU\Service_Layer\NVM\NVM_Manager_App_Data_Control</v>
          </cell>
          <cell r="B151"/>
        </row>
        <row r="152">
          <cell r="A152" t="str">
            <v>Control_CPU\Service_Layer\NVM\NVM_Manager_HP3_Pipefail_Data</v>
          </cell>
          <cell r="B152"/>
        </row>
        <row r="153">
          <cell r="A153" t="str">
            <v>Control_CPU\Service_Layer\NVM\NVM_Manager_Conf_Data_Control</v>
          </cell>
          <cell r="B153"/>
        </row>
        <row r="154">
          <cell r="A154" t="str">
            <v>Control_CPU\Service_Layer\Power_Monitoring</v>
          </cell>
          <cell r="B154"/>
        </row>
        <row r="155">
          <cell r="A155" t="str">
            <v>Control_CPU\Service_Layer\Processor_Identification</v>
          </cell>
          <cell r="B155"/>
        </row>
        <row r="156">
          <cell r="A156" t="str">
            <v>Control_CPU\System_Interfaces</v>
          </cell>
          <cell r="B156"/>
        </row>
        <row r="157">
          <cell r="A157" t="str">
            <v>Control_CPU\System_Layer\Actuation\Engine_Oil_Bypass_Valve_Actuation</v>
          </cell>
          <cell r="B157"/>
        </row>
        <row r="158">
          <cell r="A158" t="str">
            <v>Control_CPU\System_Layer\Actuation\ESS_Anti_Ice_Valve_Actuation</v>
          </cell>
          <cell r="B158"/>
        </row>
        <row r="159">
          <cell r="A159" t="str">
            <v>Control_CPU\System_Layer\Actuation\Handling_Bleed_Valve_Actuation</v>
          </cell>
          <cell r="B159"/>
        </row>
        <row r="160">
          <cell r="A160" t="str">
            <v>Control_CPU\System_Layer\Actuation\Igniter_Actuation</v>
          </cell>
          <cell r="B160"/>
        </row>
        <row r="161">
          <cell r="A161" t="str">
            <v>Control_CPU\System_Layer\Actuation\Modulated_Air_System_Actuation</v>
          </cell>
          <cell r="B161"/>
        </row>
        <row r="162">
          <cell r="A162" t="str">
            <v>Control_CPU\System_Layer\Actuation\Protection_TM_Actuation</v>
          </cell>
          <cell r="B162"/>
        </row>
        <row r="163">
          <cell r="A163" t="str">
            <v>Control_CPU\System_Layer\Actuation\Starter_Air_Valve_Actuation</v>
          </cell>
          <cell r="B163"/>
        </row>
        <row r="164">
          <cell r="A164" t="str">
            <v>Control_CPU\System_Layer\Actuation\Turbine_Case_Cooling_Actuation\HP_Turbine_Case_Cooling_Actuation</v>
          </cell>
          <cell r="B164"/>
        </row>
        <row r="165">
          <cell r="A165" t="str">
            <v>Control_CPU\System_Layer\Actuation\Turbine_Case_Cooling_Actuation\IP_Turbine_Case_Cooling_Actuation</v>
          </cell>
          <cell r="B165"/>
        </row>
        <row r="166">
          <cell r="A166" t="str">
            <v>Control_CPU\System_Layer\Actuation\Turbine_Rim_Cooling_Actuation</v>
          </cell>
          <cell r="B166"/>
        </row>
        <row r="167">
          <cell r="A167" t="str">
            <v>Control_CPU\System_Layer\Actuation\VSV_Actuation</v>
          </cell>
          <cell r="B167"/>
        </row>
        <row r="168">
          <cell r="A168" t="str">
            <v>Control_CPU\System_Layer\Calculate_Fuel_Used</v>
          </cell>
          <cell r="B168"/>
        </row>
        <row r="169">
          <cell r="A169" t="str">
            <v>Control_CPU\System_Layer\Derive_and_Modelled_Parameters\Derive_Air_Data</v>
          </cell>
          <cell r="B169"/>
        </row>
        <row r="170">
          <cell r="A170" t="str">
            <v>Control_CPU\System_Layer\Derive_and_Modelled_Parameters\Derive_Aircraft_State</v>
          </cell>
          <cell r="B170"/>
        </row>
        <row r="171">
          <cell r="A171" t="str">
            <v>Control_CPU\System_Layer\Derive_and_Modelled_Parameters\Derive_Engine_Pressures</v>
          </cell>
          <cell r="B171"/>
        </row>
        <row r="172">
          <cell r="A172" t="str">
            <v>Control_CPU\System_Layer\Derive_and_Modelled_Parameters\Derive_Engine_Temperatures</v>
          </cell>
          <cell r="B172"/>
        </row>
        <row r="173">
          <cell r="A173" t="str">
            <v>Control_CPU\System_Layer\Derive_and_Modelled_Parameters\Derive_Fuel_Flow</v>
          </cell>
          <cell r="B173"/>
        </row>
        <row r="174">
          <cell r="A174" t="str">
            <v>Control_CPU\System_Layer\Derive_and_Modelled_Parameters\Derive_Heat_Soakage</v>
          </cell>
          <cell r="B174"/>
        </row>
        <row r="175">
          <cell r="A175" t="str">
            <v>Control_CPU\System_Layer\Derive_and_Modelled_Parameters\Derive_Power_Offtake</v>
          </cell>
          <cell r="B175"/>
        </row>
        <row r="176">
          <cell r="A176" t="str">
            <v>Control_CPU\System_Layer\Derive_and_Modelled_Parameters\Derive_Pressure_Ratios</v>
          </cell>
          <cell r="B176"/>
        </row>
        <row r="177">
          <cell r="A177" t="str">
            <v>Control_CPU\System_Layer\Derive_and_Modelled_Parameters\Derive_Shaft_Speeds</v>
          </cell>
          <cell r="B177"/>
        </row>
        <row r="178">
          <cell r="A178" t="str">
            <v>Control_CPU\System_Layer\Generate_Test_Commands\Generate_ESSAI_Test_Commands</v>
          </cell>
          <cell r="B178"/>
        </row>
        <row r="179">
          <cell r="A179" t="str">
            <v>Control_CPU\System_Layer\Generate_Test_Commands\Generate_HBV_Test_Commands</v>
          </cell>
          <cell r="B179">
            <v>6275</v>
          </cell>
        </row>
        <row r="180">
          <cell r="A180" t="str">
            <v>Control_CPU\System_Layer\Generate_Test_Commands\Generate_MAS_Test_Commands</v>
          </cell>
          <cell r="B180"/>
        </row>
        <row r="181">
          <cell r="A181" t="str">
            <v>Control_CPU\System_Layer\Minor_Loops\FMV_Minor_Loop</v>
          </cell>
          <cell r="B181">
            <v>6247</v>
          </cell>
        </row>
        <row r="182">
          <cell r="A182" t="str">
            <v>Control_CPU\System_Layer\Minor_Loops\HP_TCC_Minor_Loop</v>
          </cell>
          <cell r="B182">
            <v>6233</v>
          </cell>
        </row>
        <row r="183">
          <cell r="A183" t="str">
            <v>Control_CPU\System_Layer\Minor_Loops\IP_TCC_Minor_Loop</v>
          </cell>
          <cell r="B183">
            <v>6233</v>
          </cell>
        </row>
        <row r="184">
          <cell r="A184" t="str">
            <v>Control_CPU\System_Layer\Minor_Loops\Minor_Loop_Internal_Boundaries</v>
          </cell>
          <cell r="B184">
            <v>6247</v>
          </cell>
        </row>
        <row r="185">
          <cell r="A185" t="str">
            <v>Control_CPU\System_Layer\Minor_Loops\Minor_Loops_Utilities</v>
          </cell>
          <cell r="B185"/>
        </row>
        <row r="186">
          <cell r="A186" t="str">
            <v>Control_CPU\System_Layer\Minor_Loops\Servo_Pressure_Compensation</v>
          </cell>
          <cell r="B186"/>
        </row>
        <row r="187">
          <cell r="A187" t="str">
            <v>Control_CPU\System_Layer\Minor_Loops\SOV_Control_Minor_Loop</v>
          </cell>
          <cell r="B187"/>
        </row>
        <row r="188">
          <cell r="A188" t="str">
            <v>Control_CPU\System_Layer\Minor_Loops\VSV_Minor_Loop</v>
          </cell>
          <cell r="B188"/>
        </row>
        <row r="189">
          <cell r="A189" t="str">
            <v>Control_CPU\System_Layer\Minor_Loops\beacon_code\beacon_support_control_d</v>
          </cell>
          <cell r="B189"/>
        </row>
        <row r="190">
          <cell r="A190" t="str">
            <v>Control_CPU\System_Layer\Minor_Loops\beacon_code\fmv_minor_loop_control_d</v>
          </cell>
          <cell r="B190"/>
        </row>
        <row r="191">
          <cell r="A191" t="str">
            <v>Control_CPU\System_Layer\Minor_Loops\beacon_code\hp_tcc_minor_loop_control_d</v>
          </cell>
          <cell r="B191">
            <v>6233</v>
          </cell>
        </row>
        <row r="192">
          <cell r="A192" t="str">
            <v>Control_CPU\System_Layer\Minor_Loops\beacon_code\ip_tcc_minor_loop_control_d</v>
          </cell>
          <cell r="B192">
            <v>6233</v>
          </cell>
        </row>
        <row r="193">
          <cell r="A193" t="str">
            <v>Control_CPU\System_Layer\Minor_Loops\beacon_code\sov_minor_loop_control_d</v>
          </cell>
          <cell r="B193"/>
        </row>
        <row r="194">
          <cell r="A194" t="str">
            <v>Control_CPU\System_Layer\Minor_Loops\beacon_code\spc_minor_loop_control_d</v>
          </cell>
          <cell r="B194"/>
        </row>
        <row r="195">
          <cell r="A195" t="str">
            <v>Control_CPU\System_Layer\Minor_Loops\beacon_code\vsv_minor_loop_control_d</v>
          </cell>
          <cell r="B195"/>
        </row>
        <row r="196">
          <cell r="A196" t="str">
            <v>Control_CPU\System_Layer\Report_Raw_Faults</v>
          </cell>
          <cell r="B196"/>
        </row>
        <row r="197">
          <cell r="A197" t="str">
            <v>Control_CPU\System_Layer\Response_Monitoring\ESS_Anti_Ice_Valve_Response_Monitoring</v>
          </cell>
          <cell r="B197"/>
        </row>
        <row r="198">
          <cell r="A198" t="str">
            <v>Control_CPU\System_Layer\Response_Monitoring\Handling_Bleed_Valve_Response_Monitoring</v>
          </cell>
          <cell r="B198" t="str">
            <v>6232, 6275</v>
          </cell>
        </row>
        <row r="199">
          <cell r="A199" t="str">
            <v>Control_CPU\System_Layer\Response_Monitoring\MAS_Valve_Response_Monitoring</v>
          </cell>
          <cell r="B199"/>
        </row>
        <row r="200">
          <cell r="A200" t="str">
            <v>Control_CPU\System_Layer\Validation\Validate_Data_Entry_Plug</v>
          </cell>
          <cell r="B200"/>
        </row>
        <row r="201">
          <cell r="A201" t="str">
            <v>Control_CPU\System_Layer\Validation\Validate_Engine_P0</v>
          </cell>
          <cell r="B201"/>
        </row>
        <row r="202">
          <cell r="A202" t="str">
            <v>Control_CPU\System_Layer\Validation\Validate_Engine_P20</v>
          </cell>
          <cell r="B202"/>
        </row>
        <row r="203">
          <cell r="A203" t="str">
            <v>Control_CPU\System_Layer\Validation\Validate_Engine_T20</v>
          </cell>
          <cell r="B203"/>
        </row>
        <row r="204">
          <cell r="A204" t="str">
            <v>Control_CPU\System_Layer\Validation\Validate_FOHE_Fuel_Differential_Pressure</v>
          </cell>
          <cell r="B204"/>
        </row>
        <row r="205">
          <cell r="A205" t="str">
            <v>Control_CPU\System_Layer\Validation\Validate_Front_Bearing_Housing_Oil_Bypass_Valve_Position</v>
          </cell>
          <cell r="B205"/>
        </row>
        <row r="206">
          <cell r="A206" t="str">
            <v>Control_CPU\System_Layer\Validation\Validate_Fuel_Flow</v>
          </cell>
          <cell r="B206"/>
        </row>
        <row r="207">
          <cell r="A207" t="str">
            <v>Control_CPU\System_Layer\Validation\Validate_Fuel_Flow_Drum_Rotation_Speed</v>
          </cell>
          <cell r="B207"/>
        </row>
        <row r="208">
          <cell r="A208" t="str">
            <v>Control_CPU\System_Layer\Validation\Validate_Generator_Oil_Bypass_Valve_Position</v>
          </cell>
          <cell r="B208"/>
        </row>
        <row r="209">
          <cell r="A209" t="str">
            <v>Control_CPU\System_Layer\Validation\Validate_Generator_Oil_Temperature</v>
          </cell>
          <cell r="B209"/>
        </row>
        <row r="210">
          <cell r="A210" t="str">
            <v>Control_CPU\System_Layer\Validation\Validate_Hardwired_Throttle_Lever_Angle</v>
          </cell>
          <cell r="B210"/>
        </row>
        <row r="211">
          <cell r="A211" t="str">
            <v>Control_CPU\System_Layer\Validation\Validate_HMU_Config_Data</v>
          </cell>
          <cell r="B211"/>
        </row>
        <row r="212">
          <cell r="A212" t="str">
            <v>Control_CPU\System_Layer\Validation\Validate_HP_Oil_Filter_Differential_Pressure</v>
          </cell>
          <cell r="B212"/>
        </row>
        <row r="213">
          <cell r="A213" t="str">
            <v>Control_CPU\System_Layer\Validation\Validate_LP_Fuel_Filter_Differential_Pressure</v>
          </cell>
          <cell r="B213"/>
        </row>
        <row r="214">
          <cell r="A214" t="str">
            <v>Control_CPU\System_Layer\Validation\Validate_Modulated_Air_System_Pressure</v>
          </cell>
          <cell r="B214"/>
        </row>
        <row r="215">
          <cell r="A215" t="str">
            <v>Control_CPU\System_Layer\Validation\Validate_Nacelle_Anti_Ice_Absolute_Pressure</v>
          </cell>
          <cell r="B215"/>
        </row>
        <row r="216">
          <cell r="A216" t="str">
            <v>Control_CPU\System_Layer\Validation\Validate_NH</v>
          </cell>
          <cell r="B216"/>
        </row>
        <row r="217">
          <cell r="A217" t="str">
            <v>Control_CPU\System_Layer\Validation\Validate_NI</v>
          </cell>
          <cell r="B217"/>
        </row>
        <row r="218">
          <cell r="A218" t="str">
            <v>Control_CPU\System_Layer\Validation\Validate_NL</v>
          </cell>
          <cell r="B218"/>
        </row>
        <row r="219">
          <cell r="A219" t="str">
            <v>Control_CPU\System_Layer\Validation\Validate_P0</v>
          </cell>
          <cell r="B219"/>
        </row>
        <row r="220">
          <cell r="A220" t="str">
            <v>Control_CPU\System_Layer\Validation\Validate_P160</v>
          </cell>
          <cell r="B220">
            <v>6217</v>
          </cell>
        </row>
        <row r="221">
          <cell r="A221" t="str">
            <v>Control_CPU\System_Layer\Validation\Validate_P20</v>
          </cell>
          <cell r="B221"/>
        </row>
        <row r="222">
          <cell r="A222" t="str">
            <v>Control_CPU\System_Layer\Validation\Validate_P30</v>
          </cell>
          <cell r="B222"/>
        </row>
        <row r="223">
          <cell r="A223" t="str">
            <v>Control_CPU\System_Layer\Validation\Validate_POil</v>
          </cell>
          <cell r="B223"/>
        </row>
        <row r="224">
          <cell r="A224" t="str">
            <v>Control_CPU\System_Layer\Validation\Validate_Scavenge_Oil_Filter_Differential_Pressure</v>
          </cell>
          <cell r="B224"/>
        </row>
        <row r="225">
          <cell r="A225" t="str">
            <v>Control_CPU\System_Layer\Validation\Validate_T20</v>
          </cell>
          <cell r="B225"/>
        </row>
        <row r="226">
          <cell r="A226" t="str">
            <v>Control_CPU\System_Layer\Validation\Validate_T25</v>
          </cell>
          <cell r="B226"/>
        </row>
        <row r="227">
          <cell r="A227" t="str">
            <v>Control_CPU\System_Layer\Validation\Validate_T30</v>
          </cell>
          <cell r="B227"/>
        </row>
        <row r="228">
          <cell r="A228" t="str">
            <v>Control_CPU\System_Layer\Validation\Validate_T50</v>
          </cell>
          <cell r="B228"/>
        </row>
        <row r="229">
          <cell r="A229" t="str">
            <v>Control_CPU\System_Layer\Validation\Validate_TFuel</v>
          </cell>
          <cell r="B229"/>
        </row>
        <row r="230">
          <cell r="A230" t="str">
            <v>Control_CPU\System_Layer\Validation\Validate_TGT</v>
          </cell>
          <cell r="B230"/>
        </row>
        <row r="231">
          <cell r="A231" t="str">
            <v>Control_CPU\System_Layer\Validation\Validate_Throttle_Lever_Angle</v>
          </cell>
          <cell r="B231"/>
        </row>
        <row r="232">
          <cell r="A232" t="str">
            <v>Control_CPU\System_Layer\Validation\Validate_Tvent</v>
          </cell>
          <cell r="B232"/>
        </row>
        <row r="233">
          <cell r="A233" t="str">
            <v>Control_CPU\System_Layer\Validation\Validate_TZone1Upper</v>
          </cell>
          <cell r="B233"/>
        </row>
        <row r="234">
          <cell r="A234" t="str">
            <v>Control_CPU\System_Layer\Validation\Validate_TZone2</v>
          </cell>
          <cell r="B234"/>
        </row>
        <row r="235">
          <cell r="A235" t="str">
            <v>Control_CPU\System_Layer\Validation\Validate_TZone3</v>
          </cell>
          <cell r="B235"/>
        </row>
        <row r="236">
          <cell r="A236" t="str">
            <v>Safety_CPU\Application_Blackboard</v>
          </cell>
          <cell r="B236"/>
        </row>
        <row r="237">
          <cell r="A237" t="str">
            <v>Safety_CPU\Application_Layer\Exceedances</v>
          </cell>
          <cell r="B237">
            <v>6216</v>
          </cell>
        </row>
        <row r="238">
          <cell r="A238" t="str">
            <v>Safety_CPU\Application_Layer\LP_Turbine_Case_Cooling_Valve_Control</v>
          </cell>
          <cell r="B238"/>
        </row>
        <row r="239">
          <cell r="A239" t="str">
            <v>Safety_CPU\Application_Layer\Nacelle_Anti_Ice_Control</v>
          </cell>
          <cell r="B239"/>
        </row>
        <row r="240">
          <cell r="A240" t="str">
            <v>Safety_CPU\Application_Layer\ODMS_Exceedance_Detection</v>
          </cell>
          <cell r="B240"/>
        </row>
        <row r="241">
          <cell r="A241" t="str">
            <v>Safety_CPU\Application_Layer\Protection\Fire_And_Overheat_Detection</v>
          </cell>
          <cell r="B241"/>
        </row>
        <row r="242">
          <cell r="A242" t="str">
            <v>Safety_CPU\Application_Layer\Protection\IP_and_LP_Shaft_Overspeed_Detection</v>
          </cell>
          <cell r="B242"/>
        </row>
        <row r="243">
          <cell r="A243" t="str">
            <v>Safety_CPU\Application_Layer\Protection\IP_Shaft_Break_Protection\Int_Shaft_Break_Protection</v>
          </cell>
          <cell r="B243"/>
        </row>
        <row r="244">
          <cell r="A244" t="str">
            <v>Safety_CPU\Application_Layer\Protection\IP_Shaft_Break_Protection\IP_Shaft_Break_Model_Based_Detection</v>
          </cell>
          <cell r="B244"/>
        </row>
        <row r="245">
          <cell r="A245" t="str">
            <v>Safety_CPU\Application_Layer\Protection\IP_Shaft_Break_Protection\IP_Shaft_Break_Protection</v>
          </cell>
          <cell r="B245"/>
        </row>
        <row r="246">
          <cell r="A246" t="str">
            <v>Safety_CPU\Application_Layer\Protection\IP_Shaft_Break_Protection\IP_Turbine_Oil_Fire_Detection</v>
          </cell>
          <cell r="B246"/>
        </row>
        <row r="247">
          <cell r="A247" t="str">
            <v>Safety_CPU\Application_Layer\Protection\IP_Shaft_Break_Protection\IP_Turbine_Overspeed_Detection</v>
          </cell>
          <cell r="B247"/>
        </row>
        <row r="248">
          <cell r="A248" t="str">
            <v>Safety_CPU\Application_Layer\Protection\IP_Shaft_Break_Protection\NI_NH_Match_Detection</v>
          </cell>
          <cell r="B248"/>
        </row>
        <row r="249">
          <cell r="A249" t="str">
            <v>Safety_CPU\Application_Layer\Protection\IP_Shaft_Break_Protection\NHDot_Arbiter</v>
          </cell>
          <cell r="B249"/>
        </row>
        <row r="250">
          <cell r="A250" t="str">
            <v>Safety_CPU\Application_Layer\Protection\LP_Turbine_Overspeed_Detection</v>
          </cell>
          <cell r="B250"/>
        </row>
        <row r="251">
          <cell r="A251" t="str">
            <v>Safety_CPU\Application_Layer\Protection\Protection_Shutdown</v>
          </cell>
          <cell r="B251"/>
        </row>
        <row r="252">
          <cell r="A252" t="str">
            <v>Safety_CPU\Application_Layer\Protection\Thrust_Control_Malfunction_Detection</v>
          </cell>
          <cell r="B252"/>
        </row>
        <row r="253">
          <cell r="A253" t="str">
            <v>Safety_CPU\Application_Layer\Protection\Thrust_Control_Malfunction_Health</v>
          </cell>
          <cell r="B253"/>
        </row>
        <row r="254">
          <cell r="A254" t="str">
            <v>Safety_CPU\Combined_Entry_Points</v>
          </cell>
          <cell r="B254"/>
        </row>
        <row r="255">
          <cell r="A255" t="str">
            <v>Safety_CPU\Engine_Variant</v>
          </cell>
          <cell r="B255"/>
        </row>
        <row r="256">
          <cell r="A256" t="str">
            <v>Safety_CPU\Hardware_Interfaces\ASCommand</v>
          </cell>
          <cell r="B256"/>
        </row>
        <row r="257">
          <cell r="A257" t="str">
            <v>Safety_CPU\Hardware_Interfaces\HAL_Types</v>
          </cell>
          <cell r="B257"/>
        </row>
        <row r="258">
          <cell r="A258" t="str">
            <v>Safety_CPU\OS_Entry_Points\Combined_OS_Entry_Points</v>
          </cell>
          <cell r="B258"/>
        </row>
        <row r="259">
          <cell r="A259" t="str">
            <v>Safety_CPU\Prerequisites\Busy_Wait</v>
          </cell>
          <cell r="B259"/>
        </row>
        <row r="260">
          <cell r="A260" t="str">
            <v>Safety_CPU\Prerequisites\Determine_Software_Dataload_State</v>
          </cell>
          <cell r="B260"/>
        </row>
        <row r="261">
          <cell r="A261" t="str">
            <v>Safety_CPU\Prerequisites\Dispatcher</v>
          </cell>
          <cell r="B261"/>
        </row>
        <row r="262">
          <cell r="A262" t="str">
            <v>Safety_CPU\Prerequisites\EEC_Operating_Modes</v>
          </cell>
          <cell r="B262"/>
        </row>
        <row r="263">
          <cell r="A263" t="str">
            <v>Safety_CPU\Prerequisites\Fault_Utilities\Fault_Collation</v>
          </cell>
          <cell r="B263"/>
        </row>
        <row r="264">
          <cell r="A264" t="str">
            <v>Safety_CPU\Service_Interfaces</v>
          </cell>
          <cell r="B264"/>
        </row>
        <row r="265">
          <cell r="A265" t="str">
            <v>Safety_CPU\Service_Layer\Airframe_Comms\Airframe_Data_Transformations</v>
          </cell>
          <cell r="B265"/>
        </row>
        <row r="266">
          <cell r="A266" t="str">
            <v>Safety_CPU\Service_Layer\Airframe_Comms\Airframe_Data_TransformationsFTB</v>
          </cell>
          <cell r="B266"/>
        </row>
        <row r="267">
          <cell r="A267" t="str">
            <v>Safety_CPU\Service_Layer\Airframe_Comms\Airframe_Input_Overrides</v>
          </cell>
          <cell r="B267"/>
        </row>
        <row r="268">
          <cell r="A268" t="str">
            <v>Safety_CPU\Service_Layer\Airframe_Comms\Airframe_Maint_Reporting</v>
          </cell>
          <cell r="B268"/>
        </row>
        <row r="269">
          <cell r="A269" t="str">
            <v>Safety_CPU\Service_Layer\Airframe_Comms\Data_Boundary</v>
          </cell>
          <cell r="B269"/>
        </row>
        <row r="270">
          <cell r="A270" t="str">
            <v>Safety_CPU\Service_Layer\Airframe_Comms\Data_Handler\AC_Data_Handler_Types\From_AC_Data_Handler_Types</v>
          </cell>
          <cell r="B270"/>
        </row>
        <row r="271">
          <cell r="A271" t="str">
            <v>Safety_CPU\Service_Layer\Airframe_Comms\Data_Handler\AC_Data_Handler_Types\To_AC_Data_Handler_Types</v>
          </cell>
          <cell r="B271"/>
        </row>
        <row r="272">
          <cell r="A272" t="str">
            <v>Safety_CPU\Service_Layer\Airframe_Comms\Data_Handler\AC_Data_Handler_Utils</v>
          </cell>
          <cell r="B272"/>
        </row>
        <row r="273">
          <cell r="A273" t="str">
            <v>Safety_CPU\Service_Layer\Airframe_Comms\Data_Handler\From_AC_Data_Handler</v>
          </cell>
          <cell r="B273"/>
        </row>
        <row r="274">
          <cell r="A274" t="str">
            <v>Safety_CPU\Service_Layer\Airframe_Comms\Data_Handler\From_AC_Data_Handler_A380_Airframe</v>
          </cell>
          <cell r="B274"/>
        </row>
        <row r="275">
          <cell r="A275" t="str">
            <v>Safety_CPU\Service_Layer\Airframe_Comms\Data_Handler\From_AC_Data_Handler_A380_Airframe_1</v>
          </cell>
          <cell r="B275"/>
        </row>
        <row r="276">
          <cell r="A276" t="str">
            <v>Safety_CPU\Service_Layer\Airframe_Comms\Data_Handler\From_AC_Data_Handler_A380_Airframe_2</v>
          </cell>
          <cell r="B276"/>
        </row>
        <row r="277">
          <cell r="A277" t="str">
            <v>Safety_CPU\Service_Layer\Airframe_Comms\Data_Handler\From_AC_Data_Handler_A380_Airframe_3</v>
          </cell>
          <cell r="B277"/>
        </row>
        <row r="278">
          <cell r="A278" t="str">
            <v>Safety_CPU\Service_Layer\Airframe_Comms\Data_Handler\From_AC_Data_Handler_A380_Airframe_4</v>
          </cell>
          <cell r="B278"/>
        </row>
        <row r="279">
          <cell r="A279" t="str">
            <v>Safety_CPU\Service_Layer\Airframe_Comms\Data_Handler\From_AC_Data_Handler_A350_Airframe</v>
          </cell>
          <cell r="B279"/>
        </row>
        <row r="280">
          <cell r="A280" t="str">
            <v>Safety_CPU\Service_Layer\Airframe_Comms\Data_Handler\From_AC_Data_Handler_A350_EIF_PCS</v>
          </cell>
          <cell r="B280"/>
        </row>
        <row r="281">
          <cell r="A281" t="str">
            <v>Safety_CPU\Service_Layer\Airframe_Comms\Data_Handler\From_AC_Data_Handler_A350_Group_1_Safety</v>
          </cell>
          <cell r="B281"/>
        </row>
        <row r="282">
          <cell r="A282" t="str">
            <v>Safety_CPU\Service_Layer\Airframe_Comms\Data_Handler\From_AC_Data_Handler_A380_CAN_Bus</v>
          </cell>
          <cell r="B282"/>
        </row>
        <row r="283">
          <cell r="A283" t="str">
            <v>Safety_CPU\Service_Layer\Airframe_Comms\Data_Handler\From_AC_Data_Handler_CAN_Bus</v>
          </cell>
          <cell r="B283"/>
        </row>
        <row r="284">
          <cell r="A284" t="str">
            <v>Safety_CPU\Service_Layer\Airframe_Comms\Data_Handler\To_AC_Data_Handler</v>
          </cell>
          <cell r="B284"/>
        </row>
        <row r="285">
          <cell r="A285" t="str">
            <v>Safety_CPU\Service_Layer\Airframe_Comms\Data_Handler\To_AC_Data_Handler_A380_Airframe_1</v>
          </cell>
          <cell r="B285"/>
        </row>
        <row r="286">
          <cell r="A286" t="str">
            <v>Safety_CPU\Service_Layer\Airframe_Comms\Data_Handler\To_AC_Data_Handler_A380_Airframe_2</v>
          </cell>
          <cell r="B286"/>
        </row>
        <row r="287">
          <cell r="A287" t="str">
            <v>Safety_CPU\Service_Layer\Airframe_Comms\Data_Handler\To_AC_Data_Handler_A380_Airframe_3</v>
          </cell>
          <cell r="B287"/>
        </row>
        <row r="288">
          <cell r="A288" t="str">
            <v>Safety_CPU\Service_Layer\Airframe_Comms\Data_Handler\To_AC_Data_Handler_A350_Airframe</v>
          </cell>
          <cell r="B288"/>
        </row>
        <row r="289">
          <cell r="A289" t="str">
            <v>Safety_CPU\Service_Layer\Airframe_Comms\Data_Handler\To_AC_Data_Handler_A350_Airframe_2</v>
          </cell>
          <cell r="B289"/>
        </row>
        <row r="290">
          <cell r="A290" t="str">
            <v>Safety_CPU\Service_Layer\Airframe_Comms\Data_Handler\To_AC_Data_Handler_A350_Eng_Data_Fr1</v>
          </cell>
          <cell r="B290"/>
        </row>
        <row r="291">
          <cell r="A291" t="str">
            <v>Safety_CPU\Service_Layer\Airframe_Comms\Data_Handler\To_AC_Data_Handler_A380_CAN_Bus</v>
          </cell>
          <cell r="B291"/>
        </row>
        <row r="292">
          <cell r="A292" t="str">
            <v>Safety_CPU\Service_Layer\Airframe_Comms\Data_Handler\To_AC_Data_Handler_CAN_Bus</v>
          </cell>
          <cell r="B292"/>
        </row>
        <row r="293">
          <cell r="A293" t="str">
            <v>Safety_CPU\Service_Layer\Airframe_Comms\Internal_Comms_Interfaces</v>
          </cell>
          <cell r="B293"/>
        </row>
        <row r="294">
          <cell r="A294" t="str">
            <v>Safety_CPU\Service_Layer\Airframe_Comms\Message_Controllers\CAN_Bus\From_AC_CAN_Bus_Mess_Controller</v>
          </cell>
          <cell r="B294"/>
        </row>
        <row r="295">
          <cell r="A295" t="str">
            <v>Safety_CPU\Service_Layer\Airframe_Comms\Message_Controllers\CAN_Bus\To_AC_CAN_Bus_Mess_Controller</v>
          </cell>
          <cell r="B295"/>
        </row>
        <row r="296">
          <cell r="A296" t="str">
            <v>Safety_CPU\Service_Layer\Airframe_Comms\Message_Controllers\Ethernet\From_AC_Ethernet_Mess_Controller</v>
          </cell>
          <cell r="B296"/>
        </row>
        <row r="297">
          <cell r="A297" t="str">
            <v>Safety_CPU\Service_Layer\Airframe_Comms\Message_Controllers\Ethernet\To_AC_Ethernet_Mess_Controller</v>
          </cell>
          <cell r="B297"/>
        </row>
        <row r="298">
          <cell r="A298" t="str">
            <v>Safety_CPU\Service_Layer\Airframe_Comms\Scheduler\From_Ac_Scheduler</v>
          </cell>
          <cell r="B298"/>
        </row>
        <row r="299">
          <cell r="A299" t="str">
            <v>Safety_CPU\Service_Layer\Airframe_Comms\Scheduler\To_Ac_Scheduler</v>
          </cell>
          <cell r="B299"/>
        </row>
        <row r="300">
          <cell r="A300" t="str">
            <v>Safety_CPU\Service_Layer\Airframe_Comms\Validate_Engine_Location</v>
          </cell>
          <cell r="B300"/>
        </row>
        <row r="301">
          <cell r="A301" t="str">
            <v>Safety_CPU\Service_Layer\Airframe_Comms\Validate_Inputs\Validate_Airframe_Inputs</v>
          </cell>
          <cell r="B301"/>
        </row>
        <row r="302">
          <cell r="A302" t="str">
            <v>Safety_CPU\Service_Layer\Airframe_Comms\Validate_Inputs\Validate_PRIM_Inputs</v>
          </cell>
          <cell r="B302"/>
        </row>
        <row r="303">
          <cell r="A303" t="str">
            <v>Safety_CPU\Service_Layer\DAC\DAC_Calculations</v>
          </cell>
          <cell r="B303"/>
        </row>
        <row r="304">
          <cell r="A304" t="str">
            <v>Safety_CPU\Service_Layer\DAC\DAC_Control</v>
          </cell>
          <cell r="B304"/>
        </row>
        <row r="305">
          <cell r="A305" t="str">
            <v>Safety_CPU\Service_Layer\DAC\IInt_DAC</v>
          </cell>
          <cell r="B305"/>
        </row>
        <row r="306">
          <cell r="A306" t="str">
            <v>Safety_CPU\Service_Layer\DAC\Validate_DAC_Inputs</v>
          </cell>
          <cell r="B306"/>
        </row>
        <row r="307">
          <cell r="A307" t="str">
            <v>Safety_CPU\Service_Layer\Inter_CPU_Comms\Direct_Comms_Safety</v>
          </cell>
          <cell r="B307"/>
        </row>
        <row r="308">
          <cell r="A308" t="str">
            <v>Safety_CPU\Service_Layer\Inter_CPU_Comms\Other_Channel_Comms_Fault</v>
          </cell>
          <cell r="B308">
            <v>6207</v>
          </cell>
        </row>
        <row r="309">
          <cell r="A309" t="str">
            <v>Safety_CPU\Service_Layer\Inter_CPU_Comms\Other_Processor_Comms</v>
          </cell>
          <cell r="B309">
            <v>6207</v>
          </cell>
        </row>
        <row r="310">
          <cell r="A310" t="str">
            <v>Safety_CPU\Service_Layer\Maintenance\Dispatch_Logic</v>
          </cell>
          <cell r="B310">
            <v>6230</v>
          </cell>
        </row>
        <row r="311">
          <cell r="A311" t="str">
            <v>Safety_CPU\Service_Layer\Maintenance\Failure_Message_Generator</v>
          </cell>
          <cell r="B311"/>
        </row>
        <row r="312">
          <cell r="A312" t="str">
            <v>Safety_CPU\Service_Layer\Maintenance\Failure_Message_Reporting</v>
          </cell>
          <cell r="B312"/>
        </row>
        <row r="313">
          <cell r="A313" t="str">
            <v>Safety_CPU\Service_Layer\Maintenance\Int_Maintenance</v>
          </cell>
          <cell r="B313"/>
        </row>
        <row r="314">
          <cell r="A314" t="str">
            <v>Safety_CPU\Service_Layer\Maintenance\Interactive_Maintenance\Bleed_Valve_Test</v>
          </cell>
          <cell r="B314"/>
        </row>
        <row r="315">
          <cell r="A315" t="str">
            <v>Safety_CPU\Service_Layer\Maintenance\Interactive_Maintenance\Core_Wash_Test</v>
          </cell>
          <cell r="B315"/>
        </row>
        <row r="316">
          <cell r="A316" t="str">
            <v>Safety_CPU\Service_Layer\Maintenance\Interactive_Maintenance\FMV_Test</v>
          </cell>
          <cell r="B316"/>
        </row>
        <row r="317">
          <cell r="A317" t="str">
            <v>Safety_CPU\Service_Layer\Maintenance\Interactive_Maintenance\Harness_Test</v>
          </cell>
          <cell r="B317"/>
        </row>
        <row r="318">
          <cell r="A318" t="str">
            <v>Safety_CPU\Service_Layer\Maintenance\Interactive_Maintenance\Igniter_Test</v>
          </cell>
          <cell r="B318"/>
        </row>
        <row r="319">
          <cell r="A319" t="str">
            <v>Safety_CPU\Service_Layer\Maintenance\Interactive_Maintenance\Interactive_Comms</v>
          </cell>
          <cell r="B319"/>
        </row>
        <row r="320">
          <cell r="A320" t="str">
            <v>Safety_CPU\Service_Layer\Maintenance\Interactive_Maintenance\Interactive_Engine_Controls</v>
          </cell>
          <cell r="B320"/>
        </row>
        <row r="321">
          <cell r="A321" t="str">
            <v>Safety_CPU\Service_Layer\Maintenance\Interactive_Maintenance\Interactive_Mode_Manager</v>
          </cell>
          <cell r="B321"/>
        </row>
        <row r="322">
          <cell r="A322" t="str">
            <v>Safety_CPU\Service_Layer\Maintenance\Interactive_Maintenance\Interactive_Reporting</v>
          </cell>
          <cell r="B322"/>
        </row>
        <row r="323">
          <cell r="A323" t="str">
            <v>Safety_CPU\Service_Layer\Maintenance\Interactive_Maintenance\Reports_Test</v>
          </cell>
          <cell r="B323"/>
        </row>
        <row r="324">
          <cell r="A324" t="str">
            <v>Safety_CPU\Service_Layer\Maintenance\Interactive_Maintenance\System_Test</v>
          </cell>
          <cell r="B324">
            <v>6233</v>
          </cell>
        </row>
        <row r="325">
          <cell r="A325" t="str">
            <v>Safety_CPU\Service_Layer\Maintenance\Interactive_Maintenance\VSV_Test</v>
          </cell>
          <cell r="B325"/>
        </row>
        <row r="326">
          <cell r="A326" t="str">
            <v>Safety_CPU\Service_Layer\Maintenance\MaintenanceCommon</v>
          </cell>
          <cell r="B326"/>
        </row>
        <row r="327">
          <cell r="A327" t="str">
            <v>Safety_CPU\Service_Layer\Maintenance\Status_Logic</v>
          </cell>
          <cell r="B327">
            <v>6230</v>
          </cell>
        </row>
        <row r="328">
          <cell r="A328" t="str">
            <v>Safety_CPU\Service_Layer\NVM\NVM_Manager_App_Data_Safety</v>
          </cell>
          <cell r="B328"/>
        </row>
        <row r="329">
          <cell r="A329" t="str">
            <v>Safety_CPU\Service_Layer\NVM\NVM_Manager_OMS_Fault_Report_Data</v>
          </cell>
          <cell r="B329"/>
        </row>
        <row r="330">
          <cell r="A330" t="str">
            <v>Safety_CPU\Service_Layer\Processor_Identification</v>
          </cell>
          <cell r="B330"/>
        </row>
        <row r="331">
          <cell r="A331" t="str">
            <v>Safety_CPU\System_Interfaces</v>
          </cell>
          <cell r="B331"/>
        </row>
        <row r="332">
          <cell r="A332" t="str">
            <v>Safety_CPU\System_Layer\Actuation\Front_Bearing_Housing_Oil_Bypass_Valve_Actuation</v>
          </cell>
          <cell r="B332"/>
        </row>
        <row r="333">
          <cell r="A333" t="str">
            <v>Safety_CPU\System_Layer\Actuation\Generator_Oil_Bypass_Valve_Actuation</v>
          </cell>
          <cell r="B333"/>
        </row>
        <row r="334">
          <cell r="A334" t="str">
            <v>Safety_CPU\System_Layer\Actuation\LP_Turbine_Case_Cooling_Actuation</v>
          </cell>
          <cell r="B334"/>
        </row>
        <row r="335">
          <cell r="A335" t="str">
            <v>Safety_CPU\System_Layer\Actuation\Modulated_Air_System_Actuation</v>
          </cell>
          <cell r="B335"/>
        </row>
        <row r="336">
          <cell r="A336" t="str">
            <v>Safety_CPU\System_Layer\Actuation\Nacelle_Anti_Ice_Actuation</v>
          </cell>
          <cell r="B336"/>
        </row>
        <row r="337">
          <cell r="A337" t="str">
            <v>Safety_CPU\System_Layer\Actuation\Protection_SOV_Actuation</v>
          </cell>
          <cell r="B337"/>
        </row>
        <row r="338">
          <cell r="A338" t="str">
            <v>Safety_CPU\System_Layer\Derive_and_Modelled_Parameters\Derive_Aircraft_State</v>
          </cell>
          <cell r="B338"/>
        </row>
        <row r="339">
          <cell r="A339" t="str">
            <v>Safety_CPU\System_Layer\Derive_and_Modelled_Parameters\Derive_Oil_Quantity</v>
          </cell>
          <cell r="B339"/>
        </row>
        <row r="340">
          <cell r="A340" t="str">
            <v>Safety_CPU\System_Layer\Minor_Loops\Minor_Loop_Internal_Boundaries</v>
          </cell>
          <cell r="B340"/>
        </row>
        <row r="341">
          <cell r="A341" t="str">
            <v>Safety_CPU\System_Layer\Minor_Loops\SOV_Safety_Minor_Loop</v>
          </cell>
          <cell r="B341"/>
        </row>
        <row r="342">
          <cell r="A342" t="str">
            <v>Safety_CPU\System_Layer\Minor_Loops\TCMA_Safety_Minor_Loop</v>
          </cell>
          <cell r="B342"/>
        </row>
        <row r="343">
          <cell r="A343" t="str">
            <v>Safety_CPU\System_Layer\Minor_Loops\beacon_code\sov_minor_loop_safety_d</v>
          </cell>
          <cell r="B343"/>
        </row>
        <row r="344">
          <cell r="A344" t="str">
            <v>Safety_CPU\System_Layer\Minor_Loops\beacon_code\tcma_minor_loop_safety_d</v>
          </cell>
          <cell r="B344"/>
        </row>
        <row r="345">
          <cell r="A345" t="str">
            <v>Safety_CPU\System_Layer\Report_Raw_Faults</v>
          </cell>
          <cell r="B345"/>
        </row>
        <row r="346">
          <cell r="A346" t="str">
            <v>Safety_CPU\System_Layer\Validation\Validate_Box_Temperatures</v>
          </cell>
          <cell r="B346"/>
        </row>
        <row r="347">
          <cell r="A347" t="str">
            <v>Safety_CPU\System_Layer\Validation\Validate_EEC_Cofig</v>
          </cell>
          <cell r="B347"/>
        </row>
        <row r="348">
          <cell r="A348" t="str">
            <v>Safety_CPU\System_Layer\Validation\Validate_Engine_Oil_Bypass_Valve_Position</v>
          </cell>
          <cell r="B348"/>
        </row>
        <row r="349">
          <cell r="A349" t="str">
            <v>Safety_CPU\System_Layer\Validation\Validate_ESS_Anti_Ice_Absolute_Pressure</v>
          </cell>
          <cell r="B349"/>
        </row>
        <row r="350">
          <cell r="A350" t="str">
            <v>Safety_CPU\System_Layer\Validation\Validate_Low_Oil_Pressure_Switch_Position</v>
          </cell>
          <cell r="B350"/>
        </row>
        <row r="351">
          <cell r="A351" t="str">
            <v>Safety_CPU\System_Layer\Validation\Validate_NIFast</v>
          </cell>
          <cell r="B351"/>
        </row>
        <row r="352">
          <cell r="A352" t="str">
            <v>Safety_CPU\System_Layer\Validation\Validate_NLFast</v>
          </cell>
          <cell r="B352"/>
        </row>
        <row r="353">
          <cell r="A353" t="str">
            <v>Safety_CPU\System_Layer\Validation\Validate_ODMS_Particle_Counts</v>
          </cell>
          <cell r="B353"/>
        </row>
        <row r="354">
          <cell r="A354" t="str">
            <v>Safety_CPU\System_Layer\Validation\Validate_Oil_Depth</v>
          </cell>
          <cell r="B354"/>
        </row>
        <row r="355">
          <cell r="A355" t="str">
            <v>Safety_CPU\System_Layer\Validation\Validate_SAV_Position</v>
          </cell>
          <cell r="B355"/>
        </row>
        <row r="356">
          <cell r="A356" t="str">
            <v>Safety_CPU\System_Layer\Validation\Validate_TCAF_Lower</v>
          </cell>
          <cell r="B356"/>
        </row>
        <row r="357">
          <cell r="A357" t="str">
            <v>Safety_CPU\System_Layer\Validation\Validate_Thrust_Reverser_Primary_Lock_Position</v>
          </cell>
          <cell r="B357"/>
        </row>
        <row r="358">
          <cell r="A358" t="str">
            <v>Safety_CPU\System_Layer\Validation\Validate_Thrust_Reverser_Tertiary_Lock_Position</v>
          </cell>
          <cell r="B358"/>
        </row>
        <row r="359">
          <cell r="A359" t="str">
            <v>Safety_CPU\System_Layer\Validation\Validate_Thrust_Reverser_Transcowl_Position</v>
          </cell>
          <cell r="B359"/>
        </row>
        <row r="360">
          <cell r="A360" t="str">
            <v>Safety_CPU\System_Layer\Validation\Validate_TOil</v>
          </cell>
          <cell r="B360"/>
        </row>
        <row r="361">
          <cell r="A361" t="str">
            <v>Safety_CPU\System_Layer\Validation\Validate_Turbine_Cooling_Air_Front_Temperature</v>
          </cell>
          <cell r="B361"/>
        </row>
        <row r="362">
          <cell r="A362" t="str">
            <v>Safety_CPU\System_Layer\Validation\Validate_Turbine_Cooling_Air_Rear_Temperature</v>
          </cell>
          <cell r="B362"/>
        </row>
        <row r="363">
          <cell r="A363" t="str">
            <v>Safety_CPU\System_Layer\Validation\Validate_Turbine_Oil_Fire_Temperatures</v>
          </cell>
          <cell r="B363"/>
        </row>
        <row r="364">
          <cell r="A364" t="str">
            <v>Safety_CPU\System_Layer\Validation\Validate_TZone1</v>
          </cell>
          <cell r="B364"/>
        </row>
        <row r="365">
          <cell r="A365" t="str">
            <v>Common\Operating_Software\AtoD_14_bit_IO_Component</v>
          </cell>
          <cell r="B365"/>
        </row>
        <row r="366">
          <cell r="A366" t="str">
            <v>Common\Operating_Software\CAN_IO_Component</v>
          </cell>
          <cell r="B366"/>
        </row>
        <row r="367">
          <cell r="A367" t="str">
            <v>Common\Operating_Software\channel_change_sl_common_d</v>
          </cell>
          <cell r="B367"/>
        </row>
        <row r="368">
          <cell r="A368" t="str">
            <v>Common\Operating_Software\continuous_checks_thread_common_d</v>
          </cell>
          <cell r="B368"/>
        </row>
        <row r="369">
          <cell r="A369" t="str">
            <v>Common\Operating_Software\continuous_tests_roots_common</v>
          </cell>
          <cell r="B369"/>
        </row>
        <row r="370">
          <cell r="A370" t="str">
            <v>Common\Operating_Software\CRC_Generator_IO_Layer_Component</v>
          </cell>
          <cell r="B370"/>
        </row>
        <row r="371">
          <cell r="A371" t="str">
            <v>Common\Operating_Software\CRC_Generator_Without_Seed_SL_Component</v>
          </cell>
          <cell r="B371"/>
        </row>
        <row r="372">
          <cell r="A372" t="str">
            <v>Common\Operating_Software\Cross_MCM_Inputs_Component</v>
          </cell>
          <cell r="B372"/>
        </row>
        <row r="373">
          <cell r="A373" t="str">
            <v>Common\Operating_Software\Cross_MCM_Outputs_Component</v>
          </cell>
          <cell r="B373"/>
        </row>
        <row r="374">
          <cell r="A374" t="str">
            <v>Common\Operating_Software\Discrete_Inputs_Component</v>
          </cell>
          <cell r="B374"/>
        </row>
        <row r="375">
          <cell r="A375" t="str">
            <v>Common\Operating_Software\Discrete_Outputs_Component</v>
          </cell>
          <cell r="B375"/>
        </row>
        <row r="376">
          <cell r="A376" t="str">
            <v>Common\Operating_Software\DtoA_Component</v>
          </cell>
          <cell r="B376"/>
        </row>
        <row r="377">
          <cell r="A377" t="str">
            <v>Common\Operating_Software\EMU_IO_Component</v>
          </cell>
          <cell r="B377"/>
        </row>
        <row r="378">
          <cell r="A378" t="str">
            <v>Common\Operating_Software\EMU_Root</v>
          </cell>
          <cell r="B378"/>
        </row>
        <row r="379">
          <cell r="A379" t="str">
            <v>Common\Operating_Software\FPS_Timer_IO_Component</v>
          </cell>
          <cell r="B379"/>
        </row>
        <row r="380">
          <cell r="A380" t="str">
            <v>Common\Operating_Software\FtoD_Component</v>
          </cell>
          <cell r="B380"/>
        </row>
        <row r="381">
          <cell r="A381" t="str">
            <v>Common\Operating_Software\fuel_control_switch_thread_common_d</v>
          </cell>
          <cell r="B381"/>
        </row>
        <row r="382">
          <cell r="A382" t="str">
            <v>Common\Operating_Software\GenericA664_Source_Common</v>
          </cell>
          <cell r="B382"/>
        </row>
        <row r="383">
          <cell r="A383" t="str">
            <v>Common\Operating_Software\globalconfig.adc</v>
          </cell>
          <cell r="B383"/>
        </row>
        <row r="384">
          <cell r="A384" t="str">
            <v>Common\Operating_Software\id_discretes_common_d</v>
          </cell>
          <cell r="B384"/>
        </row>
        <row r="385">
          <cell r="A385" t="str">
            <v>Common\Operating_Software\InterIC_Inputs_Component</v>
          </cell>
          <cell r="B385"/>
        </row>
        <row r="386">
          <cell r="A386" t="str">
            <v>Common\Operating_Software\InterIC_Outputs_Component</v>
          </cell>
          <cell r="B386"/>
        </row>
        <row r="387">
          <cell r="A387" t="str">
            <v>Common\Operating_Software\interrupt_handler_thread_common</v>
          </cell>
          <cell r="B387"/>
        </row>
        <row r="388">
          <cell r="A388" t="str">
            <v>Common\Operating_Software\Linear_Interpolator_Generic_Component</v>
          </cell>
          <cell r="B388"/>
        </row>
        <row r="389">
          <cell r="A389" t="str">
            <v>Common\Operating_Software\main_startup_d</v>
          </cell>
          <cell r="B389"/>
        </row>
        <row r="390">
          <cell r="A390" t="str">
            <v>Common\Operating_Software\Math_Functions_SL_Component</v>
          </cell>
          <cell r="B390"/>
        </row>
        <row r="391">
          <cell r="A391" t="str">
            <v>Common\Operating_Software\MCM_Input_Register_Component</v>
          </cell>
          <cell r="B391"/>
        </row>
        <row r="392">
          <cell r="A392" t="str">
            <v>Common\Operating_Software\MCM_Output_Register_Component</v>
          </cell>
          <cell r="B392"/>
        </row>
        <row r="393">
          <cell r="A393" t="str">
            <v>Common\Operating_Software\NVM_Interface</v>
          </cell>
          <cell r="B393"/>
        </row>
        <row r="394">
          <cell r="A394" t="str">
            <v>Common\Operating_Software\os_general_types_d</v>
          </cell>
          <cell r="B394"/>
        </row>
        <row r="395">
          <cell r="A395" t="str">
            <v>Common\Operating_Software\power_up_checks_roots_common</v>
          </cell>
          <cell r="B395"/>
        </row>
        <row r="396">
          <cell r="A396" t="str">
            <v>Common\Operating_Software\PUC_Test_DCC</v>
          </cell>
          <cell r="B396"/>
        </row>
        <row r="397">
          <cell r="A397" t="str">
            <v>Common\Operating_Software\Register_Inputs_Component</v>
          </cell>
          <cell r="B397"/>
        </row>
        <row r="398">
          <cell r="A398" t="str">
            <v>Common\Operating_Software\Register_Outputs_Component</v>
          </cell>
          <cell r="B398"/>
        </row>
        <row r="399">
          <cell r="A399" t="str">
            <v>Common\Operating_Software\Reset_Register_IO_Layer_Component</v>
          </cell>
          <cell r="B399"/>
        </row>
        <row r="400">
          <cell r="A400" t="str">
            <v>Common\Operating_Software\Serial_Interface_Component</v>
          </cell>
          <cell r="B400"/>
        </row>
        <row r="401">
          <cell r="A401" t="str">
            <v>Common\Operating_Software\Shaft_Break_FtoD_IO_Component</v>
          </cell>
          <cell r="B401"/>
        </row>
        <row r="402">
          <cell r="A402" t="str">
            <v>Common\Operating_Software\Solenoid_Drive_Component</v>
          </cell>
          <cell r="B402"/>
        </row>
        <row r="403">
          <cell r="A403" t="str">
            <v>Common\Operating_Software\Test_Port_Inputs_Component</v>
          </cell>
          <cell r="B403"/>
        </row>
        <row r="404">
          <cell r="A404" t="str">
            <v>Common\Operating_Software\Test_Port_Outputs_Component</v>
          </cell>
          <cell r="B404"/>
        </row>
        <row r="405">
          <cell r="A405" t="str">
            <v>Common\Operating_Software\test_ports_thread_common_d</v>
          </cell>
          <cell r="B405"/>
        </row>
        <row r="406">
          <cell r="A406" t="str">
            <v>Common\Operating_Software\upload_common_d</v>
          </cell>
          <cell r="B406"/>
        </row>
        <row r="407">
          <cell r="A407" t="str">
            <v>Common\Operating_Software\xwb_br725_reuse_common_d</v>
          </cell>
          <cell r="B407"/>
        </row>
        <row r="408">
          <cell r="A408" t="str">
            <v>Common\Operating_Software\xwb_trent1000_reuse_common_d</v>
          </cell>
          <cell r="B408"/>
        </row>
        <row r="409">
          <cell r="A409" t="str">
            <v>Control_CPU\Operating_Software\adc_container_control_d</v>
          </cell>
          <cell r="B409"/>
        </row>
        <row r="410">
          <cell r="A410" t="str">
            <v>Control_CPU\Operating_Software\adc_thread_control_d</v>
          </cell>
          <cell r="B410"/>
        </row>
        <row r="411">
          <cell r="A411" t="str">
            <v>Control_CPU\Operating_Software\channel_change_thread_control_d</v>
          </cell>
          <cell r="B411"/>
        </row>
        <row r="412">
          <cell r="A412" t="str">
            <v>Control_CPU\Operating_Software\continuous_tests_thread_control</v>
          </cell>
          <cell r="B412"/>
        </row>
        <row r="413">
          <cell r="A413" t="str">
            <v>Control_CPU\Operating_Software\cross_channel_thread_control_d</v>
          </cell>
          <cell r="B413"/>
        </row>
        <row r="414">
          <cell r="A414" t="str">
            <v>Control_CPU\Operating_Software\cross_processor_thread_control_d</v>
          </cell>
          <cell r="B414"/>
        </row>
        <row r="415">
          <cell r="A415" t="str">
            <v>Control_CPU\Operating_Software\dep_control_d</v>
          </cell>
          <cell r="B415"/>
        </row>
        <row r="416">
          <cell r="A416" t="str">
            <v>Control_CPU\Operating_Software\dor_container_control_d</v>
          </cell>
          <cell r="B416"/>
        </row>
        <row r="417">
          <cell r="A417" t="str">
            <v>Control_CPU\Operating_Software\emu_thread_control_d</v>
          </cell>
          <cell r="B417"/>
        </row>
        <row r="418">
          <cell r="A418" t="str">
            <v>Control_CPU\Operating_Software\fuel_flow_thread_control_d</v>
          </cell>
          <cell r="B418"/>
        </row>
        <row r="419">
          <cell r="A419" t="str">
            <v>Control_CPU\Operating_Software\igniters_thread_control_d</v>
          </cell>
          <cell r="B419"/>
        </row>
        <row r="420">
          <cell r="A420" t="str">
            <v>Control_CPU\Operating_Software\interrupt_handler_thread_control</v>
          </cell>
          <cell r="B420"/>
        </row>
        <row r="421">
          <cell r="A421" t="str">
            <v>Control_CPU\Operating_Software\lvdts_thread_control_d</v>
          </cell>
          <cell r="B421">
            <v>6233</v>
          </cell>
        </row>
        <row r="422">
          <cell r="A422" t="str">
            <v>Control_CPU\Operating_Software\nvm_thread_control_d</v>
          </cell>
          <cell r="B422"/>
        </row>
        <row r="423">
          <cell r="A423" t="str">
            <v>Control_CPU\Operating_Software\os_kernel_thread_control</v>
          </cell>
          <cell r="B423"/>
        </row>
        <row r="424">
          <cell r="A424" t="str">
            <v>Control_CPU\Operating_Software\oscommand_control_d</v>
          </cell>
          <cell r="B424">
            <v>6233</v>
          </cell>
        </row>
        <row r="425">
          <cell r="A425" t="str">
            <v>Control_CPU\Operating_Software\potentiometers_thread_control_d</v>
          </cell>
          <cell r="B425"/>
        </row>
        <row r="426">
          <cell r="A426" t="str">
            <v>Control_CPU\Operating_Software\power_rail_monitoring_thread_control_d</v>
          </cell>
          <cell r="B426">
            <v>6233</v>
          </cell>
        </row>
        <row r="427">
          <cell r="A427" t="str">
            <v>Control_CPU\Operating_Software\power_up_checks_thread_control</v>
          </cell>
          <cell r="B427"/>
        </row>
        <row r="428">
          <cell r="A428" t="str">
            <v>Control_CPU\Operating_Software\pressures_thread_control_d</v>
          </cell>
          <cell r="B428"/>
        </row>
        <row r="429">
          <cell r="A429" t="str">
            <v>Control_CPU\Operating_Software\project_identifier_control_d</v>
          </cell>
          <cell r="B429"/>
        </row>
        <row r="430">
          <cell r="A430" t="str">
            <v>Control_CPU\Operating_Software\register_comms_thread_control_d</v>
          </cell>
          <cell r="B430"/>
        </row>
        <row r="431">
          <cell r="A431" t="str">
            <v>Control_CPU\Operating_Software\simple_transfer_comms_containers_control_d</v>
          </cell>
          <cell r="B431"/>
        </row>
        <row r="432">
          <cell r="A432" t="str">
            <v>Control_CPU\Operating_Software\smartcal_thread_control_d</v>
          </cell>
          <cell r="B432"/>
        </row>
        <row r="433">
          <cell r="A433" t="str">
            <v>Control_CPU\Operating_Software\solenoids_thread_control_d</v>
          </cell>
          <cell r="B433"/>
        </row>
        <row r="434">
          <cell r="A434" t="str">
            <v>Control_CPU\Operating_Software\sov_thread_control_d</v>
          </cell>
          <cell r="B434"/>
        </row>
        <row r="435">
          <cell r="A435" t="str">
            <v>Control_CPU\Operating_Software\spares_thread_control_d</v>
          </cell>
          <cell r="B435"/>
        </row>
        <row r="436">
          <cell r="A436" t="str">
            <v>Control_CPU\Operating_Software\speeds_thread_control_d</v>
          </cell>
          <cell r="B436"/>
        </row>
        <row r="437">
          <cell r="A437" t="str">
            <v>Control_CPU\Operating_Software\temperatures_thread_control_d</v>
          </cell>
          <cell r="B437"/>
        </row>
        <row r="438">
          <cell r="A438" t="str">
            <v>Control_CPU\Operating_Software\torque_motors_thread_control_d</v>
          </cell>
          <cell r="B438">
            <v>6233</v>
          </cell>
        </row>
        <row r="439">
          <cell r="A439" t="str">
            <v>Safety_CPU\Operating_Software\adc_container_safety_d</v>
          </cell>
          <cell r="B439"/>
        </row>
        <row r="440">
          <cell r="A440" t="str">
            <v>Safety_CPU\Operating_Software\adc_thread_safety_d</v>
          </cell>
          <cell r="B440"/>
        </row>
        <row r="441">
          <cell r="A441" t="str">
            <v>Safety_CPU\Operating_Software\arinc_664_interfaces_safety_d</v>
          </cell>
          <cell r="B441"/>
        </row>
        <row r="442">
          <cell r="A442" t="str">
            <v>Safety_CPU\Operating_Software\build_standard_safety_d</v>
          </cell>
          <cell r="B442"/>
        </row>
        <row r="443">
          <cell r="A443" t="str">
            <v>Safety_CPU\Operating_Software\can_thread_safety_d</v>
          </cell>
          <cell r="B443"/>
        </row>
        <row r="444">
          <cell r="A444" t="str">
            <v>Safety_CPU\Operating_Software\channel_change_thread_safety_d</v>
          </cell>
          <cell r="B444"/>
        </row>
        <row r="445">
          <cell r="A445" t="str">
            <v>Safety_CPU\Operating_Software\continuous_tests_thread_safety</v>
          </cell>
          <cell r="B445"/>
        </row>
        <row r="446">
          <cell r="A446" t="str">
            <v>Safety_CPU\Operating_Software\cross_channel_thread_safety_d</v>
          </cell>
          <cell r="B446"/>
        </row>
        <row r="447">
          <cell r="A447" t="str">
            <v>Safety_CPU\Operating_Software\cross_processor_thread_safety_d</v>
          </cell>
          <cell r="B447"/>
        </row>
        <row r="448">
          <cell r="A448" t="str">
            <v>Safety_CPU\Operating_Software\dor_container_safety_d</v>
          </cell>
          <cell r="B448"/>
        </row>
        <row r="449">
          <cell r="A449" t="str">
            <v>Safety_CPU\Operating_Software\eec_config_data_root_safety_d</v>
          </cell>
          <cell r="B449"/>
        </row>
        <row r="450">
          <cell r="A450" t="str">
            <v>Safety_CPU\Operating_Software\GenericA664_Source_Safety</v>
          </cell>
          <cell r="B450"/>
        </row>
        <row r="451">
          <cell r="A451" t="str">
            <v>Safety_CPU\Operating_Software\interrupt_handler_thread_safety</v>
          </cell>
          <cell r="B451"/>
        </row>
        <row r="452">
          <cell r="A452" t="str">
            <v>Safety_CPU\Operating_Software\lvdts_thread_safety_d</v>
          </cell>
          <cell r="B452"/>
        </row>
        <row r="453">
          <cell r="A453" t="str">
            <v>Safety_CPU\Operating_Software\nvm_thread_safety_d</v>
          </cell>
          <cell r="B453"/>
        </row>
        <row r="454">
          <cell r="A454" t="str">
            <v>Safety_CPU\Operating_Software\odms_thread_safety_d</v>
          </cell>
          <cell r="B454"/>
        </row>
        <row r="455">
          <cell r="A455" t="str">
            <v>Safety_CPU\Operating_Software\os_kernel_thread_safety_d</v>
          </cell>
          <cell r="B455"/>
        </row>
        <row r="456">
          <cell r="A456" t="str">
            <v>Safety_CPU\Operating_Software\oscommand_safety_d</v>
          </cell>
          <cell r="B456"/>
        </row>
        <row r="457">
          <cell r="A457" t="str">
            <v>Safety_CPU\Operating_Software\potentiometers_thread_safety_d</v>
          </cell>
          <cell r="B457"/>
        </row>
        <row r="458">
          <cell r="A458" t="str">
            <v>Safety_CPU\Operating_Software\power_rail_monitoring_thread_safety_d</v>
          </cell>
          <cell r="B458"/>
        </row>
        <row r="459">
          <cell r="A459" t="str">
            <v>Safety_CPU\Operating_Software\power_up_checks_thread_safety_d</v>
          </cell>
          <cell r="B459"/>
        </row>
        <row r="460">
          <cell r="A460" t="str">
            <v>Safety_CPU\Operating_Software\pressures_thread_safety_d</v>
          </cell>
          <cell r="B460"/>
        </row>
        <row r="461">
          <cell r="A461" t="str">
            <v>Safety_CPU\Operating_Software\project_identifier_safety_d</v>
          </cell>
          <cell r="B461"/>
        </row>
        <row r="462">
          <cell r="A462" t="str">
            <v>Safety_CPU\Operating_Software\proximity_inputs_thread_safety_d</v>
          </cell>
          <cell r="B462"/>
        </row>
        <row r="463">
          <cell r="A463" t="str">
            <v>Safety_CPU\Operating_Software\register_comms_thread_safety_d</v>
          </cell>
          <cell r="B463"/>
        </row>
        <row r="464">
          <cell r="A464" t="str">
            <v>Safety_CPU\Operating_Software\reset_safe_ram_safety_d</v>
          </cell>
          <cell r="B464"/>
        </row>
        <row r="465">
          <cell r="A465" t="str">
            <v>Safety_CPU\Operating_Software\sav_thread_safety_d</v>
          </cell>
          <cell r="B465"/>
        </row>
        <row r="466">
          <cell r="A466" t="str">
            <v>Safety_CPU\Operating_Software\simple_transfer_comms_containers_safety_d</v>
          </cell>
          <cell r="B466"/>
        </row>
        <row r="467">
          <cell r="A467" t="str">
            <v>Safety_CPU\Operating_Software\sis_module_thread_safety_d</v>
          </cell>
          <cell r="B467"/>
        </row>
        <row r="468">
          <cell r="A468" t="str">
            <v>Safety_CPU\Operating_Software\solenoids_thread_safety_d</v>
          </cell>
          <cell r="B468"/>
        </row>
        <row r="469">
          <cell r="A469" t="str">
            <v>Safety_CPU\Operating_Software\sov_thread_safety_d</v>
          </cell>
          <cell r="B469"/>
        </row>
        <row r="470">
          <cell r="A470" t="str">
            <v>Safety_CPU\Operating_Software\spares_thread_safety_d</v>
          </cell>
          <cell r="B470"/>
        </row>
        <row r="471">
          <cell r="A471" t="str">
            <v>Safety_CPU\Operating_Software\speeds_thread_safety_d</v>
          </cell>
          <cell r="B471"/>
        </row>
        <row r="472">
          <cell r="A472" t="str">
            <v>Safety_CPU\Operating_Software\tcma_thread_safety_d</v>
          </cell>
          <cell r="B472"/>
        </row>
        <row r="473">
          <cell r="A473" t="str">
            <v>Safety_CPU\Operating_Software\temperatures_thread_safety_d</v>
          </cell>
          <cell r="B473"/>
        </row>
        <row r="474">
          <cell r="A474" t="str">
            <v>Safety_CPU\Operating_Software\torque_motors_thread_safety_d</v>
          </cell>
          <cell r="B474"/>
        </row>
        <row r="475">
          <cell r="A475" t="str">
            <v>Trims\ACComms</v>
          </cell>
          <cell r="B475"/>
        </row>
        <row r="476">
          <cell r="A476" t="str">
            <v>Trims\Control</v>
          </cell>
          <cell r="B476"/>
        </row>
        <row r="477">
          <cell r="A477" t="str">
            <v>Trims\Safety</v>
          </cell>
          <cell r="B477"/>
        </row>
        <row r="478">
          <cell r="A478" t="str">
            <v>SWDL_Loaders\Bootloader_Manager</v>
          </cell>
          <cell r="B478"/>
        </row>
        <row r="479">
          <cell r="A479" t="str">
            <v>ACComms_CPU\Operating_Software\GenericA664_Source_ACComms\ACComms</v>
          </cell>
          <cell r="B479"/>
        </row>
        <row r="481">
          <cell r="A481" t="str">
            <v>[on allocation sheet]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C2" t="str">
            <v>High|Vhigh</v>
          </cell>
          <cell r="D2">
            <v>435</v>
          </cell>
        </row>
        <row r="3">
          <cell r="C3" t="str">
            <v>High|High</v>
          </cell>
          <cell r="D3">
            <v>227</v>
          </cell>
          <cell r="H3">
            <v>0.26287241873400169</v>
          </cell>
          <cell r="I3">
            <v>0.75</v>
          </cell>
          <cell r="J3">
            <v>0.18</v>
          </cell>
          <cell r="K3">
            <v>0.05</v>
          </cell>
          <cell r="L3">
            <v>0.02</v>
          </cell>
        </row>
        <row r="4">
          <cell r="C4" t="str">
            <v>High|Medium</v>
          </cell>
          <cell r="D4">
            <v>136</v>
          </cell>
          <cell r="H4">
            <v>0.48802484562365694</v>
          </cell>
          <cell r="I4">
            <v>0.5</v>
          </cell>
          <cell r="J4">
            <v>0.25</v>
          </cell>
          <cell r="K4">
            <v>0.18</v>
          </cell>
          <cell r="L4">
            <v>7.0000000000000007E-2</v>
          </cell>
        </row>
        <row r="5">
          <cell r="C5" t="str">
            <v>High|Low</v>
          </cell>
          <cell r="D5">
            <v>65</v>
          </cell>
          <cell r="H5">
            <v>0.24910273564234131</v>
          </cell>
          <cell r="I5">
            <v>0.5</v>
          </cell>
          <cell r="J5">
            <v>0.25</v>
          </cell>
          <cell r="K5">
            <v>0.18</v>
          </cell>
          <cell r="L5">
            <v>7.0000000000000007E-2</v>
          </cell>
        </row>
        <row r="6">
          <cell r="C6" t="str">
            <v>High|Vlow</v>
          </cell>
          <cell r="D6">
            <v>14</v>
          </cell>
        </row>
        <row r="7">
          <cell r="C7" t="str">
            <v>Medium|Vhigh</v>
          </cell>
          <cell r="D7">
            <v>310</v>
          </cell>
        </row>
        <row r="8">
          <cell r="C8" t="str">
            <v>Medium|High</v>
          </cell>
          <cell r="D8">
            <v>169</v>
          </cell>
        </row>
        <row r="9">
          <cell r="C9" t="str">
            <v>Medium|Medium</v>
          </cell>
          <cell r="D9">
            <v>104</v>
          </cell>
        </row>
        <row r="10">
          <cell r="C10" t="str">
            <v>Medium|Low</v>
          </cell>
          <cell r="D10">
            <v>48</v>
          </cell>
        </row>
        <row r="11">
          <cell r="C11" t="str">
            <v>Medium|Vlow</v>
          </cell>
          <cell r="D11">
            <v>13</v>
          </cell>
        </row>
        <row r="12">
          <cell r="C12" t="str">
            <v>Low|Vhigh</v>
          </cell>
          <cell r="D12">
            <v>179</v>
          </cell>
        </row>
        <row r="13">
          <cell r="C13" t="str">
            <v>Low|High</v>
          </cell>
          <cell r="D13">
            <v>76</v>
          </cell>
        </row>
        <row r="14">
          <cell r="C14" t="str">
            <v>Low|Medium</v>
          </cell>
          <cell r="D14">
            <v>45</v>
          </cell>
        </row>
        <row r="15">
          <cell r="C15" t="str">
            <v>Low|Low</v>
          </cell>
          <cell r="D15">
            <v>25</v>
          </cell>
        </row>
        <row r="16">
          <cell r="C16" t="str">
            <v>Low|Vlow</v>
          </cell>
          <cell r="D16">
            <v>11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BC47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W10" sqref="W10"/>
    </sheetView>
  </sheetViews>
  <sheetFormatPr defaultColWidth="9.140625" defaultRowHeight="12.75" x14ac:dyDescent="0.2"/>
  <cols>
    <col min="1" max="1" width="94.28515625" style="2" customWidth="1"/>
    <col min="2" max="2" width="8.5703125" style="3" customWidth="1"/>
    <col min="3" max="3" width="8.140625" style="3" customWidth="1"/>
    <col min="4" max="4" width="6.85546875" style="3" bestFit="1" customWidth="1"/>
    <col min="5" max="5" width="7.28515625" style="4" customWidth="1"/>
    <col min="6" max="6" width="8" style="4" customWidth="1"/>
    <col min="7" max="7" width="5.140625" style="83" customWidth="1"/>
    <col min="8" max="8" width="7" style="84" customWidth="1"/>
    <col min="9" max="9" width="3.140625" style="84" customWidth="1"/>
    <col min="10" max="10" width="6.42578125" style="84" customWidth="1"/>
    <col min="11" max="11" width="7.5703125" style="84" customWidth="1"/>
    <col min="12" max="14" width="4.140625" style="84" customWidth="1"/>
    <col min="15" max="15" width="6.7109375" style="84" bestFit="1" customWidth="1"/>
    <col min="16" max="16" width="8.28515625" style="84" customWidth="1"/>
    <col min="17" max="17" width="6.140625" style="80" customWidth="1"/>
    <col min="18" max="18" width="8.7109375" style="80" bestFit="1" customWidth="1"/>
    <col min="19" max="19" width="5.42578125" style="80" customWidth="1"/>
    <col min="20" max="20" width="7.28515625" style="80" customWidth="1"/>
    <col min="21" max="21" width="5.42578125" style="80" customWidth="1"/>
    <col min="22" max="22" width="6.28515625" style="80" customWidth="1"/>
    <col min="23" max="25" width="5.42578125" style="80" customWidth="1"/>
    <col min="26" max="26" width="7" style="80" customWidth="1"/>
    <col min="27" max="27" width="6.140625" style="85" customWidth="1"/>
    <col min="28" max="28" width="8.5703125" style="15" bestFit="1" customWidth="1"/>
    <col min="29" max="29" width="5.42578125" style="15" customWidth="1"/>
    <col min="30" max="30" width="8.5703125" style="15" customWidth="1"/>
    <col min="31" max="31" width="5.42578125" style="15" customWidth="1"/>
    <col min="32" max="32" width="7.28515625" style="15" customWidth="1"/>
    <col min="33" max="33" width="5.42578125" style="15" customWidth="1"/>
    <col min="34" max="34" width="7.28515625" style="15" customWidth="1"/>
    <col min="35" max="35" width="5.42578125" style="15" customWidth="1"/>
    <col min="36" max="36" width="7.42578125" style="15" bestFit="1" customWidth="1"/>
    <col min="37" max="37" width="7.7109375" style="85" bestFit="1" customWidth="1"/>
    <col min="38" max="38" width="7.28515625" style="15" bestFit="1" customWidth="1"/>
    <col min="39" max="39" width="5.42578125" style="15" customWidth="1"/>
    <col min="40" max="40" width="7.28515625" style="15" bestFit="1" customWidth="1"/>
    <col min="41" max="41" width="5.42578125" style="85" customWidth="1"/>
    <col min="42" max="42" width="7.28515625" style="15" bestFit="1" customWidth="1"/>
    <col min="43" max="43" width="5.42578125" style="15" customWidth="1"/>
    <col min="44" max="44" width="7.28515625" style="15" bestFit="1" customWidth="1"/>
    <col min="45" max="45" width="26.5703125" style="20" bestFit="1" customWidth="1"/>
    <col min="46" max="46" width="14.140625" style="21" customWidth="1"/>
    <col min="47" max="47" width="5.7109375" style="21" bestFit="1" customWidth="1"/>
    <col min="48" max="48" width="6.7109375" style="21" customWidth="1"/>
    <col min="49" max="49" width="5.140625" style="21" bestFit="1" customWidth="1"/>
    <col min="50" max="51" width="5.140625" style="20" bestFit="1" customWidth="1"/>
    <col min="52" max="55" width="3.85546875" style="22" bestFit="1" customWidth="1"/>
    <col min="56" max="16384" width="9.140625" style="23"/>
  </cols>
  <sheetData>
    <row r="1" spans="1:55" x14ac:dyDescent="0.2">
      <c r="A1" s="2" t="s">
        <v>154</v>
      </c>
      <c r="G1" s="5">
        <f>COUNTIF(G8:G466,"Y")</f>
        <v>26</v>
      </c>
      <c r="H1" s="6">
        <f>COUNTIF(H8:H466,"Y")</f>
        <v>0</v>
      </c>
      <c r="I1" s="7">
        <f>COUNTIF(I8:I466,"Y")</f>
        <v>16</v>
      </c>
      <c r="J1" s="7">
        <f>COUNTIF(J8:J466,"Y")</f>
        <v>29</v>
      </c>
      <c r="K1" s="8">
        <f>COUNTIF(K8:K466,"Y")</f>
        <v>25</v>
      </c>
      <c r="L1" s="9">
        <f>H1+I1</f>
        <v>16</v>
      </c>
      <c r="M1" s="9">
        <f>H1+J1</f>
        <v>29</v>
      </c>
      <c r="N1" s="9">
        <f>H1+K1</f>
        <v>25</v>
      </c>
      <c r="O1" s="10"/>
      <c r="P1" s="10"/>
      <c r="Q1" s="11" t="s">
        <v>72</v>
      </c>
      <c r="R1" s="11"/>
      <c r="S1" s="11"/>
      <c r="T1" s="11"/>
      <c r="U1" s="11"/>
      <c r="V1" s="11"/>
      <c r="W1" s="11"/>
      <c r="X1" s="11"/>
      <c r="Y1" s="12"/>
      <c r="Z1" s="12"/>
      <c r="AA1" s="13" t="s">
        <v>77</v>
      </c>
      <c r="AB1" s="14"/>
      <c r="AC1" s="14"/>
      <c r="AD1" s="14"/>
      <c r="AE1" s="14"/>
      <c r="AF1" s="14"/>
      <c r="AG1" s="14"/>
      <c r="AH1" s="14"/>
      <c r="AK1" s="16" t="s">
        <v>155</v>
      </c>
      <c r="AL1" s="17"/>
      <c r="AM1" s="18"/>
      <c r="AN1" s="18"/>
      <c r="AO1" s="19"/>
      <c r="AP1" s="18"/>
      <c r="AQ1" s="18"/>
      <c r="AR1" s="18"/>
    </row>
    <row r="2" spans="1:55" s="49" customFormat="1" ht="201" x14ac:dyDescent="0.2">
      <c r="A2" s="24" t="s">
        <v>0</v>
      </c>
      <c r="B2" s="25" t="s">
        <v>156</v>
      </c>
      <c r="C2" s="25" t="s">
        <v>157</v>
      </c>
      <c r="D2" s="25" t="s">
        <v>158</v>
      </c>
      <c r="E2" s="26" t="s">
        <v>159</v>
      </c>
      <c r="F2" s="27" t="s">
        <v>160</v>
      </c>
      <c r="G2" s="28" t="s">
        <v>161</v>
      </c>
      <c r="H2" s="29" t="s">
        <v>162</v>
      </c>
      <c r="I2" s="30" t="s">
        <v>163</v>
      </c>
      <c r="J2" s="31" t="s">
        <v>164</v>
      </c>
      <c r="K2" s="32" t="s">
        <v>165</v>
      </c>
      <c r="L2" s="30" t="s">
        <v>166</v>
      </c>
      <c r="M2" s="31" t="s">
        <v>167</v>
      </c>
      <c r="N2" s="32" t="s">
        <v>168</v>
      </c>
      <c r="O2" s="33" t="s">
        <v>169</v>
      </c>
      <c r="P2" s="33" t="s">
        <v>170</v>
      </c>
      <c r="Q2" s="34" t="s">
        <v>171</v>
      </c>
      <c r="R2" s="34" t="s">
        <v>172</v>
      </c>
      <c r="S2" s="35" t="s">
        <v>173</v>
      </c>
      <c r="T2" s="35" t="s">
        <v>174</v>
      </c>
      <c r="U2" s="34" t="s">
        <v>175</v>
      </c>
      <c r="V2" s="34" t="s">
        <v>176</v>
      </c>
      <c r="W2" s="35" t="s">
        <v>177</v>
      </c>
      <c r="X2" s="35" t="s">
        <v>178</v>
      </c>
      <c r="Y2" s="36"/>
      <c r="Z2" s="37" t="s">
        <v>179</v>
      </c>
      <c r="AA2" s="38" t="s">
        <v>180</v>
      </c>
      <c r="AB2" s="39" t="s">
        <v>181</v>
      </c>
      <c r="AC2" s="40" t="s">
        <v>182</v>
      </c>
      <c r="AD2" s="40" t="s">
        <v>183</v>
      </c>
      <c r="AE2" s="39" t="s">
        <v>184</v>
      </c>
      <c r="AF2" s="39" t="s">
        <v>185</v>
      </c>
      <c r="AG2" s="40" t="s">
        <v>186</v>
      </c>
      <c r="AH2" s="40" t="s">
        <v>187</v>
      </c>
      <c r="AI2" s="41"/>
      <c r="AJ2" s="37" t="s">
        <v>165</v>
      </c>
      <c r="AK2" s="42" t="s">
        <v>188</v>
      </c>
      <c r="AL2" s="43" t="s">
        <v>189</v>
      </c>
      <c r="AM2" s="44" t="s">
        <v>190</v>
      </c>
      <c r="AN2" s="44" t="s">
        <v>191</v>
      </c>
      <c r="AO2" s="42" t="s">
        <v>192</v>
      </c>
      <c r="AP2" s="43" t="s">
        <v>193</v>
      </c>
      <c r="AQ2" s="44" t="s">
        <v>194</v>
      </c>
      <c r="AR2" s="44" t="s">
        <v>195</v>
      </c>
      <c r="AS2" s="45" t="s">
        <v>196</v>
      </c>
      <c r="AT2" s="46" t="s">
        <v>197</v>
      </c>
      <c r="AU2" s="47" t="s">
        <v>198</v>
      </c>
      <c r="AV2" s="47" t="s">
        <v>199</v>
      </c>
      <c r="AW2" s="47" t="s">
        <v>200</v>
      </c>
      <c r="AX2" s="47" t="s">
        <v>201</v>
      </c>
      <c r="AY2" s="47" t="s">
        <v>202</v>
      </c>
      <c r="AZ2" s="48" t="s">
        <v>203</v>
      </c>
      <c r="BA2" s="48" t="s">
        <v>204</v>
      </c>
      <c r="BB2" s="48" t="s">
        <v>205</v>
      </c>
      <c r="BC2" s="48" t="s">
        <v>206</v>
      </c>
    </row>
    <row r="3" spans="1:55" hidden="1" x14ac:dyDescent="0.2">
      <c r="A3" s="50" t="s">
        <v>207</v>
      </c>
      <c r="B3" s="51" t="s">
        <v>208</v>
      </c>
      <c r="C3" s="51" t="s">
        <v>209</v>
      </c>
      <c r="D3" s="51"/>
      <c r="E3" s="52">
        <f>IF(G3="Y",VLOOKUP(B3&amp;"|"&amp;C3,'[1]ETC Data'!$C$2:$D$16,2,FALSE),0)</f>
        <v>0</v>
      </c>
      <c r="F3" s="52">
        <f>IF(D3="",0,IF(G3="Y",VLOOKUP(B3&amp;"|"&amp;D3,'[1]ETC Data'!$C$2:$D$16,2,FALSE),0))</f>
        <v>0</v>
      </c>
      <c r="G3" s="53" t="str">
        <f>IF(VLOOKUP(A3,[1]Plan!A$1:H$804,8,FALSE)&lt;&gt;"",VLOOKUP(A3,[1]Plan!A$1:H$804,8,FALSE),"")</f>
        <v>N</v>
      </c>
      <c r="H3" s="54" t="str">
        <f>IF(VLOOKUP(A3,[1]Plan!A$1:L$804,12,FALSE)&lt;&gt;"",VLOOKUP(A3,[1]Plan!A$1:L$804,12,FALSE),"")</f>
        <v>Y</v>
      </c>
      <c r="I3" s="55" t="str">
        <f>IF(VLOOKUP(A3,[1]Plan!A$1:M$804,13,FALSE)&lt;&gt;"",VLOOKUP(A3,[1]Plan!A$1:M$804,13,FALSE),"")</f>
        <v/>
      </c>
      <c r="J3" s="55" t="str">
        <f>IF(VLOOKUP(A3,[1]Plan!A$1:N$804,14,FALSE)&lt;&gt;"",VLOOKUP(A3,[1]Plan!A$1:N$804,14,FALSE),IF(VLOOKUP(A3,[1]Plan!A$1:O$804,15,FALSE)&lt;&gt;"",VLOOKUP(A3,[1]Plan!A$1:O$804,15,FALSE),""))</f>
        <v/>
      </c>
      <c r="K3" s="56" t="str">
        <f>IF(VLOOKUP(A3,[1]Plan!A$1:P$804,16,FALSE)&lt;&gt;"",VLOOKUP(A3,[1]Plan!A$1:P$804,16,FALSE),"")</f>
        <v/>
      </c>
      <c r="L3" s="55"/>
      <c r="M3" s="55"/>
      <c r="N3" s="55"/>
      <c r="O3" s="57">
        <f t="shared" ref="O3:O66" si="0">IF(F3=0,E3,F3)</f>
        <v>0</v>
      </c>
      <c r="P3" s="57" t="b">
        <f>OR(H3="Y",I3="Y")</f>
        <v>1</v>
      </c>
      <c r="Q3" s="58">
        <f>IF(P3,O3*'[1]ETC Data'!$H$3*'[1]ETC Data'!$I$3,0)</f>
        <v>0</v>
      </c>
      <c r="R3" s="58">
        <f>Q3-(Q3*((VLOOKUP(A3,[1]Plan!A$1:Z$804,26,FALSE)/100)))</f>
        <v>0</v>
      </c>
      <c r="S3" s="58">
        <f>IF(P3,O3*'[1]ETC Data'!$H$3*'[1]ETC Data'!$J$3,0)</f>
        <v>0</v>
      </c>
      <c r="T3" s="58">
        <f>S3-(S3*((VLOOKUP(A3,[1]Plan!A$1:AA$804,27,FALSE)/100)))</f>
        <v>0</v>
      </c>
      <c r="U3" s="58">
        <f>IF(P3,O3*'[1]ETC Data'!$H$3*'[1]ETC Data'!$K$3,0)</f>
        <v>0</v>
      </c>
      <c r="V3" s="58">
        <f>U3-(U3*((VLOOKUP(A3,[1]Plan!A$1:AB$804,28,FALSE)/100)))</f>
        <v>0</v>
      </c>
      <c r="W3" s="58">
        <f>IF(P3,O3*'[1]ETC Data'!$H$3*'[1]ETC Data'!$L$3,0)</f>
        <v>0</v>
      </c>
      <c r="X3" s="58">
        <f>W3-(W3*((VLOOKUP(A3,[1]Plan!A$1:AC$804,29,FALSE)/100)))</f>
        <v>0</v>
      </c>
      <c r="Y3" s="59"/>
      <c r="Z3" s="60" t="b">
        <f t="shared" ref="Z3:Z66" si="1">OR(H3="Y",J3="Y")</f>
        <v>1</v>
      </c>
      <c r="AA3" s="58">
        <f>IF(Z3,O3*'[1]ETC Data'!$H$4*'[1]ETC Data'!$I$4,0)</f>
        <v>0</v>
      </c>
      <c r="AB3" s="58">
        <f>AA3-(AA3*((VLOOKUP(A3,[1]Plan!A$1:AI$804,35,FALSE)/100)))</f>
        <v>0</v>
      </c>
      <c r="AC3" s="58">
        <f>IF(Z3,O3*'[1]ETC Data'!$H$4*'[1]ETC Data'!$J$4,0)</f>
        <v>0</v>
      </c>
      <c r="AD3" s="58">
        <f>AC3-(AC3*((VLOOKUP(A3,[1]Plan!A$1:AJ$804,36,FALSE)/100)))</f>
        <v>0</v>
      </c>
      <c r="AE3" s="58">
        <f>IF(Z3,O3*'[1]ETC Data'!$H$4*'[1]ETC Data'!$K$4,0)</f>
        <v>0</v>
      </c>
      <c r="AF3" s="58">
        <f>AE3-(AE3*((VLOOKUP(A3,[1]Plan!A$1:AK$804,37,FALSE)/100)))</f>
        <v>0</v>
      </c>
      <c r="AG3" s="58">
        <f>IF(Z3,O3*'[1]ETC Data'!$H$4*'[1]ETC Data'!$L$4,0)</f>
        <v>0</v>
      </c>
      <c r="AH3" s="58">
        <f>AG3-(AG3*((VLOOKUP(A3,[1]Plan!A$1:AP$804,42,FALSE)/100)))</f>
        <v>0</v>
      </c>
      <c r="AI3" s="60"/>
      <c r="AJ3" s="60" t="b">
        <f t="shared" ref="AJ3:AJ66" si="2">OR(H3="Y",K3="Y")</f>
        <v>1</v>
      </c>
      <c r="AK3" s="61">
        <f>IF(AJ3,O3*'[1]ETC Data'!$H$5*'[1]ETC Data'!$I$5,0)</f>
        <v>0</v>
      </c>
      <c r="AL3" s="58">
        <f>AK3-(AK3*((VLOOKUP(A3,[1]Plan!A$1:AY$804,51,FALSE)/100)))</f>
        <v>0</v>
      </c>
      <c r="AM3" s="58">
        <f>IF(AJ3,O3*'[1]ETC Data'!$H$5*'[1]ETC Data'!$J$5,0)</f>
        <v>0</v>
      </c>
      <c r="AN3" s="58">
        <f>AM3-(AM3*((VLOOKUP(A3,[1]Plan!A$1:BA$804,53,FALSE)/100)))</f>
        <v>0</v>
      </c>
      <c r="AO3" s="61">
        <f>IF(AJ3,O3*'[1]ETC Data'!$H$5*'[1]ETC Data'!$K$5,0)</f>
        <v>0</v>
      </c>
      <c r="AP3" s="58">
        <f>AO3-(AO3*((VLOOKUP(A3,[1]Plan!A$1:BB$804,54,FALSE)/100)))</f>
        <v>0</v>
      </c>
      <c r="AQ3" s="58">
        <f>IF(AJ3,O3*'[1]ETC Data'!$H$5*'[1]ETC Data'!$L$5,0)</f>
        <v>0</v>
      </c>
      <c r="AR3" s="58">
        <f>AQ3-(AQ3*((VLOOKUP(A3,[1]Plan!A$1:BD$804,56,FALSE)/100)))</f>
        <v>0</v>
      </c>
      <c r="AS3" s="20">
        <f>VLOOKUP(A3,'[1]PR Matrix'!A:B,2,FALSE)</f>
        <v>0</v>
      </c>
      <c r="AT3" s="21">
        <f t="shared" ref="AT3:AT66" si="3">R3+T3+V3+X3+AB3+AD3+AF3+AH3+AL3+AN3+AP3+AR3</f>
        <v>0</v>
      </c>
      <c r="AU3" s="21">
        <f>Q3+S3+U3+W3+AA3+AC3+AE3+AG3+AK3+AM3+AO3+AQ3</f>
        <v>0</v>
      </c>
      <c r="AV3" s="21">
        <f>R3+AB3+AL3</f>
        <v>0</v>
      </c>
      <c r="AW3" s="21">
        <f>T3+AD3+AN3</f>
        <v>0</v>
      </c>
      <c r="AX3" s="21">
        <f>V3+AF3+AP3</f>
        <v>0</v>
      </c>
      <c r="AY3" s="21">
        <f>X3+AH3+AR3</f>
        <v>0</v>
      </c>
    </row>
    <row r="4" spans="1:55" hidden="1" x14ac:dyDescent="0.2">
      <c r="A4" s="50" t="s">
        <v>210</v>
      </c>
      <c r="B4" s="51" t="s">
        <v>208</v>
      </c>
      <c r="C4" s="51" t="s">
        <v>209</v>
      </c>
      <c r="D4" s="51"/>
      <c r="E4" s="52">
        <f>IF(G4="Y",VLOOKUP(B4&amp;"|"&amp;C4,'[1]ETC Data'!$C$2:$D$16,2,FALSE),0)</f>
        <v>0</v>
      </c>
      <c r="F4" s="52">
        <f>IF(D4="",0,IF(G4="Y",VLOOKUP(B4&amp;"|"&amp;D4,'[1]ETC Data'!$C$2:$D$16,2,FALSE),0))</f>
        <v>0</v>
      </c>
      <c r="G4" s="53" t="str">
        <f>IF(VLOOKUP(A4,[1]Plan!A$1:H$804,8,FALSE)&lt;&gt;"",VLOOKUP(A4,[1]Plan!A$1:H$804,8,FALSE),"")</f>
        <v>N</v>
      </c>
      <c r="H4" s="54" t="str">
        <f>IF(VLOOKUP(A4,[1]Plan!A$1:L$804,12,FALSE)&lt;&gt;"",VLOOKUP(A4,[1]Plan!A$1:L$804,12,FALSE),"")</f>
        <v/>
      </c>
      <c r="I4" s="55" t="str">
        <f>IF(VLOOKUP(A4,[1]Plan!A$1:M$804,13,FALSE)&lt;&gt;"",VLOOKUP(A4,[1]Plan!A$1:M$804,13,FALSE),"")</f>
        <v/>
      </c>
      <c r="J4" s="55" t="str">
        <f>IF(VLOOKUP(A4,[1]Plan!A$1:N$804,14,FALSE)&lt;&gt;"",VLOOKUP(A4,[1]Plan!A$1:N$804,14,FALSE),IF(VLOOKUP(A4,[1]Plan!A$1:O$804,15,FALSE)&lt;&gt;"",VLOOKUP(A4,[1]Plan!A$1:O$804,15,FALSE),""))</f>
        <v/>
      </c>
      <c r="K4" s="56" t="str">
        <f>IF(VLOOKUP(A4,[1]Plan!A$1:P$804,16,FALSE)&lt;&gt;"",VLOOKUP(A4,[1]Plan!A$1:P$804,16,FALSE),"")</f>
        <v>Y</v>
      </c>
      <c r="L4" s="55"/>
      <c r="M4" s="55"/>
      <c r="N4" s="55"/>
      <c r="O4" s="57">
        <f t="shared" si="0"/>
        <v>0</v>
      </c>
      <c r="P4" s="57" t="b">
        <f t="shared" ref="P4:P67" si="4">OR(H4="Y",I4="Y")</f>
        <v>0</v>
      </c>
      <c r="Q4" s="58">
        <f>IF(P4,O4*'[1]ETC Data'!$H$3*'[1]ETC Data'!$I$3,0)</f>
        <v>0</v>
      </c>
      <c r="R4" s="58">
        <f>Q4-(Q4*((VLOOKUP(A4,[1]Plan!A$1:Z$804,26,FALSE)/100)))</f>
        <v>0</v>
      </c>
      <c r="S4" s="58">
        <f>IF(P4,O4*'[1]ETC Data'!$H$3*'[1]ETC Data'!$J$3,0)</f>
        <v>0</v>
      </c>
      <c r="T4" s="58">
        <f>S4-(S4*((VLOOKUP(A4,[1]Plan!A$1:AA$804,27,FALSE)/100)))</f>
        <v>0</v>
      </c>
      <c r="U4" s="58">
        <f>IF(P4,O4*'[1]ETC Data'!$H$3*'[1]ETC Data'!$K$3,0)</f>
        <v>0</v>
      </c>
      <c r="V4" s="58">
        <f>U4-(U4*((VLOOKUP(A4,[1]Plan!A$1:AB$804,28,FALSE)/100)))</f>
        <v>0</v>
      </c>
      <c r="W4" s="58">
        <f>IF(P4,O4*'[1]ETC Data'!$H$3*'[1]ETC Data'!$L$3,0)</f>
        <v>0</v>
      </c>
      <c r="X4" s="58">
        <f>W4-(W4*((VLOOKUP(A4,[1]Plan!A$1:AC$804,29,FALSE)/100)))</f>
        <v>0</v>
      </c>
      <c r="Y4" s="59"/>
      <c r="Z4" s="60" t="b">
        <f t="shared" si="1"/>
        <v>0</v>
      </c>
      <c r="AA4" s="58">
        <f>IF(Z4,O4*'[1]ETC Data'!$H$4*'[1]ETC Data'!$I$4,0)</f>
        <v>0</v>
      </c>
      <c r="AB4" s="58">
        <f>AA4-(AA4*((VLOOKUP(A4,[1]Plan!A$1:AI$804,35,FALSE)/100)))</f>
        <v>0</v>
      </c>
      <c r="AC4" s="58">
        <f>IF(Z4,O4*'[1]ETC Data'!$H$4*'[1]ETC Data'!$J$4,0)</f>
        <v>0</v>
      </c>
      <c r="AD4" s="58">
        <f>AC4-(AC4*((VLOOKUP(A4,[1]Plan!A$1:AJ$804,36,FALSE)/100)))</f>
        <v>0</v>
      </c>
      <c r="AE4" s="58">
        <f>IF(Z4,O4*'[1]ETC Data'!$H$4*'[1]ETC Data'!$K$4,0)</f>
        <v>0</v>
      </c>
      <c r="AF4" s="58">
        <f>AE4-(AE4*((VLOOKUP(A4,[1]Plan!A$1:AK$804,37,FALSE)/100)))</f>
        <v>0</v>
      </c>
      <c r="AG4" s="58">
        <f>IF(Z4,O4*'[1]ETC Data'!$H$4*'[1]ETC Data'!$L$4,0)</f>
        <v>0</v>
      </c>
      <c r="AH4" s="58">
        <f>AG4-(AG4*((VLOOKUP(A4,[1]Plan!A$1:AP$804,42,FALSE)/100)))</f>
        <v>0</v>
      </c>
      <c r="AI4" s="60"/>
      <c r="AJ4" s="60" t="b">
        <f t="shared" si="2"/>
        <v>1</v>
      </c>
      <c r="AK4" s="61">
        <f>IF(AJ4,O4*'[1]ETC Data'!$H$5*'[1]ETC Data'!$I$5,0)</f>
        <v>0</v>
      </c>
      <c r="AL4" s="58">
        <f>AK4-(AK4*((VLOOKUP(A4,[1]Plan!A$1:AY$804,51,FALSE)/100)))</f>
        <v>0</v>
      </c>
      <c r="AM4" s="58">
        <f>IF(AJ4,O4*'[1]ETC Data'!$H$5*'[1]ETC Data'!$J$5,0)</f>
        <v>0</v>
      </c>
      <c r="AN4" s="58">
        <f>AM4-(AM4*((VLOOKUP(A4,[1]Plan!A$1:BA$804,53,FALSE)/100)))</f>
        <v>0</v>
      </c>
      <c r="AO4" s="61">
        <f>IF(AJ4,O4*'[1]ETC Data'!$H$5*'[1]ETC Data'!$K$5,0)</f>
        <v>0</v>
      </c>
      <c r="AP4" s="58">
        <f>AO4-(AO4*((VLOOKUP(A4,[1]Plan!A$1:BB$804,54,FALSE)/100)))</f>
        <v>0</v>
      </c>
      <c r="AQ4" s="58">
        <f>IF(AJ4,O4*'[1]ETC Data'!$H$5*'[1]ETC Data'!$L$5,0)</f>
        <v>0</v>
      </c>
      <c r="AR4" s="58">
        <f>AQ4-(AQ4*((VLOOKUP(A4,[1]Plan!A$1:BD$804,56,FALSE)/100)))</f>
        <v>0</v>
      </c>
      <c r="AS4" s="20">
        <f>VLOOKUP(A4,'[1]PR Matrix'!A:B,2,FALSE)</f>
        <v>0</v>
      </c>
      <c r="AT4" s="21">
        <f t="shared" si="3"/>
        <v>0</v>
      </c>
      <c r="AU4" s="21">
        <f t="shared" ref="AU4:AU67" si="5">Q4+S4+U4+W4+AA4+AC4+AE4+AG4+AK4+AM4+AO4+AQ4</f>
        <v>0</v>
      </c>
      <c r="AV4" s="21">
        <f t="shared" ref="AV4:AV67" si="6">R4+AB4+AL4</f>
        <v>0</v>
      </c>
      <c r="AW4" s="21">
        <f t="shared" ref="AW4:AW67" si="7">T4+AD4+AN4</f>
        <v>0</v>
      </c>
      <c r="AX4" s="21">
        <f t="shared" ref="AX4:AX67" si="8">V4+AF4+AP4</f>
        <v>0</v>
      </c>
      <c r="AY4" s="21">
        <f t="shared" ref="AY4:AY67" si="9">X4+AH4+AR4</f>
        <v>0</v>
      </c>
    </row>
    <row r="5" spans="1:55" hidden="1" x14ac:dyDescent="0.2">
      <c r="A5" s="62" t="s">
        <v>211</v>
      </c>
      <c r="B5" s="51" t="s">
        <v>208</v>
      </c>
      <c r="C5" s="51"/>
      <c r="D5" s="51"/>
      <c r="E5" s="52">
        <f>IF(G5="Y",VLOOKUP(B5&amp;"|"&amp;C5,'[1]ETC Data'!$C$2:$D$16,2,FALSE),0)</f>
        <v>0</v>
      </c>
      <c r="F5" s="52">
        <f>IF(D5="",0,IF(G5="Y",VLOOKUP(B5&amp;"|"&amp;D5,'[1]ETC Data'!$C$2:$D$16,2,FALSE),0))</f>
        <v>0</v>
      </c>
      <c r="G5" s="53" t="str">
        <f>IF(VLOOKUP(A5,[1]Plan!A$1:H$804,8,FALSE)&lt;&gt;"",VLOOKUP(A5,[1]Plan!A$1:H$804,8,FALSE),"")</f>
        <v>N</v>
      </c>
      <c r="H5" s="54" t="str">
        <f>IF(VLOOKUP(A5,[1]Plan!A$1:L$804,12,FALSE)&lt;&gt;"",VLOOKUP(A5,[1]Plan!A$1:L$804,12,FALSE),"")</f>
        <v/>
      </c>
      <c r="I5" s="55" t="str">
        <f>IF(VLOOKUP(A5,[1]Plan!A$1:M$804,13,FALSE)&lt;&gt;"",VLOOKUP(A5,[1]Plan!A$1:M$804,13,FALSE),"")</f>
        <v/>
      </c>
      <c r="J5" s="55" t="str">
        <f>IF(VLOOKUP(A5,[1]Plan!A$1:N$804,14,FALSE)&lt;&gt;"",VLOOKUP(A5,[1]Plan!A$1:N$804,14,FALSE),IF(VLOOKUP(A5,[1]Plan!A$1:O$804,15,FALSE)&lt;&gt;"",VLOOKUP(A5,[1]Plan!A$1:O$804,15,FALSE),""))</f>
        <v/>
      </c>
      <c r="K5" s="56" t="str">
        <f>IF(VLOOKUP(A5,[1]Plan!A$1:P$804,16,FALSE)&lt;&gt;"",VLOOKUP(A5,[1]Plan!A$1:P$804,16,FALSE),"")</f>
        <v>Y</v>
      </c>
      <c r="L5" s="55"/>
      <c r="M5" s="55"/>
      <c r="N5" s="55"/>
      <c r="O5" s="57">
        <f t="shared" si="0"/>
        <v>0</v>
      </c>
      <c r="P5" s="57" t="b">
        <f t="shared" si="4"/>
        <v>0</v>
      </c>
      <c r="Q5" s="58">
        <f>IF(P5,O5*'[1]ETC Data'!$H$3*'[1]ETC Data'!$I$3,0)</f>
        <v>0</v>
      </c>
      <c r="R5" s="58">
        <f>Q5-(Q5*((VLOOKUP(A5,[1]Plan!A$1:Z$804,26,FALSE)/100)))</f>
        <v>0</v>
      </c>
      <c r="S5" s="58">
        <f>IF(P5,O5*'[1]ETC Data'!$H$3*'[1]ETC Data'!$J$3,0)</f>
        <v>0</v>
      </c>
      <c r="T5" s="58">
        <f>S5-(S5*((VLOOKUP(A5,[1]Plan!A$1:AA$804,27,FALSE)/100)))</f>
        <v>0</v>
      </c>
      <c r="U5" s="58">
        <f>IF(P5,O5*'[1]ETC Data'!$H$3*'[1]ETC Data'!$K$3,0)</f>
        <v>0</v>
      </c>
      <c r="V5" s="58">
        <f>U5-(U5*((VLOOKUP(A5,[1]Plan!A$1:AB$804,28,FALSE)/100)))</f>
        <v>0</v>
      </c>
      <c r="W5" s="58">
        <f>IF(P5,O5*'[1]ETC Data'!$H$3*'[1]ETC Data'!$L$3,0)</f>
        <v>0</v>
      </c>
      <c r="X5" s="58">
        <f>W5-(W5*((VLOOKUP(A5,[1]Plan!A$1:AC$804,29,FALSE)/100)))</f>
        <v>0</v>
      </c>
      <c r="Y5" s="59"/>
      <c r="Z5" s="60" t="b">
        <f t="shared" si="1"/>
        <v>0</v>
      </c>
      <c r="AA5" s="58">
        <f>IF(Z5,O5*'[1]ETC Data'!$H$4*'[1]ETC Data'!$I$4,0)</f>
        <v>0</v>
      </c>
      <c r="AB5" s="58">
        <f>AA5-(AA5*((VLOOKUP(A5,[1]Plan!A$1:AI$804,35,FALSE)/100)))</f>
        <v>0</v>
      </c>
      <c r="AC5" s="58">
        <f>IF(Z5,O5*'[1]ETC Data'!$H$4*'[1]ETC Data'!$J$4,0)</f>
        <v>0</v>
      </c>
      <c r="AD5" s="58">
        <f>AC5-(AC5*((VLOOKUP(A5,[1]Plan!A$1:AJ$804,36,FALSE)/100)))</f>
        <v>0</v>
      </c>
      <c r="AE5" s="58">
        <f>IF(Z5,O5*'[1]ETC Data'!$H$4*'[1]ETC Data'!$K$4,0)</f>
        <v>0</v>
      </c>
      <c r="AF5" s="58">
        <f>AE5-(AE5*((VLOOKUP(A5,[1]Plan!A$1:AK$804,37,FALSE)/100)))</f>
        <v>0</v>
      </c>
      <c r="AG5" s="58">
        <f>IF(Z5,O5*'[1]ETC Data'!$H$4*'[1]ETC Data'!$L$4,0)</f>
        <v>0</v>
      </c>
      <c r="AH5" s="58">
        <f>AG5-(AG5*((VLOOKUP(A5,[1]Plan!A$1:AP$804,42,FALSE)/100)))</f>
        <v>0</v>
      </c>
      <c r="AI5" s="60"/>
      <c r="AJ5" s="60" t="b">
        <f t="shared" si="2"/>
        <v>1</v>
      </c>
      <c r="AK5" s="61">
        <f>IF(AJ5,O5*'[1]ETC Data'!$H$5*'[1]ETC Data'!$I$5,0)</f>
        <v>0</v>
      </c>
      <c r="AL5" s="58">
        <f>AK5-(AK5*((VLOOKUP(A5,[1]Plan!A$1:AY$804,51,FALSE)/100)))</f>
        <v>0</v>
      </c>
      <c r="AM5" s="58">
        <f>IF(AJ5,O5*'[1]ETC Data'!$H$5*'[1]ETC Data'!$J$5,0)</f>
        <v>0</v>
      </c>
      <c r="AN5" s="58">
        <f>AM5-(AM5*((VLOOKUP(A5,[1]Plan!A$1:BA$804,53,FALSE)/100)))</f>
        <v>0</v>
      </c>
      <c r="AO5" s="61">
        <f>IF(AJ5,O5*'[1]ETC Data'!$H$5*'[1]ETC Data'!$K$5,0)</f>
        <v>0</v>
      </c>
      <c r="AP5" s="58">
        <f>AO5-(AO5*((VLOOKUP(A5,[1]Plan!A$1:BB$804,54,FALSE)/100)))</f>
        <v>0</v>
      </c>
      <c r="AQ5" s="58">
        <f>IF(AJ5,O5*'[1]ETC Data'!$H$5*'[1]ETC Data'!$L$5,0)</f>
        <v>0</v>
      </c>
      <c r="AR5" s="58">
        <f>AQ5-(AQ5*((VLOOKUP(A5,[1]Plan!A$1:BD$804,56,FALSE)/100)))</f>
        <v>0</v>
      </c>
      <c r="AS5" s="20">
        <f>VLOOKUP(A5,'[1]PR Matrix'!A:B,2,FALSE)</f>
        <v>0</v>
      </c>
      <c r="AT5" s="21">
        <f t="shared" si="3"/>
        <v>0</v>
      </c>
      <c r="AU5" s="21">
        <f t="shared" si="5"/>
        <v>0</v>
      </c>
      <c r="AV5" s="21">
        <f t="shared" si="6"/>
        <v>0</v>
      </c>
      <c r="AW5" s="21">
        <f t="shared" si="7"/>
        <v>0</v>
      </c>
      <c r="AX5" s="21">
        <f t="shared" si="8"/>
        <v>0</v>
      </c>
      <c r="AY5" s="21">
        <f t="shared" si="9"/>
        <v>0</v>
      </c>
    </row>
    <row r="6" spans="1:55" hidden="1" x14ac:dyDescent="0.2">
      <c r="A6" s="62" t="s">
        <v>212</v>
      </c>
      <c r="B6" s="51" t="s">
        <v>208</v>
      </c>
      <c r="C6" s="51"/>
      <c r="D6" s="51"/>
      <c r="E6" s="52">
        <f>IF(G6="Y",VLOOKUP(B6&amp;"|"&amp;C6,'[1]ETC Data'!$C$2:$D$16,2,FALSE),0)</f>
        <v>0</v>
      </c>
      <c r="F6" s="52">
        <f>IF(D6="",0,IF(G6="Y",VLOOKUP(B6&amp;"|"&amp;D6,'[1]ETC Data'!$C$2:$D$16,2,FALSE),0))</f>
        <v>0</v>
      </c>
      <c r="G6" s="53" t="str">
        <f>IF(VLOOKUP(A6,[1]Plan!A$1:H$804,8,FALSE)&lt;&gt;"",VLOOKUP(A6,[1]Plan!A$1:H$804,8,FALSE),"")</f>
        <v>N</v>
      </c>
      <c r="H6" s="54" t="str">
        <f>IF(VLOOKUP(A6,[1]Plan!A$1:L$804,12,FALSE)&lt;&gt;"",VLOOKUP(A6,[1]Plan!A$1:L$804,12,FALSE),"")</f>
        <v/>
      </c>
      <c r="I6" s="55" t="str">
        <f>IF(VLOOKUP(A6,[1]Plan!A$1:M$804,13,FALSE)&lt;&gt;"",VLOOKUP(A6,[1]Plan!A$1:M$804,13,FALSE),"")</f>
        <v/>
      </c>
      <c r="J6" s="55" t="str">
        <f>IF(VLOOKUP(A6,[1]Plan!A$1:N$804,14,FALSE)&lt;&gt;"",VLOOKUP(A6,[1]Plan!A$1:N$804,14,FALSE),IF(VLOOKUP(A6,[1]Plan!A$1:O$804,15,FALSE)&lt;&gt;"",VLOOKUP(A6,[1]Plan!A$1:O$804,15,FALSE),""))</f>
        <v/>
      </c>
      <c r="K6" s="56" t="str">
        <f>IF(VLOOKUP(A6,[1]Plan!A$1:P$804,16,FALSE)&lt;&gt;"",VLOOKUP(A6,[1]Plan!A$1:P$804,16,FALSE),"")</f>
        <v/>
      </c>
      <c r="L6" s="55"/>
      <c r="M6" s="55"/>
      <c r="N6" s="55"/>
      <c r="O6" s="57">
        <f t="shared" si="0"/>
        <v>0</v>
      </c>
      <c r="P6" s="57" t="b">
        <f t="shared" si="4"/>
        <v>0</v>
      </c>
      <c r="Q6" s="58">
        <f>IF(P6,O6*'[1]ETC Data'!$H$3*'[1]ETC Data'!$I$3,0)</f>
        <v>0</v>
      </c>
      <c r="R6" s="58">
        <f>Q6-(Q6*((VLOOKUP(A6,[1]Plan!A$1:Z$804,26,FALSE)/100)))</f>
        <v>0</v>
      </c>
      <c r="S6" s="58">
        <f>IF(P6,O6*'[1]ETC Data'!$H$3*'[1]ETC Data'!$J$3,0)</f>
        <v>0</v>
      </c>
      <c r="T6" s="58">
        <f>S6-(S6*((VLOOKUP(A6,[1]Plan!A$1:AA$804,27,FALSE)/100)))</f>
        <v>0</v>
      </c>
      <c r="U6" s="58">
        <f>IF(P6,O6*'[1]ETC Data'!$H$3*'[1]ETC Data'!$K$3,0)</f>
        <v>0</v>
      </c>
      <c r="V6" s="58">
        <f>U6-(U6*((VLOOKUP(A6,[1]Plan!A$1:AB$804,28,FALSE)/100)))</f>
        <v>0</v>
      </c>
      <c r="W6" s="58">
        <f>IF(P6,O6*'[1]ETC Data'!$H$3*'[1]ETC Data'!$L$3,0)</f>
        <v>0</v>
      </c>
      <c r="X6" s="58">
        <f>W6-(W6*((VLOOKUP(A6,[1]Plan!A$1:AC$804,29,FALSE)/100)))</f>
        <v>0</v>
      </c>
      <c r="Y6" s="59"/>
      <c r="Z6" s="60" t="b">
        <f t="shared" si="1"/>
        <v>0</v>
      </c>
      <c r="AA6" s="58">
        <f>IF(Z6,O6*'[1]ETC Data'!$H$4*'[1]ETC Data'!$I$4,0)</f>
        <v>0</v>
      </c>
      <c r="AB6" s="58">
        <f>AA6-(AA6*((VLOOKUP(A6,[1]Plan!A$1:AI$804,35,FALSE)/100)))</f>
        <v>0</v>
      </c>
      <c r="AC6" s="58">
        <f>IF(Z6,O6*'[1]ETC Data'!$H$4*'[1]ETC Data'!$J$4,0)</f>
        <v>0</v>
      </c>
      <c r="AD6" s="58">
        <f>AC6-(AC6*((VLOOKUP(A6,[1]Plan!A$1:AJ$804,36,FALSE)/100)))</f>
        <v>0</v>
      </c>
      <c r="AE6" s="58">
        <f>IF(Z6,O6*'[1]ETC Data'!$H$4*'[1]ETC Data'!$K$4,0)</f>
        <v>0</v>
      </c>
      <c r="AF6" s="58">
        <f>AE6-(AE6*((VLOOKUP(A6,[1]Plan!A$1:AK$804,37,FALSE)/100)))</f>
        <v>0</v>
      </c>
      <c r="AG6" s="58">
        <f>IF(Z6,O6*'[1]ETC Data'!$H$4*'[1]ETC Data'!$L$4,0)</f>
        <v>0</v>
      </c>
      <c r="AH6" s="58">
        <f>AG6-(AG6*((VLOOKUP(A6,[1]Plan!A$1:AP$804,42,FALSE)/100)))</f>
        <v>0</v>
      </c>
      <c r="AI6" s="60"/>
      <c r="AJ6" s="60" t="b">
        <f t="shared" si="2"/>
        <v>0</v>
      </c>
      <c r="AK6" s="61">
        <f>IF(AJ6,O6*'[1]ETC Data'!$H$5*'[1]ETC Data'!$I$5,0)</f>
        <v>0</v>
      </c>
      <c r="AL6" s="58">
        <f>AK6-(AK6*((VLOOKUP(A6,[1]Plan!A$1:AY$804,51,FALSE)/100)))</f>
        <v>0</v>
      </c>
      <c r="AM6" s="58">
        <f>IF(AJ6,O6*'[1]ETC Data'!$H$5*'[1]ETC Data'!$J$5,0)</f>
        <v>0</v>
      </c>
      <c r="AN6" s="58">
        <f>AM6-(AM6*((VLOOKUP(A6,[1]Plan!A$1:BA$804,53,FALSE)/100)))</f>
        <v>0</v>
      </c>
      <c r="AO6" s="61">
        <f>IF(AJ6,O6*'[1]ETC Data'!$H$5*'[1]ETC Data'!$K$5,0)</f>
        <v>0</v>
      </c>
      <c r="AP6" s="58">
        <f>AO6-(AO6*((VLOOKUP(A6,[1]Plan!A$1:BB$804,54,FALSE)/100)))</f>
        <v>0</v>
      </c>
      <c r="AQ6" s="58">
        <f>IF(AJ6,O6*'[1]ETC Data'!$H$5*'[1]ETC Data'!$L$5,0)</f>
        <v>0</v>
      </c>
      <c r="AR6" s="58">
        <f>AQ6-(AQ6*((VLOOKUP(A6,[1]Plan!A$1:BD$804,56,FALSE)/100)))</f>
        <v>0</v>
      </c>
      <c r="AS6" s="20">
        <f>VLOOKUP(A6,'[1]PR Matrix'!A:B,2,FALSE)</f>
        <v>0</v>
      </c>
      <c r="AT6" s="21">
        <f t="shared" si="3"/>
        <v>0</v>
      </c>
      <c r="AU6" s="21">
        <f t="shared" si="5"/>
        <v>0</v>
      </c>
      <c r="AV6" s="21">
        <f t="shared" si="6"/>
        <v>0</v>
      </c>
      <c r="AW6" s="21">
        <f t="shared" si="7"/>
        <v>0</v>
      </c>
      <c r="AX6" s="21">
        <f t="shared" si="8"/>
        <v>0</v>
      </c>
      <c r="AY6" s="21">
        <f t="shared" si="9"/>
        <v>0</v>
      </c>
    </row>
    <row r="7" spans="1:55" hidden="1" x14ac:dyDescent="0.2">
      <c r="A7" s="50" t="s">
        <v>213</v>
      </c>
      <c r="B7" s="51" t="s">
        <v>208</v>
      </c>
      <c r="C7" s="51"/>
      <c r="D7" s="51"/>
      <c r="E7" s="52">
        <f>IF(G7="Y",VLOOKUP(B7&amp;"|"&amp;C7,'[1]ETC Data'!$C$2:$D$16,2,FALSE),0)</f>
        <v>0</v>
      </c>
      <c r="F7" s="52">
        <f>IF(D7="",0,IF(G7="Y",VLOOKUP(B7&amp;"|"&amp;D7,'[1]ETC Data'!$C$2:$D$16,2,FALSE),0))</f>
        <v>0</v>
      </c>
      <c r="G7" s="53" t="str">
        <f>IF(VLOOKUP(A7,[1]Plan!A$1:H$804,8,FALSE)&lt;&gt;"",VLOOKUP(A7,[1]Plan!A$1:H$804,8,FALSE),"")</f>
        <v>N</v>
      </c>
      <c r="H7" s="54" t="str">
        <f>IF(VLOOKUP(A7,[1]Plan!A$1:L$804,12,FALSE)&lt;&gt;"",VLOOKUP(A7,[1]Plan!A$1:L$804,12,FALSE),"")</f>
        <v/>
      </c>
      <c r="I7" s="55" t="str">
        <f>IF(VLOOKUP(A7,[1]Plan!A$1:M$804,13,FALSE)&lt;&gt;"",VLOOKUP(A7,[1]Plan!A$1:M$804,13,FALSE),"")</f>
        <v/>
      </c>
      <c r="J7" s="55" t="str">
        <f>IF(VLOOKUP(A7,[1]Plan!A$1:N$804,14,FALSE)&lt;&gt;"",VLOOKUP(A7,[1]Plan!A$1:N$804,14,FALSE),IF(VLOOKUP(A7,[1]Plan!A$1:O$804,15,FALSE)&lt;&gt;"",VLOOKUP(A7,[1]Plan!A$1:O$804,15,FALSE),""))</f>
        <v/>
      </c>
      <c r="K7" s="56" t="str">
        <f>IF(VLOOKUP(A7,[1]Plan!A$1:P$804,16,FALSE)&lt;&gt;"",VLOOKUP(A7,[1]Plan!A$1:P$804,16,FALSE),"")</f>
        <v/>
      </c>
      <c r="L7" s="55"/>
      <c r="M7" s="55"/>
      <c r="N7" s="55"/>
      <c r="O7" s="57">
        <f t="shared" si="0"/>
        <v>0</v>
      </c>
      <c r="P7" s="57" t="b">
        <f t="shared" si="4"/>
        <v>0</v>
      </c>
      <c r="Q7" s="58">
        <f>IF(P7,O7*'[1]ETC Data'!$H$3*'[1]ETC Data'!$I$3,0)</f>
        <v>0</v>
      </c>
      <c r="R7" s="58">
        <f>Q7-(Q7*((VLOOKUP(A7,[1]Plan!A$1:Z$804,26,FALSE)/100)))</f>
        <v>0</v>
      </c>
      <c r="S7" s="58">
        <f>IF(P7,O7*'[1]ETC Data'!$H$3*'[1]ETC Data'!$J$3,0)</f>
        <v>0</v>
      </c>
      <c r="T7" s="58">
        <f>S7-(S7*((VLOOKUP(A7,[1]Plan!A$1:AA$804,27,FALSE)/100)))</f>
        <v>0</v>
      </c>
      <c r="U7" s="58">
        <f>IF(P7,O7*'[1]ETC Data'!$H$3*'[1]ETC Data'!$K$3,0)</f>
        <v>0</v>
      </c>
      <c r="V7" s="58">
        <f>U7-(U7*((VLOOKUP(A7,[1]Plan!A$1:AB$804,28,FALSE)/100)))</f>
        <v>0</v>
      </c>
      <c r="W7" s="58">
        <f>IF(P7,O7*'[1]ETC Data'!$H$3*'[1]ETC Data'!$L$3,0)</f>
        <v>0</v>
      </c>
      <c r="X7" s="58">
        <f>W7-(W7*((VLOOKUP(A7,[1]Plan!A$1:AC$804,29,FALSE)/100)))</f>
        <v>0</v>
      </c>
      <c r="Y7" s="59"/>
      <c r="Z7" s="60" t="b">
        <f t="shared" si="1"/>
        <v>0</v>
      </c>
      <c r="AA7" s="58">
        <f>IF(Z7,O7*'[1]ETC Data'!$H$4*'[1]ETC Data'!$I$4,0)</f>
        <v>0</v>
      </c>
      <c r="AB7" s="58">
        <f>AA7-(AA7*((VLOOKUP(A7,[1]Plan!A$1:AI$804,35,FALSE)/100)))</f>
        <v>0</v>
      </c>
      <c r="AC7" s="58">
        <f>IF(Z7,O7*'[1]ETC Data'!$H$4*'[1]ETC Data'!$J$4,0)</f>
        <v>0</v>
      </c>
      <c r="AD7" s="58">
        <f>AC7-(AC7*((VLOOKUP(A7,[1]Plan!A$1:AJ$804,36,FALSE)/100)))</f>
        <v>0</v>
      </c>
      <c r="AE7" s="58">
        <f>IF(Z7,O7*'[1]ETC Data'!$H$4*'[1]ETC Data'!$K$4,0)</f>
        <v>0</v>
      </c>
      <c r="AF7" s="58">
        <f>AE7-(AE7*((VLOOKUP(A7,[1]Plan!A$1:AK$804,37,FALSE)/100)))</f>
        <v>0</v>
      </c>
      <c r="AG7" s="58">
        <f>IF(Z7,O7*'[1]ETC Data'!$H$4*'[1]ETC Data'!$L$4,0)</f>
        <v>0</v>
      </c>
      <c r="AH7" s="58">
        <f>AG7-(AG7*((VLOOKUP(A7,[1]Plan!A$1:AP$804,42,FALSE)/100)))</f>
        <v>0</v>
      </c>
      <c r="AI7" s="60"/>
      <c r="AJ7" s="60" t="b">
        <f t="shared" si="2"/>
        <v>0</v>
      </c>
      <c r="AK7" s="61">
        <f>IF(AJ7,O7*'[1]ETC Data'!$H$5*'[1]ETC Data'!$I$5,0)</f>
        <v>0</v>
      </c>
      <c r="AL7" s="58">
        <f>AK7-(AK7*((VLOOKUP(A7,[1]Plan!A$1:AY$804,51,FALSE)/100)))</f>
        <v>0</v>
      </c>
      <c r="AM7" s="58">
        <f>IF(AJ7,O7*'[1]ETC Data'!$H$5*'[1]ETC Data'!$J$5,0)</f>
        <v>0</v>
      </c>
      <c r="AN7" s="58">
        <f>AM7-(AM7*((VLOOKUP(A7,[1]Plan!A$1:BA$804,53,FALSE)/100)))</f>
        <v>0</v>
      </c>
      <c r="AO7" s="61">
        <f>IF(AJ7,O7*'[1]ETC Data'!$H$5*'[1]ETC Data'!$K$5,0)</f>
        <v>0</v>
      </c>
      <c r="AP7" s="58">
        <f>AO7-(AO7*((VLOOKUP(A7,[1]Plan!A$1:BB$804,54,FALSE)/100)))</f>
        <v>0</v>
      </c>
      <c r="AQ7" s="58">
        <f>IF(AJ7,O7*'[1]ETC Data'!$H$5*'[1]ETC Data'!$L$5,0)</f>
        <v>0</v>
      </c>
      <c r="AR7" s="58">
        <f>AQ7-(AQ7*((VLOOKUP(A7,[1]Plan!A$1:BD$804,56,FALSE)/100)))</f>
        <v>0</v>
      </c>
      <c r="AS7" s="20">
        <f>VLOOKUP(A7,'[1]PR Matrix'!A:B,2,FALSE)</f>
        <v>0</v>
      </c>
      <c r="AT7" s="21">
        <f t="shared" si="3"/>
        <v>0</v>
      </c>
      <c r="AU7" s="21">
        <f t="shared" si="5"/>
        <v>0</v>
      </c>
      <c r="AV7" s="21">
        <f t="shared" si="6"/>
        <v>0</v>
      </c>
      <c r="AW7" s="21">
        <f t="shared" si="7"/>
        <v>0</v>
      </c>
      <c r="AX7" s="21">
        <f t="shared" si="8"/>
        <v>0</v>
      </c>
      <c r="AY7" s="21">
        <f t="shared" si="9"/>
        <v>0</v>
      </c>
    </row>
    <row r="8" spans="1:55" hidden="1" x14ac:dyDescent="0.2">
      <c r="A8" s="50" t="s">
        <v>214</v>
      </c>
      <c r="B8" s="51" t="s">
        <v>208</v>
      </c>
      <c r="C8" s="51"/>
      <c r="D8" s="51"/>
      <c r="E8" s="52">
        <f>IF(G8="Y",VLOOKUP(B8&amp;"|"&amp;C8,'[1]ETC Data'!$C$2:$D$16,2,FALSE),0)</f>
        <v>0</v>
      </c>
      <c r="F8" s="52">
        <f>IF(D8="",0,IF(G8="Y",VLOOKUP(B8&amp;"|"&amp;D8,'[1]ETC Data'!$C$2:$D$16,2,FALSE),0))</f>
        <v>0</v>
      </c>
      <c r="G8" s="53" t="str">
        <f>IF(VLOOKUP(A8,[1]Plan!A$1:H$804,8,FALSE)&lt;&gt;"",VLOOKUP(A8,[1]Plan!A$1:H$804,8,FALSE),"")</f>
        <v>N</v>
      </c>
      <c r="H8" s="54" t="str">
        <f>IF(VLOOKUP(A8,[1]Plan!A$1:L$804,12,FALSE)&lt;&gt;"",VLOOKUP(A8,[1]Plan!A$1:L$804,12,FALSE),"")</f>
        <v/>
      </c>
      <c r="I8" s="55" t="str">
        <f>IF(VLOOKUP(A8,[1]Plan!A$1:M$804,13,FALSE)&lt;&gt;"",VLOOKUP(A8,[1]Plan!A$1:M$804,13,FALSE),"")</f>
        <v/>
      </c>
      <c r="J8" s="55" t="str">
        <f>IF(VLOOKUP(A8,[1]Plan!A$1:N$804,14,FALSE)&lt;&gt;"",VLOOKUP(A8,[1]Plan!A$1:N$804,14,FALSE),IF(VLOOKUP(A8,[1]Plan!A$1:O$804,15,FALSE)&lt;&gt;"",VLOOKUP(A8,[1]Plan!A$1:O$804,15,FALSE),""))</f>
        <v/>
      </c>
      <c r="K8" s="56" t="str">
        <f>IF(VLOOKUP(A8,[1]Plan!A$1:P$804,16,FALSE)&lt;&gt;"",VLOOKUP(A8,[1]Plan!A$1:P$804,16,FALSE),"")</f>
        <v/>
      </c>
      <c r="L8" s="55"/>
      <c r="M8" s="55"/>
      <c r="N8" s="55"/>
      <c r="O8" s="57">
        <f t="shared" si="0"/>
        <v>0</v>
      </c>
      <c r="P8" s="57" t="b">
        <f t="shared" si="4"/>
        <v>0</v>
      </c>
      <c r="Q8" s="58">
        <f>IF(P8,O8*'[1]ETC Data'!$H$3*'[1]ETC Data'!$I$3,0)</f>
        <v>0</v>
      </c>
      <c r="R8" s="58">
        <f>Q8-(Q8*((VLOOKUP(A8,[1]Plan!A$1:Z$804,26,FALSE)/100)))</f>
        <v>0</v>
      </c>
      <c r="S8" s="58">
        <f>IF(P8,O8*'[1]ETC Data'!$H$3*'[1]ETC Data'!$J$3,0)</f>
        <v>0</v>
      </c>
      <c r="T8" s="58">
        <f>S8-(S8*((VLOOKUP(A8,[1]Plan!A$1:AA$804,27,FALSE)/100)))</f>
        <v>0</v>
      </c>
      <c r="U8" s="58">
        <f>IF(P8,O8*'[1]ETC Data'!$H$3*'[1]ETC Data'!$K$3,0)</f>
        <v>0</v>
      </c>
      <c r="V8" s="58">
        <f>U8-(U8*((VLOOKUP(A8,[1]Plan!A$1:AB$804,28,FALSE)/100)))</f>
        <v>0</v>
      </c>
      <c r="W8" s="58">
        <f>IF(P8,O8*'[1]ETC Data'!$H$3*'[1]ETC Data'!$L$3,0)</f>
        <v>0</v>
      </c>
      <c r="X8" s="58">
        <f>W8-(W8*((VLOOKUP(A8,[1]Plan!A$1:AC$804,29,FALSE)/100)))</f>
        <v>0</v>
      </c>
      <c r="Y8" s="59"/>
      <c r="Z8" s="60" t="b">
        <f t="shared" si="1"/>
        <v>0</v>
      </c>
      <c r="AA8" s="58">
        <f>IF(Z8,O8*'[1]ETC Data'!$H$4*'[1]ETC Data'!$I$4,0)</f>
        <v>0</v>
      </c>
      <c r="AB8" s="58">
        <f>AA8-(AA8*((VLOOKUP(A8,[1]Plan!A$1:AI$804,35,FALSE)/100)))</f>
        <v>0</v>
      </c>
      <c r="AC8" s="58">
        <f>IF(Z8,O8*'[1]ETC Data'!$H$4*'[1]ETC Data'!$J$4,0)</f>
        <v>0</v>
      </c>
      <c r="AD8" s="58">
        <f>AC8-(AC8*((VLOOKUP(A8,[1]Plan!A$1:AJ$804,36,FALSE)/100)))</f>
        <v>0</v>
      </c>
      <c r="AE8" s="58">
        <f>IF(Z8,O8*'[1]ETC Data'!$H$4*'[1]ETC Data'!$K$4,0)</f>
        <v>0</v>
      </c>
      <c r="AF8" s="58">
        <f>AE8-(AE8*((VLOOKUP(A8,[1]Plan!A$1:AK$804,37,FALSE)/100)))</f>
        <v>0</v>
      </c>
      <c r="AG8" s="58">
        <f>IF(Z8,O8*'[1]ETC Data'!$H$4*'[1]ETC Data'!$L$4,0)</f>
        <v>0</v>
      </c>
      <c r="AH8" s="58">
        <f>AG8-(AG8*((VLOOKUP(A8,[1]Plan!A$1:AP$804,42,FALSE)/100)))</f>
        <v>0</v>
      </c>
      <c r="AI8" s="60"/>
      <c r="AJ8" s="60" t="b">
        <f t="shared" si="2"/>
        <v>0</v>
      </c>
      <c r="AK8" s="61">
        <f>IF(AJ8,O8*'[1]ETC Data'!$H$5*'[1]ETC Data'!$I$5,0)</f>
        <v>0</v>
      </c>
      <c r="AL8" s="58">
        <f>AK8-(AK8*((VLOOKUP(A8,[1]Plan!A$1:AY$804,51,FALSE)/100)))</f>
        <v>0</v>
      </c>
      <c r="AM8" s="58">
        <f>IF(AJ8,O8*'[1]ETC Data'!$H$5*'[1]ETC Data'!$J$5,0)</f>
        <v>0</v>
      </c>
      <c r="AN8" s="58">
        <f>AM8-(AM8*((VLOOKUP(A8,[1]Plan!A$1:BA$804,53,FALSE)/100)))</f>
        <v>0</v>
      </c>
      <c r="AO8" s="61">
        <f>IF(AJ8,O8*'[1]ETC Data'!$H$5*'[1]ETC Data'!$K$5,0)</f>
        <v>0</v>
      </c>
      <c r="AP8" s="58">
        <f>AO8-(AO8*((VLOOKUP(A8,[1]Plan!A$1:BB$804,54,FALSE)/100)))</f>
        <v>0</v>
      </c>
      <c r="AQ8" s="58">
        <f>IF(AJ8,O8*'[1]ETC Data'!$H$5*'[1]ETC Data'!$L$5,0)</f>
        <v>0</v>
      </c>
      <c r="AR8" s="58">
        <f>AQ8-(AQ8*((VLOOKUP(A8,[1]Plan!A$1:BD$804,56,FALSE)/100)))</f>
        <v>0</v>
      </c>
      <c r="AS8" s="20">
        <f>VLOOKUP(A8,'[1]PR Matrix'!A:B,2,FALSE)</f>
        <v>0</v>
      </c>
      <c r="AT8" s="21">
        <f t="shared" si="3"/>
        <v>0</v>
      </c>
      <c r="AU8" s="21">
        <f t="shared" si="5"/>
        <v>0</v>
      </c>
      <c r="AV8" s="21">
        <f t="shared" si="6"/>
        <v>0</v>
      </c>
      <c r="AW8" s="21">
        <f t="shared" si="7"/>
        <v>0</v>
      </c>
      <c r="AX8" s="21">
        <f t="shared" si="8"/>
        <v>0</v>
      </c>
      <c r="AY8" s="21">
        <f t="shared" si="9"/>
        <v>0</v>
      </c>
    </row>
    <row r="9" spans="1:55" hidden="1" x14ac:dyDescent="0.2">
      <c r="A9" s="50" t="s">
        <v>215</v>
      </c>
      <c r="B9" s="51" t="s">
        <v>209</v>
      </c>
      <c r="C9" s="51"/>
      <c r="D9" s="51"/>
      <c r="E9" s="52">
        <f>IF(G9="Y",VLOOKUP(B9&amp;"|"&amp;C9,'[1]ETC Data'!$C$2:$D$16,2,FALSE),0)</f>
        <v>0</v>
      </c>
      <c r="F9" s="52">
        <f>IF(D9="",0,IF(G9="Y",VLOOKUP(B9&amp;"|"&amp;D9,'[1]ETC Data'!$C$2:$D$16,2,FALSE),0))</f>
        <v>0</v>
      </c>
      <c r="G9" s="53" t="str">
        <f>IF(VLOOKUP(A9,[1]Plan!A$1:H$804,8,FALSE)&lt;&gt;"",VLOOKUP(A9,[1]Plan!A$1:H$804,8,FALSE),"")</f>
        <v>N</v>
      </c>
      <c r="H9" s="54" t="str">
        <f>IF(VLOOKUP(A9,[1]Plan!A$1:L$804,12,FALSE)&lt;&gt;"",VLOOKUP(A9,[1]Plan!A$1:L$804,12,FALSE),"")</f>
        <v/>
      </c>
      <c r="I9" s="55" t="str">
        <f>IF(VLOOKUP(A9,[1]Plan!A$1:M$804,13,FALSE)&lt;&gt;"",VLOOKUP(A9,[1]Plan!A$1:M$804,13,FALSE),"")</f>
        <v/>
      </c>
      <c r="J9" s="55" t="str">
        <f>IF(VLOOKUP(A9,[1]Plan!A$1:N$804,14,FALSE)&lt;&gt;"",VLOOKUP(A9,[1]Plan!A$1:N$804,14,FALSE),IF(VLOOKUP(A9,[1]Plan!A$1:O$804,15,FALSE)&lt;&gt;"",VLOOKUP(A9,[1]Plan!A$1:O$804,15,FALSE),""))</f>
        <v/>
      </c>
      <c r="K9" s="56" t="str">
        <f>IF(VLOOKUP(A9,[1]Plan!A$1:P$804,16,FALSE)&lt;&gt;"",VLOOKUP(A9,[1]Plan!A$1:P$804,16,FALSE),"")</f>
        <v/>
      </c>
      <c r="L9" s="55"/>
      <c r="M9" s="55"/>
      <c r="N9" s="55"/>
      <c r="O9" s="57">
        <f t="shared" si="0"/>
        <v>0</v>
      </c>
      <c r="P9" s="57" t="b">
        <f t="shared" si="4"/>
        <v>0</v>
      </c>
      <c r="Q9" s="58">
        <f>IF(P9,O9*'[1]ETC Data'!$H$3*'[1]ETC Data'!$I$3,0)</f>
        <v>0</v>
      </c>
      <c r="R9" s="58">
        <f>Q9-(Q9*((VLOOKUP(A9,[1]Plan!A$1:Z$804,26,FALSE)/100)))</f>
        <v>0</v>
      </c>
      <c r="S9" s="58">
        <f>IF(P9,O9*'[1]ETC Data'!$H$3*'[1]ETC Data'!$J$3,0)</f>
        <v>0</v>
      </c>
      <c r="T9" s="58">
        <f>S9-(S9*((VLOOKUP(A9,[1]Plan!A$1:AA$804,27,FALSE)/100)))</f>
        <v>0</v>
      </c>
      <c r="U9" s="58">
        <f>IF(P9,O9*'[1]ETC Data'!$H$3*'[1]ETC Data'!$K$3,0)</f>
        <v>0</v>
      </c>
      <c r="V9" s="58">
        <f>U9-(U9*((VLOOKUP(A9,[1]Plan!A$1:AB$804,28,FALSE)/100)))</f>
        <v>0</v>
      </c>
      <c r="W9" s="58">
        <f>IF(P9,O9*'[1]ETC Data'!$H$3*'[1]ETC Data'!$L$3,0)</f>
        <v>0</v>
      </c>
      <c r="X9" s="58">
        <f>W9-(W9*((VLOOKUP(A9,[1]Plan!A$1:AC$804,29,FALSE)/100)))</f>
        <v>0</v>
      </c>
      <c r="Y9" s="59"/>
      <c r="Z9" s="60" t="b">
        <f t="shared" si="1"/>
        <v>0</v>
      </c>
      <c r="AA9" s="58">
        <f>IF(Z9,O9*'[1]ETC Data'!$H$4*'[1]ETC Data'!$I$4,0)</f>
        <v>0</v>
      </c>
      <c r="AB9" s="58">
        <f>AA9-(AA9*((VLOOKUP(A9,[1]Plan!A$1:AI$804,35,FALSE)/100)))</f>
        <v>0</v>
      </c>
      <c r="AC9" s="58">
        <f>IF(Z9,O9*'[1]ETC Data'!$H$4*'[1]ETC Data'!$J$4,0)</f>
        <v>0</v>
      </c>
      <c r="AD9" s="58">
        <f>AC9-(AC9*((VLOOKUP(A9,[1]Plan!A$1:AJ$804,36,FALSE)/100)))</f>
        <v>0</v>
      </c>
      <c r="AE9" s="58">
        <f>IF(Z9,O9*'[1]ETC Data'!$H$4*'[1]ETC Data'!$K$4,0)</f>
        <v>0</v>
      </c>
      <c r="AF9" s="58">
        <f>AE9-(AE9*((VLOOKUP(A9,[1]Plan!A$1:AK$804,37,FALSE)/100)))</f>
        <v>0</v>
      </c>
      <c r="AG9" s="58">
        <f>IF(Z9,O9*'[1]ETC Data'!$H$4*'[1]ETC Data'!$L$4,0)</f>
        <v>0</v>
      </c>
      <c r="AH9" s="58">
        <f>AG9-(AG9*((VLOOKUP(A9,[1]Plan!A$1:AP$804,42,FALSE)/100)))</f>
        <v>0</v>
      </c>
      <c r="AI9" s="60"/>
      <c r="AJ9" s="60" t="b">
        <f t="shared" si="2"/>
        <v>0</v>
      </c>
      <c r="AK9" s="61">
        <f>IF(AJ9,O9*'[1]ETC Data'!$H$5*'[1]ETC Data'!$I$5,0)</f>
        <v>0</v>
      </c>
      <c r="AL9" s="58">
        <f>AK9-(AK9*((VLOOKUP(A9,[1]Plan!A$1:AY$804,51,FALSE)/100)))</f>
        <v>0</v>
      </c>
      <c r="AM9" s="58">
        <f>IF(AJ9,O9*'[1]ETC Data'!$H$5*'[1]ETC Data'!$J$5,0)</f>
        <v>0</v>
      </c>
      <c r="AN9" s="58">
        <f>AM9-(AM9*((VLOOKUP(A9,[1]Plan!A$1:BA$804,53,FALSE)/100)))</f>
        <v>0</v>
      </c>
      <c r="AO9" s="61">
        <f>IF(AJ9,O9*'[1]ETC Data'!$H$5*'[1]ETC Data'!$K$5,0)</f>
        <v>0</v>
      </c>
      <c r="AP9" s="58">
        <f>AO9-(AO9*((VLOOKUP(A9,[1]Plan!A$1:BB$804,54,FALSE)/100)))</f>
        <v>0</v>
      </c>
      <c r="AQ9" s="58">
        <f>IF(AJ9,O9*'[1]ETC Data'!$H$5*'[1]ETC Data'!$L$5,0)</f>
        <v>0</v>
      </c>
      <c r="AR9" s="58">
        <f>AQ9-(AQ9*((VLOOKUP(A9,[1]Plan!A$1:BD$804,56,FALSE)/100)))</f>
        <v>0</v>
      </c>
      <c r="AS9" s="20">
        <f>VLOOKUP(A9,'[1]PR Matrix'!A:B,2,FALSE)</f>
        <v>0</v>
      </c>
      <c r="AT9" s="21">
        <f t="shared" si="3"/>
        <v>0</v>
      </c>
      <c r="AU9" s="21">
        <f t="shared" si="5"/>
        <v>0</v>
      </c>
      <c r="AV9" s="21">
        <f t="shared" si="6"/>
        <v>0</v>
      </c>
      <c r="AW9" s="21">
        <f t="shared" si="7"/>
        <v>0</v>
      </c>
      <c r="AX9" s="21">
        <f t="shared" si="8"/>
        <v>0</v>
      </c>
      <c r="AY9" s="21">
        <f t="shared" si="9"/>
        <v>0</v>
      </c>
    </row>
    <row r="10" spans="1:55" x14ac:dyDescent="0.2">
      <c r="A10" s="50" t="s">
        <v>216</v>
      </c>
      <c r="B10" s="51" t="s">
        <v>209</v>
      </c>
      <c r="C10" s="51" t="s">
        <v>209</v>
      </c>
      <c r="D10" s="51"/>
      <c r="E10" s="63">
        <f>IF(G10="Y",VLOOKUP(B10&amp;"|"&amp;C10,'[1]ETC Data'!$C$2:$D$16,2,FALSE),0)</f>
        <v>25</v>
      </c>
      <c r="F10" s="63">
        <f>IF(D10="",0,IF(G10="Y",VLOOKUP(B10&amp;"|"&amp;D10,'[1]ETC Data'!$C$2:$D$16,2,FALSE),0))</f>
        <v>0</v>
      </c>
      <c r="G10" s="53" t="str">
        <f>IF(VLOOKUP(A10,[1]Plan!A$1:H$804,8,FALSE)&lt;&gt;"",VLOOKUP(A10,[1]Plan!A$1:H$804,8,FALSE),"")</f>
        <v>Y</v>
      </c>
      <c r="H10" s="54" t="str">
        <f>IF(VLOOKUP(A10,[1]Plan!A$1:L$804,12,FALSE)&lt;&gt;"",VLOOKUP(A10,[1]Plan!A$1:L$804,12,FALSE),"")</f>
        <v/>
      </c>
      <c r="I10" s="55" t="str">
        <f>IF(VLOOKUP(A10,[1]Plan!A$1:M$804,13,FALSE)&lt;&gt;"",VLOOKUP(A10,[1]Plan!A$1:M$804,13,FALSE),"")</f>
        <v>Y</v>
      </c>
      <c r="J10" s="55" t="str">
        <f>IF(VLOOKUP(A10,[1]Plan!A$1:N$804,14,FALSE)&lt;&gt;"",VLOOKUP(A10,[1]Plan!A$1:N$804,14,FALSE),IF(VLOOKUP(A10,[1]Plan!A$1:O$804,15,FALSE)&lt;&gt;"",VLOOKUP(A10,[1]Plan!A$1:O$804,15,FALSE),""))</f>
        <v>Y</v>
      </c>
      <c r="K10" s="56" t="str">
        <f>IF(VLOOKUP(A10,[1]Plan!A$1:P$804,16,FALSE)&lt;&gt;"",VLOOKUP(A10,[1]Plan!A$1:P$804,16,FALSE),"")</f>
        <v>Y</v>
      </c>
      <c r="L10" s="55"/>
      <c r="M10" s="55"/>
      <c r="N10" s="55"/>
      <c r="O10" s="57">
        <f>IF(F10=0,E10,F10)</f>
        <v>25</v>
      </c>
      <c r="P10" s="57" t="b">
        <f>OR(H10="Y",I10="Y")</f>
        <v>1</v>
      </c>
      <c r="Q10" s="58">
        <f>IF(P10,O10*'[1]ETC Data'!$H$3*'[1]ETC Data'!$I$3,0)</f>
        <v>4.9288578512625314</v>
      </c>
      <c r="R10" s="58">
        <f>Q10-(Q10*((VLOOKUP(A10,[1]Plan!A$1:Z$804,26,FALSE)/100)))</f>
        <v>0</v>
      </c>
      <c r="S10" s="58">
        <f>IF(P10,O10*'[1]ETC Data'!$H$3*'[1]ETC Data'!$J$3,0)</f>
        <v>1.1829258843030075</v>
      </c>
      <c r="T10" s="58">
        <f>S10-(S10*((VLOOKUP(A10,[1]Plan!A$1:AA$804,27,FALSE)/100)))</f>
        <v>0</v>
      </c>
      <c r="U10" s="58">
        <f>IF(P10,O10*'[1]ETC Data'!$H$3*'[1]ETC Data'!$K$3,0)</f>
        <v>0.32859052341750217</v>
      </c>
      <c r="V10" s="58">
        <f>U10-(U10*((VLOOKUP(A10,[1]Plan!A$1:AB$804,28,FALSE)/100)))</f>
        <v>0</v>
      </c>
      <c r="W10" s="58">
        <f>IF(P10,O10*'[1]ETC Data'!$H$3*'[1]ETC Data'!$L$3,0)</f>
        <v>0.13143620936700084</v>
      </c>
      <c r="X10" s="58">
        <f>W10-(W10*((VLOOKUP(A10,[1]Plan!A$1:AC$804,29,FALSE)/100)))</f>
        <v>0</v>
      </c>
      <c r="Y10" s="59"/>
      <c r="Z10" s="60" t="b">
        <f>OR(H10="Y",J10="Y")</f>
        <v>1</v>
      </c>
      <c r="AA10" s="58">
        <f>IF(Z10,O10*'[1]ETC Data'!$H$4*'[1]ETC Data'!$I$4,0)</f>
        <v>6.1003105702957114</v>
      </c>
      <c r="AB10" s="58">
        <f>AA10-(AA10*((VLOOKUP(A10,[1]Plan!A$1:AI$804,35,FALSE)/100)))</f>
        <v>0</v>
      </c>
      <c r="AC10" s="58">
        <f>IF(Z10,O10*'[1]ETC Data'!$H$4*'[1]ETC Data'!$J$4,0)</f>
        <v>3.0501552851478557</v>
      </c>
      <c r="AD10" s="58">
        <f>AC10-(AC10*((VLOOKUP(A10,[1]Plan!A$1:AJ$804,36,FALSE)/100)))</f>
        <v>0</v>
      </c>
      <c r="AE10" s="58">
        <f>IF(Z10,O10*'[1]ETC Data'!$H$4*'[1]ETC Data'!$K$4,0)</f>
        <v>2.1961118053064559</v>
      </c>
      <c r="AF10" s="58">
        <f>AE10-(AE10*((VLOOKUP(A10,[1]Plan!A$1:AK$804,37,FALSE)/100)))</f>
        <v>0</v>
      </c>
      <c r="AG10" s="58">
        <f>IF(Z10,O10*'[1]ETC Data'!$H$4*'[1]ETC Data'!$L$4,0)</f>
        <v>0.85404347984139972</v>
      </c>
      <c r="AH10" s="58">
        <f>AG10-(AG10*((VLOOKUP(A10,[1]Plan!A$1:AP$804,42,FALSE)/100)))</f>
        <v>0</v>
      </c>
      <c r="AI10" s="60"/>
      <c r="AJ10" s="60" t="b">
        <f>OR(H10="Y",K10="Y")</f>
        <v>1</v>
      </c>
      <c r="AK10" s="61">
        <f>IF(AJ10,O10*'[1]ETC Data'!$H$5*'[1]ETC Data'!$I$5,0)</f>
        <v>3.1137841955292664</v>
      </c>
      <c r="AL10" s="58">
        <f>AK10-(AK10*((VLOOKUP(A10,[1]Plan!A$1:AY$804,51,FALSE)/100)))</f>
        <v>0</v>
      </c>
      <c r="AM10" s="58">
        <f>IF(AJ10,O10*'[1]ETC Data'!$H$5*'[1]ETC Data'!$J$5,0)</f>
        <v>1.5568920977646332</v>
      </c>
      <c r="AN10" s="58">
        <f>AM10-(AM10*((VLOOKUP(A10,[1]Plan!A$1:BA$804,53,FALSE)/100)))</f>
        <v>0</v>
      </c>
      <c r="AO10" s="61">
        <f>IF(AJ10,O10*'[1]ETC Data'!$H$5*'[1]ETC Data'!$K$5,0)</f>
        <v>1.120962310390536</v>
      </c>
      <c r="AP10" s="58">
        <f>AO10-(AO10*((VLOOKUP(A10,[1]Plan!A$1:BB$804,54,FALSE)/100)))</f>
        <v>0</v>
      </c>
      <c r="AQ10" s="58">
        <f>IF(AJ10,O10*'[1]ETC Data'!$H$5*'[1]ETC Data'!$L$5,0)</f>
        <v>0.43592978737409732</v>
      </c>
      <c r="AR10" s="58">
        <f>AQ10-(AQ10*((VLOOKUP(A10,[1]Plan!A$1:BD$804,56,FALSE)/100)))</f>
        <v>0</v>
      </c>
      <c r="AS10" s="20">
        <f>VLOOKUP(A10,'[1]PR Matrix'!A:B,2,FALSE)</f>
        <v>6207</v>
      </c>
      <c r="AT10" s="21">
        <f>R10+T10+V10+X10+AB10+AD10+AF10+AH10+AL10+AN10+AP10+AR10</f>
        <v>0</v>
      </c>
      <c r="AU10" s="21">
        <f>Q10+S10+U10+W10+AA10+AC10+AE10+AG10+AK10+AM10+AO10+AQ10</f>
        <v>25</v>
      </c>
      <c r="AV10" s="21">
        <f>R10+AB10+AL10</f>
        <v>0</v>
      </c>
      <c r="AW10" s="21">
        <f>T10+AD10+AN10</f>
        <v>0</v>
      </c>
      <c r="AX10" s="21">
        <f>V10+AF10+AP10</f>
        <v>0</v>
      </c>
      <c r="AY10" s="21">
        <f>X10+AH10+AR10</f>
        <v>0</v>
      </c>
    </row>
    <row r="11" spans="1:55" hidden="1" x14ac:dyDescent="0.2">
      <c r="A11" s="50" t="s">
        <v>217</v>
      </c>
      <c r="B11" s="51" t="s">
        <v>208</v>
      </c>
      <c r="C11" s="51"/>
      <c r="D11" s="51"/>
      <c r="E11" s="52">
        <f>IF(G11="Y",VLOOKUP(B11&amp;"|"&amp;C11,'[1]ETC Data'!$C$2:$D$16,2,FALSE),0)</f>
        <v>0</v>
      </c>
      <c r="F11" s="52">
        <f>IF(D11="",0,IF(G11="Y",VLOOKUP(B11&amp;"|"&amp;D11,'[1]ETC Data'!$C$2:$D$16,2,FALSE),0))</f>
        <v>0</v>
      </c>
      <c r="G11" s="53" t="str">
        <f>IF(VLOOKUP(A11,[1]Plan!A$1:H$804,8,FALSE)&lt;&gt;"",VLOOKUP(A11,[1]Plan!A$1:H$804,8,FALSE),"")</f>
        <v>N</v>
      </c>
      <c r="H11" s="54" t="str">
        <f>IF(VLOOKUP(A11,[1]Plan!A$1:L$804,12,FALSE)&lt;&gt;"",VLOOKUP(A11,[1]Plan!A$1:L$804,12,FALSE),"")</f>
        <v/>
      </c>
      <c r="I11" s="55" t="str">
        <f>IF(VLOOKUP(A11,[1]Plan!A$1:M$804,13,FALSE)&lt;&gt;"",VLOOKUP(A11,[1]Plan!A$1:M$804,13,FALSE),"")</f>
        <v/>
      </c>
      <c r="J11" s="55" t="str">
        <f>IF(VLOOKUP(A11,[1]Plan!A$1:N$804,14,FALSE)&lt;&gt;"",VLOOKUP(A11,[1]Plan!A$1:N$804,14,FALSE),IF(VLOOKUP(A11,[1]Plan!A$1:O$804,15,FALSE)&lt;&gt;"",VLOOKUP(A11,[1]Plan!A$1:O$804,15,FALSE),""))</f>
        <v/>
      </c>
      <c r="K11" s="56" t="str">
        <f>IF(VLOOKUP(A11,[1]Plan!A$1:P$804,16,FALSE)&lt;&gt;"",VLOOKUP(A11,[1]Plan!A$1:P$804,16,FALSE),"")</f>
        <v/>
      </c>
      <c r="L11" s="55"/>
      <c r="M11" s="55"/>
      <c r="N11" s="55"/>
      <c r="O11" s="57">
        <f>IF(F11=0,E11,F11)</f>
        <v>0</v>
      </c>
      <c r="P11" s="57" t="b">
        <f>OR(H11="Y",I11="Y")</f>
        <v>0</v>
      </c>
      <c r="Q11" s="58">
        <f>IF(P11,O11*'[1]ETC Data'!$H$3*'[1]ETC Data'!$I$3,0)</f>
        <v>0</v>
      </c>
      <c r="R11" s="58">
        <f>Q11-(Q11*((VLOOKUP(A11,[1]Plan!A$1:Z$804,26,FALSE)/100)))</f>
        <v>0</v>
      </c>
      <c r="S11" s="58">
        <f>IF(P11,O11*'[1]ETC Data'!$H$3*'[1]ETC Data'!$J$3,0)</f>
        <v>0</v>
      </c>
      <c r="T11" s="58">
        <f>S11-(S11*((VLOOKUP(A11,[1]Plan!A$1:AA$804,27,FALSE)/100)))</f>
        <v>0</v>
      </c>
      <c r="U11" s="58">
        <f>IF(P11,O11*'[1]ETC Data'!$H$3*'[1]ETC Data'!$K$3,0)</f>
        <v>0</v>
      </c>
      <c r="V11" s="58">
        <f>U11-(U11*((VLOOKUP(A11,[1]Plan!A$1:AB$804,28,FALSE)/100)))</f>
        <v>0</v>
      </c>
      <c r="W11" s="58">
        <f>IF(P11,O11*'[1]ETC Data'!$H$3*'[1]ETC Data'!$L$3,0)</f>
        <v>0</v>
      </c>
      <c r="X11" s="58">
        <f>W11-(W11*((VLOOKUP(A11,[1]Plan!A$1:AC$804,29,FALSE)/100)))</f>
        <v>0</v>
      </c>
      <c r="Y11" s="59"/>
      <c r="Z11" s="60" t="b">
        <f>OR(H11="Y",J11="Y")</f>
        <v>0</v>
      </c>
      <c r="AA11" s="58">
        <f>IF(Z11,O11*'[1]ETC Data'!$H$4*'[1]ETC Data'!$I$4,0)</f>
        <v>0</v>
      </c>
      <c r="AB11" s="58">
        <f>AA11-(AA11*((VLOOKUP(A11,[1]Plan!A$1:AI$804,35,FALSE)/100)))</f>
        <v>0</v>
      </c>
      <c r="AC11" s="58">
        <f>IF(Z11,O11*'[1]ETC Data'!$H$4*'[1]ETC Data'!$J$4,0)</f>
        <v>0</v>
      </c>
      <c r="AD11" s="58">
        <f>AC11-(AC11*((VLOOKUP(A11,[1]Plan!A$1:AJ$804,36,FALSE)/100)))</f>
        <v>0</v>
      </c>
      <c r="AE11" s="58">
        <f>IF(Z11,O11*'[1]ETC Data'!$H$4*'[1]ETC Data'!$K$4,0)</f>
        <v>0</v>
      </c>
      <c r="AF11" s="58">
        <f>AE11-(AE11*((VLOOKUP(A11,[1]Plan!A$1:AK$804,37,FALSE)/100)))</f>
        <v>0</v>
      </c>
      <c r="AG11" s="58">
        <f>IF(Z11,O11*'[1]ETC Data'!$H$4*'[1]ETC Data'!$L$4,0)</f>
        <v>0</v>
      </c>
      <c r="AH11" s="58">
        <f>AG11-(AG11*((VLOOKUP(A11,[1]Plan!A$1:AP$804,42,FALSE)/100)))</f>
        <v>0</v>
      </c>
      <c r="AI11" s="60"/>
      <c r="AJ11" s="60" t="b">
        <f>OR(H11="Y",K11="Y")</f>
        <v>0</v>
      </c>
      <c r="AK11" s="61">
        <f>IF(AJ11,O11*'[1]ETC Data'!$H$5*'[1]ETC Data'!$I$5,0)</f>
        <v>0</v>
      </c>
      <c r="AL11" s="58">
        <f>AK11-(AK11*((VLOOKUP(A11,[1]Plan!A$1:AY$804,51,FALSE)/100)))</f>
        <v>0</v>
      </c>
      <c r="AM11" s="58">
        <f>IF(AJ11,O11*'[1]ETC Data'!$H$5*'[1]ETC Data'!$J$5,0)</f>
        <v>0</v>
      </c>
      <c r="AN11" s="58">
        <f>AM11-(AM11*((VLOOKUP(A11,[1]Plan!A$1:BA$804,53,FALSE)/100)))</f>
        <v>0</v>
      </c>
      <c r="AO11" s="61">
        <f>IF(AJ11,O11*'[1]ETC Data'!$H$5*'[1]ETC Data'!$K$5,0)</f>
        <v>0</v>
      </c>
      <c r="AP11" s="58">
        <f>AO11-(AO11*((VLOOKUP(A11,[1]Plan!A$1:BB$804,54,FALSE)/100)))</f>
        <v>0</v>
      </c>
      <c r="AQ11" s="58">
        <f>IF(AJ11,O11*'[1]ETC Data'!$H$5*'[1]ETC Data'!$L$5,0)</f>
        <v>0</v>
      </c>
      <c r="AR11" s="58">
        <f>AQ11-(AQ11*((VLOOKUP(A11,[1]Plan!A$1:BD$804,56,FALSE)/100)))</f>
        <v>0</v>
      </c>
      <c r="AS11" s="20">
        <f>VLOOKUP(A11,'[1]PR Matrix'!A:B,2,FALSE)</f>
        <v>0</v>
      </c>
      <c r="AT11" s="21">
        <f>R11+T11+V11+X11+AB11+AD11+AF11+AH11+AL11+AN11+AP11+AR11</f>
        <v>0</v>
      </c>
      <c r="AU11" s="21">
        <f>Q11+S11+U11+W11+AA11+AC11+AE11+AG11+AK11+AM11+AO11+AQ11</f>
        <v>0</v>
      </c>
      <c r="AV11" s="21">
        <f>R11+AB11+AL11</f>
        <v>0</v>
      </c>
      <c r="AW11" s="21">
        <f>T11+AD11+AN11</f>
        <v>0</v>
      </c>
      <c r="AX11" s="21">
        <f>V11+AF11+AP11</f>
        <v>0</v>
      </c>
      <c r="AY11" s="21">
        <f>X11+AH11+AR11</f>
        <v>0</v>
      </c>
    </row>
    <row r="12" spans="1:55" hidden="1" x14ac:dyDescent="0.2">
      <c r="A12" s="50" t="s">
        <v>218</v>
      </c>
      <c r="B12" s="51" t="s">
        <v>209</v>
      </c>
      <c r="C12" s="51" t="s">
        <v>209</v>
      </c>
      <c r="D12" s="51"/>
      <c r="E12" s="52">
        <f>IF(G12="Y",VLOOKUP(B12&amp;"|"&amp;C12,'[1]ETC Data'!$C$2:$D$16,2,FALSE),0)</f>
        <v>0</v>
      </c>
      <c r="F12" s="52">
        <f>IF(D12="",0,IF(G12="Y",VLOOKUP(B12&amp;"|"&amp;D12,'[1]ETC Data'!$C$2:$D$16,2,FALSE),0))</f>
        <v>0</v>
      </c>
      <c r="G12" s="53" t="str">
        <f>IF(VLOOKUP(A12,[1]Plan!A$1:H$804,8,FALSE)&lt;&gt;"",VLOOKUP(A12,[1]Plan!A$1:H$804,8,FALSE),"")</f>
        <v>N</v>
      </c>
      <c r="H12" s="54" t="str">
        <f>IF(VLOOKUP(A12,[1]Plan!A$1:L$804,12,FALSE)&lt;&gt;"",VLOOKUP(A12,[1]Plan!A$1:L$804,12,FALSE),"")</f>
        <v/>
      </c>
      <c r="I12" s="55" t="str">
        <f>IF(VLOOKUP(A12,[1]Plan!A$1:M$804,13,FALSE)&lt;&gt;"",VLOOKUP(A12,[1]Plan!A$1:M$804,13,FALSE),"")</f>
        <v/>
      </c>
      <c r="J12" s="55" t="str">
        <f>IF(VLOOKUP(A12,[1]Plan!A$1:N$804,14,FALSE)&lt;&gt;"",VLOOKUP(A12,[1]Plan!A$1:N$804,14,FALSE),IF(VLOOKUP(A12,[1]Plan!A$1:O$804,15,FALSE)&lt;&gt;"",VLOOKUP(A12,[1]Plan!A$1:O$804,15,FALSE),""))</f>
        <v/>
      </c>
      <c r="K12" s="56" t="str">
        <f>IF(VLOOKUP(A12,[1]Plan!A$1:P$804,16,FALSE)&lt;&gt;"",VLOOKUP(A12,[1]Plan!A$1:P$804,16,FALSE),"")</f>
        <v/>
      </c>
      <c r="L12" s="55"/>
      <c r="M12" s="55"/>
      <c r="N12" s="55"/>
      <c r="O12" s="57">
        <f>IF(F12=0,E12,F12)</f>
        <v>0</v>
      </c>
      <c r="P12" s="57" t="b">
        <f>OR(H12="Y",I12="Y")</f>
        <v>0</v>
      </c>
      <c r="Q12" s="58">
        <f>IF(P12,O12*'[1]ETC Data'!$H$3*'[1]ETC Data'!$I$3,0)</f>
        <v>0</v>
      </c>
      <c r="R12" s="58">
        <f>Q12-(Q12*((VLOOKUP(A12,[1]Plan!A$1:Z$804,26,FALSE)/100)))</f>
        <v>0</v>
      </c>
      <c r="S12" s="58">
        <f>IF(P12,O12*'[1]ETC Data'!$H$3*'[1]ETC Data'!$J$3,0)</f>
        <v>0</v>
      </c>
      <c r="T12" s="58">
        <f>S12-(S12*((VLOOKUP(A12,[1]Plan!A$1:AA$804,27,FALSE)/100)))</f>
        <v>0</v>
      </c>
      <c r="U12" s="58">
        <f>IF(P12,O12*'[1]ETC Data'!$H$3*'[1]ETC Data'!$K$3,0)</f>
        <v>0</v>
      </c>
      <c r="V12" s="58">
        <f>U12-(U12*((VLOOKUP(A12,[1]Plan!A$1:AB$804,28,FALSE)/100)))</f>
        <v>0</v>
      </c>
      <c r="W12" s="58">
        <f>IF(P12,O12*'[1]ETC Data'!$H$3*'[1]ETC Data'!$L$3,0)</f>
        <v>0</v>
      </c>
      <c r="X12" s="58">
        <f>W12-(W12*((VLOOKUP(A12,[1]Plan!A$1:AC$804,29,FALSE)/100)))</f>
        <v>0</v>
      </c>
      <c r="Y12" s="59"/>
      <c r="Z12" s="60" t="b">
        <f>OR(H12="Y",J12="Y")</f>
        <v>0</v>
      </c>
      <c r="AA12" s="58">
        <f>IF(Z12,O12*'[1]ETC Data'!$H$4*'[1]ETC Data'!$I$4,0)</f>
        <v>0</v>
      </c>
      <c r="AB12" s="58">
        <f>AA12-(AA12*((VLOOKUP(A12,[1]Plan!A$1:AI$804,35,FALSE)/100)))</f>
        <v>0</v>
      </c>
      <c r="AC12" s="58">
        <f>IF(Z12,O12*'[1]ETC Data'!$H$4*'[1]ETC Data'!$J$4,0)</f>
        <v>0</v>
      </c>
      <c r="AD12" s="58">
        <f>AC12-(AC12*((VLOOKUP(A12,[1]Plan!A$1:AJ$804,36,FALSE)/100)))</f>
        <v>0</v>
      </c>
      <c r="AE12" s="58">
        <f>IF(Z12,O12*'[1]ETC Data'!$H$4*'[1]ETC Data'!$K$4,0)</f>
        <v>0</v>
      </c>
      <c r="AF12" s="58">
        <f>AE12-(AE12*((VLOOKUP(A12,[1]Plan!A$1:AK$804,37,FALSE)/100)))</f>
        <v>0</v>
      </c>
      <c r="AG12" s="58">
        <f>IF(Z12,O12*'[1]ETC Data'!$H$4*'[1]ETC Data'!$L$4,0)</f>
        <v>0</v>
      </c>
      <c r="AH12" s="58">
        <f>AG12-(AG12*((VLOOKUP(A12,[1]Plan!A$1:AP$804,42,FALSE)/100)))</f>
        <v>0</v>
      </c>
      <c r="AI12" s="60"/>
      <c r="AJ12" s="60" t="b">
        <f>OR(H12="Y",K12="Y")</f>
        <v>0</v>
      </c>
      <c r="AK12" s="61">
        <f>IF(AJ12,O12*'[1]ETC Data'!$H$5*'[1]ETC Data'!$I$5,0)</f>
        <v>0</v>
      </c>
      <c r="AL12" s="58">
        <f>AK12-(AK12*((VLOOKUP(A12,[1]Plan!A$1:AY$804,51,FALSE)/100)))</f>
        <v>0</v>
      </c>
      <c r="AM12" s="58">
        <f>IF(AJ12,O12*'[1]ETC Data'!$H$5*'[1]ETC Data'!$J$5,0)</f>
        <v>0</v>
      </c>
      <c r="AN12" s="58">
        <f>AM12-(AM12*((VLOOKUP(A12,[1]Plan!A$1:BA$804,53,FALSE)/100)))</f>
        <v>0</v>
      </c>
      <c r="AO12" s="61">
        <f>IF(AJ12,O12*'[1]ETC Data'!$H$5*'[1]ETC Data'!$K$5,0)</f>
        <v>0</v>
      </c>
      <c r="AP12" s="58">
        <f>AO12-(AO12*((VLOOKUP(A12,[1]Plan!A$1:BB$804,54,FALSE)/100)))</f>
        <v>0</v>
      </c>
      <c r="AQ12" s="58">
        <f>IF(AJ12,O12*'[1]ETC Data'!$H$5*'[1]ETC Data'!$L$5,0)</f>
        <v>0</v>
      </c>
      <c r="AR12" s="58">
        <f>AQ12-(AQ12*((VLOOKUP(A12,[1]Plan!A$1:BD$804,56,FALSE)/100)))</f>
        <v>0</v>
      </c>
      <c r="AS12" s="20">
        <f>VLOOKUP(A12,'[1]PR Matrix'!A:B,2,FALSE)</f>
        <v>0</v>
      </c>
      <c r="AT12" s="21">
        <f>R12+T12+V12+X12+AB12+AD12+AF12+AH12+AL12+AN12+AP12+AR12</f>
        <v>0</v>
      </c>
      <c r="AU12" s="21">
        <f>Q12+S12+U12+W12+AA12+AC12+AE12+AG12+AK12+AM12+AO12+AQ12</f>
        <v>0</v>
      </c>
      <c r="AV12" s="21">
        <f>R12+AB12+AL12</f>
        <v>0</v>
      </c>
      <c r="AW12" s="21">
        <f>T12+AD12+AN12</f>
        <v>0</v>
      </c>
      <c r="AX12" s="21">
        <f>V12+AF12+AP12</f>
        <v>0</v>
      </c>
      <c r="AY12" s="21">
        <f>X12+AH12+AR12</f>
        <v>0</v>
      </c>
    </row>
    <row r="13" spans="1:55" hidden="1" x14ac:dyDescent="0.2">
      <c r="A13" s="50" t="s">
        <v>219</v>
      </c>
      <c r="B13" s="51" t="s">
        <v>208</v>
      </c>
      <c r="C13" s="51"/>
      <c r="D13" s="51"/>
      <c r="E13" s="52">
        <f>IF(G13="Y",VLOOKUP(B13&amp;"|"&amp;C13,'[1]ETC Data'!$C$2:$D$16,2,FALSE),0)</f>
        <v>0</v>
      </c>
      <c r="F13" s="52">
        <f>IF(D13="",0,IF(G13="Y",VLOOKUP(B13&amp;"|"&amp;D13,'[1]ETC Data'!$C$2:$D$16,2,FALSE),0))</f>
        <v>0</v>
      </c>
      <c r="G13" s="53" t="str">
        <f>IF(VLOOKUP(A13,[1]Plan!A$1:H$804,8,FALSE)&lt;&gt;"",VLOOKUP(A13,[1]Plan!A$1:H$804,8,FALSE),"")</f>
        <v>N</v>
      </c>
      <c r="H13" s="54" t="str">
        <f>IF(VLOOKUP(A13,[1]Plan!A$1:L$804,12,FALSE)&lt;&gt;"",VLOOKUP(A13,[1]Plan!A$1:L$804,12,FALSE),"")</f>
        <v/>
      </c>
      <c r="I13" s="55" t="str">
        <f>IF(VLOOKUP(A13,[1]Plan!A$1:M$804,13,FALSE)&lt;&gt;"",VLOOKUP(A13,[1]Plan!A$1:M$804,13,FALSE),"")</f>
        <v/>
      </c>
      <c r="J13" s="55" t="str">
        <f>IF(VLOOKUP(A13,[1]Plan!A$1:N$804,14,FALSE)&lt;&gt;"",VLOOKUP(A13,[1]Plan!A$1:N$804,14,FALSE),IF(VLOOKUP(A13,[1]Plan!A$1:O$804,15,FALSE)&lt;&gt;"",VLOOKUP(A13,[1]Plan!A$1:O$804,15,FALSE),""))</f>
        <v/>
      </c>
      <c r="K13" s="56" t="str">
        <f>IF(VLOOKUP(A13,[1]Plan!A$1:P$804,16,FALSE)&lt;&gt;"",VLOOKUP(A13,[1]Plan!A$1:P$804,16,FALSE),"")</f>
        <v>Y</v>
      </c>
      <c r="L13" s="55"/>
      <c r="M13" s="55"/>
      <c r="N13" s="55"/>
      <c r="O13" s="57">
        <f>IF(F13=0,E13,F13)</f>
        <v>0</v>
      </c>
      <c r="P13" s="57" t="b">
        <f>OR(H13="Y",I13="Y")</f>
        <v>0</v>
      </c>
      <c r="Q13" s="58">
        <f>IF(P13,O13*'[1]ETC Data'!$H$3*'[1]ETC Data'!$I$3,0)</f>
        <v>0</v>
      </c>
      <c r="R13" s="58">
        <f>Q13-(Q13*((VLOOKUP(A13,[1]Plan!A$1:Z$804,26,FALSE)/100)))</f>
        <v>0</v>
      </c>
      <c r="S13" s="58">
        <f>IF(P13,O13*'[1]ETC Data'!$H$3*'[1]ETC Data'!$J$3,0)</f>
        <v>0</v>
      </c>
      <c r="T13" s="58">
        <f>S13-(S13*((VLOOKUP(A13,[1]Plan!A$1:AA$804,27,FALSE)/100)))</f>
        <v>0</v>
      </c>
      <c r="U13" s="58">
        <f>IF(P13,O13*'[1]ETC Data'!$H$3*'[1]ETC Data'!$K$3,0)</f>
        <v>0</v>
      </c>
      <c r="V13" s="58">
        <f>U13-(U13*((VLOOKUP(A13,[1]Plan!A$1:AB$804,28,FALSE)/100)))</f>
        <v>0</v>
      </c>
      <c r="W13" s="58">
        <f>IF(P13,O13*'[1]ETC Data'!$H$3*'[1]ETC Data'!$L$3,0)</f>
        <v>0</v>
      </c>
      <c r="X13" s="58">
        <f>W13-(W13*((VLOOKUP(A13,[1]Plan!A$1:AC$804,29,FALSE)/100)))</f>
        <v>0</v>
      </c>
      <c r="Y13" s="59"/>
      <c r="Z13" s="60" t="b">
        <f>OR(H13="Y",J13="Y")</f>
        <v>0</v>
      </c>
      <c r="AA13" s="58">
        <f>IF(Z13,O13*'[1]ETC Data'!$H$4*'[1]ETC Data'!$I$4,0)</f>
        <v>0</v>
      </c>
      <c r="AB13" s="58">
        <f>AA13-(AA13*((VLOOKUP(A13,[1]Plan!A$1:AI$804,35,FALSE)/100)))</f>
        <v>0</v>
      </c>
      <c r="AC13" s="58">
        <f>IF(Z13,O13*'[1]ETC Data'!$H$4*'[1]ETC Data'!$J$4,0)</f>
        <v>0</v>
      </c>
      <c r="AD13" s="58">
        <f>AC13-(AC13*((VLOOKUP(A13,[1]Plan!A$1:AJ$804,36,FALSE)/100)))</f>
        <v>0</v>
      </c>
      <c r="AE13" s="58">
        <f>IF(Z13,O13*'[1]ETC Data'!$H$4*'[1]ETC Data'!$K$4,0)</f>
        <v>0</v>
      </c>
      <c r="AF13" s="58">
        <f>AE13-(AE13*((VLOOKUP(A13,[1]Plan!A$1:AK$804,37,FALSE)/100)))</f>
        <v>0</v>
      </c>
      <c r="AG13" s="58">
        <f>IF(Z13,O13*'[1]ETC Data'!$H$4*'[1]ETC Data'!$L$4,0)</f>
        <v>0</v>
      </c>
      <c r="AH13" s="58">
        <f>AG13-(AG13*((VLOOKUP(A13,[1]Plan!A$1:AP$804,42,FALSE)/100)))</f>
        <v>0</v>
      </c>
      <c r="AI13" s="60"/>
      <c r="AJ13" s="60" t="b">
        <f>OR(H13="Y",K13="Y")</f>
        <v>1</v>
      </c>
      <c r="AK13" s="61">
        <f>IF(AJ13,O13*'[1]ETC Data'!$H$5*'[1]ETC Data'!$I$5,0)</f>
        <v>0</v>
      </c>
      <c r="AL13" s="58">
        <f>AK13-(AK13*((VLOOKUP(A13,[1]Plan!A$1:AY$804,51,FALSE)/100)))</f>
        <v>0</v>
      </c>
      <c r="AM13" s="58">
        <f>IF(AJ13,O13*'[1]ETC Data'!$H$5*'[1]ETC Data'!$J$5,0)</f>
        <v>0</v>
      </c>
      <c r="AN13" s="58">
        <f>AM13-(AM13*((VLOOKUP(A13,[1]Plan!A$1:BA$804,53,FALSE)/100)))</f>
        <v>0</v>
      </c>
      <c r="AO13" s="61">
        <f>IF(AJ13,O13*'[1]ETC Data'!$H$5*'[1]ETC Data'!$K$5,0)</f>
        <v>0</v>
      </c>
      <c r="AP13" s="58">
        <f>AO13-(AO13*((VLOOKUP(A13,[1]Plan!A$1:BB$804,54,FALSE)/100)))</f>
        <v>0</v>
      </c>
      <c r="AQ13" s="58">
        <f>IF(AJ13,O13*'[1]ETC Data'!$H$5*'[1]ETC Data'!$L$5,0)</f>
        <v>0</v>
      </c>
      <c r="AR13" s="58">
        <f>AQ13-(AQ13*((VLOOKUP(A13,[1]Plan!A$1:BD$804,56,FALSE)/100)))</f>
        <v>0</v>
      </c>
      <c r="AS13" s="20">
        <f>VLOOKUP(A13,'[1]PR Matrix'!A:B,2,FALSE)</f>
        <v>0</v>
      </c>
      <c r="AT13" s="21">
        <f>R13+T13+V13+X13+AB13+AD13+AF13+AH13+AL13+AN13+AP13+AR13</f>
        <v>0</v>
      </c>
      <c r="AU13" s="21">
        <f>Q13+S13+U13+W13+AA13+AC13+AE13+AG13+AK13+AM13+AO13+AQ13</f>
        <v>0</v>
      </c>
      <c r="AV13" s="21">
        <f>R13+AB13+AL13</f>
        <v>0</v>
      </c>
      <c r="AW13" s="21">
        <f>T13+AD13+AN13</f>
        <v>0</v>
      </c>
      <c r="AX13" s="21">
        <f>V13+AF13+AP13</f>
        <v>0</v>
      </c>
      <c r="AY13" s="21">
        <f>X13+AH13+AR13</f>
        <v>0</v>
      </c>
    </row>
    <row r="14" spans="1:55" hidden="1" x14ac:dyDescent="0.2">
      <c r="A14" s="50" t="s">
        <v>220</v>
      </c>
      <c r="B14" s="51" t="s">
        <v>208</v>
      </c>
      <c r="C14" s="51"/>
      <c r="D14" s="51"/>
      <c r="E14" s="52">
        <f>IF(G14="Y",VLOOKUP(B14&amp;"|"&amp;C14,'[1]ETC Data'!$C$2:$D$16,2,FALSE),0)</f>
        <v>0</v>
      </c>
      <c r="F14" s="52">
        <f>IF(D14="",0,IF(G14="Y",VLOOKUP(B14&amp;"|"&amp;D14,'[1]ETC Data'!$C$2:$D$16,2,FALSE),0))</f>
        <v>0</v>
      </c>
      <c r="G14" s="53" t="str">
        <f>IF(VLOOKUP(A14,[1]Plan!A$1:H$804,8,FALSE)&lt;&gt;"",VLOOKUP(A14,[1]Plan!A$1:H$804,8,FALSE),"")</f>
        <v>N</v>
      </c>
      <c r="H14" s="54" t="str">
        <f>IF(VLOOKUP(A14,[1]Plan!A$1:L$804,12,FALSE)&lt;&gt;"",VLOOKUP(A14,[1]Plan!A$1:L$804,12,FALSE),"")</f>
        <v/>
      </c>
      <c r="I14" s="55" t="str">
        <f>IF(VLOOKUP(A14,[1]Plan!A$1:M$804,13,FALSE)&lt;&gt;"",VLOOKUP(A14,[1]Plan!A$1:M$804,13,FALSE),"")</f>
        <v/>
      </c>
      <c r="J14" s="55" t="str">
        <f>IF(VLOOKUP(A14,[1]Plan!A$1:N$804,14,FALSE)&lt;&gt;"",VLOOKUP(A14,[1]Plan!A$1:N$804,14,FALSE),IF(VLOOKUP(A14,[1]Plan!A$1:O$804,15,FALSE)&lt;&gt;"",VLOOKUP(A14,[1]Plan!A$1:O$804,15,FALSE),""))</f>
        <v/>
      </c>
      <c r="K14" s="56" t="str">
        <f>IF(VLOOKUP(A14,[1]Plan!A$1:P$804,16,FALSE)&lt;&gt;"",VLOOKUP(A14,[1]Plan!A$1:P$804,16,FALSE),"")</f>
        <v/>
      </c>
      <c r="L14" s="55"/>
      <c r="M14" s="55"/>
      <c r="N14" s="55"/>
      <c r="O14" s="57">
        <f>IF(F14=0,E14,F14)</f>
        <v>0</v>
      </c>
      <c r="P14" s="57" t="b">
        <f>OR(H14="Y",I14="Y")</f>
        <v>0</v>
      </c>
      <c r="Q14" s="58">
        <f>IF(P14,O14*'[1]ETC Data'!$H$3*'[1]ETC Data'!$I$3,0)</f>
        <v>0</v>
      </c>
      <c r="R14" s="58">
        <f>Q14-(Q14*((VLOOKUP(A14,[1]Plan!A$1:Z$804,26,FALSE)/100)))</f>
        <v>0</v>
      </c>
      <c r="S14" s="58">
        <f>IF(P14,O14*'[1]ETC Data'!$H$3*'[1]ETC Data'!$J$3,0)</f>
        <v>0</v>
      </c>
      <c r="T14" s="58">
        <f>S14-(S14*((VLOOKUP(A14,[1]Plan!A$1:AA$804,27,FALSE)/100)))</f>
        <v>0</v>
      </c>
      <c r="U14" s="58">
        <f>IF(P14,O14*'[1]ETC Data'!$H$3*'[1]ETC Data'!$K$3,0)</f>
        <v>0</v>
      </c>
      <c r="V14" s="58">
        <f>U14-(U14*((VLOOKUP(A14,[1]Plan!A$1:AB$804,28,FALSE)/100)))</f>
        <v>0</v>
      </c>
      <c r="W14" s="58">
        <f>IF(P14,O14*'[1]ETC Data'!$H$3*'[1]ETC Data'!$L$3,0)</f>
        <v>0</v>
      </c>
      <c r="X14" s="58">
        <f>W14-(W14*((VLOOKUP(A14,[1]Plan!A$1:AC$804,29,FALSE)/100)))</f>
        <v>0</v>
      </c>
      <c r="Y14" s="59"/>
      <c r="Z14" s="60" t="b">
        <f>OR(H14="Y",J14="Y")</f>
        <v>0</v>
      </c>
      <c r="AA14" s="58">
        <f>IF(Z14,O14*'[1]ETC Data'!$H$4*'[1]ETC Data'!$I$4,0)</f>
        <v>0</v>
      </c>
      <c r="AB14" s="58">
        <f>AA14-(AA14*((VLOOKUP(A14,[1]Plan!A$1:AI$804,35,FALSE)/100)))</f>
        <v>0</v>
      </c>
      <c r="AC14" s="58">
        <f>IF(Z14,O14*'[1]ETC Data'!$H$4*'[1]ETC Data'!$J$4,0)</f>
        <v>0</v>
      </c>
      <c r="AD14" s="58">
        <f>AC14-(AC14*((VLOOKUP(A14,[1]Plan!A$1:AJ$804,36,FALSE)/100)))</f>
        <v>0</v>
      </c>
      <c r="AE14" s="58">
        <f>IF(Z14,O14*'[1]ETC Data'!$H$4*'[1]ETC Data'!$K$4,0)</f>
        <v>0</v>
      </c>
      <c r="AF14" s="58">
        <f>AE14-(AE14*((VLOOKUP(A14,[1]Plan!A$1:AK$804,37,FALSE)/100)))</f>
        <v>0</v>
      </c>
      <c r="AG14" s="58">
        <f>IF(Z14,O14*'[1]ETC Data'!$H$4*'[1]ETC Data'!$L$4,0)</f>
        <v>0</v>
      </c>
      <c r="AH14" s="58">
        <f>AG14-(AG14*((VLOOKUP(A14,[1]Plan!A$1:AP$804,42,FALSE)/100)))</f>
        <v>0</v>
      </c>
      <c r="AI14" s="60"/>
      <c r="AJ14" s="60" t="b">
        <f>OR(H14="Y",K14="Y")</f>
        <v>0</v>
      </c>
      <c r="AK14" s="61">
        <f>IF(AJ14,O14*'[1]ETC Data'!$H$5*'[1]ETC Data'!$I$5,0)</f>
        <v>0</v>
      </c>
      <c r="AL14" s="58">
        <f>AK14-(AK14*((VLOOKUP(A14,[1]Plan!A$1:AY$804,51,FALSE)/100)))</f>
        <v>0</v>
      </c>
      <c r="AM14" s="58">
        <f>IF(AJ14,O14*'[1]ETC Data'!$H$5*'[1]ETC Data'!$J$5,0)</f>
        <v>0</v>
      </c>
      <c r="AN14" s="58">
        <f>AM14-(AM14*((VLOOKUP(A14,[1]Plan!A$1:BA$804,53,FALSE)/100)))</f>
        <v>0</v>
      </c>
      <c r="AO14" s="61">
        <f>IF(AJ14,O14*'[1]ETC Data'!$H$5*'[1]ETC Data'!$K$5,0)</f>
        <v>0</v>
      </c>
      <c r="AP14" s="58">
        <f>AO14-(AO14*((VLOOKUP(A14,[1]Plan!A$1:BB$804,54,FALSE)/100)))</f>
        <v>0</v>
      </c>
      <c r="AQ14" s="58">
        <f>IF(AJ14,O14*'[1]ETC Data'!$H$5*'[1]ETC Data'!$L$5,0)</f>
        <v>0</v>
      </c>
      <c r="AR14" s="58">
        <f>AQ14-(AQ14*((VLOOKUP(A14,[1]Plan!A$1:BD$804,56,FALSE)/100)))</f>
        <v>0</v>
      </c>
      <c r="AS14" s="20">
        <f>VLOOKUP(A14,'[1]PR Matrix'!A:B,2,FALSE)</f>
        <v>0</v>
      </c>
      <c r="AT14" s="21">
        <f>R14+T14+V14+X14+AB14+AD14+AF14+AH14+AL14+AN14+AP14+AR14</f>
        <v>0</v>
      </c>
      <c r="AU14" s="21">
        <f>Q14+S14+U14+W14+AA14+AC14+AE14+AG14+AK14+AM14+AO14+AQ14</f>
        <v>0</v>
      </c>
      <c r="AV14" s="21">
        <f>R14+AB14+AL14</f>
        <v>0</v>
      </c>
      <c r="AW14" s="21">
        <f>T14+AD14+AN14</f>
        <v>0</v>
      </c>
      <c r="AX14" s="21">
        <f>V14+AF14+AP14</f>
        <v>0</v>
      </c>
      <c r="AY14" s="21">
        <f>X14+AH14+AR14</f>
        <v>0</v>
      </c>
      <c r="AZ14" s="64"/>
      <c r="BA14" s="64"/>
      <c r="BB14" s="64"/>
      <c r="BC14" s="64"/>
    </row>
    <row r="15" spans="1:55" hidden="1" x14ac:dyDescent="0.2">
      <c r="A15" s="50" t="s">
        <v>221</v>
      </c>
      <c r="B15" s="51" t="s">
        <v>208</v>
      </c>
      <c r="C15" s="51"/>
      <c r="D15" s="51"/>
      <c r="E15" s="52">
        <f>IF(G15="Y",VLOOKUP(B15&amp;"|"&amp;C15,'[1]ETC Data'!$C$2:$D$16,2,FALSE),0)</f>
        <v>0</v>
      </c>
      <c r="F15" s="52">
        <f>IF(D15="",0,IF(G15="Y",VLOOKUP(B15&amp;"|"&amp;D15,'[1]ETC Data'!$C$2:$D$16,2,FALSE),0))</f>
        <v>0</v>
      </c>
      <c r="G15" s="53" t="str">
        <f>IF(VLOOKUP(A15,[1]Plan!A$1:H$804,8,FALSE)&lt;&gt;"",VLOOKUP(A15,[1]Plan!A$1:H$804,8,FALSE),"")</f>
        <v>N</v>
      </c>
      <c r="H15" s="54" t="str">
        <f>IF(VLOOKUP(A15,[1]Plan!A$1:L$804,12,FALSE)&lt;&gt;"",VLOOKUP(A15,[1]Plan!A$1:L$804,12,FALSE),"")</f>
        <v/>
      </c>
      <c r="I15" s="55" t="str">
        <f>IF(VLOOKUP(A15,[1]Plan!A$1:M$804,13,FALSE)&lt;&gt;"",VLOOKUP(A15,[1]Plan!A$1:M$804,13,FALSE),"")</f>
        <v/>
      </c>
      <c r="J15" s="55" t="str">
        <f>IF(VLOOKUP(A15,[1]Plan!A$1:N$804,14,FALSE)&lt;&gt;"",VLOOKUP(A15,[1]Plan!A$1:N$804,14,FALSE),IF(VLOOKUP(A15,[1]Plan!A$1:O$804,15,FALSE)&lt;&gt;"",VLOOKUP(A15,[1]Plan!A$1:O$804,15,FALSE),""))</f>
        <v/>
      </c>
      <c r="K15" s="56" t="str">
        <f>IF(VLOOKUP(A15,[1]Plan!A$1:P$804,16,FALSE)&lt;&gt;"",VLOOKUP(A15,[1]Plan!A$1:P$804,16,FALSE),"")</f>
        <v/>
      </c>
      <c r="L15" s="55"/>
      <c r="M15" s="55"/>
      <c r="N15" s="55"/>
      <c r="O15" s="57">
        <f>IF(F15=0,E15,F15)</f>
        <v>0</v>
      </c>
      <c r="P15" s="57" t="b">
        <f>OR(H15="Y",I15="Y")</f>
        <v>0</v>
      </c>
      <c r="Q15" s="58">
        <f>IF(P15,O15*'[1]ETC Data'!$H$3*'[1]ETC Data'!$I$3,0)</f>
        <v>0</v>
      </c>
      <c r="R15" s="58">
        <f>Q15-(Q15*((VLOOKUP(A15,[1]Plan!A$1:Z$804,26,FALSE)/100)))</f>
        <v>0</v>
      </c>
      <c r="S15" s="58">
        <f>IF(P15,O15*'[1]ETC Data'!$H$3*'[1]ETC Data'!$J$3,0)</f>
        <v>0</v>
      </c>
      <c r="T15" s="58">
        <f>S15-(S15*((VLOOKUP(A15,[1]Plan!A$1:AA$804,27,FALSE)/100)))</f>
        <v>0</v>
      </c>
      <c r="U15" s="58">
        <f>IF(P15,O15*'[1]ETC Data'!$H$3*'[1]ETC Data'!$K$3,0)</f>
        <v>0</v>
      </c>
      <c r="V15" s="58">
        <f>U15-(U15*((VLOOKUP(A15,[1]Plan!A$1:AB$804,28,FALSE)/100)))</f>
        <v>0</v>
      </c>
      <c r="W15" s="58">
        <f>IF(P15,O15*'[1]ETC Data'!$H$3*'[1]ETC Data'!$L$3,0)</f>
        <v>0</v>
      </c>
      <c r="X15" s="58">
        <f>W15-(W15*((VLOOKUP(A15,[1]Plan!A$1:AC$804,29,FALSE)/100)))</f>
        <v>0</v>
      </c>
      <c r="Y15" s="59"/>
      <c r="Z15" s="60" t="b">
        <f>OR(H15="Y",J15="Y")</f>
        <v>0</v>
      </c>
      <c r="AA15" s="58">
        <f>IF(Z15,O15*'[1]ETC Data'!$H$4*'[1]ETC Data'!$I$4,0)</f>
        <v>0</v>
      </c>
      <c r="AB15" s="58">
        <f>AA15-(AA15*((VLOOKUP(A15,[1]Plan!A$1:AI$804,35,FALSE)/100)))</f>
        <v>0</v>
      </c>
      <c r="AC15" s="58">
        <f>IF(Z15,O15*'[1]ETC Data'!$H$4*'[1]ETC Data'!$J$4,0)</f>
        <v>0</v>
      </c>
      <c r="AD15" s="58">
        <f>AC15-(AC15*((VLOOKUP(A15,[1]Plan!A$1:AJ$804,36,FALSE)/100)))</f>
        <v>0</v>
      </c>
      <c r="AE15" s="58">
        <f>IF(Z15,O15*'[1]ETC Data'!$H$4*'[1]ETC Data'!$K$4,0)</f>
        <v>0</v>
      </c>
      <c r="AF15" s="58">
        <f>AE15-(AE15*((VLOOKUP(A15,[1]Plan!A$1:AK$804,37,FALSE)/100)))</f>
        <v>0</v>
      </c>
      <c r="AG15" s="58">
        <f>IF(Z15,O15*'[1]ETC Data'!$H$4*'[1]ETC Data'!$L$4,0)</f>
        <v>0</v>
      </c>
      <c r="AH15" s="58">
        <f>AG15-(AG15*((VLOOKUP(A15,[1]Plan!A$1:AP$804,42,FALSE)/100)))</f>
        <v>0</v>
      </c>
      <c r="AI15" s="60"/>
      <c r="AJ15" s="60" t="b">
        <f>OR(H15="Y",K15="Y")</f>
        <v>0</v>
      </c>
      <c r="AK15" s="61">
        <f>IF(AJ15,O15*'[1]ETC Data'!$H$5*'[1]ETC Data'!$I$5,0)</f>
        <v>0</v>
      </c>
      <c r="AL15" s="58">
        <f>AK15-(AK15*((VLOOKUP(A15,[1]Plan!A$1:AY$804,51,FALSE)/100)))</f>
        <v>0</v>
      </c>
      <c r="AM15" s="58">
        <f>IF(AJ15,O15*'[1]ETC Data'!$H$5*'[1]ETC Data'!$J$5,0)</f>
        <v>0</v>
      </c>
      <c r="AN15" s="58">
        <f>AM15-(AM15*((VLOOKUP(A15,[1]Plan!A$1:BA$804,53,FALSE)/100)))</f>
        <v>0</v>
      </c>
      <c r="AO15" s="61">
        <f>IF(AJ15,O15*'[1]ETC Data'!$H$5*'[1]ETC Data'!$K$5,0)</f>
        <v>0</v>
      </c>
      <c r="AP15" s="58">
        <f>AO15-(AO15*((VLOOKUP(A15,[1]Plan!A$1:BB$804,54,FALSE)/100)))</f>
        <v>0</v>
      </c>
      <c r="AQ15" s="58">
        <f>IF(AJ15,O15*'[1]ETC Data'!$H$5*'[1]ETC Data'!$L$5,0)</f>
        <v>0</v>
      </c>
      <c r="AR15" s="58">
        <f>AQ15-(AQ15*((VLOOKUP(A15,[1]Plan!A$1:BD$804,56,FALSE)/100)))</f>
        <v>0</v>
      </c>
      <c r="AS15" s="20">
        <f>VLOOKUP(A15,'[1]PR Matrix'!A:B,2,FALSE)</f>
        <v>0</v>
      </c>
      <c r="AT15" s="21">
        <f>R15+T15+V15+X15+AB15+AD15+AF15+AH15+AL15+AN15+AP15+AR15</f>
        <v>0</v>
      </c>
      <c r="AU15" s="21">
        <f>Q15+S15+U15+W15+AA15+AC15+AE15+AG15+AK15+AM15+AO15+AQ15</f>
        <v>0</v>
      </c>
      <c r="AV15" s="21">
        <f>R15+AB15+AL15</f>
        <v>0</v>
      </c>
      <c r="AW15" s="21">
        <f>T15+AD15+AN15</f>
        <v>0</v>
      </c>
      <c r="AX15" s="21">
        <f>V15+AF15+AP15</f>
        <v>0</v>
      </c>
      <c r="AY15" s="21">
        <f>X15+AH15+AR15</f>
        <v>0</v>
      </c>
    </row>
    <row r="16" spans="1:55" hidden="1" x14ac:dyDescent="0.2">
      <c r="A16" s="50" t="s">
        <v>222</v>
      </c>
      <c r="B16" s="51" t="s">
        <v>209</v>
      </c>
      <c r="C16" s="51"/>
      <c r="D16" s="51"/>
      <c r="E16" s="52">
        <f>IF(G16="Y",VLOOKUP(B16&amp;"|"&amp;C16,'[1]ETC Data'!$C$2:$D$16,2,FALSE),0)</f>
        <v>0</v>
      </c>
      <c r="F16" s="52">
        <f>IF(D16="",0,IF(G16="Y",VLOOKUP(B16&amp;"|"&amp;D16,'[1]ETC Data'!$C$2:$D$16,2,FALSE),0))</f>
        <v>0</v>
      </c>
      <c r="G16" s="53" t="str">
        <f>IF(VLOOKUP(A16,[1]Plan!A$1:H$804,8,FALSE)&lt;&gt;"",VLOOKUP(A16,[1]Plan!A$1:H$804,8,FALSE),"")</f>
        <v>N</v>
      </c>
      <c r="H16" s="54" t="str">
        <f>IF(VLOOKUP(A16,[1]Plan!A$1:L$804,12,FALSE)&lt;&gt;"",VLOOKUP(A16,[1]Plan!A$1:L$804,12,FALSE),"")</f>
        <v/>
      </c>
      <c r="I16" s="55" t="str">
        <f>IF(VLOOKUP(A16,[1]Plan!A$1:M$804,13,FALSE)&lt;&gt;"",VLOOKUP(A16,[1]Plan!A$1:M$804,13,FALSE),"")</f>
        <v/>
      </c>
      <c r="J16" s="55" t="str">
        <f>IF(VLOOKUP(A16,[1]Plan!A$1:N$804,14,FALSE)&lt;&gt;"",VLOOKUP(A16,[1]Plan!A$1:N$804,14,FALSE),IF(VLOOKUP(A16,[1]Plan!A$1:O$804,15,FALSE)&lt;&gt;"",VLOOKUP(A16,[1]Plan!A$1:O$804,15,FALSE),""))</f>
        <v/>
      </c>
      <c r="K16" s="56" t="str">
        <f>IF(VLOOKUP(A16,[1]Plan!A$1:P$804,16,FALSE)&lt;&gt;"",VLOOKUP(A16,[1]Plan!A$1:P$804,16,FALSE),"")</f>
        <v/>
      </c>
      <c r="L16" s="55"/>
      <c r="M16" s="55"/>
      <c r="N16" s="55"/>
      <c r="O16" s="57">
        <f>IF(F16=0,E16,F16)</f>
        <v>0</v>
      </c>
      <c r="P16" s="57" t="b">
        <f>OR(H16="Y",I16="Y")</f>
        <v>0</v>
      </c>
      <c r="Q16" s="58">
        <f>IF(P16,O16*'[1]ETC Data'!$H$3*'[1]ETC Data'!$I$3,0)</f>
        <v>0</v>
      </c>
      <c r="R16" s="58">
        <f>Q16-(Q16*((VLOOKUP(A16,[1]Plan!A$1:Z$804,26,FALSE)/100)))</f>
        <v>0</v>
      </c>
      <c r="S16" s="58">
        <f>IF(P16,O16*'[1]ETC Data'!$H$3*'[1]ETC Data'!$J$3,0)</f>
        <v>0</v>
      </c>
      <c r="T16" s="58">
        <f>S16-(S16*((VLOOKUP(A16,[1]Plan!A$1:AA$804,27,FALSE)/100)))</f>
        <v>0</v>
      </c>
      <c r="U16" s="58">
        <f>IF(P16,O16*'[1]ETC Data'!$H$3*'[1]ETC Data'!$K$3,0)</f>
        <v>0</v>
      </c>
      <c r="V16" s="58">
        <f>U16-(U16*((VLOOKUP(A16,[1]Plan!A$1:AB$804,28,FALSE)/100)))</f>
        <v>0</v>
      </c>
      <c r="W16" s="58">
        <f>IF(P16,O16*'[1]ETC Data'!$H$3*'[1]ETC Data'!$L$3,0)</f>
        <v>0</v>
      </c>
      <c r="X16" s="58">
        <f>W16-(W16*((VLOOKUP(A16,[1]Plan!A$1:AC$804,29,FALSE)/100)))</f>
        <v>0</v>
      </c>
      <c r="Y16" s="59"/>
      <c r="Z16" s="60" t="b">
        <f>OR(H16="Y",J16="Y")</f>
        <v>0</v>
      </c>
      <c r="AA16" s="58">
        <f>IF(Z16,O16*'[1]ETC Data'!$H$4*'[1]ETC Data'!$I$4,0)</f>
        <v>0</v>
      </c>
      <c r="AB16" s="58">
        <f>AA16-(AA16*((VLOOKUP(A16,[1]Plan!A$1:AI$804,35,FALSE)/100)))</f>
        <v>0</v>
      </c>
      <c r="AC16" s="58">
        <f>IF(Z16,O16*'[1]ETC Data'!$H$4*'[1]ETC Data'!$J$4,0)</f>
        <v>0</v>
      </c>
      <c r="AD16" s="58">
        <f>AC16-(AC16*((VLOOKUP(A16,[1]Plan!A$1:AJ$804,36,FALSE)/100)))</f>
        <v>0</v>
      </c>
      <c r="AE16" s="58">
        <f>IF(Z16,O16*'[1]ETC Data'!$H$4*'[1]ETC Data'!$K$4,0)</f>
        <v>0</v>
      </c>
      <c r="AF16" s="58">
        <f>AE16-(AE16*((VLOOKUP(A16,[1]Plan!A$1:AK$804,37,FALSE)/100)))</f>
        <v>0</v>
      </c>
      <c r="AG16" s="58">
        <f>IF(Z16,O16*'[1]ETC Data'!$H$4*'[1]ETC Data'!$L$4,0)</f>
        <v>0</v>
      </c>
      <c r="AH16" s="58">
        <f>AG16-(AG16*((VLOOKUP(A16,[1]Plan!A$1:AP$804,42,FALSE)/100)))</f>
        <v>0</v>
      </c>
      <c r="AI16" s="60"/>
      <c r="AJ16" s="60" t="b">
        <f>OR(H16="Y",K16="Y")</f>
        <v>0</v>
      </c>
      <c r="AK16" s="61">
        <f>IF(AJ16,O16*'[1]ETC Data'!$H$5*'[1]ETC Data'!$I$5,0)</f>
        <v>0</v>
      </c>
      <c r="AL16" s="58">
        <f>AK16-(AK16*((VLOOKUP(A16,[1]Plan!A$1:AY$804,51,FALSE)/100)))</f>
        <v>0</v>
      </c>
      <c r="AM16" s="58">
        <f>IF(AJ16,O16*'[1]ETC Data'!$H$5*'[1]ETC Data'!$J$5,0)</f>
        <v>0</v>
      </c>
      <c r="AN16" s="58">
        <f>AM16-(AM16*((VLOOKUP(A16,[1]Plan!A$1:BA$804,53,FALSE)/100)))</f>
        <v>0</v>
      </c>
      <c r="AO16" s="61">
        <f>IF(AJ16,O16*'[1]ETC Data'!$H$5*'[1]ETC Data'!$K$5,0)</f>
        <v>0</v>
      </c>
      <c r="AP16" s="58">
        <f>AO16-(AO16*((VLOOKUP(A16,[1]Plan!A$1:BB$804,54,FALSE)/100)))</f>
        <v>0</v>
      </c>
      <c r="AQ16" s="58">
        <f>IF(AJ16,O16*'[1]ETC Data'!$H$5*'[1]ETC Data'!$L$5,0)</f>
        <v>0</v>
      </c>
      <c r="AR16" s="58">
        <f>AQ16-(AQ16*((VLOOKUP(A16,[1]Plan!A$1:BD$804,56,FALSE)/100)))</f>
        <v>0</v>
      </c>
      <c r="AS16" s="20">
        <f>VLOOKUP(A16,'[1]PR Matrix'!A:B,2,FALSE)</f>
        <v>0</v>
      </c>
      <c r="AT16" s="21">
        <f>R16+T16+V16+X16+AB16+AD16+AF16+AH16+AL16+AN16+AP16+AR16</f>
        <v>0</v>
      </c>
      <c r="AU16" s="21">
        <f>Q16+S16+U16+W16+AA16+AC16+AE16+AG16+AK16+AM16+AO16+AQ16</f>
        <v>0</v>
      </c>
      <c r="AV16" s="21">
        <f>R16+AB16+AL16</f>
        <v>0</v>
      </c>
      <c r="AW16" s="21">
        <f>T16+AD16+AN16</f>
        <v>0</v>
      </c>
      <c r="AX16" s="21">
        <f>V16+AF16+AP16</f>
        <v>0</v>
      </c>
      <c r="AY16" s="21">
        <f>X16+AH16+AR16</f>
        <v>0</v>
      </c>
    </row>
    <row r="17" spans="1:51" hidden="1" x14ac:dyDescent="0.2">
      <c r="A17" s="50" t="s">
        <v>223</v>
      </c>
      <c r="B17" s="51" t="s">
        <v>208</v>
      </c>
      <c r="C17" s="51"/>
      <c r="D17" s="51"/>
      <c r="E17" s="52">
        <f>IF(G17="Y",VLOOKUP(B17&amp;"|"&amp;C17,'[1]ETC Data'!$C$2:$D$16,2,FALSE),0)</f>
        <v>0</v>
      </c>
      <c r="F17" s="52">
        <f>IF(D17="",0,IF(G17="Y",VLOOKUP(B17&amp;"|"&amp;D17,'[1]ETC Data'!$C$2:$D$16,2,FALSE),0))</f>
        <v>0</v>
      </c>
      <c r="G17" s="53" t="str">
        <f>IF(VLOOKUP(A17,[1]Plan!A$1:H$804,8,FALSE)&lt;&gt;"",VLOOKUP(A17,[1]Plan!A$1:H$804,8,FALSE),"")</f>
        <v>N</v>
      </c>
      <c r="H17" s="54" t="str">
        <f>IF(VLOOKUP(A17,[1]Plan!A$1:L$804,12,FALSE)&lt;&gt;"",VLOOKUP(A17,[1]Plan!A$1:L$804,12,FALSE),"")</f>
        <v/>
      </c>
      <c r="I17" s="55" t="str">
        <f>IF(VLOOKUP(A17,[1]Plan!A$1:M$804,13,FALSE)&lt;&gt;"",VLOOKUP(A17,[1]Plan!A$1:M$804,13,FALSE),"")</f>
        <v/>
      </c>
      <c r="J17" s="55" t="str">
        <f>IF(VLOOKUP(A17,[1]Plan!A$1:N$804,14,FALSE)&lt;&gt;"",VLOOKUP(A17,[1]Plan!A$1:N$804,14,FALSE),IF(VLOOKUP(A17,[1]Plan!A$1:O$804,15,FALSE)&lt;&gt;"",VLOOKUP(A17,[1]Plan!A$1:O$804,15,FALSE),""))</f>
        <v/>
      </c>
      <c r="K17" s="56" t="str">
        <f>IF(VLOOKUP(A17,[1]Plan!A$1:P$804,16,FALSE)&lt;&gt;"",VLOOKUP(A17,[1]Plan!A$1:P$804,16,FALSE),"")</f>
        <v/>
      </c>
      <c r="L17" s="55"/>
      <c r="M17" s="55"/>
      <c r="N17" s="55"/>
      <c r="O17" s="57">
        <f>IF(F17=0,E17,F17)</f>
        <v>0</v>
      </c>
      <c r="P17" s="57" t="b">
        <f>OR(H17="Y",I17="Y")</f>
        <v>0</v>
      </c>
      <c r="Q17" s="58">
        <f>IF(P17,O17*'[1]ETC Data'!$H$3*'[1]ETC Data'!$I$3,0)</f>
        <v>0</v>
      </c>
      <c r="R17" s="58">
        <f>Q17-(Q17*((VLOOKUP(A17,[1]Plan!A$1:Z$804,26,FALSE)/100)))</f>
        <v>0</v>
      </c>
      <c r="S17" s="58">
        <f>IF(P17,O17*'[1]ETC Data'!$H$3*'[1]ETC Data'!$J$3,0)</f>
        <v>0</v>
      </c>
      <c r="T17" s="58">
        <f>S17-(S17*((VLOOKUP(A17,[1]Plan!A$1:AA$804,27,FALSE)/100)))</f>
        <v>0</v>
      </c>
      <c r="U17" s="58">
        <f>IF(P17,O17*'[1]ETC Data'!$H$3*'[1]ETC Data'!$K$3,0)</f>
        <v>0</v>
      </c>
      <c r="V17" s="58">
        <f>U17-(U17*((VLOOKUP(A17,[1]Plan!A$1:AB$804,28,FALSE)/100)))</f>
        <v>0</v>
      </c>
      <c r="W17" s="58">
        <f>IF(P17,O17*'[1]ETC Data'!$H$3*'[1]ETC Data'!$L$3,0)</f>
        <v>0</v>
      </c>
      <c r="X17" s="58">
        <f>W17-(W17*((VLOOKUP(A17,[1]Plan!A$1:AC$804,29,FALSE)/100)))</f>
        <v>0</v>
      </c>
      <c r="Y17" s="59"/>
      <c r="Z17" s="60" t="b">
        <f>OR(H17="Y",J17="Y")</f>
        <v>0</v>
      </c>
      <c r="AA17" s="58">
        <f>IF(Z17,O17*'[1]ETC Data'!$H$4*'[1]ETC Data'!$I$4,0)</f>
        <v>0</v>
      </c>
      <c r="AB17" s="58">
        <f>AA17-(AA17*((VLOOKUP(A17,[1]Plan!A$1:AI$804,35,FALSE)/100)))</f>
        <v>0</v>
      </c>
      <c r="AC17" s="58">
        <f>IF(Z17,O17*'[1]ETC Data'!$H$4*'[1]ETC Data'!$J$4,0)</f>
        <v>0</v>
      </c>
      <c r="AD17" s="58">
        <f>AC17-(AC17*((VLOOKUP(A17,[1]Plan!A$1:AJ$804,36,FALSE)/100)))</f>
        <v>0</v>
      </c>
      <c r="AE17" s="58">
        <f>IF(Z17,O17*'[1]ETC Data'!$H$4*'[1]ETC Data'!$K$4,0)</f>
        <v>0</v>
      </c>
      <c r="AF17" s="58">
        <f>AE17-(AE17*((VLOOKUP(A17,[1]Plan!A$1:AK$804,37,FALSE)/100)))</f>
        <v>0</v>
      </c>
      <c r="AG17" s="58">
        <f>IF(Z17,O17*'[1]ETC Data'!$H$4*'[1]ETC Data'!$L$4,0)</f>
        <v>0</v>
      </c>
      <c r="AH17" s="58">
        <f>AG17-(AG17*((VLOOKUP(A17,[1]Plan!A$1:AP$804,42,FALSE)/100)))</f>
        <v>0</v>
      </c>
      <c r="AI17" s="60"/>
      <c r="AJ17" s="60" t="b">
        <f>OR(H17="Y",K17="Y")</f>
        <v>0</v>
      </c>
      <c r="AK17" s="61">
        <f>IF(AJ17,O17*'[1]ETC Data'!$H$5*'[1]ETC Data'!$I$5,0)</f>
        <v>0</v>
      </c>
      <c r="AL17" s="58">
        <f>AK17-(AK17*((VLOOKUP(A17,[1]Plan!A$1:AY$804,51,FALSE)/100)))</f>
        <v>0</v>
      </c>
      <c r="AM17" s="58">
        <f>IF(AJ17,O17*'[1]ETC Data'!$H$5*'[1]ETC Data'!$J$5,0)</f>
        <v>0</v>
      </c>
      <c r="AN17" s="58">
        <f>AM17-(AM17*((VLOOKUP(A17,[1]Plan!A$1:BA$804,53,FALSE)/100)))</f>
        <v>0</v>
      </c>
      <c r="AO17" s="61">
        <f>IF(AJ17,O17*'[1]ETC Data'!$H$5*'[1]ETC Data'!$K$5,0)</f>
        <v>0</v>
      </c>
      <c r="AP17" s="58">
        <f>AO17-(AO17*((VLOOKUP(A17,[1]Plan!A$1:BB$804,54,FALSE)/100)))</f>
        <v>0</v>
      </c>
      <c r="AQ17" s="58">
        <f>IF(AJ17,O17*'[1]ETC Data'!$H$5*'[1]ETC Data'!$L$5,0)</f>
        <v>0</v>
      </c>
      <c r="AR17" s="58">
        <f>AQ17-(AQ17*((VLOOKUP(A17,[1]Plan!A$1:BD$804,56,FALSE)/100)))</f>
        <v>0</v>
      </c>
      <c r="AS17" s="20">
        <f>VLOOKUP(A17,'[1]PR Matrix'!A:B,2,FALSE)</f>
        <v>0</v>
      </c>
      <c r="AT17" s="21">
        <f>R17+T17+V17+X17+AB17+AD17+AF17+AH17+AL17+AN17+AP17+AR17</f>
        <v>0</v>
      </c>
      <c r="AU17" s="21">
        <f>Q17+S17+U17+W17+AA17+AC17+AE17+AG17+AK17+AM17+AO17+AQ17</f>
        <v>0</v>
      </c>
      <c r="AV17" s="21">
        <f>R17+AB17+AL17</f>
        <v>0</v>
      </c>
      <c r="AW17" s="21">
        <f>T17+AD17+AN17</f>
        <v>0</v>
      </c>
      <c r="AX17" s="21">
        <f>V17+AF17+AP17</f>
        <v>0</v>
      </c>
      <c r="AY17" s="21">
        <f>X17+AH17+AR17</f>
        <v>0</v>
      </c>
    </row>
    <row r="18" spans="1:51" x14ac:dyDescent="0.2">
      <c r="A18" s="50" t="s">
        <v>224</v>
      </c>
      <c r="B18" s="51" t="s">
        <v>208</v>
      </c>
      <c r="C18" s="51" t="s">
        <v>208</v>
      </c>
      <c r="D18" s="51"/>
      <c r="E18" s="63">
        <f>IF(G18="Y",VLOOKUP(B18&amp;"|"&amp;C18,'[1]ETC Data'!$C$2:$D$16,2,FALSE),0)</f>
        <v>104</v>
      </c>
      <c r="F18" s="63">
        <f>IF(D18="",0,IF(G18="Y",VLOOKUP(B18&amp;"|"&amp;D18,'[1]ETC Data'!$C$2:$D$16,2,FALSE),0))</f>
        <v>0</v>
      </c>
      <c r="G18" s="53" t="str">
        <f>IF(VLOOKUP(A18,[1]Plan!A$1:H$804,8,FALSE)&lt;&gt;"",VLOOKUP(A18,[1]Plan!A$1:H$804,8,FALSE),"")</f>
        <v>Y</v>
      </c>
      <c r="H18" s="54" t="str">
        <f>IF(VLOOKUP(A18,[1]Plan!A$1:L$804,12,FALSE)&lt;&gt;"",VLOOKUP(A18,[1]Plan!A$1:L$804,12,FALSE),"")</f>
        <v/>
      </c>
      <c r="I18" s="55" t="str">
        <f>IF(VLOOKUP(A18,[1]Plan!A$1:M$804,13,FALSE)&lt;&gt;"",VLOOKUP(A18,[1]Plan!A$1:M$804,13,FALSE),"")</f>
        <v/>
      </c>
      <c r="J18" s="55" t="str">
        <f>IF(VLOOKUP(A18,[1]Plan!A$1:N$804,14,FALSE)&lt;&gt;"",VLOOKUP(A18,[1]Plan!A$1:N$804,14,FALSE),IF(VLOOKUP(A18,[1]Plan!A$1:O$804,15,FALSE)&lt;&gt;"",VLOOKUP(A18,[1]Plan!A$1:O$804,15,FALSE),""))</f>
        <v/>
      </c>
      <c r="K18" s="56" t="str">
        <f>IF(VLOOKUP(A18,[1]Plan!A$1:P$804,16,FALSE)&lt;&gt;"",VLOOKUP(A18,[1]Plan!A$1:P$804,16,FALSE),"")</f>
        <v>Y</v>
      </c>
      <c r="L18" s="55"/>
      <c r="M18" s="55"/>
      <c r="N18" s="55"/>
      <c r="O18" s="57">
        <f>IF(F18=0,E18,F18)</f>
        <v>104</v>
      </c>
      <c r="P18" s="57" t="b">
        <f>OR(H18="Y",I18="Y")</f>
        <v>0</v>
      </c>
      <c r="Q18" s="58">
        <f>IF(P18,O18*'[1]ETC Data'!$H$3*'[1]ETC Data'!$I$3,0)</f>
        <v>0</v>
      </c>
      <c r="R18" s="58">
        <f>Q18-(Q18*((VLOOKUP(A18,[1]Plan!A$1:Z$804,26,FALSE)/100)))</f>
        <v>0</v>
      </c>
      <c r="S18" s="58">
        <f>IF(P18,O18*'[1]ETC Data'!$H$3*'[1]ETC Data'!$J$3,0)</f>
        <v>0</v>
      </c>
      <c r="T18" s="58">
        <f>S18-(S18*((VLOOKUP(A18,[1]Plan!A$1:AA$804,27,FALSE)/100)))</f>
        <v>0</v>
      </c>
      <c r="U18" s="58">
        <f>IF(P18,O18*'[1]ETC Data'!$H$3*'[1]ETC Data'!$K$3,0)</f>
        <v>0</v>
      </c>
      <c r="V18" s="58">
        <f>U18-(U18*((VLOOKUP(A18,[1]Plan!A$1:AB$804,28,FALSE)/100)))</f>
        <v>0</v>
      </c>
      <c r="W18" s="58">
        <f>IF(P18,O18*'[1]ETC Data'!$H$3*'[1]ETC Data'!$L$3,0)</f>
        <v>0</v>
      </c>
      <c r="X18" s="58">
        <f>W18-(W18*((VLOOKUP(A18,[1]Plan!A$1:AC$804,29,FALSE)/100)))</f>
        <v>0</v>
      </c>
      <c r="Y18" s="59"/>
      <c r="Z18" s="60" t="b">
        <f>OR(H18="Y",J18="Y")</f>
        <v>0</v>
      </c>
      <c r="AA18" s="58">
        <f>IF(Z18,O18*'[1]ETC Data'!$H$4*'[1]ETC Data'!$I$4,0)</f>
        <v>0</v>
      </c>
      <c r="AB18" s="58">
        <f>AA18-(AA18*((VLOOKUP(A18,[1]Plan!A$1:AI$804,35,FALSE)/100)))</f>
        <v>0</v>
      </c>
      <c r="AC18" s="58">
        <f>IF(Z18,O18*'[1]ETC Data'!$H$4*'[1]ETC Data'!$J$4,0)</f>
        <v>0</v>
      </c>
      <c r="AD18" s="58">
        <f>AC18-(AC18*((VLOOKUP(A18,[1]Plan!A$1:AJ$804,36,FALSE)/100)))</f>
        <v>0</v>
      </c>
      <c r="AE18" s="58">
        <f>IF(Z18,O18*'[1]ETC Data'!$H$4*'[1]ETC Data'!$K$4,0)</f>
        <v>0</v>
      </c>
      <c r="AF18" s="58">
        <f>AE18-(AE18*((VLOOKUP(A18,[1]Plan!A$1:AK$804,37,FALSE)/100)))</f>
        <v>0</v>
      </c>
      <c r="AG18" s="58">
        <f>IF(Z18,O18*'[1]ETC Data'!$H$4*'[1]ETC Data'!$L$4,0)</f>
        <v>0</v>
      </c>
      <c r="AH18" s="58">
        <f>AG18-(AG18*((VLOOKUP(A18,[1]Plan!A$1:AP$804,42,FALSE)/100)))</f>
        <v>0</v>
      </c>
      <c r="AI18" s="60"/>
      <c r="AJ18" s="60" t="b">
        <f>OR(H18="Y",K18="Y")</f>
        <v>1</v>
      </c>
      <c r="AK18" s="61">
        <f>IF(AJ18,O18*'[1]ETC Data'!$H$5*'[1]ETC Data'!$I$5,0)</f>
        <v>12.953342253401749</v>
      </c>
      <c r="AL18" s="58">
        <f>AK18-(AK18*((VLOOKUP(A18,[1]Plan!A$1:AY$804,51,FALSE)/100)))</f>
        <v>0</v>
      </c>
      <c r="AM18" s="58">
        <f>IF(AJ18,O18*'[1]ETC Data'!$H$5*'[1]ETC Data'!$J$5,0)</f>
        <v>6.4766711267008743</v>
      </c>
      <c r="AN18" s="58">
        <f>AM18-(AM18*((VLOOKUP(A18,[1]Plan!A$1:BA$804,53,FALSE)/100)))</f>
        <v>0</v>
      </c>
      <c r="AO18" s="61">
        <f>IF(AJ18,O18*'[1]ETC Data'!$H$5*'[1]ETC Data'!$K$5,0)</f>
        <v>4.6632032112246291</v>
      </c>
      <c r="AP18" s="58">
        <f>AO18-(AO18*((VLOOKUP(A18,[1]Plan!A$1:BB$804,54,FALSE)/100)))</f>
        <v>0</v>
      </c>
      <c r="AQ18" s="58">
        <f>IF(AJ18,O18*'[1]ETC Data'!$H$5*'[1]ETC Data'!$L$5,0)</f>
        <v>1.813467915476245</v>
      </c>
      <c r="AR18" s="58">
        <f>AQ18-(AQ18*((VLOOKUP(A18,[1]Plan!A$1:BD$804,56,FALSE)/100)))</f>
        <v>0</v>
      </c>
      <c r="AS18" s="20" t="str">
        <f>VLOOKUP(A18,'[1]PR Matrix'!A:B,2,FALSE)</f>
        <v>6275, 6247</v>
      </c>
      <c r="AT18" s="21">
        <f>R18+T18+V18+X18+AB18+AD18+AF18+AH18+AL18+AN18+AP18+AR18</f>
        <v>0</v>
      </c>
      <c r="AU18" s="21">
        <f>Q18+S18+U18+W18+AA18+AC18+AE18+AG18+AK18+AM18+AO18+AQ18</f>
        <v>25.906684506803497</v>
      </c>
      <c r="AV18" s="21">
        <f>R18+AB18+AL18</f>
        <v>0</v>
      </c>
      <c r="AW18" s="21">
        <f>T18+AD18+AN18</f>
        <v>0</v>
      </c>
      <c r="AX18" s="21">
        <f>V18+AF18+AP18</f>
        <v>0</v>
      </c>
      <c r="AY18" s="21">
        <f>X18+AH18+AR18</f>
        <v>0</v>
      </c>
    </row>
    <row r="19" spans="1:51" hidden="1" x14ac:dyDescent="0.2">
      <c r="A19" s="50" t="s">
        <v>225</v>
      </c>
      <c r="B19" s="51" t="s">
        <v>208</v>
      </c>
      <c r="C19" s="51"/>
      <c r="D19" s="51"/>
      <c r="E19" s="52">
        <f>IF(G19="Y",VLOOKUP(B19&amp;"|"&amp;C19,'[1]ETC Data'!$C$2:$D$16,2,FALSE),0)</f>
        <v>0</v>
      </c>
      <c r="F19" s="52">
        <f>IF(D19="",0,IF(G19="Y",VLOOKUP(B19&amp;"|"&amp;D19,'[1]ETC Data'!$C$2:$D$16,2,FALSE),0))</f>
        <v>0</v>
      </c>
      <c r="G19" s="53" t="str">
        <f>IF(VLOOKUP(A19,[1]Plan!A$1:H$804,8,FALSE)&lt;&gt;"",VLOOKUP(A19,[1]Plan!A$1:H$804,8,FALSE),"")</f>
        <v>N</v>
      </c>
      <c r="H19" s="54" t="str">
        <f>IF(VLOOKUP(A19,[1]Plan!A$1:L$804,12,FALSE)&lt;&gt;"",VLOOKUP(A19,[1]Plan!A$1:L$804,12,FALSE),"")</f>
        <v/>
      </c>
      <c r="I19" s="55" t="str">
        <f>IF(VLOOKUP(A19,[1]Plan!A$1:M$804,13,FALSE)&lt;&gt;"",VLOOKUP(A19,[1]Plan!A$1:M$804,13,FALSE),"")</f>
        <v/>
      </c>
      <c r="J19" s="55" t="str">
        <f>IF(VLOOKUP(A19,[1]Plan!A$1:N$804,14,FALSE)&lt;&gt;"",VLOOKUP(A19,[1]Plan!A$1:N$804,14,FALSE),IF(VLOOKUP(A19,[1]Plan!A$1:O$804,15,FALSE)&lt;&gt;"",VLOOKUP(A19,[1]Plan!A$1:O$804,15,FALSE),""))</f>
        <v/>
      </c>
      <c r="K19" s="56" t="str">
        <f>IF(VLOOKUP(A19,[1]Plan!A$1:P$804,16,FALSE)&lt;&gt;"",VLOOKUP(A19,[1]Plan!A$1:P$804,16,FALSE),"")</f>
        <v/>
      </c>
      <c r="L19" s="55"/>
      <c r="M19" s="55"/>
      <c r="N19" s="55"/>
      <c r="O19" s="57">
        <f>IF(F19=0,E19,F19)</f>
        <v>0</v>
      </c>
      <c r="P19" s="57" t="b">
        <f>OR(H19="Y",I19="Y")</f>
        <v>0</v>
      </c>
      <c r="Q19" s="58">
        <f>IF(P19,O19*'[1]ETC Data'!$H$3*'[1]ETC Data'!$I$3,0)</f>
        <v>0</v>
      </c>
      <c r="R19" s="58">
        <f>Q19-(Q19*((VLOOKUP(A19,[1]Plan!A$1:Z$804,26,FALSE)/100)))</f>
        <v>0</v>
      </c>
      <c r="S19" s="58">
        <f>IF(P19,O19*'[1]ETC Data'!$H$3*'[1]ETC Data'!$J$3,0)</f>
        <v>0</v>
      </c>
      <c r="T19" s="58">
        <f>S19-(S19*((VLOOKUP(A19,[1]Plan!A$1:AA$804,27,FALSE)/100)))</f>
        <v>0</v>
      </c>
      <c r="U19" s="58">
        <f>IF(P19,O19*'[1]ETC Data'!$H$3*'[1]ETC Data'!$K$3,0)</f>
        <v>0</v>
      </c>
      <c r="V19" s="58">
        <f>U19-(U19*((VLOOKUP(A19,[1]Plan!A$1:AB$804,28,FALSE)/100)))</f>
        <v>0</v>
      </c>
      <c r="W19" s="58">
        <f>IF(P19,O19*'[1]ETC Data'!$H$3*'[1]ETC Data'!$L$3,0)</f>
        <v>0</v>
      </c>
      <c r="X19" s="58">
        <f>W19-(W19*((VLOOKUP(A19,[1]Plan!A$1:AC$804,29,FALSE)/100)))</f>
        <v>0</v>
      </c>
      <c r="Y19" s="59"/>
      <c r="Z19" s="60" t="b">
        <f>OR(H19="Y",J19="Y")</f>
        <v>0</v>
      </c>
      <c r="AA19" s="58">
        <f>IF(Z19,O19*'[1]ETC Data'!$H$4*'[1]ETC Data'!$I$4,0)</f>
        <v>0</v>
      </c>
      <c r="AB19" s="58">
        <f>AA19-(AA19*((VLOOKUP(A19,[1]Plan!A$1:AI$804,35,FALSE)/100)))</f>
        <v>0</v>
      </c>
      <c r="AC19" s="58">
        <f>IF(Z19,O19*'[1]ETC Data'!$H$4*'[1]ETC Data'!$J$4,0)</f>
        <v>0</v>
      </c>
      <c r="AD19" s="58">
        <f>AC19-(AC19*((VLOOKUP(A19,[1]Plan!A$1:AJ$804,36,FALSE)/100)))</f>
        <v>0</v>
      </c>
      <c r="AE19" s="58">
        <f>IF(Z19,O19*'[1]ETC Data'!$H$4*'[1]ETC Data'!$K$4,0)</f>
        <v>0</v>
      </c>
      <c r="AF19" s="58">
        <f>AE19-(AE19*((VLOOKUP(A19,[1]Plan!A$1:AK$804,37,FALSE)/100)))</f>
        <v>0</v>
      </c>
      <c r="AG19" s="58">
        <f>IF(Z19,O19*'[1]ETC Data'!$H$4*'[1]ETC Data'!$L$4,0)</f>
        <v>0</v>
      </c>
      <c r="AH19" s="58">
        <f>AG19-(AG19*((VLOOKUP(A19,[1]Plan!A$1:AP$804,42,FALSE)/100)))</f>
        <v>0</v>
      </c>
      <c r="AI19" s="60"/>
      <c r="AJ19" s="60" t="b">
        <f>OR(H19="Y",K19="Y")</f>
        <v>0</v>
      </c>
      <c r="AK19" s="61">
        <f>IF(AJ19,O19*'[1]ETC Data'!$H$5*'[1]ETC Data'!$I$5,0)</f>
        <v>0</v>
      </c>
      <c r="AL19" s="58">
        <f>AK19-(AK19*((VLOOKUP(A19,[1]Plan!A$1:AY$804,51,FALSE)/100)))</f>
        <v>0</v>
      </c>
      <c r="AM19" s="58">
        <f>IF(AJ19,O19*'[1]ETC Data'!$H$5*'[1]ETC Data'!$J$5,0)</f>
        <v>0</v>
      </c>
      <c r="AN19" s="58">
        <f>AM19-(AM19*((VLOOKUP(A19,[1]Plan!A$1:BA$804,53,FALSE)/100)))</f>
        <v>0</v>
      </c>
      <c r="AO19" s="61">
        <f>IF(AJ19,O19*'[1]ETC Data'!$H$5*'[1]ETC Data'!$K$5,0)</f>
        <v>0</v>
      </c>
      <c r="AP19" s="58">
        <f>AO19-(AO19*((VLOOKUP(A19,[1]Plan!A$1:BB$804,54,FALSE)/100)))</f>
        <v>0</v>
      </c>
      <c r="AQ19" s="58">
        <f>IF(AJ19,O19*'[1]ETC Data'!$H$5*'[1]ETC Data'!$L$5,0)</f>
        <v>0</v>
      </c>
      <c r="AR19" s="58">
        <f>AQ19-(AQ19*((VLOOKUP(A19,[1]Plan!A$1:BD$804,56,FALSE)/100)))</f>
        <v>0</v>
      </c>
      <c r="AS19" s="20">
        <f>VLOOKUP(A19,'[1]PR Matrix'!A:B,2,FALSE)</f>
        <v>0</v>
      </c>
      <c r="AT19" s="21">
        <f>R19+T19+V19+X19+AB19+AD19+AF19+AH19+AL19+AN19+AP19+AR19</f>
        <v>0</v>
      </c>
      <c r="AU19" s="21">
        <f>Q19+S19+U19+W19+AA19+AC19+AE19+AG19+AK19+AM19+AO19+AQ19</f>
        <v>0</v>
      </c>
      <c r="AV19" s="21">
        <f>R19+AB19+AL19</f>
        <v>0</v>
      </c>
      <c r="AW19" s="21">
        <f>T19+AD19+AN19</f>
        <v>0</v>
      </c>
      <c r="AX19" s="21">
        <f>V19+AF19+AP19</f>
        <v>0</v>
      </c>
      <c r="AY19" s="21">
        <f>X19+AH19+AR19</f>
        <v>0</v>
      </c>
    </row>
    <row r="20" spans="1:51" hidden="1" x14ac:dyDescent="0.2">
      <c r="A20" s="50" t="s">
        <v>226</v>
      </c>
      <c r="B20" s="51" t="s">
        <v>208</v>
      </c>
      <c r="C20" s="51"/>
      <c r="D20" s="51"/>
      <c r="E20" s="52">
        <f>IF(G20="Y",VLOOKUP(B20&amp;"|"&amp;C20,'[1]ETC Data'!$C$2:$D$16,2,FALSE),0)</f>
        <v>0</v>
      </c>
      <c r="F20" s="52">
        <f>IF(D20="",0,IF(G20="Y",VLOOKUP(B20&amp;"|"&amp;D20,'[1]ETC Data'!$C$2:$D$16,2,FALSE),0))</f>
        <v>0</v>
      </c>
      <c r="G20" s="53" t="str">
        <f>IF(VLOOKUP(A20,[1]Plan!A$1:H$804,8,FALSE)&lt;&gt;"",VLOOKUP(A20,[1]Plan!A$1:H$804,8,FALSE),"")</f>
        <v>N</v>
      </c>
      <c r="H20" s="54" t="str">
        <f>IF(VLOOKUP(A20,[1]Plan!A$1:L$804,12,FALSE)&lt;&gt;"",VLOOKUP(A20,[1]Plan!A$1:L$804,12,FALSE),"")</f>
        <v/>
      </c>
      <c r="I20" s="55" t="str">
        <f>IF(VLOOKUP(A20,[1]Plan!A$1:M$804,13,FALSE)&lt;&gt;"",VLOOKUP(A20,[1]Plan!A$1:M$804,13,FALSE),"")</f>
        <v/>
      </c>
      <c r="J20" s="55" t="str">
        <f>IF(VLOOKUP(A20,[1]Plan!A$1:N$804,14,FALSE)&lt;&gt;"",VLOOKUP(A20,[1]Plan!A$1:N$804,14,FALSE),IF(VLOOKUP(A20,[1]Plan!A$1:O$804,15,FALSE)&lt;&gt;"",VLOOKUP(A20,[1]Plan!A$1:O$804,15,FALSE),""))</f>
        <v/>
      </c>
      <c r="K20" s="56" t="str">
        <f>IF(VLOOKUP(A20,[1]Plan!A$1:P$804,16,FALSE)&lt;&gt;"",VLOOKUP(A20,[1]Plan!A$1:P$804,16,FALSE),"")</f>
        <v/>
      </c>
      <c r="L20" s="55"/>
      <c r="M20" s="55"/>
      <c r="N20" s="55"/>
      <c r="O20" s="57">
        <f>IF(F20=0,E20,F20)</f>
        <v>0</v>
      </c>
      <c r="P20" s="57" t="b">
        <f>OR(H20="Y",I20="Y")</f>
        <v>0</v>
      </c>
      <c r="Q20" s="58">
        <f>IF(P20,O20*'[1]ETC Data'!$H$3*'[1]ETC Data'!$I$3,0)</f>
        <v>0</v>
      </c>
      <c r="R20" s="58">
        <f>Q20-(Q20*((VLOOKUP(A20,[1]Plan!A$1:Z$804,26,FALSE)/100)))</f>
        <v>0</v>
      </c>
      <c r="S20" s="58">
        <f>IF(P20,O20*'[1]ETC Data'!$H$3*'[1]ETC Data'!$J$3,0)</f>
        <v>0</v>
      </c>
      <c r="T20" s="58">
        <f>S20-(S20*((VLOOKUP(A20,[1]Plan!A$1:AA$804,27,FALSE)/100)))</f>
        <v>0</v>
      </c>
      <c r="U20" s="58">
        <f>IF(P20,O20*'[1]ETC Data'!$H$3*'[1]ETC Data'!$K$3,0)</f>
        <v>0</v>
      </c>
      <c r="V20" s="58">
        <f>U20-(U20*((VLOOKUP(A20,[1]Plan!A$1:AB$804,28,FALSE)/100)))</f>
        <v>0</v>
      </c>
      <c r="W20" s="58">
        <f>IF(P20,O20*'[1]ETC Data'!$H$3*'[1]ETC Data'!$L$3,0)</f>
        <v>0</v>
      </c>
      <c r="X20" s="58">
        <f>W20-(W20*((VLOOKUP(A20,[1]Plan!A$1:AC$804,29,FALSE)/100)))</f>
        <v>0</v>
      </c>
      <c r="Y20" s="59"/>
      <c r="Z20" s="60" t="b">
        <f>OR(H20="Y",J20="Y")</f>
        <v>0</v>
      </c>
      <c r="AA20" s="58">
        <f>IF(Z20,O20*'[1]ETC Data'!$H$4*'[1]ETC Data'!$I$4,0)</f>
        <v>0</v>
      </c>
      <c r="AB20" s="58">
        <f>AA20-(AA20*((VLOOKUP(A20,[1]Plan!A$1:AI$804,35,FALSE)/100)))</f>
        <v>0</v>
      </c>
      <c r="AC20" s="58">
        <f>IF(Z20,O20*'[1]ETC Data'!$H$4*'[1]ETC Data'!$J$4,0)</f>
        <v>0</v>
      </c>
      <c r="AD20" s="58">
        <f>AC20-(AC20*((VLOOKUP(A20,[1]Plan!A$1:AJ$804,36,FALSE)/100)))</f>
        <v>0</v>
      </c>
      <c r="AE20" s="58">
        <f>IF(Z20,O20*'[1]ETC Data'!$H$4*'[1]ETC Data'!$K$4,0)</f>
        <v>0</v>
      </c>
      <c r="AF20" s="58">
        <f>AE20-(AE20*((VLOOKUP(A20,[1]Plan!A$1:AK$804,37,FALSE)/100)))</f>
        <v>0</v>
      </c>
      <c r="AG20" s="58">
        <f>IF(Z20,O20*'[1]ETC Data'!$H$4*'[1]ETC Data'!$L$4,0)</f>
        <v>0</v>
      </c>
      <c r="AH20" s="58">
        <f>AG20-(AG20*((VLOOKUP(A20,[1]Plan!A$1:AP$804,42,FALSE)/100)))</f>
        <v>0</v>
      </c>
      <c r="AI20" s="60"/>
      <c r="AJ20" s="60" t="b">
        <f>OR(H20="Y",K20="Y")</f>
        <v>0</v>
      </c>
      <c r="AK20" s="61">
        <f>IF(AJ20,O20*'[1]ETC Data'!$H$5*'[1]ETC Data'!$I$5,0)</f>
        <v>0</v>
      </c>
      <c r="AL20" s="58">
        <f>AK20-(AK20*((VLOOKUP(A20,[1]Plan!A$1:AY$804,51,FALSE)/100)))</f>
        <v>0</v>
      </c>
      <c r="AM20" s="58">
        <f>IF(AJ20,O20*'[1]ETC Data'!$H$5*'[1]ETC Data'!$J$5,0)</f>
        <v>0</v>
      </c>
      <c r="AN20" s="58">
        <f>AM20-(AM20*((VLOOKUP(A20,[1]Plan!A$1:BA$804,53,FALSE)/100)))</f>
        <v>0</v>
      </c>
      <c r="AO20" s="61">
        <f>IF(AJ20,O20*'[1]ETC Data'!$H$5*'[1]ETC Data'!$K$5,0)</f>
        <v>0</v>
      </c>
      <c r="AP20" s="58">
        <f>AO20-(AO20*((VLOOKUP(A20,[1]Plan!A$1:BB$804,54,FALSE)/100)))</f>
        <v>0</v>
      </c>
      <c r="AQ20" s="58">
        <f>IF(AJ20,O20*'[1]ETC Data'!$H$5*'[1]ETC Data'!$L$5,0)</f>
        <v>0</v>
      </c>
      <c r="AR20" s="58">
        <f>AQ20-(AQ20*((VLOOKUP(A20,[1]Plan!A$1:BD$804,56,FALSE)/100)))</f>
        <v>0</v>
      </c>
      <c r="AS20" s="20">
        <f>VLOOKUP(A20,'[1]PR Matrix'!A:B,2,FALSE)</f>
        <v>0</v>
      </c>
      <c r="AT20" s="21">
        <f>R20+T20+V20+X20+AB20+AD20+AF20+AH20+AL20+AN20+AP20+AR20</f>
        <v>0</v>
      </c>
      <c r="AU20" s="21">
        <f>Q20+S20+U20+W20+AA20+AC20+AE20+AG20+AK20+AM20+AO20+AQ20</f>
        <v>0</v>
      </c>
      <c r="AV20" s="21">
        <f>R20+AB20+AL20</f>
        <v>0</v>
      </c>
      <c r="AW20" s="21">
        <f>T20+AD20+AN20</f>
        <v>0</v>
      </c>
      <c r="AX20" s="21">
        <f>V20+AF20+AP20</f>
        <v>0</v>
      </c>
      <c r="AY20" s="21">
        <f>X20+AH20+AR20</f>
        <v>0</v>
      </c>
    </row>
    <row r="21" spans="1:51" hidden="1" x14ac:dyDescent="0.2">
      <c r="A21" s="50" t="s">
        <v>227</v>
      </c>
      <c r="B21" s="51" t="s">
        <v>208</v>
      </c>
      <c r="C21" s="51"/>
      <c r="D21" s="51"/>
      <c r="E21" s="52">
        <f>IF(G21="Y",VLOOKUP(B21&amp;"|"&amp;C21,'[1]ETC Data'!$C$2:$D$16,2,FALSE),0)</f>
        <v>0</v>
      </c>
      <c r="F21" s="52">
        <f>IF(D21="",0,IF(G21="Y",VLOOKUP(B21&amp;"|"&amp;D21,'[1]ETC Data'!$C$2:$D$16,2,FALSE),0))</f>
        <v>0</v>
      </c>
      <c r="G21" s="53" t="str">
        <f>IF(VLOOKUP(A21,[1]Plan!A$1:H$804,8,FALSE)&lt;&gt;"",VLOOKUP(A21,[1]Plan!A$1:H$804,8,FALSE),"")</f>
        <v>N</v>
      </c>
      <c r="H21" s="54" t="str">
        <f>IF(VLOOKUP(A21,[1]Plan!A$1:L$804,12,FALSE)&lt;&gt;"",VLOOKUP(A21,[1]Plan!A$1:L$804,12,FALSE),"")</f>
        <v/>
      </c>
      <c r="I21" s="55" t="str">
        <f>IF(VLOOKUP(A21,[1]Plan!A$1:M$804,13,FALSE)&lt;&gt;"",VLOOKUP(A21,[1]Plan!A$1:M$804,13,FALSE),"")</f>
        <v/>
      </c>
      <c r="J21" s="55" t="str">
        <f>IF(VLOOKUP(A21,[1]Plan!A$1:N$804,14,FALSE)&lt;&gt;"",VLOOKUP(A21,[1]Plan!A$1:N$804,14,FALSE),IF(VLOOKUP(A21,[1]Plan!A$1:O$804,15,FALSE)&lt;&gt;"",VLOOKUP(A21,[1]Plan!A$1:O$804,15,FALSE),""))</f>
        <v/>
      </c>
      <c r="K21" s="56" t="str">
        <f>IF(VLOOKUP(A21,[1]Plan!A$1:P$804,16,FALSE)&lt;&gt;"",VLOOKUP(A21,[1]Plan!A$1:P$804,16,FALSE),"")</f>
        <v/>
      </c>
      <c r="L21" s="55"/>
      <c r="M21" s="55"/>
      <c r="N21" s="55"/>
      <c r="O21" s="57">
        <f>IF(F21=0,E21,F21)</f>
        <v>0</v>
      </c>
      <c r="P21" s="57" t="b">
        <f>OR(H21="Y",I21="Y")</f>
        <v>0</v>
      </c>
      <c r="Q21" s="58">
        <f>IF(P21,O21*'[1]ETC Data'!$H$3*'[1]ETC Data'!$I$3,0)</f>
        <v>0</v>
      </c>
      <c r="R21" s="58">
        <f>Q21-(Q21*((VLOOKUP(A21,[1]Plan!A$1:Z$804,26,FALSE)/100)))</f>
        <v>0</v>
      </c>
      <c r="S21" s="58">
        <f>IF(P21,O21*'[1]ETC Data'!$H$3*'[1]ETC Data'!$J$3,0)</f>
        <v>0</v>
      </c>
      <c r="T21" s="58">
        <f>S21-(S21*((VLOOKUP(A21,[1]Plan!A$1:AA$804,27,FALSE)/100)))</f>
        <v>0</v>
      </c>
      <c r="U21" s="58">
        <f>IF(P21,O21*'[1]ETC Data'!$H$3*'[1]ETC Data'!$K$3,0)</f>
        <v>0</v>
      </c>
      <c r="V21" s="58">
        <f>U21-(U21*((VLOOKUP(A21,[1]Plan!A$1:AB$804,28,FALSE)/100)))</f>
        <v>0</v>
      </c>
      <c r="W21" s="58">
        <f>IF(P21,O21*'[1]ETC Data'!$H$3*'[1]ETC Data'!$L$3,0)</f>
        <v>0</v>
      </c>
      <c r="X21" s="58">
        <f>W21-(W21*((VLOOKUP(A21,[1]Plan!A$1:AC$804,29,FALSE)/100)))</f>
        <v>0</v>
      </c>
      <c r="Y21" s="59"/>
      <c r="Z21" s="60" t="b">
        <f>OR(H21="Y",J21="Y")</f>
        <v>0</v>
      </c>
      <c r="AA21" s="58">
        <f>IF(Z21,O21*'[1]ETC Data'!$H$4*'[1]ETC Data'!$I$4,0)</f>
        <v>0</v>
      </c>
      <c r="AB21" s="58">
        <f>AA21-(AA21*((VLOOKUP(A21,[1]Plan!A$1:AI$804,35,FALSE)/100)))</f>
        <v>0</v>
      </c>
      <c r="AC21" s="58">
        <f>IF(Z21,O21*'[1]ETC Data'!$H$4*'[1]ETC Data'!$J$4,0)</f>
        <v>0</v>
      </c>
      <c r="AD21" s="58">
        <f>AC21-(AC21*((VLOOKUP(A21,[1]Plan!A$1:AJ$804,36,FALSE)/100)))</f>
        <v>0</v>
      </c>
      <c r="AE21" s="58">
        <f>IF(Z21,O21*'[1]ETC Data'!$H$4*'[1]ETC Data'!$K$4,0)</f>
        <v>0</v>
      </c>
      <c r="AF21" s="58">
        <f>AE21-(AE21*((VLOOKUP(A21,[1]Plan!A$1:AK$804,37,FALSE)/100)))</f>
        <v>0</v>
      </c>
      <c r="AG21" s="58">
        <f>IF(Z21,O21*'[1]ETC Data'!$H$4*'[1]ETC Data'!$L$4,0)</f>
        <v>0</v>
      </c>
      <c r="AH21" s="58">
        <f>AG21-(AG21*((VLOOKUP(A21,[1]Plan!A$1:AP$804,42,FALSE)/100)))</f>
        <v>0</v>
      </c>
      <c r="AI21" s="60"/>
      <c r="AJ21" s="60" t="b">
        <f>OR(H21="Y",K21="Y")</f>
        <v>0</v>
      </c>
      <c r="AK21" s="61">
        <f>IF(AJ21,O21*'[1]ETC Data'!$H$5*'[1]ETC Data'!$I$5,0)</f>
        <v>0</v>
      </c>
      <c r="AL21" s="58">
        <f>AK21-(AK21*((VLOOKUP(A21,[1]Plan!A$1:AY$804,51,FALSE)/100)))</f>
        <v>0</v>
      </c>
      <c r="AM21" s="58">
        <f>IF(AJ21,O21*'[1]ETC Data'!$H$5*'[1]ETC Data'!$J$5,0)</f>
        <v>0</v>
      </c>
      <c r="AN21" s="58">
        <f>AM21-(AM21*((VLOOKUP(A21,[1]Plan!A$1:BA$804,53,FALSE)/100)))</f>
        <v>0</v>
      </c>
      <c r="AO21" s="61">
        <f>IF(AJ21,O21*'[1]ETC Data'!$H$5*'[1]ETC Data'!$K$5,0)</f>
        <v>0</v>
      </c>
      <c r="AP21" s="58">
        <f>AO21-(AO21*((VLOOKUP(A21,[1]Plan!A$1:BB$804,54,FALSE)/100)))</f>
        <v>0</v>
      </c>
      <c r="AQ21" s="58">
        <f>IF(AJ21,O21*'[1]ETC Data'!$H$5*'[1]ETC Data'!$L$5,0)</f>
        <v>0</v>
      </c>
      <c r="AR21" s="58">
        <f>AQ21-(AQ21*((VLOOKUP(A21,[1]Plan!A$1:BD$804,56,FALSE)/100)))</f>
        <v>0</v>
      </c>
      <c r="AS21" s="20">
        <f>VLOOKUP(A21,'[1]PR Matrix'!A:B,2,FALSE)</f>
        <v>0</v>
      </c>
      <c r="AT21" s="21">
        <f>R21+T21+V21+X21+AB21+AD21+AF21+AH21+AL21+AN21+AP21+AR21</f>
        <v>0</v>
      </c>
      <c r="AU21" s="21">
        <f>Q21+S21+U21+W21+AA21+AC21+AE21+AG21+AK21+AM21+AO21+AQ21</f>
        <v>0</v>
      </c>
      <c r="AV21" s="21">
        <f>R21+AB21+AL21</f>
        <v>0</v>
      </c>
      <c r="AW21" s="21">
        <f>T21+AD21+AN21</f>
        <v>0</v>
      </c>
      <c r="AX21" s="21">
        <f>V21+AF21+AP21</f>
        <v>0</v>
      </c>
      <c r="AY21" s="21">
        <f>X21+AH21+AR21</f>
        <v>0</v>
      </c>
    </row>
    <row r="22" spans="1:51" hidden="1" x14ac:dyDescent="0.2">
      <c r="A22" s="50" t="s">
        <v>228</v>
      </c>
      <c r="B22" s="51" t="s">
        <v>208</v>
      </c>
      <c r="C22" s="51"/>
      <c r="D22" s="51"/>
      <c r="E22" s="52">
        <f>IF(G22="Y",VLOOKUP(B22&amp;"|"&amp;C22,'[1]ETC Data'!$C$2:$D$16,2,FALSE),0)</f>
        <v>0</v>
      </c>
      <c r="F22" s="52">
        <f>IF(D22="",0,IF(G22="Y",VLOOKUP(B22&amp;"|"&amp;D22,'[1]ETC Data'!$C$2:$D$16,2,FALSE),0))</f>
        <v>0</v>
      </c>
      <c r="G22" s="53" t="str">
        <f>IF(VLOOKUP(A22,[1]Plan!A$1:H$804,8,FALSE)&lt;&gt;"",VLOOKUP(A22,[1]Plan!A$1:H$804,8,FALSE),"")</f>
        <v>N</v>
      </c>
      <c r="H22" s="54" t="str">
        <f>IF(VLOOKUP(A22,[1]Plan!A$1:L$804,12,FALSE)&lt;&gt;"",VLOOKUP(A22,[1]Plan!A$1:L$804,12,FALSE),"")</f>
        <v/>
      </c>
      <c r="I22" s="55" t="str">
        <f>IF(VLOOKUP(A22,[1]Plan!A$1:M$804,13,FALSE)&lt;&gt;"",VLOOKUP(A22,[1]Plan!A$1:M$804,13,FALSE),"")</f>
        <v/>
      </c>
      <c r="J22" s="55" t="str">
        <f>IF(VLOOKUP(A22,[1]Plan!A$1:N$804,14,FALSE)&lt;&gt;"",VLOOKUP(A22,[1]Plan!A$1:N$804,14,FALSE),IF(VLOOKUP(A22,[1]Plan!A$1:O$804,15,FALSE)&lt;&gt;"",VLOOKUP(A22,[1]Plan!A$1:O$804,15,FALSE),""))</f>
        <v/>
      </c>
      <c r="K22" s="56" t="str">
        <f>IF(VLOOKUP(A22,[1]Plan!A$1:P$804,16,FALSE)&lt;&gt;"",VLOOKUP(A22,[1]Plan!A$1:P$804,16,FALSE),"")</f>
        <v/>
      </c>
      <c r="L22" s="55"/>
      <c r="M22" s="55"/>
      <c r="N22" s="55"/>
      <c r="O22" s="57">
        <f>IF(F22=0,E22,F22)</f>
        <v>0</v>
      </c>
      <c r="P22" s="57" t="b">
        <f>OR(H22="Y",I22="Y")</f>
        <v>0</v>
      </c>
      <c r="Q22" s="58">
        <f>IF(P22,O22*'[1]ETC Data'!$H$3*'[1]ETC Data'!$I$3,0)</f>
        <v>0</v>
      </c>
      <c r="R22" s="58">
        <f>Q22-(Q22*((VLOOKUP(A22,[1]Plan!A$1:Z$804,26,FALSE)/100)))</f>
        <v>0</v>
      </c>
      <c r="S22" s="58">
        <f>IF(P22,O22*'[1]ETC Data'!$H$3*'[1]ETC Data'!$J$3,0)</f>
        <v>0</v>
      </c>
      <c r="T22" s="58">
        <f>S22-(S22*((VLOOKUP(A22,[1]Plan!A$1:AA$804,27,FALSE)/100)))</f>
        <v>0</v>
      </c>
      <c r="U22" s="58">
        <f>IF(P22,O22*'[1]ETC Data'!$H$3*'[1]ETC Data'!$K$3,0)</f>
        <v>0</v>
      </c>
      <c r="V22" s="58">
        <f>U22-(U22*((VLOOKUP(A22,[1]Plan!A$1:AB$804,28,FALSE)/100)))</f>
        <v>0</v>
      </c>
      <c r="W22" s="58">
        <f>IF(P22,O22*'[1]ETC Data'!$H$3*'[1]ETC Data'!$L$3,0)</f>
        <v>0</v>
      </c>
      <c r="X22" s="58">
        <f>W22-(W22*((VLOOKUP(A22,[1]Plan!A$1:AC$804,29,FALSE)/100)))</f>
        <v>0</v>
      </c>
      <c r="Y22" s="59"/>
      <c r="Z22" s="60" t="b">
        <f>OR(H22="Y",J22="Y")</f>
        <v>0</v>
      </c>
      <c r="AA22" s="58">
        <f>IF(Z22,O22*'[1]ETC Data'!$H$4*'[1]ETC Data'!$I$4,0)</f>
        <v>0</v>
      </c>
      <c r="AB22" s="58">
        <f>AA22-(AA22*((VLOOKUP(A22,[1]Plan!A$1:AI$804,35,FALSE)/100)))</f>
        <v>0</v>
      </c>
      <c r="AC22" s="58">
        <f>IF(Z22,O22*'[1]ETC Data'!$H$4*'[1]ETC Data'!$J$4,0)</f>
        <v>0</v>
      </c>
      <c r="AD22" s="58">
        <f>AC22-(AC22*((VLOOKUP(A22,[1]Plan!A$1:AJ$804,36,FALSE)/100)))</f>
        <v>0</v>
      </c>
      <c r="AE22" s="58">
        <f>IF(Z22,O22*'[1]ETC Data'!$H$4*'[1]ETC Data'!$K$4,0)</f>
        <v>0</v>
      </c>
      <c r="AF22" s="58">
        <f>AE22-(AE22*((VLOOKUP(A22,[1]Plan!A$1:AK$804,37,FALSE)/100)))</f>
        <v>0</v>
      </c>
      <c r="AG22" s="58">
        <f>IF(Z22,O22*'[1]ETC Data'!$H$4*'[1]ETC Data'!$L$4,0)</f>
        <v>0</v>
      </c>
      <c r="AH22" s="58">
        <f>AG22-(AG22*((VLOOKUP(A22,[1]Plan!A$1:AP$804,42,FALSE)/100)))</f>
        <v>0</v>
      </c>
      <c r="AI22" s="60"/>
      <c r="AJ22" s="60" t="b">
        <f>OR(H22="Y",K22="Y")</f>
        <v>0</v>
      </c>
      <c r="AK22" s="61">
        <f>IF(AJ22,O22*'[1]ETC Data'!$H$5*'[1]ETC Data'!$I$5,0)</f>
        <v>0</v>
      </c>
      <c r="AL22" s="58">
        <f>AK22-(AK22*((VLOOKUP(A22,[1]Plan!A$1:AY$804,51,FALSE)/100)))</f>
        <v>0</v>
      </c>
      <c r="AM22" s="58">
        <f>IF(AJ22,O22*'[1]ETC Data'!$H$5*'[1]ETC Data'!$J$5,0)</f>
        <v>0</v>
      </c>
      <c r="AN22" s="58">
        <f>AM22-(AM22*((VLOOKUP(A22,[1]Plan!A$1:BA$804,53,FALSE)/100)))</f>
        <v>0</v>
      </c>
      <c r="AO22" s="61">
        <f>IF(AJ22,O22*'[1]ETC Data'!$H$5*'[1]ETC Data'!$K$5,0)</f>
        <v>0</v>
      </c>
      <c r="AP22" s="58">
        <f>AO22-(AO22*((VLOOKUP(A22,[1]Plan!A$1:BB$804,54,FALSE)/100)))</f>
        <v>0</v>
      </c>
      <c r="AQ22" s="58">
        <f>IF(AJ22,O22*'[1]ETC Data'!$H$5*'[1]ETC Data'!$L$5,0)</f>
        <v>0</v>
      </c>
      <c r="AR22" s="58">
        <f>AQ22-(AQ22*((VLOOKUP(A22,[1]Plan!A$1:BD$804,56,FALSE)/100)))</f>
        <v>0</v>
      </c>
      <c r="AS22" s="20">
        <f>VLOOKUP(A22,'[1]PR Matrix'!A:B,2,FALSE)</f>
        <v>0</v>
      </c>
      <c r="AT22" s="21">
        <f>R22+T22+V22+X22+AB22+AD22+AF22+AH22+AL22+AN22+AP22+AR22</f>
        <v>0</v>
      </c>
      <c r="AU22" s="21">
        <f>Q22+S22+U22+W22+AA22+AC22+AE22+AG22+AK22+AM22+AO22+AQ22</f>
        <v>0</v>
      </c>
      <c r="AV22" s="21">
        <f>R22+AB22+AL22</f>
        <v>0</v>
      </c>
      <c r="AW22" s="21">
        <f>T22+AD22+AN22</f>
        <v>0</v>
      </c>
      <c r="AX22" s="21">
        <f>V22+AF22+AP22</f>
        <v>0</v>
      </c>
      <c r="AY22" s="21">
        <f>X22+AH22+AR22</f>
        <v>0</v>
      </c>
    </row>
    <row r="23" spans="1:51" hidden="1" x14ac:dyDescent="0.2">
      <c r="A23" s="50" t="s">
        <v>229</v>
      </c>
      <c r="B23" s="51" t="s">
        <v>208</v>
      </c>
      <c r="C23" s="51"/>
      <c r="D23" s="51"/>
      <c r="E23" s="52">
        <f>IF(G23="Y",VLOOKUP(B23&amp;"|"&amp;C23,'[1]ETC Data'!$C$2:$D$16,2,FALSE),0)</f>
        <v>0</v>
      </c>
      <c r="F23" s="52">
        <f>IF(D23="",0,IF(G23="Y",VLOOKUP(B23&amp;"|"&amp;D23,'[1]ETC Data'!$C$2:$D$16,2,FALSE),0))</f>
        <v>0</v>
      </c>
      <c r="G23" s="53" t="str">
        <f>IF(VLOOKUP(A23,[1]Plan!A$1:H$804,8,FALSE)&lt;&gt;"",VLOOKUP(A23,[1]Plan!A$1:H$804,8,FALSE),"")</f>
        <v>N</v>
      </c>
      <c r="H23" s="54" t="str">
        <f>IF(VLOOKUP(A23,[1]Plan!A$1:L$804,12,FALSE)&lt;&gt;"",VLOOKUP(A23,[1]Plan!A$1:L$804,12,FALSE),"")</f>
        <v/>
      </c>
      <c r="I23" s="55" t="str">
        <f>IF(VLOOKUP(A23,[1]Plan!A$1:M$804,13,FALSE)&lt;&gt;"",VLOOKUP(A23,[1]Plan!A$1:M$804,13,FALSE),"")</f>
        <v/>
      </c>
      <c r="J23" s="55" t="str">
        <f>IF(VLOOKUP(A23,[1]Plan!A$1:N$804,14,FALSE)&lt;&gt;"",VLOOKUP(A23,[1]Plan!A$1:N$804,14,FALSE),IF(VLOOKUP(A23,[1]Plan!A$1:O$804,15,FALSE)&lt;&gt;"",VLOOKUP(A23,[1]Plan!A$1:O$804,15,FALSE),""))</f>
        <v/>
      </c>
      <c r="K23" s="56" t="str">
        <f>IF(VLOOKUP(A23,[1]Plan!A$1:P$804,16,FALSE)&lt;&gt;"",VLOOKUP(A23,[1]Plan!A$1:P$804,16,FALSE),"")</f>
        <v/>
      </c>
      <c r="L23" s="55"/>
      <c r="M23" s="55"/>
      <c r="N23" s="55"/>
      <c r="O23" s="57">
        <f>IF(F23=0,E23,F23)</f>
        <v>0</v>
      </c>
      <c r="P23" s="57" t="b">
        <f>OR(H23="Y",I23="Y")</f>
        <v>0</v>
      </c>
      <c r="Q23" s="58">
        <f>IF(P23,O23*'[1]ETC Data'!$H$3*'[1]ETC Data'!$I$3,0)</f>
        <v>0</v>
      </c>
      <c r="R23" s="58">
        <f>Q23-(Q23*((VLOOKUP(A23,[1]Plan!A$1:Z$804,26,FALSE)/100)))</f>
        <v>0</v>
      </c>
      <c r="S23" s="58">
        <f>IF(P23,O23*'[1]ETC Data'!$H$3*'[1]ETC Data'!$J$3,0)</f>
        <v>0</v>
      </c>
      <c r="T23" s="58">
        <f>S23-(S23*((VLOOKUP(A23,[1]Plan!A$1:AA$804,27,FALSE)/100)))</f>
        <v>0</v>
      </c>
      <c r="U23" s="58">
        <f>IF(P23,O23*'[1]ETC Data'!$H$3*'[1]ETC Data'!$K$3,0)</f>
        <v>0</v>
      </c>
      <c r="V23" s="58">
        <f>U23-(U23*((VLOOKUP(A23,[1]Plan!A$1:AB$804,28,FALSE)/100)))</f>
        <v>0</v>
      </c>
      <c r="W23" s="58">
        <f>IF(P23,O23*'[1]ETC Data'!$H$3*'[1]ETC Data'!$L$3,0)</f>
        <v>0</v>
      </c>
      <c r="X23" s="58">
        <f>W23-(W23*((VLOOKUP(A23,[1]Plan!A$1:AC$804,29,FALSE)/100)))</f>
        <v>0</v>
      </c>
      <c r="Y23" s="59"/>
      <c r="Z23" s="60" t="b">
        <f>OR(H23="Y",J23="Y")</f>
        <v>0</v>
      </c>
      <c r="AA23" s="58">
        <f>IF(Z23,O23*'[1]ETC Data'!$H$4*'[1]ETC Data'!$I$4,0)</f>
        <v>0</v>
      </c>
      <c r="AB23" s="58">
        <f>AA23-(AA23*((VLOOKUP(A23,[1]Plan!A$1:AI$804,35,FALSE)/100)))</f>
        <v>0</v>
      </c>
      <c r="AC23" s="58">
        <f>IF(Z23,O23*'[1]ETC Data'!$H$4*'[1]ETC Data'!$J$4,0)</f>
        <v>0</v>
      </c>
      <c r="AD23" s="58">
        <f>AC23-(AC23*((VLOOKUP(A23,[1]Plan!A$1:AJ$804,36,FALSE)/100)))</f>
        <v>0</v>
      </c>
      <c r="AE23" s="58">
        <f>IF(Z23,O23*'[1]ETC Data'!$H$4*'[1]ETC Data'!$K$4,0)</f>
        <v>0</v>
      </c>
      <c r="AF23" s="58">
        <f>AE23-(AE23*((VLOOKUP(A23,[1]Plan!A$1:AK$804,37,FALSE)/100)))</f>
        <v>0</v>
      </c>
      <c r="AG23" s="58">
        <f>IF(Z23,O23*'[1]ETC Data'!$H$4*'[1]ETC Data'!$L$4,0)</f>
        <v>0</v>
      </c>
      <c r="AH23" s="58">
        <f>AG23-(AG23*((VLOOKUP(A23,[1]Plan!A$1:AP$804,42,FALSE)/100)))</f>
        <v>0</v>
      </c>
      <c r="AI23" s="60"/>
      <c r="AJ23" s="60" t="b">
        <f>OR(H23="Y",K23="Y")</f>
        <v>0</v>
      </c>
      <c r="AK23" s="61">
        <f>IF(AJ23,O23*'[1]ETC Data'!$H$5*'[1]ETC Data'!$I$5,0)</f>
        <v>0</v>
      </c>
      <c r="AL23" s="58">
        <f>AK23-(AK23*((VLOOKUP(A23,[1]Plan!A$1:AY$804,51,FALSE)/100)))</f>
        <v>0</v>
      </c>
      <c r="AM23" s="58">
        <f>IF(AJ23,O23*'[1]ETC Data'!$H$5*'[1]ETC Data'!$J$5,0)</f>
        <v>0</v>
      </c>
      <c r="AN23" s="58">
        <f>AM23-(AM23*((VLOOKUP(A23,[1]Plan!A$1:BA$804,53,FALSE)/100)))</f>
        <v>0</v>
      </c>
      <c r="AO23" s="61">
        <f>IF(AJ23,O23*'[1]ETC Data'!$H$5*'[1]ETC Data'!$K$5,0)</f>
        <v>0</v>
      </c>
      <c r="AP23" s="58">
        <f>AO23-(AO23*((VLOOKUP(A23,[1]Plan!A$1:BB$804,54,FALSE)/100)))</f>
        <v>0</v>
      </c>
      <c r="AQ23" s="58">
        <f>IF(AJ23,O23*'[1]ETC Data'!$H$5*'[1]ETC Data'!$L$5,0)</f>
        <v>0</v>
      </c>
      <c r="AR23" s="58">
        <f>AQ23-(AQ23*((VLOOKUP(A23,[1]Plan!A$1:BD$804,56,FALSE)/100)))</f>
        <v>0</v>
      </c>
      <c r="AS23" s="20">
        <f>VLOOKUP(A23,'[1]PR Matrix'!A:B,2,FALSE)</f>
        <v>0</v>
      </c>
      <c r="AT23" s="21">
        <f>R23+T23+V23+X23+AB23+AD23+AF23+AH23+AL23+AN23+AP23+AR23</f>
        <v>0</v>
      </c>
      <c r="AU23" s="21">
        <f>Q23+S23+U23+W23+AA23+AC23+AE23+AG23+AK23+AM23+AO23+AQ23</f>
        <v>0</v>
      </c>
      <c r="AV23" s="21">
        <f>R23+AB23+AL23</f>
        <v>0</v>
      </c>
      <c r="AW23" s="21">
        <f>T23+AD23+AN23</f>
        <v>0</v>
      </c>
      <c r="AX23" s="21">
        <f>V23+AF23+AP23</f>
        <v>0</v>
      </c>
      <c r="AY23" s="21">
        <f>X23+AH23+AR23</f>
        <v>0</v>
      </c>
    </row>
    <row r="24" spans="1:51" hidden="1" x14ac:dyDescent="0.2">
      <c r="A24" s="50" t="s">
        <v>230</v>
      </c>
      <c r="B24" s="51" t="s">
        <v>208</v>
      </c>
      <c r="C24" s="51"/>
      <c r="D24" s="51"/>
      <c r="E24" s="52">
        <f>IF(G24="Y",VLOOKUP(B24&amp;"|"&amp;C24,'[1]ETC Data'!$C$2:$D$16,2,FALSE),0)</f>
        <v>0</v>
      </c>
      <c r="F24" s="52">
        <f>IF(D24="",0,IF(G24="Y",VLOOKUP(B24&amp;"|"&amp;D24,'[1]ETC Data'!$C$2:$D$16,2,FALSE),0))</f>
        <v>0</v>
      </c>
      <c r="G24" s="53" t="str">
        <f>IF(VLOOKUP(A24,[1]Plan!A$1:H$804,8,FALSE)&lt;&gt;"",VLOOKUP(A24,[1]Plan!A$1:H$804,8,FALSE),"")</f>
        <v>N</v>
      </c>
      <c r="H24" s="54" t="str">
        <f>IF(VLOOKUP(A24,[1]Plan!A$1:L$804,12,FALSE)&lt;&gt;"",VLOOKUP(A24,[1]Plan!A$1:L$804,12,FALSE),"")</f>
        <v/>
      </c>
      <c r="I24" s="55" t="str">
        <f>IF(VLOOKUP(A24,[1]Plan!A$1:M$804,13,FALSE)&lt;&gt;"",VLOOKUP(A24,[1]Plan!A$1:M$804,13,FALSE),"")</f>
        <v/>
      </c>
      <c r="J24" s="55" t="str">
        <f>IF(VLOOKUP(A24,[1]Plan!A$1:N$804,14,FALSE)&lt;&gt;"",VLOOKUP(A24,[1]Plan!A$1:N$804,14,FALSE),IF(VLOOKUP(A24,[1]Plan!A$1:O$804,15,FALSE)&lt;&gt;"",VLOOKUP(A24,[1]Plan!A$1:O$804,15,FALSE),""))</f>
        <v/>
      </c>
      <c r="K24" s="56" t="str">
        <f>IF(VLOOKUP(A24,[1]Plan!A$1:P$804,16,FALSE)&lt;&gt;"",VLOOKUP(A24,[1]Plan!A$1:P$804,16,FALSE),"")</f>
        <v/>
      </c>
      <c r="L24" s="55"/>
      <c r="M24" s="55"/>
      <c r="N24" s="55"/>
      <c r="O24" s="57">
        <f>IF(F24=0,E24,F24)</f>
        <v>0</v>
      </c>
      <c r="P24" s="57" t="b">
        <f>OR(H24="Y",I24="Y")</f>
        <v>0</v>
      </c>
      <c r="Q24" s="58">
        <f>IF(P24,O24*'[1]ETC Data'!$H$3*'[1]ETC Data'!$I$3,0)</f>
        <v>0</v>
      </c>
      <c r="R24" s="58">
        <f>Q24-(Q24*((VLOOKUP(A24,[1]Plan!A$1:Z$804,26,FALSE)/100)))</f>
        <v>0</v>
      </c>
      <c r="S24" s="58">
        <f>IF(P24,O24*'[1]ETC Data'!$H$3*'[1]ETC Data'!$J$3,0)</f>
        <v>0</v>
      </c>
      <c r="T24" s="58">
        <f>S24-(S24*((VLOOKUP(A24,[1]Plan!A$1:AA$804,27,FALSE)/100)))</f>
        <v>0</v>
      </c>
      <c r="U24" s="58">
        <f>IF(P24,O24*'[1]ETC Data'!$H$3*'[1]ETC Data'!$K$3,0)</f>
        <v>0</v>
      </c>
      <c r="V24" s="58">
        <f>U24-(U24*((VLOOKUP(A24,[1]Plan!A$1:AB$804,28,FALSE)/100)))</f>
        <v>0</v>
      </c>
      <c r="W24" s="58">
        <f>IF(P24,O24*'[1]ETC Data'!$H$3*'[1]ETC Data'!$L$3,0)</f>
        <v>0</v>
      </c>
      <c r="X24" s="58">
        <f>W24-(W24*((VLOOKUP(A24,[1]Plan!A$1:AC$804,29,FALSE)/100)))</f>
        <v>0</v>
      </c>
      <c r="Y24" s="59"/>
      <c r="Z24" s="60" t="b">
        <f>OR(H24="Y",J24="Y")</f>
        <v>0</v>
      </c>
      <c r="AA24" s="58">
        <f>IF(Z24,O24*'[1]ETC Data'!$H$4*'[1]ETC Data'!$I$4,0)</f>
        <v>0</v>
      </c>
      <c r="AB24" s="58">
        <f>AA24-(AA24*((VLOOKUP(A24,[1]Plan!A$1:AI$804,35,FALSE)/100)))</f>
        <v>0</v>
      </c>
      <c r="AC24" s="58">
        <f>IF(Z24,O24*'[1]ETC Data'!$H$4*'[1]ETC Data'!$J$4,0)</f>
        <v>0</v>
      </c>
      <c r="AD24" s="58">
        <f>AC24-(AC24*((VLOOKUP(A24,[1]Plan!A$1:AJ$804,36,FALSE)/100)))</f>
        <v>0</v>
      </c>
      <c r="AE24" s="58">
        <f>IF(Z24,O24*'[1]ETC Data'!$H$4*'[1]ETC Data'!$K$4,0)</f>
        <v>0</v>
      </c>
      <c r="AF24" s="58">
        <f>AE24-(AE24*((VLOOKUP(A24,[1]Plan!A$1:AK$804,37,FALSE)/100)))</f>
        <v>0</v>
      </c>
      <c r="AG24" s="58">
        <f>IF(Z24,O24*'[1]ETC Data'!$H$4*'[1]ETC Data'!$L$4,0)</f>
        <v>0</v>
      </c>
      <c r="AH24" s="58">
        <f>AG24-(AG24*((VLOOKUP(A24,[1]Plan!A$1:AP$804,42,FALSE)/100)))</f>
        <v>0</v>
      </c>
      <c r="AI24" s="60"/>
      <c r="AJ24" s="60" t="b">
        <f>OR(H24="Y",K24="Y")</f>
        <v>0</v>
      </c>
      <c r="AK24" s="61">
        <f>IF(AJ24,O24*'[1]ETC Data'!$H$5*'[1]ETC Data'!$I$5,0)</f>
        <v>0</v>
      </c>
      <c r="AL24" s="58">
        <f>AK24-(AK24*((VLOOKUP(A24,[1]Plan!A$1:AY$804,51,FALSE)/100)))</f>
        <v>0</v>
      </c>
      <c r="AM24" s="58">
        <f>IF(AJ24,O24*'[1]ETC Data'!$H$5*'[1]ETC Data'!$J$5,0)</f>
        <v>0</v>
      </c>
      <c r="AN24" s="58">
        <f>AM24-(AM24*((VLOOKUP(A24,[1]Plan!A$1:BA$804,53,FALSE)/100)))</f>
        <v>0</v>
      </c>
      <c r="AO24" s="61">
        <f>IF(AJ24,O24*'[1]ETC Data'!$H$5*'[1]ETC Data'!$K$5,0)</f>
        <v>0</v>
      </c>
      <c r="AP24" s="58">
        <f>AO24-(AO24*((VLOOKUP(A24,[1]Plan!A$1:BB$804,54,FALSE)/100)))</f>
        <v>0</v>
      </c>
      <c r="AQ24" s="58">
        <f>IF(AJ24,O24*'[1]ETC Data'!$H$5*'[1]ETC Data'!$L$5,0)</f>
        <v>0</v>
      </c>
      <c r="AR24" s="58">
        <f>AQ24-(AQ24*((VLOOKUP(A24,[1]Plan!A$1:BD$804,56,FALSE)/100)))</f>
        <v>0</v>
      </c>
      <c r="AS24" s="20">
        <f>VLOOKUP(A24,'[1]PR Matrix'!A:B,2,FALSE)</f>
        <v>0</v>
      </c>
      <c r="AT24" s="21">
        <f>R24+T24+V24+X24+AB24+AD24+AF24+AH24+AL24+AN24+AP24+AR24</f>
        <v>0</v>
      </c>
      <c r="AU24" s="21">
        <f>Q24+S24+U24+W24+AA24+AC24+AE24+AG24+AK24+AM24+AO24+AQ24</f>
        <v>0</v>
      </c>
      <c r="AV24" s="21">
        <f>R24+AB24+AL24</f>
        <v>0</v>
      </c>
      <c r="AW24" s="21">
        <f>T24+AD24+AN24</f>
        <v>0</v>
      </c>
      <c r="AX24" s="21">
        <f>V24+AF24+AP24</f>
        <v>0</v>
      </c>
      <c r="AY24" s="21">
        <f>X24+AH24+AR24</f>
        <v>0</v>
      </c>
    </row>
    <row r="25" spans="1:51" hidden="1" x14ac:dyDescent="0.2">
      <c r="A25" s="50" t="s">
        <v>231</v>
      </c>
      <c r="B25" s="51" t="s">
        <v>208</v>
      </c>
      <c r="C25" s="51"/>
      <c r="D25" s="51"/>
      <c r="E25" s="52">
        <f>IF(G25="Y",VLOOKUP(B25&amp;"|"&amp;C25,'[1]ETC Data'!$C$2:$D$16,2,FALSE),0)</f>
        <v>0</v>
      </c>
      <c r="F25" s="52">
        <f>IF(D25="",0,IF(G25="Y",VLOOKUP(B25&amp;"|"&amp;D25,'[1]ETC Data'!$C$2:$D$16,2,FALSE),0))</f>
        <v>0</v>
      </c>
      <c r="G25" s="53" t="str">
        <f>IF(VLOOKUP(A25,[1]Plan!A$1:H$804,8,FALSE)&lt;&gt;"",VLOOKUP(A25,[1]Plan!A$1:H$804,8,FALSE),"")</f>
        <v>N</v>
      </c>
      <c r="H25" s="54" t="str">
        <f>IF(VLOOKUP(A25,[1]Plan!A$1:L$804,12,FALSE)&lt;&gt;"",VLOOKUP(A25,[1]Plan!A$1:L$804,12,FALSE),"")</f>
        <v/>
      </c>
      <c r="I25" s="55" t="str">
        <f>IF(VLOOKUP(A25,[1]Plan!A$1:M$804,13,FALSE)&lt;&gt;"",VLOOKUP(A25,[1]Plan!A$1:M$804,13,FALSE),"")</f>
        <v/>
      </c>
      <c r="J25" s="55" t="str">
        <f>IF(VLOOKUP(A25,[1]Plan!A$1:N$804,14,FALSE)&lt;&gt;"",VLOOKUP(A25,[1]Plan!A$1:N$804,14,FALSE),IF(VLOOKUP(A25,[1]Plan!A$1:O$804,15,FALSE)&lt;&gt;"",VLOOKUP(A25,[1]Plan!A$1:O$804,15,FALSE),""))</f>
        <v/>
      </c>
      <c r="K25" s="56" t="str">
        <f>IF(VLOOKUP(A25,[1]Plan!A$1:P$804,16,FALSE)&lt;&gt;"",VLOOKUP(A25,[1]Plan!A$1:P$804,16,FALSE),"")</f>
        <v/>
      </c>
      <c r="L25" s="55"/>
      <c r="M25" s="55"/>
      <c r="N25" s="55"/>
      <c r="O25" s="57">
        <f>IF(F25=0,E25,F25)</f>
        <v>0</v>
      </c>
      <c r="P25" s="57" t="b">
        <f>OR(H25="Y",I25="Y")</f>
        <v>0</v>
      </c>
      <c r="Q25" s="58">
        <f>IF(P25,O25*'[1]ETC Data'!$H$3*'[1]ETC Data'!$I$3,0)</f>
        <v>0</v>
      </c>
      <c r="R25" s="58">
        <f>Q25-(Q25*((VLOOKUP(A25,[1]Plan!A$1:Z$804,26,FALSE)/100)))</f>
        <v>0</v>
      </c>
      <c r="S25" s="58">
        <f>IF(P25,O25*'[1]ETC Data'!$H$3*'[1]ETC Data'!$J$3,0)</f>
        <v>0</v>
      </c>
      <c r="T25" s="58">
        <f>S25-(S25*((VLOOKUP(A25,[1]Plan!A$1:AA$804,27,FALSE)/100)))</f>
        <v>0</v>
      </c>
      <c r="U25" s="58">
        <f>IF(P25,O25*'[1]ETC Data'!$H$3*'[1]ETC Data'!$K$3,0)</f>
        <v>0</v>
      </c>
      <c r="V25" s="58">
        <f>U25-(U25*((VLOOKUP(A25,[1]Plan!A$1:AB$804,28,FALSE)/100)))</f>
        <v>0</v>
      </c>
      <c r="W25" s="58">
        <f>IF(P25,O25*'[1]ETC Data'!$H$3*'[1]ETC Data'!$L$3,0)</f>
        <v>0</v>
      </c>
      <c r="X25" s="58">
        <f>W25-(W25*((VLOOKUP(A25,[1]Plan!A$1:AC$804,29,FALSE)/100)))</f>
        <v>0</v>
      </c>
      <c r="Y25" s="59"/>
      <c r="Z25" s="60" t="b">
        <f>OR(H25="Y",J25="Y")</f>
        <v>0</v>
      </c>
      <c r="AA25" s="58">
        <f>IF(Z25,O25*'[1]ETC Data'!$H$4*'[1]ETC Data'!$I$4,0)</f>
        <v>0</v>
      </c>
      <c r="AB25" s="58">
        <f>AA25-(AA25*((VLOOKUP(A25,[1]Plan!A$1:AI$804,35,FALSE)/100)))</f>
        <v>0</v>
      </c>
      <c r="AC25" s="58">
        <f>IF(Z25,O25*'[1]ETC Data'!$H$4*'[1]ETC Data'!$J$4,0)</f>
        <v>0</v>
      </c>
      <c r="AD25" s="58">
        <f>AC25-(AC25*((VLOOKUP(A25,[1]Plan!A$1:AJ$804,36,FALSE)/100)))</f>
        <v>0</v>
      </c>
      <c r="AE25" s="58">
        <f>IF(Z25,O25*'[1]ETC Data'!$H$4*'[1]ETC Data'!$K$4,0)</f>
        <v>0</v>
      </c>
      <c r="AF25" s="58">
        <f>AE25-(AE25*((VLOOKUP(A25,[1]Plan!A$1:AK$804,37,FALSE)/100)))</f>
        <v>0</v>
      </c>
      <c r="AG25" s="58">
        <f>IF(Z25,O25*'[1]ETC Data'!$H$4*'[1]ETC Data'!$L$4,0)</f>
        <v>0</v>
      </c>
      <c r="AH25" s="58">
        <f>AG25-(AG25*((VLOOKUP(A25,[1]Plan!A$1:AP$804,42,FALSE)/100)))</f>
        <v>0</v>
      </c>
      <c r="AI25" s="60"/>
      <c r="AJ25" s="60" t="b">
        <f>OR(H25="Y",K25="Y")</f>
        <v>0</v>
      </c>
      <c r="AK25" s="61">
        <f>IF(AJ25,O25*'[1]ETC Data'!$H$5*'[1]ETC Data'!$I$5,0)</f>
        <v>0</v>
      </c>
      <c r="AL25" s="58">
        <f>AK25-(AK25*((VLOOKUP(A25,[1]Plan!A$1:AY$804,51,FALSE)/100)))</f>
        <v>0</v>
      </c>
      <c r="AM25" s="58">
        <f>IF(AJ25,O25*'[1]ETC Data'!$H$5*'[1]ETC Data'!$J$5,0)</f>
        <v>0</v>
      </c>
      <c r="AN25" s="58">
        <f>AM25-(AM25*((VLOOKUP(A25,[1]Plan!A$1:BA$804,53,FALSE)/100)))</f>
        <v>0</v>
      </c>
      <c r="AO25" s="61">
        <f>IF(AJ25,O25*'[1]ETC Data'!$H$5*'[1]ETC Data'!$K$5,0)</f>
        <v>0</v>
      </c>
      <c r="AP25" s="58">
        <f>AO25-(AO25*((VLOOKUP(A25,[1]Plan!A$1:BB$804,54,FALSE)/100)))</f>
        <v>0</v>
      </c>
      <c r="AQ25" s="58">
        <f>IF(AJ25,O25*'[1]ETC Data'!$H$5*'[1]ETC Data'!$L$5,0)</f>
        <v>0</v>
      </c>
      <c r="AR25" s="58">
        <f>AQ25-(AQ25*((VLOOKUP(A25,[1]Plan!A$1:BD$804,56,FALSE)/100)))</f>
        <v>0</v>
      </c>
      <c r="AS25" s="20">
        <f>VLOOKUP(A25,'[1]PR Matrix'!A:B,2,FALSE)</f>
        <v>0</v>
      </c>
      <c r="AT25" s="21">
        <f>R25+T25+V25+X25+AB25+AD25+AF25+AH25+AL25+AN25+AP25+AR25</f>
        <v>0</v>
      </c>
      <c r="AU25" s="21">
        <f>Q25+S25+U25+W25+AA25+AC25+AE25+AG25+AK25+AM25+AO25+AQ25</f>
        <v>0</v>
      </c>
      <c r="AV25" s="21">
        <f>R25+AB25+AL25</f>
        <v>0</v>
      </c>
      <c r="AW25" s="21">
        <f>T25+AD25+AN25</f>
        <v>0</v>
      </c>
      <c r="AX25" s="21">
        <f>V25+AF25+AP25</f>
        <v>0</v>
      </c>
      <c r="AY25" s="21">
        <f>X25+AH25+AR25</f>
        <v>0</v>
      </c>
    </row>
    <row r="26" spans="1:51" hidden="1" x14ac:dyDescent="0.2">
      <c r="A26" s="50" t="s">
        <v>232</v>
      </c>
      <c r="B26" s="51" t="s">
        <v>208</v>
      </c>
      <c r="C26" s="51"/>
      <c r="D26" s="51"/>
      <c r="E26" s="52">
        <f>IF(G26="Y",VLOOKUP(B26&amp;"|"&amp;C26,'[1]ETC Data'!$C$2:$D$16,2,FALSE),0)</f>
        <v>0</v>
      </c>
      <c r="F26" s="52">
        <f>IF(D26="",0,IF(G26="Y",VLOOKUP(B26&amp;"|"&amp;D26,'[1]ETC Data'!$C$2:$D$16,2,FALSE),0))</f>
        <v>0</v>
      </c>
      <c r="G26" s="53" t="str">
        <f>IF(VLOOKUP(A26,[1]Plan!A$1:H$804,8,FALSE)&lt;&gt;"",VLOOKUP(A26,[1]Plan!A$1:H$804,8,FALSE),"")</f>
        <v>N</v>
      </c>
      <c r="H26" s="54" t="str">
        <f>IF(VLOOKUP(A26,[1]Plan!A$1:L$804,12,FALSE)&lt;&gt;"",VLOOKUP(A26,[1]Plan!A$1:L$804,12,FALSE),"")</f>
        <v/>
      </c>
      <c r="I26" s="55" t="str">
        <f>IF(VLOOKUP(A26,[1]Plan!A$1:M$804,13,FALSE)&lt;&gt;"",VLOOKUP(A26,[1]Plan!A$1:M$804,13,FALSE),"")</f>
        <v/>
      </c>
      <c r="J26" s="55" t="str">
        <f>IF(VLOOKUP(A26,[1]Plan!A$1:N$804,14,FALSE)&lt;&gt;"",VLOOKUP(A26,[1]Plan!A$1:N$804,14,FALSE),IF(VLOOKUP(A26,[1]Plan!A$1:O$804,15,FALSE)&lt;&gt;"",VLOOKUP(A26,[1]Plan!A$1:O$804,15,FALSE),""))</f>
        <v/>
      </c>
      <c r="K26" s="56" t="str">
        <f>IF(VLOOKUP(A26,[1]Plan!A$1:P$804,16,FALSE)&lt;&gt;"",VLOOKUP(A26,[1]Plan!A$1:P$804,16,FALSE),"")</f>
        <v/>
      </c>
      <c r="L26" s="55"/>
      <c r="M26" s="55"/>
      <c r="N26" s="55"/>
      <c r="O26" s="57">
        <f>IF(F26=0,E26,F26)</f>
        <v>0</v>
      </c>
      <c r="P26" s="57" t="b">
        <f>OR(H26="Y",I26="Y")</f>
        <v>0</v>
      </c>
      <c r="Q26" s="58">
        <f>IF(P26,O26*'[1]ETC Data'!$H$3*'[1]ETC Data'!$I$3,0)</f>
        <v>0</v>
      </c>
      <c r="R26" s="58">
        <f>Q26-(Q26*((VLOOKUP(A26,[1]Plan!A$1:Z$804,26,FALSE)/100)))</f>
        <v>0</v>
      </c>
      <c r="S26" s="58">
        <f>IF(P26,O26*'[1]ETC Data'!$H$3*'[1]ETC Data'!$J$3,0)</f>
        <v>0</v>
      </c>
      <c r="T26" s="58">
        <f>S26-(S26*((VLOOKUP(A26,[1]Plan!A$1:AA$804,27,FALSE)/100)))</f>
        <v>0</v>
      </c>
      <c r="U26" s="58">
        <f>IF(P26,O26*'[1]ETC Data'!$H$3*'[1]ETC Data'!$K$3,0)</f>
        <v>0</v>
      </c>
      <c r="V26" s="58">
        <f>U26-(U26*((VLOOKUP(A26,[1]Plan!A$1:AB$804,28,FALSE)/100)))</f>
        <v>0</v>
      </c>
      <c r="W26" s="58">
        <f>IF(P26,O26*'[1]ETC Data'!$H$3*'[1]ETC Data'!$L$3,0)</f>
        <v>0</v>
      </c>
      <c r="X26" s="58">
        <f>W26-(W26*((VLOOKUP(A26,[1]Plan!A$1:AC$804,29,FALSE)/100)))</f>
        <v>0</v>
      </c>
      <c r="Y26" s="59"/>
      <c r="Z26" s="60" t="b">
        <f>OR(H26="Y",J26="Y")</f>
        <v>0</v>
      </c>
      <c r="AA26" s="58">
        <f>IF(Z26,O26*'[1]ETC Data'!$H$4*'[1]ETC Data'!$I$4,0)</f>
        <v>0</v>
      </c>
      <c r="AB26" s="58">
        <f>AA26-(AA26*((VLOOKUP(A26,[1]Plan!A$1:AI$804,35,FALSE)/100)))</f>
        <v>0</v>
      </c>
      <c r="AC26" s="58">
        <f>IF(Z26,O26*'[1]ETC Data'!$H$4*'[1]ETC Data'!$J$4,0)</f>
        <v>0</v>
      </c>
      <c r="AD26" s="58">
        <f>AC26-(AC26*((VLOOKUP(A26,[1]Plan!A$1:AJ$804,36,FALSE)/100)))</f>
        <v>0</v>
      </c>
      <c r="AE26" s="58">
        <f>IF(Z26,O26*'[1]ETC Data'!$H$4*'[1]ETC Data'!$K$4,0)</f>
        <v>0</v>
      </c>
      <c r="AF26" s="58">
        <f>AE26-(AE26*((VLOOKUP(A26,[1]Plan!A$1:AK$804,37,FALSE)/100)))</f>
        <v>0</v>
      </c>
      <c r="AG26" s="58">
        <f>IF(Z26,O26*'[1]ETC Data'!$H$4*'[1]ETC Data'!$L$4,0)</f>
        <v>0</v>
      </c>
      <c r="AH26" s="58">
        <f>AG26-(AG26*((VLOOKUP(A26,[1]Plan!A$1:AP$804,42,FALSE)/100)))</f>
        <v>0</v>
      </c>
      <c r="AI26" s="60"/>
      <c r="AJ26" s="60" t="b">
        <f>OR(H26="Y",K26="Y")</f>
        <v>0</v>
      </c>
      <c r="AK26" s="61">
        <f>IF(AJ26,O26*'[1]ETC Data'!$H$5*'[1]ETC Data'!$I$5,0)</f>
        <v>0</v>
      </c>
      <c r="AL26" s="58">
        <f>AK26-(AK26*((VLOOKUP(A26,[1]Plan!A$1:AY$804,51,FALSE)/100)))</f>
        <v>0</v>
      </c>
      <c r="AM26" s="58">
        <f>IF(AJ26,O26*'[1]ETC Data'!$H$5*'[1]ETC Data'!$J$5,0)</f>
        <v>0</v>
      </c>
      <c r="AN26" s="58">
        <f>AM26-(AM26*((VLOOKUP(A26,[1]Plan!A$1:BA$804,53,FALSE)/100)))</f>
        <v>0</v>
      </c>
      <c r="AO26" s="61">
        <f>IF(AJ26,O26*'[1]ETC Data'!$H$5*'[1]ETC Data'!$K$5,0)</f>
        <v>0</v>
      </c>
      <c r="AP26" s="58">
        <f>AO26-(AO26*((VLOOKUP(A26,[1]Plan!A$1:BB$804,54,FALSE)/100)))</f>
        <v>0</v>
      </c>
      <c r="AQ26" s="58">
        <f>IF(AJ26,O26*'[1]ETC Data'!$H$5*'[1]ETC Data'!$L$5,0)</f>
        <v>0</v>
      </c>
      <c r="AR26" s="58">
        <f>AQ26-(AQ26*((VLOOKUP(A26,[1]Plan!A$1:BD$804,56,FALSE)/100)))</f>
        <v>0</v>
      </c>
      <c r="AS26" s="20">
        <f>VLOOKUP(A26,'[1]PR Matrix'!A:B,2,FALSE)</f>
        <v>0</v>
      </c>
      <c r="AT26" s="21">
        <f>R26+T26+V26+X26+AB26+AD26+AF26+AH26+AL26+AN26+AP26+AR26</f>
        <v>0</v>
      </c>
      <c r="AU26" s="21">
        <f>Q26+S26+U26+W26+AA26+AC26+AE26+AG26+AK26+AM26+AO26+AQ26</f>
        <v>0</v>
      </c>
      <c r="AV26" s="21">
        <f>R26+AB26+AL26</f>
        <v>0</v>
      </c>
      <c r="AW26" s="21">
        <f>T26+AD26+AN26</f>
        <v>0</v>
      </c>
      <c r="AX26" s="21">
        <f>V26+AF26+AP26</f>
        <v>0</v>
      </c>
      <c r="AY26" s="21">
        <f>X26+AH26+AR26</f>
        <v>0</v>
      </c>
    </row>
    <row r="27" spans="1:51" hidden="1" x14ac:dyDescent="0.2">
      <c r="A27" s="50" t="s">
        <v>233</v>
      </c>
      <c r="B27" s="51" t="s">
        <v>208</v>
      </c>
      <c r="C27" s="51"/>
      <c r="D27" s="51"/>
      <c r="E27" s="52">
        <f>IF(G27="Y",VLOOKUP(B27&amp;"|"&amp;C27,'[1]ETC Data'!$C$2:$D$16,2,FALSE),0)</f>
        <v>0</v>
      </c>
      <c r="F27" s="52">
        <f>IF(D27="",0,IF(G27="Y",VLOOKUP(B27&amp;"|"&amp;D27,'[1]ETC Data'!$C$2:$D$16,2,FALSE),0))</f>
        <v>0</v>
      </c>
      <c r="G27" s="53" t="str">
        <f>IF(VLOOKUP(A27,[1]Plan!A$1:H$804,8,FALSE)&lt;&gt;"",VLOOKUP(A27,[1]Plan!A$1:H$804,8,FALSE),"")</f>
        <v>N</v>
      </c>
      <c r="H27" s="54" t="str">
        <f>IF(VLOOKUP(A27,[1]Plan!A$1:L$804,12,FALSE)&lt;&gt;"",VLOOKUP(A27,[1]Plan!A$1:L$804,12,FALSE),"")</f>
        <v/>
      </c>
      <c r="I27" s="55" t="str">
        <f>IF(VLOOKUP(A27,[1]Plan!A$1:M$804,13,FALSE)&lt;&gt;"",VLOOKUP(A27,[1]Plan!A$1:M$804,13,FALSE),"")</f>
        <v/>
      </c>
      <c r="J27" s="55" t="str">
        <f>IF(VLOOKUP(A27,[1]Plan!A$1:N$804,14,FALSE)&lt;&gt;"",VLOOKUP(A27,[1]Plan!A$1:N$804,14,FALSE),IF(VLOOKUP(A27,[1]Plan!A$1:O$804,15,FALSE)&lt;&gt;"",VLOOKUP(A27,[1]Plan!A$1:O$804,15,FALSE),""))</f>
        <v/>
      </c>
      <c r="K27" s="56" t="str">
        <f>IF(VLOOKUP(A27,[1]Plan!A$1:P$804,16,FALSE)&lt;&gt;"",VLOOKUP(A27,[1]Plan!A$1:P$804,16,FALSE),"")</f>
        <v/>
      </c>
      <c r="L27" s="55"/>
      <c r="M27" s="55"/>
      <c r="N27" s="55"/>
      <c r="O27" s="57">
        <f>IF(F27=0,E27,F27)</f>
        <v>0</v>
      </c>
      <c r="P27" s="57" t="b">
        <f>OR(H27="Y",I27="Y")</f>
        <v>0</v>
      </c>
      <c r="Q27" s="58">
        <f>IF(P27,O27*'[1]ETC Data'!$H$3*'[1]ETC Data'!$I$3,0)</f>
        <v>0</v>
      </c>
      <c r="R27" s="58">
        <f>Q27-(Q27*((VLOOKUP(A27,[1]Plan!A$1:Z$804,26,FALSE)/100)))</f>
        <v>0</v>
      </c>
      <c r="S27" s="58">
        <f>IF(P27,O27*'[1]ETC Data'!$H$3*'[1]ETC Data'!$J$3,0)</f>
        <v>0</v>
      </c>
      <c r="T27" s="58">
        <f>S27-(S27*((VLOOKUP(A27,[1]Plan!A$1:AA$804,27,FALSE)/100)))</f>
        <v>0</v>
      </c>
      <c r="U27" s="58">
        <f>IF(P27,O27*'[1]ETC Data'!$H$3*'[1]ETC Data'!$K$3,0)</f>
        <v>0</v>
      </c>
      <c r="V27" s="58">
        <f>U27-(U27*((VLOOKUP(A27,[1]Plan!A$1:AB$804,28,FALSE)/100)))</f>
        <v>0</v>
      </c>
      <c r="W27" s="58">
        <f>IF(P27,O27*'[1]ETC Data'!$H$3*'[1]ETC Data'!$L$3,0)</f>
        <v>0</v>
      </c>
      <c r="X27" s="58">
        <f>W27-(W27*((VLOOKUP(A27,[1]Plan!A$1:AC$804,29,FALSE)/100)))</f>
        <v>0</v>
      </c>
      <c r="Y27" s="59"/>
      <c r="Z27" s="60" t="b">
        <f>OR(H27="Y",J27="Y")</f>
        <v>0</v>
      </c>
      <c r="AA27" s="58">
        <f>IF(Z27,O27*'[1]ETC Data'!$H$4*'[1]ETC Data'!$I$4,0)</f>
        <v>0</v>
      </c>
      <c r="AB27" s="58">
        <f>AA27-(AA27*((VLOOKUP(A27,[1]Plan!A$1:AI$804,35,FALSE)/100)))</f>
        <v>0</v>
      </c>
      <c r="AC27" s="58">
        <f>IF(Z27,O27*'[1]ETC Data'!$H$4*'[1]ETC Data'!$J$4,0)</f>
        <v>0</v>
      </c>
      <c r="AD27" s="58">
        <f>AC27-(AC27*((VLOOKUP(A27,[1]Plan!A$1:AJ$804,36,FALSE)/100)))</f>
        <v>0</v>
      </c>
      <c r="AE27" s="58">
        <f>IF(Z27,O27*'[1]ETC Data'!$H$4*'[1]ETC Data'!$K$4,0)</f>
        <v>0</v>
      </c>
      <c r="AF27" s="58">
        <f>AE27-(AE27*((VLOOKUP(A27,[1]Plan!A$1:AK$804,37,FALSE)/100)))</f>
        <v>0</v>
      </c>
      <c r="AG27" s="58">
        <f>IF(Z27,O27*'[1]ETC Data'!$H$4*'[1]ETC Data'!$L$4,0)</f>
        <v>0</v>
      </c>
      <c r="AH27" s="58">
        <f>AG27-(AG27*((VLOOKUP(A27,[1]Plan!A$1:AP$804,42,FALSE)/100)))</f>
        <v>0</v>
      </c>
      <c r="AI27" s="60"/>
      <c r="AJ27" s="60" t="b">
        <f>OR(H27="Y",K27="Y")</f>
        <v>0</v>
      </c>
      <c r="AK27" s="61">
        <f>IF(AJ27,O27*'[1]ETC Data'!$H$5*'[1]ETC Data'!$I$5,0)</f>
        <v>0</v>
      </c>
      <c r="AL27" s="58">
        <f>AK27-(AK27*((VLOOKUP(A27,[1]Plan!A$1:AY$804,51,FALSE)/100)))</f>
        <v>0</v>
      </c>
      <c r="AM27" s="58">
        <f>IF(AJ27,O27*'[1]ETC Data'!$H$5*'[1]ETC Data'!$J$5,0)</f>
        <v>0</v>
      </c>
      <c r="AN27" s="58">
        <f>AM27-(AM27*((VLOOKUP(A27,[1]Plan!A$1:BA$804,53,FALSE)/100)))</f>
        <v>0</v>
      </c>
      <c r="AO27" s="61">
        <f>IF(AJ27,O27*'[1]ETC Data'!$H$5*'[1]ETC Data'!$K$5,0)</f>
        <v>0</v>
      </c>
      <c r="AP27" s="58">
        <f>AO27-(AO27*((VLOOKUP(A27,[1]Plan!A$1:BB$804,54,FALSE)/100)))</f>
        <v>0</v>
      </c>
      <c r="AQ27" s="58">
        <f>IF(AJ27,O27*'[1]ETC Data'!$H$5*'[1]ETC Data'!$L$5,0)</f>
        <v>0</v>
      </c>
      <c r="AR27" s="58">
        <f>AQ27-(AQ27*((VLOOKUP(A27,[1]Plan!A$1:BD$804,56,FALSE)/100)))</f>
        <v>0</v>
      </c>
      <c r="AS27" s="20">
        <f>VLOOKUP(A27,'[1]PR Matrix'!A:B,2,FALSE)</f>
        <v>0</v>
      </c>
      <c r="AT27" s="21">
        <f>R27+T27+V27+X27+AB27+AD27+AF27+AH27+AL27+AN27+AP27+AR27</f>
        <v>0</v>
      </c>
      <c r="AU27" s="21">
        <f>Q27+S27+U27+W27+AA27+AC27+AE27+AG27+AK27+AM27+AO27+AQ27</f>
        <v>0</v>
      </c>
      <c r="AV27" s="21">
        <f>R27+AB27+AL27</f>
        <v>0</v>
      </c>
      <c r="AW27" s="21">
        <f>T27+AD27+AN27</f>
        <v>0</v>
      </c>
      <c r="AX27" s="21">
        <f>V27+AF27+AP27</f>
        <v>0</v>
      </c>
      <c r="AY27" s="21">
        <f>X27+AH27+AR27</f>
        <v>0</v>
      </c>
    </row>
    <row r="28" spans="1:51" hidden="1" x14ac:dyDescent="0.2">
      <c r="A28" s="50" t="s">
        <v>234</v>
      </c>
      <c r="B28" s="51" t="s">
        <v>208</v>
      </c>
      <c r="C28" s="51"/>
      <c r="D28" s="51"/>
      <c r="E28" s="52">
        <f>IF(G28="Y",VLOOKUP(B28&amp;"|"&amp;C28,'[1]ETC Data'!$C$2:$D$16,2,FALSE),0)</f>
        <v>0</v>
      </c>
      <c r="F28" s="52">
        <f>IF(D28="",0,IF(G28="Y",VLOOKUP(B28&amp;"|"&amp;D28,'[1]ETC Data'!$C$2:$D$16,2,FALSE),0))</f>
        <v>0</v>
      </c>
      <c r="G28" s="53" t="str">
        <f>IF(VLOOKUP(A28,[1]Plan!A$1:H$804,8,FALSE)&lt;&gt;"",VLOOKUP(A28,[1]Plan!A$1:H$804,8,FALSE),"")</f>
        <v>N</v>
      </c>
      <c r="H28" s="54" t="str">
        <f>IF(VLOOKUP(A28,[1]Plan!A$1:L$804,12,FALSE)&lt;&gt;"",VLOOKUP(A28,[1]Plan!A$1:L$804,12,FALSE),"")</f>
        <v/>
      </c>
      <c r="I28" s="55" t="str">
        <f>IF(VLOOKUP(A28,[1]Plan!A$1:M$804,13,FALSE)&lt;&gt;"",VLOOKUP(A28,[1]Plan!A$1:M$804,13,FALSE),"")</f>
        <v/>
      </c>
      <c r="J28" s="55" t="str">
        <f>IF(VLOOKUP(A28,[1]Plan!A$1:N$804,14,FALSE)&lt;&gt;"",VLOOKUP(A28,[1]Plan!A$1:N$804,14,FALSE),IF(VLOOKUP(A28,[1]Plan!A$1:O$804,15,FALSE)&lt;&gt;"",VLOOKUP(A28,[1]Plan!A$1:O$804,15,FALSE),""))</f>
        <v/>
      </c>
      <c r="K28" s="56" t="str">
        <f>IF(VLOOKUP(A28,[1]Plan!A$1:P$804,16,FALSE)&lt;&gt;"",VLOOKUP(A28,[1]Plan!A$1:P$804,16,FALSE),"")</f>
        <v/>
      </c>
      <c r="L28" s="55"/>
      <c r="M28" s="55"/>
      <c r="N28" s="55"/>
      <c r="O28" s="57">
        <f>IF(F28=0,E28,F28)</f>
        <v>0</v>
      </c>
      <c r="P28" s="57" t="b">
        <f>OR(H28="Y",I28="Y")</f>
        <v>0</v>
      </c>
      <c r="Q28" s="58">
        <f>IF(P28,O28*'[1]ETC Data'!$H$3*'[1]ETC Data'!$I$3,0)</f>
        <v>0</v>
      </c>
      <c r="R28" s="58">
        <f>Q28-(Q28*((VLOOKUP(A28,[1]Plan!A$1:Z$804,26,FALSE)/100)))</f>
        <v>0</v>
      </c>
      <c r="S28" s="58">
        <f>IF(P28,O28*'[1]ETC Data'!$H$3*'[1]ETC Data'!$J$3,0)</f>
        <v>0</v>
      </c>
      <c r="T28" s="58">
        <f>S28-(S28*((VLOOKUP(A28,[1]Plan!A$1:AA$804,27,FALSE)/100)))</f>
        <v>0</v>
      </c>
      <c r="U28" s="58">
        <f>IF(P28,O28*'[1]ETC Data'!$H$3*'[1]ETC Data'!$K$3,0)</f>
        <v>0</v>
      </c>
      <c r="V28" s="58">
        <f>U28-(U28*((VLOOKUP(A28,[1]Plan!A$1:AB$804,28,FALSE)/100)))</f>
        <v>0</v>
      </c>
      <c r="W28" s="58">
        <f>IF(P28,O28*'[1]ETC Data'!$H$3*'[1]ETC Data'!$L$3,0)</f>
        <v>0</v>
      </c>
      <c r="X28" s="58">
        <f>W28-(W28*((VLOOKUP(A28,[1]Plan!A$1:AC$804,29,FALSE)/100)))</f>
        <v>0</v>
      </c>
      <c r="Y28" s="59"/>
      <c r="Z28" s="60" t="b">
        <f>OR(H28="Y",J28="Y")</f>
        <v>0</v>
      </c>
      <c r="AA28" s="58">
        <f>IF(Z28,O28*'[1]ETC Data'!$H$4*'[1]ETC Data'!$I$4,0)</f>
        <v>0</v>
      </c>
      <c r="AB28" s="58">
        <f>AA28-(AA28*((VLOOKUP(A28,[1]Plan!A$1:AI$804,35,FALSE)/100)))</f>
        <v>0</v>
      </c>
      <c r="AC28" s="58">
        <f>IF(Z28,O28*'[1]ETC Data'!$H$4*'[1]ETC Data'!$J$4,0)</f>
        <v>0</v>
      </c>
      <c r="AD28" s="58">
        <f>AC28-(AC28*((VLOOKUP(A28,[1]Plan!A$1:AJ$804,36,FALSE)/100)))</f>
        <v>0</v>
      </c>
      <c r="AE28" s="58">
        <f>IF(Z28,O28*'[1]ETC Data'!$H$4*'[1]ETC Data'!$K$4,0)</f>
        <v>0</v>
      </c>
      <c r="AF28" s="58">
        <f>AE28-(AE28*((VLOOKUP(A28,[1]Plan!A$1:AK$804,37,FALSE)/100)))</f>
        <v>0</v>
      </c>
      <c r="AG28" s="58">
        <f>IF(Z28,O28*'[1]ETC Data'!$H$4*'[1]ETC Data'!$L$4,0)</f>
        <v>0</v>
      </c>
      <c r="AH28" s="58">
        <f>AG28-(AG28*((VLOOKUP(A28,[1]Plan!A$1:AP$804,42,FALSE)/100)))</f>
        <v>0</v>
      </c>
      <c r="AI28" s="60"/>
      <c r="AJ28" s="60" t="b">
        <f>OR(H28="Y",K28="Y")</f>
        <v>0</v>
      </c>
      <c r="AK28" s="61">
        <f>IF(AJ28,O28*'[1]ETC Data'!$H$5*'[1]ETC Data'!$I$5,0)</f>
        <v>0</v>
      </c>
      <c r="AL28" s="58">
        <f>AK28-(AK28*((VLOOKUP(A28,[1]Plan!A$1:AY$804,51,FALSE)/100)))</f>
        <v>0</v>
      </c>
      <c r="AM28" s="58">
        <f>IF(AJ28,O28*'[1]ETC Data'!$H$5*'[1]ETC Data'!$J$5,0)</f>
        <v>0</v>
      </c>
      <c r="AN28" s="58">
        <f>AM28-(AM28*((VLOOKUP(A28,[1]Plan!A$1:BA$804,53,FALSE)/100)))</f>
        <v>0</v>
      </c>
      <c r="AO28" s="61">
        <f>IF(AJ28,O28*'[1]ETC Data'!$H$5*'[1]ETC Data'!$K$5,0)</f>
        <v>0</v>
      </c>
      <c r="AP28" s="58">
        <f>AO28-(AO28*((VLOOKUP(A28,[1]Plan!A$1:BB$804,54,FALSE)/100)))</f>
        <v>0</v>
      </c>
      <c r="AQ28" s="58">
        <f>IF(AJ28,O28*'[1]ETC Data'!$H$5*'[1]ETC Data'!$L$5,0)</f>
        <v>0</v>
      </c>
      <c r="AR28" s="58">
        <f>AQ28-(AQ28*((VLOOKUP(A28,[1]Plan!A$1:BD$804,56,FALSE)/100)))</f>
        <v>0</v>
      </c>
      <c r="AS28" s="20">
        <f>VLOOKUP(A28,'[1]PR Matrix'!A:B,2,FALSE)</f>
        <v>0</v>
      </c>
      <c r="AT28" s="21">
        <f>R28+T28+V28+X28+AB28+AD28+AF28+AH28+AL28+AN28+AP28+AR28</f>
        <v>0</v>
      </c>
      <c r="AU28" s="21">
        <f>Q28+S28+U28+W28+AA28+AC28+AE28+AG28+AK28+AM28+AO28+AQ28</f>
        <v>0</v>
      </c>
      <c r="AV28" s="21">
        <f>R28+AB28+AL28</f>
        <v>0</v>
      </c>
      <c r="AW28" s="21">
        <f>T28+AD28+AN28</f>
        <v>0</v>
      </c>
      <c r="AX28" s="21">
        <f>V28+AF28+AP28</f>
        <v>0</v>
      </c>
      <c r="AY28" s="21">
        <f>X28+AH28+AR28</f>
        <v>0</v>
      </c>
    </row>
    <row r="29" spans="1:51" hidden="1" x14ac:dyDescent="0.2">
      <c r="A29" s="50" t="s">
        <v>235</v>
      </c>
      <c r="B29" s="51" t="s">
        <v>208</v>
      </c>
      <c r="C29" s="51"/>
      <c r="D29" s="51"/>
      <c r="E29" s="52">
        <f>IF(G29="Y",VLOOKUP(B29&amp;"|"&amp;C29,'[1]ETC Data'!$C$2:$D$16,2,FALSE),0)</f>
        <v>0</v>
      </c>
      <c r="F29" s="52">
        <f>IF(D29="",0,IF(G29="Y",VLOOKUP(B29&amp;"|"&amp;D29,'[1]ETC Data'!$C$2:$D$16,2,FALSE),0))</f>
        <v>0</v>
      </c>
      <c r="G29" s="53" t="str">
        <f>IF(VLOOKUP(A29,[1]Plan!A$1:H$804,8,FALSE)&lt;&gt;"",VLOOKUP(A29,[1]Plan!A$1:H$804,8,FALSE),"")</f>
        <v>N</v>
      </c>
      <c r="H29" s="54" t="str">
        <f>IF(VLOOKUP(A29,[1]Plan!A$1:L$804,12,FALSE)&lt;&gt;"",VLOOKUP(A29,[1]Plan!A$1:L$804,12,FALSE),"")</f>
        <v/>
      </c>
      <c r="I29" s="55" t="str">
        <f>IF(VLOOKUP(A29,[1]Plan!A$1:M$804,13,FALSE)&lt;&gt;"",VLOOKUP(A29,[1]Plan!A$1:M$804,13,FALSE),"")</f>
        <v/>
      </c>
      <c r="J29" s="55" t="str">
        <f>IF(VLOOKUP(A29,[1]Plan!A$1:N$804,14,FALSE)&lt;&gt;"",VLOOKUP(A29,[1]Plan!A$1:N$804,14,FALSE),IF(VLOOKUP(A29,[1]Plan!A$1:O$804,15,FALSE)&lt;&gt;"",VLOOKUP(A29,[1]Plan!A$1:O$804,15,FALSE),""))</f>
        <v/>
      </c>
      <c r="K29" s="56" t="str">
        <f>IF(VLOOKUP(A29,[1]Plan!A$1:P$804,16,FALSE)&lt;&gt;"",VLOOKUP(A29,[1]Plan!A$1:P$804,16,FALSE),"")</f>
        <v/>
      </c>
      <c r="L29" s="55"/>
      <c r="M29" s="55"/>
      <c r="N29" s="55"/>
      <c r="O29" s="57">
        <f>IF(F29=0,E29,F29)</f>
        <v>0</v>
      </c>
      <c r="P29" s="57" t="b">
        <f>OR(H29="Y",I29="Y")</f>
        <v>0</v>
      </c>
      <c r="Q29" s="58">
        <f>IF(P29,O29*'[1]ETC Data'!$H$3*'[1]ETC Data'!$I$3,0)</f>
        <v>0</v>
      </c>
      <c r="R29" s="58">
        <f>Q29-(Q29*((VLOOKUP(A29,[1]Plan!A$1:Z$804,26,FALSE)/100)))</f>
        <v>0</v>
      </c>
      <c r="S29" s="58">
        <f>IF(P29,O29*'[1]ETC Data'!$H$3*'[1]ETC Data'!$J$3,0)</f>
        <v>0</v>
      </c>
      <c r="T29" s="58">
        <f>S29-(S29*((VLOOKUP(A29,[1]Plan!A$1:AA$804,27,FALSE)/100)))</f>
        <v>0</v>
      </c>
      <c r="U29" s="58">
        <f>IF(P29,O29*'[1]ETC Data'!$H$3*'[1]ETC Data'!$K$3,0)</f>
        <v>0</v>
      </c>
      <c r="V29" s="58">
        <f>U29-(U29*((VLOOKUP(A29,[1]Plan!A$1:AB$804,28,FALSE)/100)))</f>
        <v>0</v>
      </c>
      <c r="W29" s="58">
        <f>IF(P29,O29*'[1]ETC Data'!$H$3*'[1]ETC Data'!$L$3,0)</f>
        <v>0</v>
      </c>
      <c r="X29" s="58">
        <f>W29-(W29*((VLOOKUP(A29,[1]Plan!A$1:AC$804,29,FALSE)/100)))</f>
        <v>0</v>
      </c>
      <c r="Y29" s="59"/>
      <c r="Z29" s="60" t="b">
        <f>OR(H29="Y",J29="Y")</f>
        <v>0</v>
      </c>
      <c r="AA29" s="58">
        <f>IF(Z29,O29*'[1]ETC Data'!$H$4*'[1]ETC Data'!$I$4,0)</f>
        <v>0</v>
      </c>
      <c r="AB29" s="58">
        <f>AA29-(AA29*((VLOOKUP(A29,[1]Plan!A$1:AI$804,35,FALSE)/100)))</f>
        <v>0</v>
      </c>
      <c r="AC29" s="58">
        <f>IF(Z29,O29*'[1]ETC Data'!$H$4*'[1]ETC Data'!$J$4,0)</f>
        <v>0</v>
      </c>
      <c r="AD29" s="58">
        <f>AC29-(AC29*((VLOOKUP(A29,[1]Plan!A$1:AJ$804,36,FALSE)/100)))</f>
        <v>0</v>
      </c>
      <c r="AE29" s="58">
        <f>IF(Z29,O29*'[1]ETC Data'!$H$4*'[1]ETC Data'!$K$4,0)</f>
        <v>0</v>
      </c>
      <c r="AF29" s="58">
        <f>AE29-(AE29*((VLOOKUP(A29,[1]Plan!A$1:AK$804,37,FALSE)/100)))</f>
        <v>0</v>
      </c>
      <c r="AG29" s="58">
        <f>IF(Z29,O29*'[1]ETC Data'!$H$4*'[1]ETC Data'!$L$4,0)</f>
        <v>0</v>
      </c>
      <c r="AH29" s="58">
        <f>AG29-(AG29*((VLOOKUP(A29,[1]Plan!A$1:AP$804,42,FALSE)/100)))</f>
        <v>0</v>
      </c>
      <c r="AI29" s="60"/>
      <c r="AJ29" s="60" t="b">
        <f>OR(H29="Y",K29="Y")</f>
        <v>0</v>
      </c>
      <c r="AK29" s="61">
        <f>IF(AJ29,O29*'[1]ETC Data'!$H$5*'[1]ETC Data'!$I$5,0)</f>
        <v>0</v>
      </c>
      <c r="AL29" s="58">
        <f>AK29-(AK29*((VLOOKUP(A29,[1]Plan!A$1:AY$804,51,FALSE)/100)))</f>
        <v>0</v>
      </c>
      <c r="AM29" s="58">
        <f>IF(AJ29,O29*'[1]ETC Data'!$H$5*'[1]ETC Data'!$J$5,0)</f>
        <v>0</v>
      </c>
      <c r="AN29" s="58">
        <f>AM29-(AM29*((VLOOKUP(A29,[1]Plan!A$1:BA$804,53,FALSE)/100)))</f>
        <v>0</v>
      </c>
      <c r="AO29" s="61">
        <f>IF(AJ29,O29*'[1]ETC Data'!$H$5*'[1]ETC Data'!$K$5,0)</f>
        <v>0</v>
      </c>
      <c r="AP29" s="58">
        <f>AO29-(AO29*((VLOOKUP(A29,[1]Plan!A$1:BB$804,54,FALSE)/100)))</f>
        <v>0</v>
      </c>
      <c r="AQ29" s="58">
        <f>IF(AJ29,O29*'[1]ETC Data'!$H$5*'[1]ETC Data'!$L$5,0)</f>
        <v>0</v>
      </c>
      <c r="AR29" s="58">
        <f>AQ29-(AQ29*((VLOOKUP(A29,[1]Plan!A$1:BD$804,56,FALSE)/100)))</f>
        <v>0</v>
      </c>
      <c r="AS29" s="20">
        <f>VLOOKUP(A29,'[1]PR Matrix'!A:B,2,FALSE)</f>
        <v>0</v>
      </c>
      <c r="AT29" s="21">
        <f>R29+T29+V29+X29+AB29+AD29+AF29+AH29+AL29+AN29+AP29+AR29</f>
        <v>0</v>
      </c>
      <c r="AU29" s="21">
        <f>Q29+S29+U29+W29+AA29+AC29+AE29+AG29+AK29+AM29+AO29+AQ29</f>
        <v>0</v>
      </c>
      <c r="AV29" s="21">
        <f>R29+AB29+AL29</f>
        <v>0</v>
      </c>
      <c r="AW29" s="21">
        <f>T29+AD29+AN29</f>
        <v>0</v>
      </c>
      <c r="AX29" s="21">
        <f>V29+AF29+AP29</f>
        <v>0</v>
      </c>
      <c r="AY29" s="21">
        <f>X29+AH29+AR29</f>
        <v>0</v>
      </c>
    </row>
    <row r="30" spans="1:51" hidden="1" x14ac:dyDescent="0.2">
      <c r="A30" s="50" t="s">
        <v>236</v>
      </c>
      <c r="B30" s="51" t="s">
        <v>208</v>
      </c>
      <c r="C30" s="51"/>
      <c r="D30" s="51"/>
      <c r="E30" s="52">
        <f>IF(G30="Y",VLOOKUP(B30&amp;"|"&amp;C30,'[1]ETC Data'!$C$2:$D$16,2,FALSE),0)</f>
        <v>0</v>
      </c>
      <c r="F30" s="52">
        <f>IF(D30="",0,IF(G30="Y",VLOOKUP(B30&amp;"|"&amp;D30,'[1]ETC Data'!$C$2:$D$16,2,FALSE),0))</f>
        <v>0</v>
      </c>
      <c r="G30" s="53" t="str">
        <f>IF(VLOOKUP(A30,[1]Plan!A$1:H$804,8,FALSE)&lt;&gt;"",VLOOKUP(A30,[1]Plan!A$1:H$804,8,FALSE),"")</f>
        <v>N</v>
      </c>
      <c r="H30" s="54" t="str">
        <f>IF(VLOOKUP(A30,[1]Plan!A$1:L$804,12,FALSE)&lt;&gt;"",VLOOKUP(A30,[1]Plan!A$1:L$804,12,FALSE),"")</f>
        <v/>
      </c>
      <c r="I30" s="55" t="str">
        <f>IF(VLOOKUP(A30,[1]Plan!A$1:M$804,13,FALSE)&lt;&gt;"",VLOOKUP(A30,[1]Plan!A$1:M$804,13,FALSE),"")</f>
        <v/>
      </c>
      <c r="J30" s="55" t="str">
        <f>IF(VLOOKUP(A30,[1]Plan!A$1:N$804,14,FALSE)&lt;&gt;"",VLOOKUP(A30,[1]Plan!A$1:N$804,14,FALSE),IF(VLOOKUP(A30,[1]Plan!A$1:O$804,15,FALSE)&lt;&gt;"",VLOOKUP(A30,[1]Plan!A$1:O$804,15,FALSE),""))</f>
        <v/>
      </c>
      <c r="K30" s="56" t="str">
        <f>IF(VLOOKUP(A30,[1]Plan!A$1:P$804,16,FALSE)&lt;&gt;"",VLOOKUP(A30,[1]Plan!A$1:P$804,16,FALSE),"")</f>
        <v/>
      </c>
      <c r="L30" s="55"/>
      <c r="M30" s="55"/>
      <c r="N30" s="55"/>
      <c r="O30" s="57">
        <f>IF(F30=0,E30,F30)</f>
        <v>0</v>
      </c>
      <c r="P30" s="57" t="b">
        <f>OR(H30="Y",I30="Y")</f>
        <v>0</v>
      </c>
      <c r="Q30" s="58">
        <f>IF(P30,O30*'[1]ETC Data'!$H$3*'[1]ETC Data'!$I$3,0)</f>
        <v>0</v>
      </c>
      <c r="R30" s="58">
        <f>Q30-(Q30*((VLOOKUP(A30,[1]Plan!A$1:Z$804,26,FALSE)/100)))</f>
        <v>0</v>
      </c>
      <c r="S30" s="58">
        <f>IF(P30,O30*'[1]ETC Data'!$H$3*'[1]ETC Data'!$J$3,0)</f>
        <v>0</v>
      </c>
      <c r="T30" s="58">
        <f>S30-(S30*((VLOOKUP(A30,[1]Plan!A$1:AA$804,27,FALSE)/100)))</f>
        <v>0</v>
      </c>
      <c r="U30" s="58">
        <f>IF(P30,O30*'[1]ETC Data'!$H$3*'[1]ETC Data'!$K$3,0)</f>
        <v>0</v>
      </c>
      <c r="V30" s="58">
        <f>U30-(U30*((VLOOKUP(A30,[1]Plan!A$1:AB$804,28,FALSE)/100)))</f>
        <v>0</v>
      </c>
      <c r="W30" s="58">
        <f>IF(P30,O30*'[1]ETC Data'!$H$3*'[1]ETC Data'!$L$3,0)</f>
        <v>0</v>
      </c>
      <c r="X30" s="58">
        <f>W30-(W30*((VLOOKUP(A30,[1]Plan!A$1:AC$804,29,FALSE)/100)))</f>
        <v>0</v>
      </c>
      <c r="Y30" s="59"/>
      <c r="Z30" s="60" t="b">
        <f>OR(H30="Y",J30="Y")</f>
        <v>0</v>
      </c>
      <c r="AA30" s="58">
        <f>IF(Z30,O30*'[1]ETC Data'!$H$4*'[1]ETC Data'!$I$4,0)</f>
        <v>0</v>
      </c>
      <c r="AB30" s="58">
        <f>AA30-(AA30*((VLOOKUP(A30,[1]Plan!A$1:AI$804,35,FALSE)/100)))</f>
        <v>0</v>
      </c>
      <c r="AC30" s="58">
        <f>IF(Z30,O30*'[1]ETC Data'!$H$4*'[1]ETC Data'!$J$4,0)</f>
        <v>0</v>
      </c>
      <c r="AD30" s="58">
        <f>AC30-(AC30*((VLOOKUP(A30,[1]Plan!A$1:AJ$804,36,FALSE)/100)))</f>
        <v>0</v>
      </c>
      <c r="AE30" s="58">
        <f>IF(Z30,O30*'[1]ETC Data'!$H$4*'[1]ETC Data'!$K$4,0)</f>
        <v>0</v>
      </c>
      <c r="AF30" s="58">
        <f>AE30-(AE30*((VLOOKUP(A30,[1]Plan!A$1:AK$804,37,FALSE)/100)))</f>
        <v>0</v>
      </c>
      <c r="AG30" s="58">
        <f>IF(Z30,O30*'[1]ETC Data'!$H$4*'[1]ETC Data'!$L$4,0)</f>
        <v>0</v>
      </c>
      <c r="AH30" s="58">
        <f>AG30-(AG30*((VLOOKUP(A30,[1]Plan!A$1:AP$804,42,FALSE)/100)))</f>
        <v>0</v>
      </c>
      <c r="AI30" s="60"/>
      <c r="AJ30" s="60" t="b">
        <f>OR(H30="Y",K30="Y")</f>
        <v>0</v>
      </c>
      <c r="AK30" s="61">
        <f>IF(AJ30,O30*'[1]ETC Data'!$H$5*'[1]ETC Data'!$I$5,0)</f>
        <v>0</v>
      </c>
      <c r="AL30" s="58">
        <f>AK30-(AK30*((VLOOKUP(A30,[1]Plan!A$1:AY$804,51,FALSE)/100)))</f>
        <v>0</v>
      </c>
      <c r="AM30" s="58">
        <f>IF(AJ30,O30*'[1]ETC Data'!$H$5*'[1]ETC Data'!$J$5,0)</f>
        <v>0</v>
      </c>
      <c r="AN30" s="58">
        <f>AM30-(AM30*((VLOOKUP(A30,[1]Plan!A$1:BA$804,53,FALSE)/100)))</f>
        <v>0</v>
      </c>
      <c r="AO30" s="61">
        <f>IF(AJ30,O30*'[1]ETC Data'!$H$5*'[1]ETC Data'!$K$5,0)</f>
        <v>0</v>
      </c>
      <c r="AP30" s="58">
        <f>AO30-(AO30*((VLOOKUP(A30,[1]Plan!A$1:BB$804,54,FALSE)/100)))</f>
        <v>0</v>
      </c>
      <c r="AQ30" s="58">
        <f>IF(AJ30,O30*'[1]ETC Data'!$H$5*'[1]ETC Data'!$L$5,0)</f>
        <v>0</v>
      </c>
      <c r="AR30" s="58">
        <f>AQ30-(AQ30*((VLOOKUP(A30,[1]Plan!A$1:BD$804,56,FALSE)/100)))</f>
        <v>0</v>
      </c>
      <c r="AS30" s="20">
        <f>VLOOKUP(A30,'[1]PR Matrix'!A:B,2,FALSE)</f>
        <v>0</v>
      </c>
      <c r="AT30" s="21">
        <f>R30+T30+V30+X30+AB30+AD30+AF30+AH30+AL30+AN30+AP30+AR30</f>
        <v>0</v>
      </c>
      <c r="AU30" s="21">
        <f>Q30+S30+U30+W30+AA30+AC30+AE30+AG30+AK30+AM30+AO30+AQ30</f>
        <v>0</v>
      </c>
      <c r="AV30" s="21">
        <f>R30+AB30+AL30</f>
        <v>0</v>
      </c>
      <c r="AW30" s="21">
        <f>T30+AD30+AN30</f>
        <v>0</v>
      </c>
      <c r="AX30" s="21">
        <f>V30+AF30+AP30</f>
        <v>0</v>
      </c>
      <c r="AY30" s="21">
        <f>X30+AH30+AR30</f>
        <v>0</v>
      </c>
    </row>
    <row r="31" spans="1:51" hidden="1" x14ac:dyDescent="0.2">
      <c r="A31" s="50" t="s">
        <v>237</v>
      </c>
      <c r="B31" s="51" t="s">
        <v>208</v>
      </c>
      <c r="C31" s="51"/>
      <c r="D31" s="51"/>
      <c r="E31" s="52">
        <f>IF(G31="Y",VLOOKUP(B31&amp;"|"&amp;C31,'[1]ETC Data'!$C$2:$D$16,2,FALSE),0)</f>
        <v>0</v>
      </c>
      <c r="F31" s="52">
        <f>IF(D31="",0,IF(G31="Y",VLOOKUP(B31&amp;"|"&amp;D31,'[1]ETC Data'!$C$2:$D$16,2,FALSE),0))</f>
        <v>0</v>
      </c>
      <c r="G31" s="53" t="str">
        <f>IF(VLOOKUP(A31,[1]Plan!A$1:H$804,8,FALSE)&lt;&gt;"",VLOOKUP(A31,[1]Plan!A$1:H$804,8,FALSE),"")</f>
        <v>N</v>
      </c>
      <c r="H31" s="54" t="str">
        <f>IF(VLOOKUP(A31,[1]Plan!A$1:L$804,12,FALSE)&lt;&gt;"",VLOOKUP(A31,[1]Plan!A$1:L$804,12,FALSE),"")</f>
        <v/>
      </c>
      <c r="I31" s="55" t="str">
        <f>IF(VLOOKUP(A31,[1]Plan!A$1:M$804,13,FALSE)&lt;&gt;"",VLOOKUP(A31,[1]Plan!A$1:M$804,13,FALSE),"")</f>
        <v/>
      </c>
      <c r="J31" s="55" t="str">
        <f>IF(VLOOKUP(A31,[1]Plan!A$1:N$804,14,FALSE)&lt;&gt;"",VLOOKUP(A31,[1]Plan!A$1:N$804,14,FALSE),IF(VLOOKUP(A31,[1]Plan!A$1:O$804,15,FALSE)&lt;&gt;"",VLOOKUP(A31,[1]Plan!A$1:O$804,15,FALSE),""))</f>
        <v/>
      </c>
      <c r="K31" s="56" t="str">
        <f>IF(VLOOKUP(A31,[1]Plan!A$1:P$804,16,FALSE)&lt;&gt;"",VLOOKUP(A31,[1]Plan!A$1:P$804,16,FALSE),"")</f>
        <v/>
      </c>
      <c r="L31" s="55"/>
      <c r="M31" s="55"/>
      <c r="N31" s="55"/>
      <c r="O31" s="57">
        <f>IF(F31=0,E31,F31)</f>
        <v>0</v>
      </c>
      <c r="P31" s="57" t="b">
        <f>OR(H31="Y",I31="Y")</f>
        <v>0</v>
      </c>
      <c r="Q31" s="58">
        <f>IF(P31,O31*'[1]ETC Data'!$H$3*'[1]ETC Data'!$I$3,0)</f>
        <v>0</v>
      </c>
      <c r="R31" s="58">
        <f>Q31-(Q31*((VLOOKUP(A31,[1]Plan!A$1:Z$804,26,FALSE)/100)))</f>
        <v>0</v>
      </c>
      <c r="S31" s="58">
        <f>IF(P31,O31*'[1]ETC Data'!$H$3*'[1]ETC Data'!$J$3,0)</f>
        <v>0</v>
      </c>
      <c r="T31" s="58">
        <f>S31-(S31*((VLOOKUP(A31,[1]Plan!A$1:AA$804,27,FALSE)/100)))</f>
        <v>0</v>
      </c>
      <c r="U31" s="58">
        <f>IF(P31,O31*'[1]ETC Data'!$H$3*'[1]ETC Data'!$K$3,0)</f>
        <v>0</v>
      </c>
      <c r="V31" s="58">
        <f>U31-(U31*((VLOOKUP(A31,[1]Plan!A$1:AB$804,28,FALSE)/100)))</f>
        <v>0</v>
      </c>
      <c r="W31" s="58">
        <f>IF(P31,O31*'[1]ETC Data'!$H$3*'[1]ETC Data'!$L$3,0)</f>
        <v>0</v>
      </c>
      <c r="X31" s="58">
        <f>W31-(W31*((VLOOKUP(A31,[1]Plan!A$1:AC$804,29,FALSE)/100)))</f>
        <v>0</v>
      </c>
      <c r="Y31" s="59"/>
      <c r="Z31" s="60" t="b">
        <f>OR(H31="Y",J31="Y")</f>
        <v>0</v>
      </c>
      <c r="AA31" s="58">
        <f>IF(Z31,O31*'[1]ETC Data'!$H$4*'[1]ETC Data'!$I$4,0)</f>
        <v>0</v>
      </c>
      <c r="AB31" s="58">
        <f>AA31-(AA31*((VLOOKUP(A31,[1]Plan!A$1:AI$804,35,FALSE)/100)))</f>
        <v>0</v>
      </c>
      <c r="AC31" s="58">
        <f>IF(Z31,O31*'[1]ETC Data'!$H$4*'[1]ETC Data'!$J$4,0)</f>
        <v>0</v>
      </c>
      <c r="AD31" s="58">
        <f>AC31-(AC31*((VLOOKUP(A31,[1]Plan!A$1:AJ$804,36,FALSE)/100)))</f>
        <v>0</v>
      </c>
      <c r="AE31" s="58">
        <f>IF(Z31,O31*'[1]ETC Data'!$H$4*'[1]ETC Data'!$K$4,0)</f>
        <v>0</v>
      </c>
      <c r="AF31" s="58">
        <f>AE31-(AE31*((VLOOKUP(A31,[1]Plan!A$1:AK$804,37,FALSE)/100)))</f>
        <v>0</v>
      </c>
      <c r="AG31" s="58">
        <f>IF(Z31,O31*'[1]ETC Data'!$H$4*'[1]ETC Data'!$L$4,0)</f>
        <v>0</v>
      </c>
      <c r="AH31" s="58">
        <f>AG31-(AG31*((VLOOKUP(A31,[1]Plan!A$1:AP$804,42,FALSE)/100)))</f>
        <v>0</v>
      </c>
      <c r="AI31" s="60"/>
      <c r="AJ31" s="60" t="b">
        <f>OR(H31="Y",K31="Y")</f>
        <v>0</v>
      </c>
      <c r="AK31" s="61">
        <f>IF(AJ31,O31*'[1]ETC Data'!$H$5*'[1]ETC Data'!$I$5,0)</f>
        <v>0</v>
      </c>
      <c r="AL31" s="58">
        <f>AK31-(AK31*((VLOOKUP(A31,[1]Plan!A$1:AY$804,51,FALSE)/100)))</f>
        <v>0</v>
      </c>
      <c r="AM31" s="58">
        <f>IF(AJ31,O31*'[1]ETC Data'!$H$5*'[1]ETC Data'!$J$5,0)</f>
        <v>0</v>
      </c>
      <c r="AN31" s="58">
        <f>AM31-(AM31*((VLOOKUP(A31,[1]Plan!A$1:BA$804,53,FALSE)/100)))</f>
        <v>0</v>
      </c>
      <c r="AO31" s="61">
        <f>IF(AJ31,O31*'[1]ETC Data'!$H$5*'[1]ETC Data'!$K$5,0)</f>
        <v>0</v>
      </c>
      <c r="AP31" s="58">
        <f>AO31-(AO31*((VLOOKUP(A31,[1]Plan!A$1:BB$804,54,FALSE)/100)))</f>
        <v>0</v>
      </c>
      <c r="AQ31" s="58">
        <f>IF(AJ31,O31*'[1]ETC Data'!$H$5*'[1]ETC Data'!$L$5,0)</f>
        <v>0</v>
      </c>
      <c r="AR31" s="58">
        <f>AQ31-(AQ31*((VLOOKUP(A31,[1]Plan!A$1:BD$804,56,FALSE)/100)))</f>
        <v>0</v>
      </c>
      <c r="AS31" s="20">
        <f>VLOOKUP(A31,'[1]PR Matrix'!A:B,2,FALSE)</f>
        <v>0</v>
      </c>
      <c r="AT31" s="21">
        <f>R31+T31+V31+X31+AB31+AD31+AF31+AH31+AL31+AN31+AP31+AR31</f>
        <v>0</v>
      </c>
      <c r="AU31" s="21">
        <f>Q31+S31+U31+W31+AA31+AC31+AE31+AG31+AK31+AM31+AO31+AQ31</f>
        <v>0</v>
      </c>
      <c r="AV31" s="21">
        <f>R31+AB31+AL31</f>
        <v>0</v>
      </c>
      <c r="AW31" s="21">
        <f>T31+AD31+AN31</f>
        <v>0</v>
      </c>
      <c r="AX31" s="21">
        <f>V31+AF31+AP31</f>
        <v>0</v>
      </c>
      <c r="AY31" s="21">
        <f>X31+AH31+AR31</f>
        <v>0</v>
      </c>
    </row>
    <row r="32" spans="1:51" hidden="1" x14ac:dyDescent="0.2">
      <c r="A32" s="50" t="s">
        <v>238</v>
      </c>
      <c r="B32" s="51" t="s">
        <v>208</v>
      </c>
      <c r="C32" s="51"/>
      <c r="D32" s="51"/>
      <c r="E32" s="52">
        <f>IF(G32="Y",VLOOKUP(B32&amp;"|"&amp;C32,'[1]ETC Data'!$C$2:$D$16,2,FALSE),0)</f>
        <v>0</v>
      </c>
      <c r="F32" s="52">
        <f>IF(D32="",0,IF(G32="Y",VLOOKUP(B32&amp;"|"&amp;D32,'[1]ETC Data'!$C$2:$D$16,2,FALSE),0))</f>
        <v>0</v>
      </c>
      <c r="G32" s="53" t="str">
        <f>IF(VLOOKUP(A32,[1]Plan!A$1:H$804,8,FALSE)&lt;&gt;"",VLOOKUP(A32,[1]Plan!A$1:H$804,8,FALSE),"")</f>
        <v>N</v>
      </c>
      <c r="H32" s="54" t="str">
        <f>IF(VLOOKUP(A32,[1]Plan!A$1:L$804,12,FALSE)&lt;&gt;"",VLOOKUP(A32,[1]Plan!A$1:L$804,12,FALSE),"")</f>
        <v/>
      </c>
      <c r="I32" s="55" t="str">
        <f>IF(VLOOKUP(A32,[1]Plan!A$1:M$804,13,FALSE)&lt;&gt;"",VLOOKUP(A32,[1]Plan!A$1:M$804,13,FALSE),"")</f>
        <v/>
      </c>
      <c r="J32" s="55" t="str">
        <f>IF(VLOOKUP(A32,[1]Plan!A$1:N$804,14,FALSE)&lt;&gt;"",VLOOKUP(A32,[1]Plan!A$1:N$804,14,FALSE),IF(VLOOKUP(A32,[1]Plan!A$1:O$804,15,FALSE)&lt;&gt;"",VLOOKUP(A32,[1]Plan!A$1:O$804,15,FALSE),""))</f>
        <v/>
      </c>
      <c r="K32" s="56" t="str">
        <f>IF(VLOOKUP(A32,[1]Plan!A$1:P$804,16,FALSE)&lt;&gt;"",VLOOKUP(A32,[1]Plan!A$1:P$804,16,FALSE),"")</f>
        <v/>
      </c>
      <c r="L32" s="55"/>
      <c r="M32" s="55"/>
      <c r="N32" s="55"/>
      <c r="O32" s="57">
        <f>IF(F32=0,E32,F32)</f>
        <v>0</v>
      </c>
      <c r="P32" s="57" t="b">
        <f>OR(H32="Y",I32="Y")</f>
        <v>0</v>
      </c>
      <c r="Q32" s="58">
        <f>IF(P32,O32*'[1]ETC Data'!$H$3*'[1]ETC Data'!$I$3,0)</f>
        <v>0</v>
      </c>
      <c r="R32" s="58">
        <f>Q32-(Q32*((VLOOKUP(A32,[1]Plan!A$1:Z$804,26,FALSE)/100)))</f>
        <v>0</v>
      </c>
      <c r="S32" s="58">
        <f>IF(P32,O32*'[1]ETC Data'!$H$3*'[1]ETC Data'!$J$3,0)</f>
        <v>0</v>
      </c>
      <c r="T32" s="58">
        <f>S32-(S32*((VLOOKUP(A32,[1]Plan!A$1:AA$804,27,FALSE)/100)))</f>
        <v>0</v>
      </c>
      <c r="U32" s="58">
        <f>IF(P32,O32*'[1]ETC Data'!$H$3*'[1]ETC Data'!$K$3,0)</f>
        <v>0</v>
      </c>
      <c r="V32" s="58">
        <f>U32-(U32*((VLOOKUP(A32,[1]Plan!A$1:AB$804,28,FALSE)/100)))</f>
        <v>0</v>
      </c>
      <c r="W32" s="58">
        <f>IF(P32,O32*'[1]ETC Data'!$H$3*'[1]ETC Data'!$L$3,0)</f>
        <v>0</v>
      </c>
      <c r="X32" s="58">
        <f>W32-(W32*((VLOOKUP(A32,[1]Plan!A$1:AC$804,29,FALSE)/100)))</f>
        <v>0</v>
      </c>
      <c r="Y32" s="59"/>
      <c r="Z32" s="60" t="b">
        <f>OR(H32="Y",J32="Y")</f>
        <v>0</v>
      </c>
      <c r="AA32" s="58">
        <f>IF(Z32,O32*'[1]ETC Data'!$H$4*'[1]ETC Data'!$I$4,0)</f>
        <v>0</v>
      </c>
      <c r="AB32" s="58">
        <f>AA32-(AA32*((VLOOKUP(A32,[1]Plan!A$1:AI$804,35,FALSE)/100)))</f>
        <v>0</v>
      </c>
      <c r="AC32" s="58">
        <f>IF(Z32,O32*'[1]ETC Data'!$H$4*'[1]ETC Data'!$J$4,0)</f>
        <v>0</v>
      </c>
      <c r="AD32" s="58">
        <f>AC32-(AC32*((VLOOKUP(A32,[1]Plan!A$1:AJ$804,36,FALSE)/100)))</f>
        <v>0</v>
      </c>
      <c r="AE32" s="58">
        <f>IF(Z32,O32*'[1]ETC Data'!$H$4*'[1]ETC Data'!$K$4,0)</f>
        <v>0</v>
      </c>
      <c r="AF32" s="58">
        <f>AE32-(AE32*((VLOOKUP(A32,[1]Plan!A$1:AK$804,37,FALSE)/100)))</f>
        <v>0</v>
      </c>
      <c r="AG32" s="58">
        <f>IF(Z32,O32*'[1]ETC Data'!$H$4*'[1]ETC Data'!$L$4,0)</f>
        <v>0</v>
      </c>
      <c r="AH32" s="58">
        <f>AG32-(AG32*((VLOOKUP(A32,[1]Plan!A$1:AP$804,42,FALSE)/100)))</f>
        <v>0</v>
      </c>
      <c r="AI32" s="60"/>
      <c r="AJ32" s="60" t="b">
        <f>OR(H32="Y",K32="Y")</f>
        <v>0</v>
      </c>
      <c r="AK32" s="61">
        <f>IF(AJ32,O32*'[1]ETC Data'!$H$5*'[1]ETC Data'!$I$5,0)</f>
        <v>0</v>
      </c>
      <c r="AL32" s="58">
        <f>AK32-(AK32*((VLOOKUP(A32,[1]Plan!A$1:AY$804,51,FALSE)/100)))</f>
        <v>0</v>
      </c>
      <c r="AM32" s="58">
        <f>IF(AJ32,O32*'[1]ETC Data'!$H$5*'[1]ETC Data'!$J$5,0)</f>
        <v>0</v>
      </c>
      <c r="AN32" s="58">
        <f>AM32-(AM32*((VLOOKUP(A32,[1]Plan!A$1:BA$804,53,FALSE)/100)))</f>
        <v>0</v>
      </c>
      <c r="AO32" s="61">
        <f>IF(AJ32,O32*'[1]ETC Data'!$H$5*'[1]ETC Data'!$K$5,0)</f>
        <v>0</v>
      </c>
      <c r="AP32" s="58">
        <f>AO32-(AO32*((VLOOKUP(A32,[1]Plan!A$1:BB$804,54,FALSE)/100)))</f>
        <v>0</v>
      </c>
      <c r="AQ32" s="58">
        <f>IF(AJ32,O32*'[1]ETC Data'!$H$5*'[1]ETC Data'!$L$5,0)</f>
        <v>0</v>
      </c>
      <c r="AR32" s="58">
        <f>AQ32-(AQ32*((VLOOKUP(A32,[1]Plan!A$1:BD$804,56,FALSE)/100)))</f>
        <v>0</v>
      </c>
      <c r="AS32" s="20">
        <f>VLOOKUP(A32,'[1]PR Matrix'!A:B,2,FALSE)</f>
        <v>0</v>
      </c>
      <c r="AT32" s="21">
        <f>R32+T32+V32+X32+AB32+AD32+AF32+AH32+AL32+AN32+AP32+AR32</f>
        <v>0</v>
      </c>
      <c r="AU32" s="21">
        <f>Q32+S32+U32+W32+AA32+AC32+AE32+AG32+AK32+AM32+AO32+AQ32</f>
        <v>0</v>
      </c>
      <c r="AV32" s="21">
        <f>R32+AB32+AL32</f>
        <v>0</v>
      </c>
      <c r="AW32" s="21">
        <f>T32+AD32+AN32</f>
        <v>0</v>
      </c>
      <c r="AX32" s="21">
        <f>V32+AF32+AP32</f>
        <v>0</v>
      </c>
      <c r="AY32" s="21">
        <f>X32+AH32+AR32</f>
        <v>0</v>
      </c>
    </row>
    <row r="33" spans="1:51" hidden="1" x14ac:dyDescent="0.2">
      <c r="A33" s="50" t="s">
        <v>239</v>
      </c>
      <c r="B33" s="51" t="s">
        <v>208</v>
      </c>
      <c r="C33" s="51"/>
      <c r="D33" s="51"/>
      <c r="E33" s="52">
        <f>IF(G33="Y",VLOOKUP(B33&amp;"|"&amp;C33,'[1]ETC Data'!$C$2:$D$16,2,FALSE),0)</f>
        <v>0</v>
      </c>
      <c r="F33" s="52">
        <f>IF(D33="",0,IF(G33="Y",VLOOKUP(B33&amp;"|"&amp;D33,'[1]ETC Data'!$C$2:$D$16,2,FALSE),0))</f>
        <v>0</v>
      </c>
      <c r="G33" s="53" t="str">
        <f>IF(VLOOKUP(A33,[1]Plan!A$1:H$804,8,FALSE)&lt;&gt;"",VLOOKUP(A33,[1]Plan!A$1:H$804,8,FALSE),"")</f>
        <v>N</v>
      </c>
      <c r="H33" s="54" t="str">
        <f>IF(VLOOKUP(A33,[1]Plan!A$1:L$804,12,FALSE)&lt;&gt;"",VLOOKUP(A33,[1]Plan!A$1:L$804,12,FALSE),"")</f>
        <v/>
      </c>
      <c r="I33" s="55" t="str">
        <f>IF(VLOOKUP(A33,[1]Plan!A$1:M$804,13,FALSE)&lt;&gt;"",VLOOKUP(A33,[1]Plan!A$1:M$804,13,FALSE),"")</f>
        <v/>
      </c>
      <c r="J33" s="55" t="str">
        <f>IF(VLOOKUP(A33,[1]Plan!A$1:N$804,14,FALSE)&lt;&gt;"",VLOOKUP(A33,[1]Plan!A$1:N$804,14,FALSE),IF(VLOOKUP(A33,[1]Plan!A$1:O$804,15,FALSE)&lt;&gt;"",VLOOKUP(A33,[1]Plan!A$1:O$804,15,FALSE),""))</f>
        <v/>
      </c>
      <c r="K33" s="56" t="str">
        <f>IF(VLOOKUP(A33,[1]Plan!A$1:P$804,16,FALSE)&lt;&gt;"",VLOOKUP(A33,[1]Plan!A$1:P$804,16,FALSE),"")</f>
        <v/>
      </c>
      <c r="L33" s="55"/>
      <c r="M33" s="55"/>
      <c r="N33" s="55"/>
      <c r="O33" s="57">
        <f>IF(F33=0,E33,F33)</f>
        <v>0</v>
      </c>
      <c r="P33" s="57" t="b">
        <f>OR(H33="Y",I33="Y")</f>
        <v>0</v>
      </c>
      <c r="Q33" s="58">
        <f>IF(P33,O33*'[1]ETC Data'!$H$3*'[1]ETC Data'!$I$3,0)</f>
        <v>0</v>
      </c>
      <c r="R33" s="58">
        <f>Q33-(Q33*((VLOOKUP(A33,[1]Plan!A$1:Z$804,26,FALSE)/100)))</f>
        <v>0</v>
      </c>
      <c r="S33" s="58">
        <f>IF(P33,O33*'[1]ETC Data'!$H$3*'[1]ETC Data'!$J$3,0)</f>
        <v>0</v>
      </c>
      <c r="T33" s="58">
        <f>S33-(S33*((VLOOKUP(A33,[1]Plan!A$1:AA$804,27,FALSE)/100)))</f>
        <v>0</v>
      </c>
      <c r="U33" s="58">
        <f>IF(P33,O33*'[1]ETC Data'!$H$3*'[1]ETC Data'!$K$3,0)</f>
        <v>0</v>
      </c>
      <c r="V33" s="58">
        <f>U33-(U33*((VLOOKUP(A33,[1]Plan!A$1:AB$804,28,FALSE)/100)))</f>
        <v>0</v>
      </c>
      <c r="W33" s="58">
        <f>IF(P33,O33*'[1]ETC Data'!$H$3*'[1]ETC Data'!$L$3,0)</f>
        <v>0</v>
      </c>
      <c r="X33" s="58">
        <f>W33-(W33*((VLOOKUP(A33,[1]Plan!A$1:AC$804,29,FALSE)/100)))</f>
        <v>0</v>
      </c>
      <c r="Y33" s="59"/>
      <c r="Z33" s="60" t="b">
        <f>OR(H33="Y",J33="Y")</f>
        <v>0</v>
      </c>
      <c r="AA33" s="58">
        <f>IF(Z33,O33*'[1]ETC Data'!$H$4*'[1]ETC Data'!$I$4,0)</f>
        <v>0</v>
      </c>
      <c r="AB33" s="58">
        <f>AA33-(AA33*((VLOOKUP(A33,[1]Plan!A$1:AI$804,35,FALSE)/100)))</f>
        <v>0</v>
      </c>
      <c r="AC33" s="58">
        <f>IF(Z33,O33*'[1]ETC Data'!$H$4*'[1]ETC Data'!$J$4,0)</f>
        <v>0</v>
      </c>
      <c r="AD33" s="58">
        <f>AC33-(AC33*((VLOOKUP(A33,[1]Plan!A$1:AJ$804,36,FALSE)/100)))</f>
        <v>0</v>
      </c>
      <c r="AE33" s="58">
        <f>IF(Z33,O33*'[1]ETC Data'!$H$4*'[1]ETC Data'!$K$4,0)</f>
        <v>0</v>
      </c>
      <c r="AF33" s="58">
        <f>AE33-(AE33*((VLOOKUP(A33,[1]Plan!A$1:AK$804,37,FALSE)/100)))</f>
        <v>0</v>
      </c>
      <c r="AG33" s="58">
        <f>IF(Z33,O33*'[1]ETC Data'!$H$4*'[1]ETC Data'!$L$4,0)</f>
        <v>0</v>
      </c>
      <c r="AH33" s="58">
        <f>AG33-(AG33*((VLOOKUP(A33,[1]Plan!A$1:AP$804,42,FALSE)/100)))</f>
        <v>0</v>
      </c>
      <c r="AI33" s="60"/>
      <c r="AJ33" s="60" t="b">
        <f>OR(H33="Y",K33="Y")</f>
        <v>0</v>
      </c>
      <c r="AK33" s="61">
        <f>IF(AJ33,O33*'[1]ETC Data'!$H$5*'[1]ETC Data'!$I$5,0)</f>
        <v>0</v>
      </c>
      <c r="AL33" s="58">
        <f>AK33-(AK33*((VLOOKUP(A33,[1]Plan!A$1:AY$804,51,FALSE)/100)))</f>
        <v>0</v>
      </c>
      <c r="AM33" s="58">
        <f>IF(AJ33,O33*'[1]ETC Data'!$H$5*'[1]ETC Data'!$J$5,0)</f>
        <v>0</v>
      </c>
      <c r="AN33" s="58">
        <f>AM33-(AM33*((VLOOKUP(A33,[1]Plan!A$1:BA$804,53,FALSE)/100)))</f>
        <v>0</v>
      </c>
      <c r="AO33" s="61">
        <f>IF(AJ33,O33*'[1]ETC Data'!$H$5*'[1]ETC Data'!$K$5,0)</f>
        <v>0</v>
      </c>
      <c r="AP33" s="58">
        <f>AO33-(AO33*((VLOOKUP(A33,[1]Plan!A$1:BB$804,54,FALSE)/100)))</f>
        <v>0</v>
      </c>
      <c r="AQ33" s="58">
        <f>IF(AJ33,O33*'[1]ETC Data'!$H$5*'[1]ETC Data'!$L$5,0)</f>
        <v>0</v>
      </c>
      <c r="AR33" s="58">
        <f>AQ33-(AQ33*((VLOOKUP(A33,[1]Plan!A$1:BD$804,56,FALSE)/100)))</f>
        <v>0</v>
      </c>
      <c r="AS33" s="20">
        <f>VLOOKUP(A33,'[1]PR Matrix'!A:B,2,FALSE)</f>
        <v>0</v>
      </c>
      <c r="AT33" s="21">
        <f>R33+T33+V33+X33+AB33+AD33+AF33+AH33+AL33+AN33+AP33+AR33</f>
        <v>0</v>
      </c>
      <c r="AU33" s="21">
        <f>Q33+S33+U33+W33+AA33+AC33+AE33+AG33+AK33+AM33+AO33+AQ33</f>
        <v>0</v>
      </c>
      <c r="AV33" s="21">
        <f>R33+AB33+AL33</f>
        <v>0</v>
      </c>
      <c r="AW33" s="21">
        <f>T33+AD33+AN33</f>
        <v>0</v>
      </c>
      <c r="AX33" s="21">
        <f>V33+AF33+AP33</f>
        <v>0</v>
      </c>
      <c r="AY33" s="21">
        <f>X33+AH33+AR33</f>
        <v>0</v>
      </c>
    </row>
    <row r="34" spans="1:51" hidden="1" x14ac:dyDescent="0.2">
      <c r="A34" s="50" t="s">
        <v>240</v>
      </c>
      <c r="B34" s="51" t="s">
        <v>208</v>
      </c>
      <c r="C34" s="51"/>
      <c r="D34" s="51"/>
      <c r="E34" s="52">
        <f>IF(G34="Y",VLOOKUP(B34&amp;"|"&amp;C34,'[1]ETC Data'!$C$2:$D$16,2,FALSE),0)</f>
        <v>0</v>
      </c>
      <c r="F34" s="52">
        <f>IF(D34="",0,IF(G34="Y",VLOOKUP(B34&amp;"|"&amp;D34,'[1]ETC Data'!$C$2:$D$16,2,FALSE),0))</f>
        <v>0</v>
      </c>
      <c r="G34" s="53" t="str">
        <f>IF(VLOOKUP(A34,[1]Plan!A$1:H$804,8,FALSE)&lt;&gt;"",VLOOKUP(A34,[1]Plan!A$1:H$804,8,FALSE),"")</f>
        <v>N</v>
      </c>
      <c r="H34" s="54" t="str">
        <f>IF(VLOOKUP(A34,[1]Plan!A$1:L$804,12,FALSE)&lt;&gt;"",VLOOKUP(A34,[1]Plan!A$1:L$804,12,FALSE),"")</f>
        <v/>
      </c>
      <c r="I34" s="55" t="str">
        <f>IF(VLOOKUP(A34,[1]Plan!A$1:M$804,13,FALSE)&lt;&gt;"",VLOOKUP(A34,[1]Plan!A$1:M$804,13,FALSE),"")</f>
        <v/>
      </c>
      <c r="J34" s="55" t="str">
        <f>IF(VLOOKUP(A34,[1]Plan!A$1:N$804,14,FALSE)&lt;&gt;"",VLOOKUP(A34,[1]Plan!A$1:N$804,14,FALSE),IF(VLOOKUP(A34,[1]Plan!A$1:O$804,15,FALSE)&lt;&gt;"",VLOOKUP(A34,[1]Plan!A$1:O$804,15,FALSE),""))</f>
        <v/>
      </c>
      <c r="K34" s="56" t="str">
        <f>IF(VLOOKUP(A34,[1]Plan!A$1:P$804,16,FALSE)&lt;&gt;"",VLOOKUP(A34,[1]Plan!A$1:P$804,16,FALSE),"")</f>
        <v/>
      </c>
      <c r="L34" s="55"/>
      <c r="M34" s="55"/>
      <c r="N34" s="55"/>
      <c r="O34" s="57">
        <f>IF(F34=0,E34,F34)</f>
        <v>0</v>
      </c>
      <c r="P34" s="57" t="b">
        <f>OR(H34="Y",I34="Y")</f>
        <v>0</v>
      </c>
      <c r="Q34" s="58">
        <f>IF(P34,O34*'[1]ETC Data'!$H$3*'[1]ETC Data'!$I$3,0)</f>
        <v>0</v>
      </c>
      <c r="R34" s="58">
        <f>Q34-(Q34*((VLOOKUP(A34,[1]Plan!A$1:Z$804,26,FALSE)/100)))</f>
        <v>0</v>
      </c>
      <c r="S34" s="58">
        <f>IF(P34,O34*'[1]ETC Data'!$H$3*'[1]ETC Data'!$J$3,0)</f>
        <v>0</v>
      </c>
      <c r="T34" s="58">
        <f>S34-(S34*((VLOOKUP(A34,[1]Plan!A$1:AA$804,27,FALSE)/100)))</f>
        <v>0</v>
      </c>
      <c r="U34" s="58">
        <f>IF(P34,O34*'[1]ETC Data'!$H$3*'[1]ETC Data'!$K$3,0)</f>
        <v>0</v>
      </c>
      <c r="V34" s="58">
        <f>U34-(U34*((VLOOKUP(A34,[1]Plan!A$1:AB$804,28,FALSE)/100)))</f>
        <v>0</v>
      </c>
      <c r="W34" s="58">
        <f>IF(P34,O34*'[1]ETC Data'!$H$3*'[1]ETC Data'!$L$3,0)</f>
        <v>0</v>
      </c>
      <c r="X34" s="58">
        <f>W34-(W34*((VLOOKUP(A34,[1]Plan!A$1:AC$804,29,FALSE)/100)))</f>
        <v>0</v>
      </c>
      <c r="Y34" s="59"/>
      <c r="Z34" s="60" t="b">
        <f>OR(H34="Y",J34="Y")</f>
        <v>0</v>
      </c>
      <c r="AA34" s="58">
        <f>IF(Z34,O34*'[1]ETC Data'!$H$4*'[1]ETC Data'!$I$4,0)</f>
        <v>0</v>
      </c>
      <c r="AB34" s="58">
        <f>AA34-(AA34*((VLOOKUP(A34,[1]Plan!A$1:AI$804,35,FALSE)/100)))</f>
        <v>0</v>
      </c>
      <c r="AC34" s="58">
        <f>IF(Z34,O34*'[1]ETC Data'!$H$4*'[1]ETC Data'!$J$4,0)</f>
        <v>0</v>
      </c>
      <c r="AD34" s="58">
        <f>AC34-(AC34*((VLOOKUP(A34,[1]Plan!A$1:AJ$804,36,FALSE)/100)))</f>
        <v>0</v>
      </c>
      <c r="AE34" s="58">
        <f>IF(Z34,O34*'[1]ETC Data'!$H$4*'[1]ETC Data'!$K$4,0)</f>
        <v>0</v>
      </c>
      <c r="AF34" s="58">
        <f>AE34-(AE34*((VLOOKUP(A34,[1]Plan!A$1:AK$804,37,FALSE)/100)))</f>
        <v>0</v>
      </c>
      <c r="AG34" s="58">
        <f>IF(Z34,O34*'[1]ETC Data'!$H$4*'[1]ETC Data'!$L$4,0)</f>
        <v>0</v>
      </c>
      <c r="AH34" s="58">
        <f>AG34-(AG34*((VLOOKUP(A34,[1]Plan!A$1:AP$804,42,FALSE)/100)))</f>
        <v>0</v>
      </c>
      <c r="AI34" s="60"/>
      <c r="AJ34" s="60" t="b">
        <f>OR(H34="Y",K34="Y")</f>
        <v>0</v>
      </c>
      <c r="AK34" s="61">
        <f>IF(AJ34,O34*'[1]ETC Data'!$H$5*'[1]ETC Data'!$I$5,0)</f>
        <v>0</v>
      </c>
      <c r="AL34" s="58">
        <f>AK34-(AK34*((VLOOKUP(A34,[1]Plan!A$1:AY$804,51,FALSE)/100)))</f>
        <v>0</v>
      </c>
      <c r="AM34" s="58">
        <f>IF(AJ34,O34*'[1]ETC Data'!$H$5*'[1]ETC Data'!$J$5,0)</f>
        <v>0</v>
      </c>
      <c r="AN34" s="58">
        <f>AM34-(AM34*((VLOOKUP(A34,[1]Plan!A$1:BA$804,53,FALSE)/100)))</f>
        <v>0</v>
      </c>
      <c r="AO34" s="61">
        <f>IF(AJ34,O34*'[1]ETC Data'!$H$5*'[1]ETC Data'!$K$5,0)</f>
        <v>0</v>
      </c>
      <c r="AP34" s="58">
        <f>AO34-(AO34*((VLOOKUP(A34,[1]Plan!A$1:BB$804,54,FALSE)/100)))</f>
        <v>0</v>
      </c>
      <c r="AQ34" s="58">
        <f>IF(AJ34,O34*'[1]ETC Data'!$H$5*'[1]ETC Data'!$L$5,0)</f>
        <v>0</v>
      </c>
      <c r="AR34" s="58">
        <f>AQ34-(AQ34*((VLOOKUP(A34,[1]Plan!A$1:BD$804,56,FALSE)/100)))</f>
        <v>0</v>
      </c>
      <c r="AS34" s="20">
        <f>VLOOKUP(A34,'[1]PR Matrix'!A:B,2,FALSE)</f>
        <v>0</v>
      </c>
      <c r="AT34" s="21">
        <f>R34+T34+V34+X34+AB34+AD34+AF34+AH34+AL34+AN34+AP34+AR34</f>
        <v>0</v>
      </c>
      <c r="AU34" s="21">
        <f>Q34+S34+U34+W34+AA34+AC34+AE34+AG34+AK34+AM34+AO34+AQ34</f>
        <v>0</v>
      </c>
      <c r="AV34" s="21">
        <f>R34+AB34+AL34</f>
        <v>0</v>
      </c>
      <c r="AW34" s="21">
        <f>T34+AD34+AN34</f>
        <v>0</v>
      </c>
      <c r="AX34" s="21">
        <f>V34+AF34+AP34</f>
        <v>0</v>
      </c>
      <c r="AY34" s="21">
        <f>X34+AH34+AR34</f>
        <v>0</v>
      </c>
    </row>
    <row r="35" spans="1:51" hidden="1" x14ac:dyDescent="0.2">
      <c r="A35" s="50" t="s">
        <v>241</v>
      </c>
      <c r="B35" s="51" t="s">
        <v>208</v>
      </c>
      <c r="C35" s="51"/>
      <c r="D35" s="51"/>
      <c r="E35" s="52">
        <f>IF(G35="Y",VLOOKUP(B35&amp;"|"&amp;C35,'[1]ETC Data'!$C$2:$D$16,2,FALSE),0)</f>
        <v>0</v>
      </c>
      <c r="F35" s="52">
        <f>IF(D35="",0,IF(G35="Y",VLOOKUP(B35&amp;"|"&amp;D35,'[1]ETC Data'!$C$2:$D$16,2,FALSE),0))</f>
        <v>0</v>
      </c>
      <c r="G35" s="53" t="str">
        <f>IF(VLOOKUP(A35,[1]Plan!A$1:H$804,8,FALSE)&lt;&gt;"",VLOOKUP(A35,[1]Plan!A$1:H$804,8,FALSE),"")</f>
        <v>N</v>
      </c>
      <c r="H35" s="54" t="str">
        <f>IF(VLOOKUP(A35,[1]Plan!A$1:L$804,12,FALSE)&lt;&gt;"",VLOOKUP(A35,[1]Plan!A$1:L$804,12,FALSE),"")</f>
        <v/>
      </c>
      <c r="I35" s="55" t="str">
        <f>IF(VLOOKUP(A35,[1]Plan!A$1:M$804,13,FALSE)&lt;&gt;"",VLOOKUP(A35,[1]Plan!A$1:M$804,13,FALSE),"")</f>
        <v/>
      </c>
      <c r="J35" s="55" t="str">
        <f>IF(VLOOKUP(A35,[1]Plan!A$1:N$804,14,FALSE)&lt;&gt;"",VLOOKUP(A35,[1]Plan!A$1:N$804,14,FALSE),IF(VLOOKUP(A35,[1]Plan!A$1:O$804,15,FALSE)&lt;&gt;"",VLOOKUP(A35,[1]Plan!A$1:O$804,15,FALSE),""))</f>
        <v/>
      </c>
      <c r="K35" s="56" t="str">
        <f>IF(VLOOKUP(A35,[1]Plan!A$1:P$804,16,FALSE)&lt;&gt;"",VLOOKUP(A35,[1]Plan!A$1:P$804,16,FALSE),"")</f>
        <v/>
      </c>
      <c r="L35" s="55"/>
      <c r="M35" s="55"/>
      <c r="N35" s="55"/>
      <c r="O35" s="57">
        <f>IF(F35=0,E35,F35)</f>
        <v>0</v>
      </c>
      <c r="P35" s="57" t="b">
        <f>OR(H35="Y",I35="Y")</f>
        <v>0</v>
      </c>
      <c r="Q35" s="58">
        <f>IF(P35,O35*'[1]ETC Data'!$H$3*'[1]ETC Data'!$I$3,0)</f>
        <v>0</v>
      </c>
      <c r="R35" s="58">
        <f>Q35-(Q35*((VLOOKUP(A35,[1]Plan!A$1:Z$804,26,FALSE)/100)))</f>
        <v>0</v>
      </c>
      <c r="S35" s="58">
        <f>IF(P35,O35*'[1]ETC Data'!$H$3*'[1]ETC Data'!$J$3,0)</f>
        <v>0</v>
      </c>
      <c r="T35" s="58">
        <f>S35-(S35*((VLOOKUP(A35,[1]Plan!A$1:AA$804,27,FALSE)/100)))</f>
        <v>0</v>
      </c>
      <c r="U35" s="58">
        <f>IF(P35,O35*'[1]ETC Data'!$H$3*'[1]ETC Data'!$K$3,0)</f>
        <v>0</v>
      </c>
      <c r="V35" s="58">
        <f>U35-(U35*((VLOOKUP(A35,[1]Plan!A$1:AB$804,28,FALSE)/100)))</f>
        <v>0</v>
      </c>
      <c r="W35" s="58">
        <f>IF(P35,O35*'[1]ETC Data'!$H$3*'[1]ETC Data'!$L$3,0)</f>
        <v>0</v>
      </c>
      <c r="X35" s="58">
        <f>W35-(W35*((VLOOKUP(A35,[1]Plan!A$1:AC$804,29,FALSE)/100)))</f>
        <v>0</v>
      </c>
      <c r="Y35" s="59"/>
      <c r="Z35" s="60" t="b">
        <f>OR(H35="Y",J35="Y")</f>
        <v>0</v>
      </c>
      <c r="AA35" s="58">
        <f>IF(Z35,O35*'[1]ETC Data'!$H$4*'[1]ETC Data'!$I$4,0)</f>
        <v>0</v>
      </c>
      <c r="AB35" s="58">
        <f>AA35-(AA35*((VLOOKUP(A35,[1]Plan!A$1:AI$804,35,FALSE)/100)))</f>
        <v>0</v>
      </c>
      <c r="AC35" s="58">
        <f>IF(Z35,O35*'[1]ETC Data'!$H$4*'[1]ETC Data'!$J$4,0)</f>
        <v>0</v>
      </c>
      <c r="AD35" s="58">
        <f>AC35-(AC35*((VLOOKUP(A35,[1]Plan!A$1:AJ$804,36,FALSE)/100)))</f>
        <v>0</v>
      </c>
      <c r="AE35" s="58">
        <f>IF(Z35,O35*'[1]ETC Data'!$H$4*'[1]ETC Data'!$K$4,0)</f>
        <v>0</v>
      </c>
      <c r="AF35" s="58">
        <f>AE35-(AE35*((VLOOKUP(A35,[1]Plan!A$1:AK$804,37,FALSE)/100)))</f>
        <v>0</v>
      </c>
      <c r="AG35" s="58">
        <f>IF(Z35,O35*'[1]ETC Data'!$H$4*'[1]ETC Data'!$L$4,0)</f>
        <v>0</v>
      </c>
      <c r="AH35" s="58">
        <f>AG35-(AG35*((VLOOKUP(A35,[1]Plan!A$1:AP$804,42,FALSE)/100)))</f>
        <v>0</v>
      </c>
      <c r="AI35" s="60"/>
      <c r="AJ35" s="60" t="b">
        <f>OR(H35="Y",K35="Y")</f>
        <v>0</v>
      </c>
      <c r="AK35" s="61">
        <f>IF(AJ35,O35*'[1]ETC Data'!$H$5*'[1]ETC Data'!$I$5,0)</f>
        <v>0</v>
      </c>
      <c r="AL35" s="58">
        <f>AK35-(AK35*((VLOOKUP(A35,[1]Plan!A$1:AY$804,51,FALSE)/100)))</f>
        <v>0</v>
      </c>
      <c r="AM35" s="58">
        <f>IF(AJ35,O35*'[1]ETC Data'!$H$5*'[1]ETC Data'!$J$5,0)</f>
        <v>0</v>
      </c>
      <c r="AN35" s="58">
        <f>AM35-(AM35*((VLOOKUP(A35,[1]Plan!A$1:BA$804,53,FALSE)/100)))</f>
        <v>0</v>
      </c>
      <c r="AO35" s="61">
        <f>IF(AJ35,O35*'[1]ETC Data'!$H$5*'[1]ETC Data'!$K$5,0)</f>
        <v>0</v>
      </c>
      <c r="AP35" s="58">
        <f>AO35-(AO35*((VLOOKUP(A35,[1]Plan!A$1:BB$804,54,FALSE)/100)))</f>
        <v>0</v>
      </c>
      <c r="AQ35" s="58">
        <f>IF(AJ35,O35*'[1]ETC Data'!$H$5*'[1]ETC Data'!$L$5,0)</f>
        <v>0</v>
      </c>
      <c r="AR35" s="58">
        <f>AQ35-(AQ35*((VLOOKUP(A35,[1]Plan!A$1:BD$804,56,FALSE)/100)))</f>
        <v>0</v>
      </c>
      <c r="AS35" s="20">
        <f>VLOOKUP(A35,'[1]PR Matrix'!A:B,2,FALSE)</f>
        <v>0</v>
      </c>
      <c r="AT35" s="21">
        <f>R35+T35+V35+X35+AB35+AD35+AF35+AH35+AL35+AN35+AP35+AR35</f>
        <v>0</v>
      </c>
      <c r="AU35" s="21">
        <f>Q35+S35+U35+W35+AA35+AC35+AE35+AG35+AK35+AM35+AO35+AQ35</f>
        <v>0</v>
      </c>
      <c r="AV35" s="21">
        <f>R35+AB35+AL35</f>
        <v>0</v>
      </c>
      <c r="AW35" s="21">
        <f>T35+AD35+AN35</f>
        <v>0</v>
      </c>
      <c r="AX35" s="21">
        <f>V35+AF35+AP35</f>
        <v>0</v>
      </c>
      <c r="AY35" s="21">
        <f>X35+AH35+AR35</f>
        <v>0</v>
      </c>
    </row>
    <row r="36" spans="1:51" hidden="1" x14ac:dyDescent="0.2">
      <c r="A36" s="50" t="s">
        <v>242</v>
      </c>
      <c r="B36" s="51" t="s">
        <v>208</v>
      </c>
      <c r="C36" s="51"/>
      <c r="D36" s="51"/>
      <c r="E36" s="52">
        <f>IF(G36="Y",VLOOKUP(B36&amp;"|"&amp;C36,'[1]ETC Data'!$C$2:$D$16,2,FALSE),0)</f>
        <v>0</v>
      </c>
      <c r="F36" s="52">
        <f>IF(D36="",0,IF(G36="Y",VLOOKUP(B36&amp;"|"&amp;D36,'[1]ETC Data'!$C$2:$D$16,2,FALSE),0))</f>
        <v>0</v>
      </c>
      <c r="G36" s="53" t="str">
        <f>IF(VLOOKUP(A36,[1]Plan!A$1:H$804,8,FALSE)&lt;&gt;"",VLOOKUP(A36,[1]Plan!A$1:H$804,8,FALSE),"")</f>
        <v>N</v>
      </c>
      <c r="H36" s="54" t="str">
        <f>IF(VLOOKUP(A36,[1]Plan!A$1:L$804,12,FALSE)&lt;&gt;"",VLOOKUP(A36,[1]Plan!A$1:L$804,12,FALSE),"")</f>
        <v/>
      </c>
      <c r="I36" s="55" t="str">
        <f>IF(VLOOKUP(A36,[1]Plan!A$1:M$804,13,FALSE)&lt;&gt;"",VLOOKUP(A36,[1]Plan!A$1:M$804,13,FALSE),"")</f>
        <v/>
      </c>
      <c r="J36" s="55" t="str">
        <f>IF(VLOOKUP(A36,[1]Plan!A$1:N$804,14,FALSE)&lt;&gt;"",VLOOKUP(A36,[1]Plan!A$1:N$804,14,FALSE),IF(VLOOKUP(A36,[1]Plan!A$1:O$804,15,FALSE)&lt;&gt;"",VLOOKUP(A36,[1]Plan!A$1:O$804,15,FALSE),""))</f>
        <v/>
      </c>
      <c r="K36" s="56" t="str">
        <f>IF(VLOOKUP(A36,[1]Plan!A$1:P$804,16,FALSE)&lt;&gt;"",VLOOKUP(A36,[1]Plan!A$1:P$804,16,FALSE),"")</f>
        <v/>
      </c>
      <c r="L36" s="55"/>
      <c r="M36" s="55"/>
      <c r="N36" s="55"/>
      <c r="O36" s="57">
        <f>IF(F36=0,E36,F36)</f>
        <v>0</v>
      </c>
      <c r="P36" s="57" t="b">
        <f>OR(H36="Y",I36="Y")</f>
        <v>0</v>
      </c>
      <c r="Q36" s="58">
        <f>IF(P36,O36*'[1]ETC Data'!$H$3*'[1]ETC Data'!$I$3,0)</f>
        <v>0</v>
      </c>
      <c r="R36" s="58">
        <f>Q36-(Q36*((VLOOKUP(A36,[1]Plan!A$1:Z$804,26,FALSE)/100)))</f>
        <v>0</v>
      </c>
      <c r="S36" s="58">
        <f>IF(P36,O36*'[1]ETC Data'!$H$3*'[1]ETC Data'!$J$3,0)</f>
        <v>0</v>
      </c>
      <c r="T36" s="58">
        <f>S36-(S36*((VLOOKUP(A36,[1]Plan!A$1:AA$804,27,FALSE)/100)))</f>
        <v>0</v>
      </c>
      <c r="U36" s="58">
        <f>IF(P36,O36*'[1]ETC Data'!$H$3*'[1]ETC Data'!$K$3,0)</f>
        <v>0</v>
      </c>
      <c r="V36" s="58">
        <f>U36-(U36*((VLOOKUP(A36,[1]Plan!A$1:AB$804,28,FALSE)/100)))</f>
        <v>0</v>
      </c>
      <c r="W36" s="58">
        <f>IF(P36,O36*'[1]ETC Data'!$H$3*'[1]ETC Data'!$L$3,0)</f>
        <v>0</v>
      </c>
      <c r="X36" s="58">
        <f>W36-(W36*((VLOOKUP(A36,[1]Plan!A$1:AC$804,29,FALSE)/100)))</f>
        <v>0</v>
      </c>
      <c r="Y36" s="59"/>
      <c r="Z36" s="60" t="b">
        <f>OR(H36="Y",J36="Y")</f>
        <v>0</v>
      </c>
      <c r="AA36" s="58">
        <f>IF(Z36,O36*'[1]ETC Data'!$H$4*'[1]ETC Data'!$I$4,0)</f>
        <v>0</v>
      </c>
      <c r="AB36" s="58">
        <f>AA36-(AA36*((VLOOKUP(A36,[1]Plan!A$1:AI$804,35,FALSE)/100)))</f>
        <v>0</v>
      </c>
      <c r="AC36" s="58">
        <f>IF(Z36,O36*'[1]ETC Data'!$H$4*'[1]ETC Data'!$J$4,0)</f>
        <v>0</v>
      </c>
      <c r="AD36" s="58">
        <f>AC36-(AC36*((VLOOKUP(A36,[1]Plan!A$1:AJ$804,36,FALSE)/100)))</f>
        <v>0</v>
      </c>
      <c r="AE36" s="58">
        <f>IF(Z36,O36*'[1]ETC Data'!$H$4*'[1]ETC Data'!$K$4,0)</f>
        <v>0</v>
      </c>
      <c r="AF36" s="58">
        <f>AE36-(AE36*((VLOOKUP(A36,[1]Plan!A$1:AK$804,37,FALSE)/100)))</f>
        <v>0</v>
      </c>
      <c r="AG36" s="58">
        <f>IF(Z36,O36*'[1]ETC Data'!$H$4*'[1]ETC Data'!$L$4,0)</f>
        <v>0</v>
      </c>
      <c r="AH36" s="58">
        <f>AG36-(AG36*((VLOOKUP(A36,[1]Plan!A$1:AP$804,42,FALSE)/100)))</f>
        <v>0</v>
      </c>
      <c r="AI36" s="60"/>
      <c r="AJ36" s="60" t="b">
        <f>OR(H36="Y",K36="Y")</f>
        <v>0</v>
      </c>
      <c r="AK36" s="61">
        <f>IF(AJ36,O36*'[1]ETC Data'!$H$5*'[1]ETC Data'!$I$5,0)</f>
        <v>0</v>
      </c>
      <c r="AL36" s="58">
        <f>AK36-(AK36*((VLOOKUP(A36,[1]Plan!A$1:AY$804,51,FALSE)/100)))</f>
        <v>0</v>
      </c>
      <c r="AM36" s="58">
        <f>IF(AJ36,O36*'[1]ETC Data'!$H$5*'[1]ETC Data'!$J$5,0)</f>
        <v>0</v>
      </c>
      <c r="AN36" s="58">
        <f>AM36-(AM36*((VLOOKUP(A36,[1]Plan!A$1:BA$804,53,FALSE)/100)))</f>
        <v>0</v>
      </c>
      <c r="AO36" s="61">
        <f>IF(AJ36,O36*'[1]ETC Data'!$H$5*'[1]ETC Data'!$K$5,0)</f>
        <v>0</v>
      </c>
      <c r="AP36" s="58">
        <f>AO36-(AO36*((VLOOKUP(A36,[1]Plan!A$1:BB$804,54,FALSE)/100)))</f>
        <v>0</v>
      </c>
      <c r="AQ36" s="58">
        <f>IF(AJ36,O36*'[1]ETC Data'!$H$5*'[1]ETC Data'!$L$5,0)</f>
        <v>0</v>
      </c>
      <c r="AR36" s="58">
        <f>AQ36-(AQ36*((VLOOKUP(A36,[1]Plan!A$1:BD$804,56,FALSE)/100)))</f>
        <v>0</v>
      </c>
      <c r="AS36" s="20">
        <f>VLOOKUP(A36,'[1]PR Matrix'!A:B,2,FALSE)</f>
        <v>0</v>
      </c>
      <c r="AT36" s="21">
        <f>R36+T36+V36+X36+AB36+AD36+AF36+AH36+AL36+AN36+AP36+AR36</f>
        <v>0</v>
      </c>
      <c r="AU36" s="21">
        <f>Q36+S36+U36+W36+AA36+AC36+AE36+AG36+AK36+AM36+AO36+AQ36</f>
        <v>0</v>
      </c>
      <c r="AV36" s="21">
        <f>R36+AB36+AL36</f>
        <v>0</v>
      </c>
      <c r="AW36" s="21">
        <f>T36+AD36+AN36</f>
        <v>0</v>
      </c>
      <c r="AX36" s="21">
        <f>V36+AF36+AP36</f>
        <v>0</v>
      </c>
      <c r="AY36" s="21">
        <f>X36+AH36+AR36</f>
        <v>0</v>
      </c>
    </row>
    <row r="37" spans="1:51" hidden="1" x14ac:dyDescent="0.2">
      <c r="A37" s="50" t="s">
        <v>243</v>
      </c>
      <c r="B37" s="51" t="s">
        <v>208</v>
      </c>
      <c r="C37" s="51"/>
      <c r="D37" s="51"/>
      <c r="E37" s="52">
        <f>IF(G37="Y",VLOOKUP(B37&amp;"|"&amp;C37,'[1]ETC Data'!$C$2:$D$16,2,FALSE),0)</f>
        <v>0</v>
      </c>
      <c r="F37" s="52">
        <f>IF(D37="",0,IF(G37="Y",VLOOKUP(B37&amp;"|"&amp;D37,'[1]ETC Data'!$C$2:$D$16,2,FALSE),0))</f>
        <v>0</v>
      </c>
      <c r="G37" s="53" t="str">
        <f>IF(VLOOKUP(A37,[1]Plan!A$1:H$804,8,FALSE)&lt;&gt;"",VLOOKUP(A37,[1]Plan!A$1:H$804,8,FALSE),"")</f>
        <v>N</v>
      </c>
      <c r="H37" s="54" t="str">
        <f>IF(VLOOKUP(A37,[1]Plan!A$1:L$804,12,FALSE)&lt;&gt;"",VLOOKUP(A37,[1]Plan!A$1:L$804,12,FALSE),"")</f>
        <v/>
      </c>
      <c r="I37" s="55" t="str">
        <f>IF(VLOOKUP(A37,[1]Plan!A$1:M$804,13,FALSE)&lt;&gt;"",VLOOKUP(A37,[1]Plan!A$1:M$804,13,FALSE),"")</f>
        <v/>
      </c>
      <c r="J37" s="55" t="str">
        <f>IF(VLOOKUP(A37,[1]Plan!A$1:N$804,14,FALSE)&lt;&gt;"",VLOOKUP(A37,[1]Plan!A$1:N$804,14,FALSE),IF(VLOOKUP(A37,[1]Plan!A$1:O$804,15,FALSE)&lt;&gt;"",VLOOKUP(A37,[1]Plan!A$1:O$804,15,FALSE),""))</f>
        <v/>
      </c>
      <c r="K37" s="56" t="str">
        <f>IF(VLOOKUP(A37,[1]Plan!A$1:P$804,16,FALSE)&lt;&gt;"",VLOOKUP(A37,[1]Plan!A$1:P$804,16,FALSE),"")</f>
        <v/>
      </c>
      <c r="L37" s="55"/>
      <c r="M37" s="55"/>
      <c r="N37" s="55"/>
      <c r="O37" s="57">
        <f>IF(F37=0,E37,F37)</f>
        <v>0</v>
      </c>
      <c r="P37" s="57" t="b">
        <f>OR(H37="Y",I37="Y")</f>
        <v>0</v>
      </c>
      <c r="Q37" s="58">
        <f>IF(P37,O37*'[1]ETC Data'!$H$3*'[1]ETC Data'!$I$3,0)</f>
        <v>0</v>
      </c>
      <c r="R37" s="58">
        <f>Q37-(Q37*((VLOOKUP(A37,[1]Plan!A$1:Z$804,26,FALSE)/100)))</f>
        <v>0</v>
      </c>
      <c r="S37" s="58">
        <f>IF(P37,O37*'[1]ETC Data'!$H$3*'[1]ETC Data'!$J$3,0)</f>
        <v>0</v>
      </c>
      <c r="T37" s="58">
        <f>S37-(S37*((VLOOKUP(A37,[1]Plan!A$1:AA$804,27,FALSE)/100)))</f>
        <v>0</v>
      </c>
      <c r="U37" s="58">
        <f>IF(P37,O37*'[1]ETC Data'!$H$3*'[1]ETC Data'!$K$3,0)</f>
        <v>0</v>
      </c>
      <c r="V37" s="58">
        <f>U37-(U37*((VLOOKUP(A37,[1]Plan!A$1:AB$804,28,FALSE)/100)))</f>
        <v>0</v>
      </c>
      <c r="W37" s="58">
        <f>IF(P37,O37*'[1]ETC Data'!$H$3*'[1]ETC Data'!$L$3,0)</f>
        <v>0</v>
      </c>
      <c r="X37" s="58">
        <f>W37-(W37*((VLOOKUP(A37,[1]Plan!A$1:AC$804,29,FALSE)/100)))</f>
        <v>0</v>
      </c>
      <c r="Y37" s="59"/>
      <c r="Z37" s="60" t="b">
        <f>OR(H37="Y",J37="Y")</f>
        <v>0</v>
      </c>
      <c r="AA37" s="58">
        <f>IF(Z37,O37*'[1]ETC Data'!$H$4*'[1]ETC Data'!$I$4,0)</f>
        <v>0</v>
      </c>
      <c r="AB37" s="58">
        <f>AA37-(AA37*((VLOOKUP(A37,[1]Plan!A$1:AI$804,35,FALSE)/100)))</f>
        <v>0</v>
      </c>
      <c r="AC37" s="58">
        <f>IF(Z37,O37*'[1]ETC Data'!$H$4*'[1]ETC Data'!$J$4,0)</f>
        <v>0</v>
      </c>
      <c r="AD37" s="58">
        <f>AC37-(AC37*((VLOOKUP(A37,[1]Plan!A$1:AJ$804,36,FALSE)/100)))</f>
        <v>0</v>
      </c>
      <c r="AE37" s="58">
        <f>IF(Z37,O37*'[1]ETC Data'!$H$4*'[1]ETC Data'!$K$4,0)</f>
        <v>0</v>
      </c>
      <c r="AF37" s="58">
        <f>AE37-(AE37*((VLOOKUP(A37,[1]Plan!A$1:AK$804,37,FALSE)/100)))</f>
        <v>0</v>
      </c>
      <c r="AG37" s="58">
        <f>IF(Z37,O37*'[1]ETC Data'!$H$4*'[1]ETC Data'!$L$4,0)</f>
        <v>0</v>
      </c>
      <c r="AH37" s="58">
        <f>AG37-(AG37*((VLOOKUP(A37,[1]Plan!A$1:AP$804,42,FALSE)/100)))</f>
        <v>0</v>
      </c>
      <c r="AI37" s="60"/>
      <c r="AJ37" s="60" t="b">
        <f>OR(H37="Y",K37="Y")</f>
        <v>0</v>
      </c>
      <c r="AK37" s="61">
        <f>IF(AJ37,O37*'[1]ETC Data'!$H$5*'[1]ETC Data'!$I$5,0)</f>
        <v>0</v>
      </c>
      <c r="AL37" s="58">
        <f>AK37-(AK37*((VLOOKUP(A37,[1]Plan!A$1:AY$804,51,FALSE)/100)))</f>
        <v>0</v>
      </c>
      <c r="AM37" s="58">
        <f>IF(AJ37,O37*'[1]ETC Data'!$H$5*'[1]ETC Data'!$J$5,0)</f>
        <v>0</v>
      </c>
      <c r="AN37" s="58">
        <f>AM37-(AM37*((VLOOKUP(A37,[1]Plan!A$1:BA$804,53,FALSE)/100)))</f>
        <v>0</v>
      </c>
      <c r="AO37" s="61">
        <f>IF(AJ37,O37*'[1]ETC Data'!$H$5*'[1]ETC Data'!$K$5,0)</f>
        <v>0</v>
      </c>
      <c r="AP37" s="58">
        <f>AO37-(AO37*((VLOOKUP(A37,[1]Plan!A$1:BB$804,54,FALSE)/100)))</f>
        <v>0</v>
      </c>
      <c r="AQ37" s="58">
        <f>IF(AJ37,O37*'[1]ETC Data'!$H$5*'[1]ETC Data'!$L$5,0)</f>
        <v>0</v>
      </c>
      <c r="AR37" s="58">
        <f>AQ37-(AQ37*((VLOOKUP(A37,[1]Plan!A$1:BD$804,56,FALSE)/100)))</f>
        <v>0</v>
      </c>
      <c r="AS37" s="20">
        <f>VLOOKUP(A37,'[1]PR Matrix'!A:B,2,FALSE)</f>
        <v>0</v>
      </c>
      <c r="AT37" s="21">
        <f>R37+T37+V37+X37+AB37+AD37+AF37+AH37+AL37+AN37+AP37+AR37</f>
        <v>0</v>
      </c>
      <c r="AU37" s="21">
        <f>Q37+S37+U37+W37+AA37+AC37+AE37+AG37+AK37+AM37+AO37+AQ37</f>
        <v>0</v>
      </c>
      <c r="AV37" s="21">
        <f>R37+AB37+AL37</f>
        <v>0</v>
      </c>
      <c r="AW37" s="21">
        <f>T37+AD37+AN37</f>
        <v>0</v>
      </c>
      <c r="AX37" s="21">
        <f>V37+AF37+AP37</f>
        <v>0</v>
      </c>
      <c r="AY37" s="21">
        <f>X37+AH37+AR37</f>
        <v>0</v>
      </c>
    </row>
    <row r="38" spans="1:51" hidden="1" x14ac:dyDescent="0.2">
      <c r="A38" s="50" t="s">
        <v>244</v>
      </c>
      <c r="B38" s="51" t="s">
        <v>209</v>
      </c>
      <c r="C38" s="51"/>
      <c r="D38" s="51"/>
      <c r="E38" s="52">
        <f>IF(G38="Y",VLOOKUP(B38&amp;"|"&amp;C38,'[1]ETC Data'!$C$2:$D$16,2,FALSE),0)</f>
        <v>0</v>
      </c>
      <c r="F38" s="52">
        <f>IF(D38="",0,IF(G38="Y",VLOOKUP(B38&amp;"|"&amp;D38,'[1]ETC Data'!$C$2:$D$16,2,FALSE),0))</f>
        <v>0</v>
      </c>
      <c r="G38" s="53" t="str">
        <f>IF(VLOOKUP(A38,[1]Plan!A$1:H$804,8,FALSE)&lt;&gt;"",VLOOKUP(A38,[1]Plan!A$1:H$804,8,FALSE),"")</f>
        <v>N</v>
      </c>
      <c r="H38" s="54" t="str">
        <f>IF(VLOOKUP(A38,[1]Plan!A$1:L$804,12,FALSE)&lt;&gt;"",VLOOKUP(A38,[1]Plan!A$1:L$804,12,FALSE),"")</f>
        <v/>
      </c>
      <c r="I38" s="55" t="str">
        <f>IF(VLOOKUP(A38,[1]Plan!A$1:M$804,13,FALSE)&lt;&gt;"",VLOOKUP(A38,[1]Plan!A$1:M$804,13,FALSE),"")</f>
        <v/>
      </c>
      <c r="J38" s="55" t="str">
        <f>IF(VLOOKUP(A38,[1]Plan!A$1:N$804,14,FALSE)&lt;&gt;"",VLOOKUP(A38,[1]Plan!A$1:N$804,14,FALSE),IF(VLOOKUP(A38,[1]Plan!A$1:O$804,15,FALSE)&lt;&gt;"",VLOOKUP(A38,[1]Plan!A$1:O$804,15,FALSE),""))</f>
        <v/>
      </c>
      <c r="K38" s="56" t="str">
        <f>IF(VLOOKUP(A38,[1]Plan!A$1:P$804,16,FALSE)&lt;&gt;"",VLOOKUP(A38,[1]Plan!A$1:P$804,16,FALSE),"")</f>
        <v/>
      </c>
      <c r="L38" s="55"/>
      <c r="M38" s="55"/>
      <c r="N38" s="55"/>
      <c r="O38" s="57">
        <f>IF(F38=0,E38,F38)</f>
        <v>0</v>
      </c>
      <c r="P38" s="57" t="b">
        <f>OR(H38="Y",I38="Y")</f>
        <v>0</v>
      </c>
      <c r="Q38" s="58">
        <f>IF(P38,O38*'[1]ETC Data'!$H$3*'[1]ETC Data'!$I$3,0)</f>
        <v>0</v>
      </c>
      <c r="R38" s="58">
        <f>Q38-(Q38*((VLOOKUP(A38,[1]Plan!A$1:Z$804,26,FALSE)/100)))</f>
        <v>0</v>
      </c>
      <c r="S38" s="58">
        <f>IF(P38,O38*'[1]ETC Data'!$H$3*'[1]ETC Data'!$J$3,0)</f>
        <v>0</v>
      </c>
      <c r="T38" s="58">
        <f>S38-(S38*((VLOOKUP(A38,[1]Plan!A$1:AA$804,27,FALSE)/100)))</f>
        <v>0</v>
      </c>
      <c r="U38" s="58">
        <f>IF(P38,O38*'[1]ETC Data'!$H$3*'[1]ETC Data'!$K$3,0)</f>
        <v>0</v>
      </c>
      <c r="V38" s="58">
        <f>U38-(U38*((VLOOKUP(A38,[1]Plan!A$1:AB$804,28,FALSE)/100)))</f>
        <v>0</v>
      </c>
      <c r="W38" s="58">
        <f>IF(P38,O38*'[1]ETC Data'!$H$3*'[1]ETC Data'!$L$3,0)</f>
        <v>0</v>
      </c>
      <c r="X38" s="58">
        <f>W38-(W38*((VLOOKUP(A38,[1]Plan!A$1:AC$804,29,FALSE)/100)))</f>
        <v>0</v>
      </c>
      <c r="Y38" s="59"/>
      <c r="Z38" s="60" t="b">
        <f>OR(H38="Y",J38="Y")</f>
        <v>0</v>
      </c>
      <c r="AA38" s="58">
        <f>IF(Z38,O38*'[1]ETC Data'!$H$4*'[1]ETC Data'!$I$4,0)</f>
        <v>0</v>
      </c>
      <c r="AB38" s="58">
        <f>AA38-(AA38*((VLOOKUP(A38,[1]Plan!A$1:AI$804,35,FALSE)/100)))</f>
        <v>0</v>
      </c>
      <c r="AC38" s="58">
        <f>IF(Z38,O38*'[1]ETC Data'!$H$4*'[1]ETC Data'!$J$4,0)</f>
        <v>0</v>
      </c>
      <c r="AD38" s="58">
        <f>AC38-(AC38*((VLOOKUP(A38,[1]Plan!A$1:AJ$804,36,FALSE)/100)))</f>
        <v>0</v>
      </c>
      <c r="AE38" s="58">
        <f>IF(Z38,O38*'[1]ETC Data'!$H$4*'[1]ETC Data'!$K$4,0)</f>
        <v>0</v>
      </c>
      <c r="AF38" s="58">
        <f>AE38-(AE38*((VLOOKUP(A38,[1]Plan!A$1:AK$804,37,FALSE)/100)))</f>
        <v>0</v>
      </c>
      <c r="AG38" s="58">
        <f>IF(Z38,O38*'[1]ETC Data'!$H$4*'[1]ETC Data'!$L$4,0)</f>
        <v>0</v>
      </c>
      <c r="AH38" s="58">
        <f>AG38-(AG38*((VLOOKUP(A38,[1]Plan!A$1:AP$804,42,FALSE)/100)))</f>
        <v>0</v>
      </c>
      <c r="AI38" s="60"/>
      <c r="AJ38" s="60" t="b">
        <f>OR(H38="Y",K38="Y")</f>
        <v>0</v>
      </c>
      <c r="AK38" s="61">
        <f>IF(AJ38,O38*'[1]ETC Data'!$H$5*'[1]ETC Data'!$I$5,0)</f>
        <v>0</v>
      </c>
      <c r="AL38" s="58">
        <f>AK38-(AK38*((VLOOKUP(A38,[1]Plan!A$1:AY$804,51,FALSE)/100)))</f>
        <v>0</v>
      </c>
      <c r="AM38" s="58">
        <f>IF(AJ38,O38*'[1]ETC Data'!$H$5*'[1]ETC Data'!$J$5,0)</f>
        <v>0</v>
      </c>
      <c r="AN38" s="58">
        <f>AM38-(AM38*((VLOOKUP(A38,[1]Plan!A$1:BA$804,53,FALSE)/100)))</f>
        <v>0</v>
      </c>
      <c r="AO38" s="61">
        <f>IF(AJ38,O38*'[1]ETC Data'!$H$5*'[1]ETC Data'!$K$5,0)</f>
        <v>0</v>
      </c>
      <c r="AP38" s="58">
        <f>AO38-(AO38*((VLOOKUP(A38,[1]Plan!A$1:BB$804,54,FALSE)/100)))</f>
        <v>0</v>
      </c>
      <c r="AQ38" s="58">
        <f>IF(AJ38,O38*'[1]ETC Data'!$H$5*'[1]ETC Data'!$L$5,0)</f>
        <v>0</v>
      </c>
      <c r="AR38" s="58">
        <f>AQ38-(AQ38*((VLOOKUP(A38,[1]Plan!A$1:BD$804,56,FALSE)/100)))</f>
        <v>0</v>
      </c>
      <c r="AS38" s="20">
        <f>VLOOKUP(A38,'[1]PR Matrix'!A:B,2,FALSE)</f>
        <v>0</v>
      </c>
      <c r="AT38" s="21">
        <f>R38+T38+V38+X38+AB38+AD38+AF38+AH38+AL38+AN38+AP38+AR38</f>
        <v>0</v>
      </c>
      <c r="AU38" s="21">
        <f>Q38+S38+U38+W38+AA38+AC38+AE38+AG38+AK38+AM38+AO38+AQ38</f>
        <v>0</v>
      </c>
      <c r="AV38" s="21">
        <f>R38+AB38+AL38</f>
        <v>0</v>
      </c>
      <c r="AW38" s="21">
        <f>T38+AD38+AN38</f>
        <v>0</v>
      </c>
      <c r="AX38" s="21">
        <f>V38+AF38+AP38</f>
        <v>0</v>
      </c>
      <c r="AY38" s="21">
        <f>X38+AH38+AR38</f>
        <v>0</v>
      </c>
    </row>
    <row r="39" spans="1:51" hidden="1" x14ac:dyDescent="0.2">
      <c r="A39" s="50" t="s">
        <v>245</v>
      </c>
      <c r="B39" s="51" t="s">
        <v>208</v>
      </c>
      <c r="C39" s="51"/>
      <c r="D39" s="51"/>
      <c r="E39" s="52">
        <f>IF(G39="Y",VLOOKUP(B39&amp;"|"&amp;C39,'[1]ETC Data'!$C$2:$D$16,2,FALSE),0)</f>
        <v>0</v>
      </c>
      <c r="F39" s="52">
        <f>IF(D39="",0,IF(G39="Y",VLOOKUP(B39&amp;"|"&amp;D39,'[1]ETC Data'!$C$2:$D$16,2,FALSE),0))</f>
        <v>0</v>
      </c>
      <c r="G39" s="53" t="str">
        <f>IF(VLOOKUP(A39,[1]Plan!A$1:H$804,8,FALSE)&lt;&gt;"",VLOOKUP(A39,[1]Plan!A$1:H$804,8,FALSE),"")</f>
        <v>N</v>
      </c>
      <c r="H39" s="54" t="str">
        <f>IF(VLOOKUP(A39,[1]Plan!A$1:L$804,12,FALSE)&lt;&gt;"",VLOOKUP(A39,[1]Plan!A$1:L$804,12,FALSE),"")</f>
        <v/>
      </c>
      <c r="I39" s="55" t="str">
        <f>IF(VLOOKUP(A39,[1]Plan!A$1:M$804,13,FALSE)&lt;&gt;"",VLOOKUP(A39,[1]Plan!A$1:M$804,13,FALSE),"")</f>
        <v/>
      </c>
      <c r="J39" s="55" t="str">
        <f>IF(VLOOKUP(A39,[1]Plan!A$1:N$804,14,FALSE)&lt;&gt;"",VLOOKUP(A39,[1]Plan!A$1:N$804,14,FALSE),IF(VLOOKUP(A39,[1]Plan!A$1:O$804,15,FALSE)&lt;&gt;"",VLOOKUP(A39,[1]Plan!A$1:O$804,15,FALSE),""))</f>
        <v/>
      </c>
      <c r="K39" s="56" t="str">
        <f>IF(VLOOKUP(A39,[1]Plan!A$1:P$804,16,FALSE)&lt;&gt;"",VLOOKUP(A39,[1]Plan!A$1:P$804,16,FALSE),"")</f>
        <v/>
      </c>
      <c r="L39" s="55"/>
      <c r="M39" s="55"/>
      <c r="N39" s="55"/>
      <c r="O39" s="57">
        <f>IF(F39=0,E39,F39)</f>
        <v>0</v>
      </c>
      <c r="P39" s="57" t="b">
        <f>OR(H39="Y",I39="Y")</f>
        <v>0</v>
      </c>
      <c r="Q39" s="58">
        <f>IF(P39,O39*'[1]ETC Data'!$H$3*'[1]ETC Data'!$I$3,0)</f>
        <v>0</v>
      </c>
      <c r="R39" s="58">
        <f>Q39-(Q39*((VLOOKUP(A39,[1]Plan!A$1:Z$804,26,FALSE)/100)))</f>
        <v>0</v>
      </c>
      <c r="S39" s="58">
        <f>IF(P39,O39*'[1]ETC Data'!$H$3*'[1]ETC Data'!$J$3,0)</f>
        <v>0</v>
      </c>
      <c r="T39" s="58">
        <f>S39-(S39*((VLOOKUP(A39,[1]Plan!A$1:AA$804,27,FALSE)/100)))</f>
        <v>0</v>
      </c>
      <c r="U39" s="58">
        <f>IF(P39,O39*'[1]ETC Data'!$H$3*'[1]ETC Data'!$K$3,0)</f>
        <v>0</v>
      </c>
      <c r="V39" s="58">
        <f>U39-(U39*((VLOOKUP(A39,[1]Plan!A$1:AB$804,28,FALSE)/100)))</f>
        <v>0</v>
      </c>
      <c r="W39" s="58">
        <f>IF(P39,O39*'[1]ETC Data'!$H$3*'[1]ETC Data'!$L$3,0)</f>
        <v>0</v>
      </c>
      <c r="X39" s="58">
        <f>W39-(W39*((VLOOKUP(A39,[1]Plan!A$1:AC$804,29,FALSE)/100)))</f>
        <v>0</v>
      </c>
      <c r="Y39" s="59"/>
      <c r="Z39" s="60" t="b">
        <f>OR(H39="Y",J39="Y")</f>
        <v>0</v>
      </c>
      <c r="AA39" s="58">
        <f>IF(Z39,O39*'[1]ETC Data'!$H$4*'[1]ETC Data'!$I$4,0)</f>
        <v>0</v>
      </c>
      <c r="AB39" s="58">
        <f>AA39-(AA39*((VLOOKUP(A39,[1]Plan!A$1:AI$804,35,FALSE)/100)))</f>
        <v>0</v>
      </c>
      <c r="AC39" s="58">
        <f>IF(Z39,O39*'[1]ETC Data'!$H$4*'[1]ETC Data'!$J$4,0)</f>
        <v>0</v>
      </c>
      <c r="AD39" s="58">
        <f>AC39-(AC39*((VLOOKUP(A39,[1]Plan!A$1:AJ$804,36,FALSE)/100)))</f>
        <v>0</v>
      </c>
      <c r="AE39" s="58">
        <f>IF(Z39,O39*'[1]ETC Data'!$H$4*'[1]ETC Data'!$K$4,0)</f>
        <v>0</v>
      </c>
      <c r="AF39" s="58">
        <f>AE39-(AE39*((VLOOKUP(A39,[1]Plan!A$1:AK$804,37,FALSE)/100)))</f>
        <v>0</v>
      </c>
      <c r="AG39" s="58">
        <f>IF(Z39,O39*'[1]ETC Data'!$H$4*'[1]ETC Data'!$L$4,0)</f>
        <v>0</v>
      </c>
      <c r="AH39" s="58">
        <f>AG39-(AG39*((VLOOKUP(A39,[1]Plan!A$1:AP$804,42,FALSE)/100)))</f>
        <v>0</v>
      </c>
      <c r="AI39" s="60"/>
      <c r="AJ39" s="60" t="b">
        <f>OR(H39="Y",K39="Y")</f>
        <v>0</v>
      </c>
      <c r="AK39" s="61">
        <f>IF(AJ39,O39*'[1]ETC Data'!$H$5*'[1]ETC Data'!$I$5,0)</f>
        <v>0</v>
      </c>
      <c r="AL39" s="58">
        <f>AK39-(AK39*((VLOOKUP(A39,[1]Plan!A$1:AY$804,51,FALSE)/100)))</f>
        <v>0</v>
      </c>
      <c r="AM39" s="58">
        <f>IF(AJ39,O39*'[1]ETC Data'!$H$5*'[1]ETC Data'!$J$5,0)</f>
        <v>0</v>
      </c>
      <c r="AN39" s="58">
        <f>AM39-(AM39*((VLOOKUP(A39,[1]Plan!A$1:BA$804,53,FALSE)/100)))</f>
        <v>0</v>
      </c>
      <c r="AO39" s="61">
        <f>IF(AJ39,O39*'[1]ETC Data'!$H$5*'[1]ETC Data'!$K$5,0)</f>
        <v>0</v>
      </c>
      <c r="AP39" s="58">
        <f>AO39-(AO39*((VLOOKUP(A39,[1]Plan!A$1:BB$804,54,FALSE)/100)))</f>
        <v>0</v>
      </c>
      <c r="AQ39" s="58">
        <f>IF(AJ39,O39*'[1]ETC Data'!$H$5*'[1]ETC Data'!$L$5,0)</f>
        <v>0</v>
      </c>
      <c r="AR39" s="58">
        <f>AQ39-(AQ39*((VLOOKUP(A39,[1]Plan!A$1:BD$804,56,FALSE)/100)))</f>
        <v>0</v>
      </c>
      <c r="AS39" s="20">
        <f>VLOOKUP(A39,'[1]PR Matrix'!A:B,2,FALSE)</f>
        <v>0</v>
      </c>
      <c r="AT39" s="21">
        <f>R39+T39+V39+X39+AB39+AD39+AF39+AH39+AL39+AN39+AP39+AR39</f>
        <v>0</v>
      </c>
      <c r="AU39" s="21">
        <f>Q39+S39+U39+W39+AA39+AC39+AE39+AG39+AK39+AM39+AO39+AQ39</f>
        <v>0</v>
      </c>
      <c r="AV39" s="21">
        <f>R39+AB39+AL39</f>
        <v>0</v>
      </c>
      <c r="AW39" s="21">
        <f>T39+AD39+AN39</f>
        <v>0</v>
      </c>
      <c r="AX39" s="21">
        <f>V39+AF39+AP39</f>
        <v>0</v>
      </c>
      <c r="AY39" s="21">
        <f>X39+AH39+AR39</f>
        <v>0</v>
      </c>
    </row>
    <row r="40" spans="1:51" hidden="1" x14ac:dyDescent="0.2">
      <c r="A40" s="50" t="s">
        <v>246</v>
      </c>
      <c r="B40" s="51" t="s">
        <v>208</v>
      </c>
      <c r="C40" s="51"/>
      <c r="D40" s="51"/>
      <c r="E40" s="52">
        <f>IF(G40="Y",VLOOKUP(B40&amp;"|"&amp;C40,'[1]ETC Data'!$C$2:$D$16,2,FALSE),0)</f>
        <v>0</v>
      </c>
      <c r="F40" s="52">
        <f>IF(D40="",0,IF(G40="Y",VLOOKUP(B40&amp;"|"&amp;D40,'[1]ETC Data'!$C$2:$D$16,2,FALSE),0))</f>
        <v>0</v>
      </c>
      <c r="G40" s="53" t="str">
        <f>IF(VLOOKUP(A40,[1]Plan!A$1:H$804,8,FALSE)&lt;&gt;"",VLOOKUP(A40,[1]Plan!A$1:H$804,8,FALSE),"")</f>
        <v>N</v>
      </c>
      <c r="H40" s="54" t="str">
        <f>IF(VLOOKUP(A40,[1]Plan!A$1:L$804,12,FALSE)&lt;&gt;"",VLOOKUP(A40,[1]Plan!A$1:L$804,12,FALSE),"")</f>
        <v/>
      </c>
      <c r="I40" s="55" t="str">
        <f>IF(VLOOKUP(A40,[1]Plan!A$1:M$804,13,FALSE)&lt;&gt;"",VLOOKUP(A40,[1]Plan!A$1:M$804,13,FALSE),"")</f>
        <v/>
      </c>
      <c r="J40" s="55" t="str">
        <f>IF(VLOOKUP(A40,[1]Plan!A$1:N$804,14,FALSE)&lt;&gt;"",VLOOKUP(A40,[1]Plan!A$1:N$804,14,FALSE),IF(VLOOKUP(A40,[1]Plan!A$1:O$804,15,FALSE)&lt;&gt;"",VLOOKUP(A40,[1]Plan!A$1:O$804,15,FALSE),""))</f>
        <v/>
      </c>
      <c r="K40" s="56" t="str">
        <f>IF(VLOOKUP(A40,[1]Plan!A$1:P$804,16,FALSE)&lt;&gt;"",VLOOKUP(A40,[1]Plan!A$1:P$804,16,FALSE),"")</f>
        <v/>
      </c>
      <c r="L40" s="55"/>
      <c r="M40" s="55"/>
      <c r="N40" s="55"/>
      <c r="O40" s="57">
        <f>IF(F40=0,E40,F40)</f>
        <v>0</v>
      </c>
      <c r="P40" s="57" t="b">
        <f>OR(H40="Y",I40="Y")</f>
        <v>0</v>
      </c>
      <c r="Q40" s="58">
        <f>IF(P40,O40*'[1]ETC Data'!$H$3*'[1]ETC Data'!$I$3,0)</f>
        <v>0</v>
      </c>
      <c r="R40" s="58">
        <f>Q40-(Q40*((VLOOKUP(A40,[1]Plan!A$1:Z$804,26,FALSE)/100)))</f>
        <v>0</v>
      </c>
      <c r="S40" s="58">
        <f>IF(P40,O40*'[1]ETC Data'!$H$3*'[1]ETC Data'!$J$3,0)</f>
        <v>0</v>
      </c>
      <c r="T40" s="58">
        <f>S40-(S40*((VLOOKUP(A40,[1]Plan!A$1:AA$804,27,FALSE)/100)))</f>
        <v>0</v>
      </c>
      <c r="U40" s="58">
        <f>IF(P40,O40*'[1]ETC Data'!$H$3*'[1]ETC Data'!$K$3,0)</f>
        <v>0</v>
      </c>
      <c r="V40" s="58">
        <f>U40-(U40*((VLOOKUP(A40,[1]Plan!A$1:AB$804,28,FALSE)/100)))</f>
        <v>0</v>
      </c>
      <c r="W40" s="58">
        <f>IF(P40,O40*'[1]ETC Data'!$H$3*'[1]ETC Data'!$L$3,0)</f>
        <v>0</v>
      </c>
      <c r="X40" s="58">
        <f>W40-(W40*((VLOOKUP(A40,[1]Plan!A$1:AC$804,29,FALSE)/100)))</f>
        <v>0</v>
      </c>
      <c r="Y40" s="59"/>
      <c r="Z40" s="60" t="b">
        <f>OR(H40="Y",J40="Y")</f>
        <v>0</v>
      </c>
      <c r="AA40" s="58">
        <f>IF(Z40,O40*'[1]ETC Data'!$H$4*'[1]ETC Data'!$I$4,0)</f>
        <v>0</v>
      </c>
      <c r="AB40" s="58">
        <f>AA40-(AA40*((VLOOKUP(A40,[1]Plan!A$1:AI$804,35,FALSE)/100)))</f>
        <v>0</v>
      </c>
      <c r="AC40" s="58">
        <f>IF(Z40,O40*'[1]ETC Data'!$H$4*'[1]ETC Data'!$J$4,0)</f>
        <v>0</v>
      </c>
      <c r="AD40" s="58">
        <f>AC40-(AC40*((VLOOKUP(A40,[1]Plan!A$1:AJ$804,36,FALSE)/100)))</f>
        <v>0</v>
      </c>
      <c r="AE40" s="58">
        <f>IF(Z40,O40*'[1]ETC Data'!$H$4*'[1]ETC Data'!$K$4,0)</f>
        <v>0</v>
      </c>
      <c r="AF40" s="58">
        <f>AE40-(AE40*((VLOOKUP(A40,[1]Plan!A$1:AK$804,37,FALSE)/100)))</f>
        <v>0</v>
      </c>
      <c r="AG40" s="58">
        <f>IF(Z40,O40*'[1]ETC Data'!$H$4*'[1]ETC Data'!$L$4,0)</f>
        <v>0</v>
      </c>
      <c r="AH40" s="58">
        <f>AG40-(AG40*((VLOOKUP(A40,[1]Plan!A$1:AP$804,42,FALSE)/100)))</f>
        <v>0</v>
      </c>
      <c r="AI40" s="60"/>
      <c r="AJ40" s="60" t="b">
        <f>OR(H40="Y",K40="Y")</f>
        <v>0</v>
      </c>
      <c r="AK40" s="61">
        <f>IF(AJ40,O40*'[1]ETC Data'!$H$5*'[1]ETC Data'!$I$5,0)</f>
        <v>0</v>
      </c>
      <c r="AL40" s="58">
        <f>AK40-(AK40*((VLOOKUP(A40,[1]Plan!A$1:AY$804,51,FALSE)/100)))</f>
        <v>0</v>
      </c>
      <c r="AM40" s="58">
        <f>IF(AJ40,O40*'[1]ETC Data'!$H$5*'[1]ETC Data'!$J$5,0)</f>
        <v>0</v>
      </c>
      <c r="AN40" s="58">
        <f>AM40-(AM40*((VLOOKUP(A40,[1]Plan!A$1:BA$804,53,FALSE)/100)))</f>
        <v>0</v>
      </c>
      <c r="AO40" s="61">
        <f>IF(AJ40,O40*'[1]ETC Data'!$H$5*'[1]ETC Data'!$K$5,0)</f>
        <v>0</v>
      </c>
      <c r="AP40" s="58">
        <f>AO40-(AO40*((VLOOKUP(A40,[1]Plan!A$1:BB$804,54,FALSE)/100)))</f>
        <v>0</v>
      </c>
      <c r="AQ40" s="58">
        <f>IF(AJ40,O40*'[1]ETC Data'!$H$5*'[1]ETC Data'!$L$5,0)</f>
        <v>0</v>
      </c>
      <c r="AR40" s="58">
        <f>AQ40-(AQ40*((VLOOKUP(A40,[1]Plan!A$1:BD$804,56,FALSE)/100)))</f>
        <v>0</v>
      </c>
      <c r="AS40" s="20">
        <f>VLOOKUP(A40,'[1]PR Matrix'!A:B,2,FALSE)</f>
        <v>0</v>
      </c>
      <c r="AT40" s="21">
        <f>R40+T40+V40+X40+AB40+AD40+AF40+AH40+AL40+AN40+AP40+AR40</f>
        <v>0</v>
      </c>
      <c r="AU40" s="21">
        <f>Q40+S40+U40+W40+AA40+AC40+AE40+AG40+AK40+AM40+AO40+AQ40</f>
        <v>0</v>
      </c>
      <c r="AV40" s="21">
        <f>R40+AB40+AL40</f>
        <v>0</v>
      </c>
      <c r="AW40" s="21">
        <f>T40+AD40+AN40</f>
        <v>0</v>
      </c>
      <c r="AX40" s="21">
        <f>V40+AF40+AP40</f>
        <v>0</v>
      </c>
      <c r="AY40" s="21">
        <f>X40+AH40+AR40</f>
        <v>0</v>
      </c>
    </row>
    <row r="41" spans="1:51" hidden="1" x14ac:dyDescent="0.2">
      <c r="A41" s="50" t="s">
        <v>247</v>
      </c>
      <c r="B41" s="51" t="s">
        <v>208</v>
      </c>
      <c r="C41" s="51"/>
      <c r="D41" s="51"/>
      <c r="E41" s="52">
        <f>IF(G41="Y",VLOOKUP(B41&amp;"|"&amp;C41,'[1]ETC Data'!$C$2:$D$16,2,FALSE),0)</f>
        <v>0</v>
      </c>
      <c r="F41" s="52">
        <f>IF(D41="",0,IF(G41="Y",VLOOKUP(B41&amp;"|"&amp;D41,'[1]ETC Data'!$C$2:$D$16,2,FALSE),0))</f>
        <v>0</v>
      </c>
      <c r="G41" s="53" t="str">
        <f>IF(VLOOKUP(A41,[1]Plan!A$1:H$804,8,FALSE)&lt;&gt;"",VLOOKUP(A41,[1]Plan!A$1:H$804,8,FALSE),"")</f>
        <v>N</v>
      </c>
      <c r="H41" s="54" t="str">
        <f>IF(VLOOKUP(A41,[1]Plan!A$1:L$804,12,FALSE)&lt;&gt;"",VLOOKUP(A41,[1]Plan!A$1:L$804,12,FALSE),"")</f>
        <v/>
      </c>
      <c r="I41" s="55" t="str">
        <f>IF(VLOOKUP(A41,[1]Plan!A$1:M$804,13,FALSE)&lt;&gt;"",VLOOKUP(A41,[1]Plan!A$1:M$804,13,FALSE),"")</f>
        <v/>
      </c>
      <c r="J41" s="55" t="str">
        <f>IF(VLOOKUP(A41,[1]Plan!A$1:N$804,14,FALSE)&lt;&gt;"",VLOOKUP(A41,[1]Plan!A$1:N$804,14,FALSE),IF(VLOOKUP(A41,[1]Plan!A$1:O$804,15,FALSE)&lt;&gt;"",VLOOKUP(A41,[1]Plan!A$1:O$804,15,FALSE),""))</f>
        <v/>
      </c>
      <c r="K41" s="56" t="str">
        <f>IF(VLOOKUP(A41,[1]Plan!A$1:P$804,16,FALSE)&lt;&gt;"",VLOOKUP(A41,[1]Plan!A$1:P$804,16,FALSE),"")</f>
        <v/>
      </c>
      <c r="L41" s="55"/>
      <c r="M41" s="55"/>
      <c r="N41" s="55"/>
      <c r="O41" s="57">
        <f>IF(F41=0,E41,F41)</f>
        <v>0</v>
      </c>
      <c r="P41" s="57" t="b">
        <f>OR(H41="Y",I41="Y")</f>
        <v>0</v>
      </c>
      <c r="Q41" s="58">
        <f>IF(P41,O41*'[1]ETC Data'!$H$3*'[1]ETC Data'!$I$3,0)</f>
        <v>0</v>
      </c>
      <c r="R41" s="58">
        <f>Q41-(Q41*((VLOOKUP(A41,[1]Plan!A$1:Z$804,26,FALSE)/100)))</f>
        <v>0</v>
      </c>
      <c r="S41" s="58">
        <f>IF(P41,O41*'[1]ETC Data'!$H$3*'[1]ETC Data'!$J$3,0)</f>
        <v>0</v>
      </c>
      <c r="T41" s="58">
        <f>S41-(S41*((VLOOKUP(A41,[1]Plan!A$1:AA$804,27,FALSE)/100)))</f>
        <v>0</v>
      </c>
      <c r="U41" s="58">
        <f>IF(P41,O41*'[1]ETC Data'!$H$3*'[1]ETC Data'!$K$3,0)</f>
        <v>0</v>
      </c>
      <c r="V41" s="58">
        <f>U41-(U41*((VLOOKUP(A41,[1]Plan!A$1:AB$804,28,FALSE)/100)))</f>
        <v>0</v>
      </c>
      <c r="W41" s="58">
        <f>IF(P41,O41*'[1]ETC Data'!$H$3*'[1]ETC Data'!$L$3,0)</f>
        <v>0</v>
      </c>
      <c r="X41" s="58">
        <f>W41-(W41*((VLOOKUP(A41,[1]Plan!A$1:AC$804,29,FALSE)/100)))</f>
        <v>0</v>
      </c>
      <c r="Y41" s="59"/>
      <c r="Z41" s="60" t="b">
        <f>OR(H41="Y",J41="Y")</f>
        <v>0</v>
      </c>
      <c r="AA41" s="58">
        <f>IF(Z41,O41*'[1]ETC Data'!$H$4*'[1]ETC Data'!$I$4,0)</f>
        <v>0</v>
      </c>
      <c r="AB41" s="58">
        <f>AA41-(AA41*((VLOOKUP(A41,[1]Plan!A$1:AI$804,35,FALSE)/100)))</f>
        <v>0</v>
      </c>
      <c r="AC41" s="58">
        <f>IF(Z41,O41*'[1]ETC Data'!$H$4*'[1]ETC Data'!$J$4,0)</f>
        <v>0</v>
      </c>
      <c r="AD41" s="58">
        <f>AC41-(AC41*((VLOOKUP(A41,[1]Plan!A$1:AJ$804,36,FALSE)/100)))</f>
        <v>0</v>
      </c>
      <c r="AE41" s="58">
        <f>IF(Z41,O41*'[1]ETC Data'!$H$4*'[1]ETC Data'!$K$4,0)</f>
        <v>0</v>
      </c>
      <c r="AF41" s="58">
        <f>AE41-(AE41*((VLOOKUP(A41,[1]Plan!A$1:AK$804,37,FALSE)/100)))</f>
        <v>0</v>
      </c>
      <c r="AG41" s="58">
        <f>IF(Z41,O41*'[1]ETC Data'!$H$4*'[1]ETC Data'!$L$4,0)</f>
        <v>0</v>
      </c>
      <c r="AH41" s="58">
        <f>AG41-(AG41*((VLOOKUP(A41,[1]Plan!A$1:AP$804,42,FALSE)/100)))</f>
        <v>0</v>
      </c>
      <c r="AI41" s="60"/>
      <c r="AJ41" s="60" t="b">
        <f>OR(H41="Y",K41="Y")</f>
        <v>0</v>
      </c>
      <c r="AK41" s="61">
        <f>IF(AJ41,O41*'[1]ETC Data'!$H$5*'[1]ETC Data'!$I$5,0)</f>
        <v>0</v>
      </c>
      <c r="AL41" s="58">
        <f>AK41-(AK41*((VLOOKUP(A41,[1]Plan!A$1:AY$804,51,FALSE)/100)))</f>
        <v>0</v>
      </c>
      <c r="AM41" s="58">
        <f>IF(AJ41,O41*'[1]ETC Data'!$H$5*'[1]ETC Data'!$J$5,0)</f>
        <v>0</v>
      </c>
      <c r="AN41" s="58">
        <f>AM41-(AM41*((VLOOKUP(A41,[1]Plan!A$1:BA$804,53,FALSE)/100)))</f>
        <v>0</v>
      </c>
      <c r="AO41" s="61">
        <f>IF(AJ41,O41*'[1]ETC Data'!$H$5*'[1]ETC Data'!$K$5,0)</f>
        <v>0</v>
      </c>
      <c r="AP41" s="58">
        <f>AO41-(AO41*((VLOOKUP(A41,[1]Plan!A$1:BB$804,54,FALSE)/100)))</f>
        <v>0</v>
      </c>
      <c r="AQ41" s="58">
        <f>IF(AJ41,O41*'[1]ETC Data'!$H$5*'[1]ETC Data'!$L$5,0)</f>
        <v>0</v>
      </c>
      <c r="AR41" s="58">
        <f>AQ41-(AQ41*((VLOOKUP(A41,[1]Plan!A$1:BD$804,56,FALSE)/100)))</f>
        <v>0</v>
      </c>
      <c r="AS41" s="20">
        <f>VLOOKUP(A41,'[1]PR Matrix'!A:B,2,FALSE)</f>
        <v>0</v>
      </c>
      <c r="AT41" s="21">
        <f>R41+T41+V41+X41+AB41+AD41+AF41+AH41+AL41+AN41+AP41+AR41</f>
        <v>0</v>
      </c>
      <c r="AU41" s="21">
        <f>Q41+S41+U41+W41+AA41+AC41+AE41+AG41+AK41+AM41+AO41+AQ41</f>
        <v>0</v>
      </c>
      <c r="AV41" s="21">
        <f>R41+AB41+AL41</f>
        <v>0</v>
      </c>
      <c r="AW41" s="21">
        <f>T41+AD41+AN41</f>
        <v>0</v>
      </c>
      <c r="AX41" s="21">
        <f>V41+AF41+AP41</f>
        <v>0</v>
      </c>
      <c r="AY41" s="21">
        <f>X41+AH41+AR41</f>
        <v>0</v>
      </c>
    </row>
    <row r="42" spans="1:51" hidden="1" x14ac:dyDescent="0.2">
      <c r="A42" s="50" t="s">
        <v>248</v>
      </c>
      <c r="B42" s="51" t="s">
        <v>208</v>
      </c>
      <c r="C42" s="51"/>
      <c r="D42" s="51"/>
      <c r="E42" s="52">
        <f>IF(G42="Y",VLOOKUP(B42&amp;"|"&amp;C42,'[1]ETC Data'!$C$2:$D$16,2,FALSE),0)</f>
        <v>0</v>
      </c>
      <c r="F42" s="52">
        <f>IF(D42="",0,IF(G42="Y",VLOOKUP(B42&amp;"|"&amp;D42,'[1]ETC Data'!$C$2:$D$16,2,FALSE),0))</f>
        <v>0</v>
      </c>
      <c r="G42" s="53" t="str">
        <f>IF(VLOOKUP(A42,[1]Plan!A$1:H$804,8,FALSE)&lt;&gt;"",VLOOKUP(A42,[1]Plan!A$1:H$804,8,FALSE),"")</f>
        <v>N</v>
      </c>
      <c r="H42" s="54" t="str">
        <f>IF(VLOOKUP(A42,[1]Plan!A$1:L$804,12,FALSE)&lt;&gt;"",VLOOKUP(A42,[1]Plan!A$1:L$804,12,FALSE),"")</f>
        <v/>
      </c>
      <c r="I42" s="55" t="str">
        <f>IF(VLOOKUP(A42,[1]Plan!A$1:M$804,13,FALSE)&lt;&gt;"",VLOOKUP(A42,[1]Plan!A$1:M$804,13,FALSE),"")</f>
        <v/>
      </c>
      <c r="J42" s="55" t="str">
        <f>IF(VLOOKUP(A42,[1]Plan!A$1:N$804,14,FALSE)&lt;&gt;"",VLOOKUP(A42,[1]Plan!A$1:N$804,14,FALSE),IF(VLOOKUP(A42,[1]Plan!A$1:O$804,15,FALSE)&lt;&gt;"",VLOOKUP(A42,[1]Plan!A$1:O$804,15,FALSE),""))</f>
        <v/>
      </c>
      <c r="K42" s="56" t="str">
        <f>IF(VLOOKUP(A42,[1]Plan!A$1:P$804,16,FALSE)&lt;&gt;"",VLOOKUP(A42,[1]Plan!A$1:P$804,16,FALSE),"")</f>
        <v/>
      </c>
      <c r="L42" s="55"/>
      <c r="M42" s="55"/>
      <c r="N42" s="55"/>
      <c r="O42" s="57">
        <f>IF(F42=0,E42,F42)</f>
        <v>0</v>
      </c>
      <c r="P42" s="57" t="b">
        <f>OR(H42="Y",I42="Y")</f>
        <v>0</v>
      </c>
      <c r="Q42" s="58">
        <f>IF(P42,O42*'[1]ETC Data'!$H$3*'[1]ETC Data'!$I$3,0)</f>
        <v>0</v>
      </c>
      <c r="R42" s="58">
        <f>Q42-(Q42*((VLOOKUP(A42,[1]Plan!A$1:Z$804,26,FALSE)/100)))</f>
        <v>0</v>
      </c>
      <c r="S42" s="58">
        <f>IF(P42,O42*'[1]ETC Data'!$H$3*'[1]ETC Data'!$J$3,0)</f>
        <v>0</v>
      </c>
      <c r="T42" s="58">
        <f>S42-(S42*((VLOOKUP(A42,[1]Plan!A$1:AA$804,27,FALSE)/100)))</f>
        <v>0</v>
      </c>
      <c r="U42" s="58">
        <f>IF(P42,O42*'[1]ETC Data'!$H$3*'[1]ETC Data'!$K$3,0)</f>
        <v>0</v>
      </c>
      <c r="V42" s="58">
        <f>U42-(U42*((VLOOKUP(A42,[1]Plan!A$1:AB$804,28,FALSE)/100)))</f>
        <v>0</v>
      </c>
      <c r="W42" s="58">
        <f>IF(P42,O42*'[1]ETC Data'!$H$3*'[1]ETC Data'!$L$3,0)</f>
        <v>0</v>
      </c>
      <c r="X42" s="58">
        <f>W42-(W42*((VLOOKUP(A42,[1]Plan!A$1:AC$804,29,FALSE)/100)))</f>
        <v>0</v>
      </c>
      <c r="Y42" s="59"/>
      <c r="Z42" s="60" t="b">
        <f>OR(H42="Y",J42="Y")</f>
        <v>0</v>
      </c>
      <c r="AA42" s="58">
        <f>IF(Z42,O42*'[1]ETC Data'!$H$4*'[1]ETC Data'!$I$4,0)</f>
        <v>0</v>
      </c>
      <c r="AB42" s="58">
        <f>AA42-(AA42*((VLOOKUP(A42,[1]Plan!A$1:AI$804,35,FALSE)/100)))</f>
        <v>0</v>
      </c>
      <c r="AC42" s="58">
        <f>IF(Z42,O42*'[1]ETC Data'!$H$4*'[1]ETC Data'!$J$4,0)</f>
        <v>0</v>
      </c>
      <c r="AD42" s="58">
        <f>AC42-(AC42*((VLOOKUP(A42,[1]Plan!A$1:AJ$804,36,FALSE)/100)))</f>
        <v>0</v>
      </c>
      <c r="AE42" s="58">
        <f>IF(Z42,O42*'[1]ETC Data'!$H$4*'[1]ETC Data'!$K$4,0)</f>
        <v>0</v>
      </c>
      <c r="AF42" s="58">
        <f>AE42-(AE42*((VLOOKUP(A42,[1]Plan!A$1:AK$804,37,FALSE)/100)))</f>
        <v>0</v>
      </c>
      <c r="AG42" s="58">
        <f>IF(Z42,O42*'[1]ETC Data'!$H$4*'[1]ETC Data'!$L$4,0)</f>
        <v>0</v>
      </c>
      <c r="AH42" s="58">
        <f>AG42-(AG42*((VLOOKUP(A42,[1]Plan!A$1:AP$804,42,FALSE)/100)))</f>
        <v>0</v>
      </c>
      <c r="AI42" s="60"/>
      <c r="AJ42" s="60" t="b">
        <f>OR(H42="Y",K42="Y")</f>
        <v>0</v>
      </c>
      <c r="AK42" s="61">
        <f>IF(AJ42,O42*'[1]ETC Data'!$H$5*'[1]ETC Data'!$I$5,0)</f>
        <v>0</v>
      </c>
      <c r="AL42" s="58">
        <f>AK42-(AK42*((VLOOKUP(A42,[1]Plan!A$1:AY$804,51,FALSE)/100)))</f>
        <v>0</v>
      </c>
      <c r="AM42" s="58">
        <f>IF(AJ42,O42*'[1]ETC Data'!$H$5*'[1]ETC Data'!$J$5,0)</f>
        <v>0</v>
      </c>
      <c r="AN42" s="58">
        <f>AM42-(AM42*((VLOOKUP(A42,[1]Plan!A$1:BA$804,53,FALSE)/100)))</f>
        <v>0</v>
      </c>
      <c r="AO42" s="61">
        <f>IF(AJ42,O42*'[1]ETC Data'!$H$5*'[1]ETC Data'!$K$5,0)</f>
        <v>0</v>
      </c>
      <c r="AP42" s="58">
        <f>AO42-(AO42*((VLOOKUP(A42,[1]Plan!A$1:BB$804,54,FALSE)/100)))</f>
        <v>0</v>
      </c>
      <c r="AQ42" s="58">
        <f>IF(AJ42,O42*'[1]ETC Data'!$H$5*'[1]ETC Data'!$L$5,0)</f>
        <v>0</v>
      </c>
      <c r="AR42" s="58">
        <f>AQ42-(AQ42*((VLOOKUP(A42,[1]Plan!A$1:BD$804,56,FALSE)/100)))</f>
        <v>0</v>
      </c>
      <c r="AS42" s="20">
        <f>VLOOKUP(A42,'[1]PR Matrix'!A:B,2,FALSE)</f>
        <v>0</v>
      </c>
      <c r="AT42" s="21">
        <f>R42+T42+V42+X42+AB42+AD42+AF42+AH42+AL42+AN42+AP42+AR42</f>
        <v>0</v>
      </c>
      <c r="AU42" s="21">
        <f>Q42+S42+U42+W42+AA42+AC42+AE42+AG42+AK42+AM42+AO42+AQ42</f>
        <v>0</v>
      </c>
      <c r="AV42" s="21">
        <f>R42+AB42+AL42</f>
        <v>0</v>
      </c>
      <c r="AW42" s="21">
        <f>T42+AD42+AN42</f>
        <v>0</v>
      </c>
      <c r="AX42" s="21">
        <f>V42+AF42+AP42</f>
        <v>0</v>
      </c>
      <c r="AY42" s="21">
        <f>X42+AH42+AR42</f>
        <v>0</v>
      </c>
    </row>
    <row r="43" spans="1:51" hidden="1" x14ac:dyDescent="0.2">
      <c r="A43" s="50" t="s">
        <v>249</v>
      </c>
      <c r="B43" s="51" t="s">
        <v>208</v>
      </c>
      <c r="C43" s="51"/>
      <c r="D43" s="51"/>
      <c r="E43" s="52">
        <f>IF(G43="Y",VLOOKUP(B43&amp;"|"&amp;C43,'[1]ETC Data'!$C$2:$D$16,2,FALSE),0)</f>
        <v>0</v>
      </c>
      <c r="F43" s="52">
        <f>IF(D43="",0,IF(G43="Y",VLOOKUP(B43&amp;"|"&amp;D43,'[1]ETC Data'!$C$2:$D$16,2,FALSE),0))</f>
        <v>0</v>
      </c>
      <c r="G43" s="53" t="str">
        <f>IF(VLOOKUP(A43,[1]Plan!A$1:H$804,8,FALSE)&lt;&gt;"",VLOOKUP(A43,[1]Plan!A$1:H$804,8,FALSE),"")</f>
        <v>N</v>
      </c>
      <c r="H43" s="54" t="str">
        <f>IF(VLOOKUP(A43,[1]Plan!A$1:L$804,12,FALSE)&lt;&gt;"",VLOOKUP(A43,[1]Plan!A$1:L$804,12,FALSE),"")</f>
        <v/>
      </c>
      <c r="I43" s="55" t="str">
        <f>IF(VLOOKUP(A43,[1]Plan!A$1:M$804,13,FALSE)&lt;&gt;"",VLOOKUP(A43,[1]Plan!A$1:M$804,13,FALSE),"")</f>
        <v/>
      </c>
      <c r="J43" s="55" t="str">
        <f>IF(VLOOKUP(A43,[1]Plan!A$1:N$804,14,FALSE)&lt;&gt;"",VLOOKUP(A43,[1]Plan!A$1:N$804,14,FALSE),IF(VLOOKUP(A43,[1]Plan!A$1:O$804,15,FALSE)&lt;&gt;"",VLOOKUP(A43,[1]Plan!A$1:O$804,15,FALSE),""))</f>
        <v/>
      </c>
      <c r="K43" s="56" t="str">
        <f>IF(VLOOKUP(A43,[1]Plan!A$1:P$804,16,FALSE)&lt;&gt;"",VLOOKUP(A43,[1]Plan!A$1:P$804,16,FALSE),"")</f>
        <v/>
      </c>
      <c r="L43" s="55"/>
      <c r="M43" s="55"/>
      <c r="N43" s="55"/>
      <c r="O43" s="57">
        <f>IF(F43=0,E43,F43)</f>
        <v>0</v>
      </c>
      <c r="P43" s="57" t="b">
        <f>OR(H43="Y",I43="Y")</f>
        <v>0</v>
      </c>
      <c r="Q43" s="58">
        <f>IF(P43,O43*'[1]ETC Data'!$H$3*'[1]ETC Data'!$I$3,0)</f>
        <v>0</v>
      </c>
      <c r="R43" s="58">
        <f>Q43-(Q43*((VLOOKUP(A43,[1]Plan!A$1:Z$804,26,FALSE)/100)))</f>
        <v>0</v>
      </c>
      <c r="S43" s="58">
        <f>IF(P43,O43*'[1]ETC Data'!$H$3*'[1]ETC Data'!$J$3,0)</f>
        <v>0</v>
      </c>
      <c r="T43" s="58">
        <f>S43-(S43*((VLOOKUP(A43,[1]Plan!A$1:AA$804,27,FALSE)/100)))</f>
        <v>0</v>
      </c>
      <c r="U43" s="58">
        <f>IF(P43,O43*'[1]ETC Data'!$H$3*'[1]ETC Data'!$K$3,0)</f>
        <v>0</v>
      </c>
      <c r="V43" s="58">
        <f>U43-(U43*((VLOOKUP(A43,[1]Plan!A$1:AB$804,28,FALSE)/100)))</f>
        <v>0</v>
      </c>
      <c r="W43" s="58">
        <f>IF(P43,O43*'[1]ETC Data'!$H$3*'[1]ETC Data'!$L$3,0)</f>
        <v>0</v>
      </c>
      <c r="X43" s="58">
        <f>W43-(W43*((VLOOKUP(A43,[1]Plan!A$1:AC$804,29,FALSE)/100)))</f>
        <v>0</v>
      </c>
      <c r="Y43" s="59"/>
      <c r="Z43" s="60" t="b">
        <f>OR(H43="Y",J43="Y")</f>
        <v>0</v>
      </c>
      <c r="AA43" s="58">
        <f>IF(Z43,O43*'[1]ETC Data'!$H$4*'[1]ETC Data'!$I$4,0)</f>
        <v>0</v>
      </c>
      <c r="AB43" s="58">
        <f>AA43-(AA43*((VLOOKUP(A43,[1]Plan!A$1:AI$804,35,FALSE)/100)))</f>
        <v>0</v>
      </c>
      <c r="AC43" s="58">
        <f>IF(Z43,O43*'[1]ETC Data'!$H$4*'[1]ETC Data'!$J$4,0)</f>
        <v>0</v>
      </c>
      <c r="AD43" s="58">
        <f>AC43-(AC43*((VLOOKUP(A43,[1]Plan!A$1:AJ$804,36,FALSE)/100)))</f>
        <v>0</v>
      </c>
      <c r="AE43" s="58">
        <f>IF(Z43,O43*'[1]ETC Data'!$H$4*'[1]ETC Data'!$K$4,0)</f>
        <v>0</v>
      </c>
      <c r="AF43" s="58">
        <f>AE43-(AE43*((VLOOKUP(A43,[1]Plan!A$1:AK$804,37,FALSE)/100)))</f>
        <v>0</v>
      </c>
      <c r="AG43" s="58">
        <f>IF(Z43,O43*'[1]ETC Data'!$H$4*'[1]ETC Data'!$L$4,0)</f>
        <v>0</v>
      </c>
      <c r="AH43" s="58">
        <f>AG43-(AG43*((VLOOKUP(A43,[1]Plan!A$1:AP$804,42,FALSE)/100)))</f>
        <v>0</v>
      </c>
      <c r="AI43" s="60"/>
      <c r="AJ43" s="60" t="b">
        <f>OR(H43="Y",K43="Y")</f>
        <v>0</v>
      </c>
      <c r="AK43" s="61">
        <f>IF(AJ43,O43*'[1]ETC Data'!$H$5*'[1]ETC Data'!$I$5,0)</f>
        <v>0</v>
      </c>
      <c r="AL43" s="58">
        <f>AK43-(AK43*((VLOOKUP(A43,[1]Plan!A$1:AY$804,51,FALSE)/100)))</f>
        <v>0</v>
      </c>
      <c r="AM43" s="58">
        <f>IF(AJ43,O43*'[1]ETC Data'!$H$5*'[1]ETC Data'!$J$5,0)</f>
        <v>0</v>
      </c>
      <c r="AN43" s="58">
        <f>AM43-(AM43*((VLOOKUP(A43,[1]Plan!A$1:BA$804,53,FALSE)/100)))</f>
        <v>0</v>
      </c>
      <c r="AO43" s="61">
        <f>IF(AJ43,O43*'[1]ETC Data'!$H$5*'[1]ETC Data'!$K$5,0)</f>
        <v>0</v>
      </c>
      <c r="AP43" s="58">
        <f>AO43-(AO43*((VLOOKUP(A43,[1]Plan!A$1:BB$804,54,FALSE)/100)))</f>
        <v>0</v>
      </c>
      <c r="AQ43" s="58">
        <f>IF(AJ43,O43*'[1]ETC Data'!$H$5*'[1]ETC Data'!$L$5,0)</f>
        <v>0</v>
      </c>
      <c r="AR43" s="58">
        <f>AQ43-(AQ43*((VLOOKUP(A43,[1]Plan!A$1:BD$804,56,FALSE)/100)))</f>
        <v>0</v>
      </c>
      <c r="AS43" s="20">
        <f>VLOOKUP(A43,'[1]PR Matrix'!A:B,2,FALSE)</f>
        <v>0</v>
      </c>
      <c r="AT43" s="21">
        <f>R43+T43+V43+X43+AB43+AD43+AF43+AH43+AL43+AN43+AP43+AR43</f>
        <v>0</v>
      </c>
      <c r="AU43" s="21">
        <f>Q43+S43+U43+W43+AA43+AC43+AE43+AG43+AK43+AM43+AO43+AQ43</f>
        <v>0</v>
      </c>
      <c r="AV43" s="21">
        <f>R43+AB43+AL43</f>
        <v>0</v>
      </c>
      <c r="AW43" s="21">
        <f>T43+AD43+AN43</f>
        <v>0</v>
      </c>
      <c r="AX43" s="21">
        <f>V43+AF43+AP43</f>
        <v>0</v>
      </c>
      <c r="AY43" s="21">
        <f>X43+AH43+AR43</f>
        <v>0</v>
      </c>
    </row>
    <row r="44" spans="1:51" hidden="1" x14ac:dyDescent="0.2">
      <c r="A44" s="50" t="s">
        <v>250</v>
      </c>
      <c r="B44" s="51" t="s">
        <v>208</v>
      </c>
      <c r="C44" s="51"/>
      <c r="D44" s="51"/>
      <c r="E44" s="52">
        <f>IF(G44="Y",VLOOKUP(B44&amp;"|"&amp;C44,'[1]ETC Data'!$C$2:$D$16,2,FALSE),0)</f>
        <v>0</v>
      </c>
      <c r="F44" s="52">
        <f>IF(D44="",0,IF(G44="Y",VLOOKUP(B44&amp;"|"&amp;D44,'[1]ETC Data'!$C$2:$D$16,2,FALSE),0))</f>
        <v>0</v>
      </c>
      <c r="G44" s="53" t="str">
        <f>IF(VLOOKUP(A44,[1]Plan!A$1:H$804,8,FALSE)&lt;&gt;"",VLOOKUP(A44,[1]Plan!A$1:H$804,8,FALSE),"")</f>
        <v>N</v>
      </c>
      <c r="H44" s="54" t="str">
        <f>IF(VLOOKUP(A44,[1]Plan!A$1:L$804,12,FALSE)&lt;&gt;"",VLOOKUP(A44,[1]Plan!A$1:L$804,12,FALSE),"")</f>
        <v/>
      </c>
      <c r="I44" s="55" t="str">
        <f>IF(VLOOKUP(A44,[1]Plan!A$1:M$804,13,FALSE)&lt;&gt;"",VLOOKUP(A44,[1]Plan!A$1:M$804,13,FALSE),"")</f>
        <v/>
      </c>
      <c r="J44" s="55" t="str">
        <f>IF(VLOOKUP(A44,[1]Plan!A$1:N$804,14,FALSE)&lt;&gt;"",VLOOKUP(A44,[1]Plan!A$1:N$804,14,FALSE),IF(VLOOKUP(A44,[1]Plan!A$1:O$804,15,FALSE)&lt;&gt;"",VLOOKUP(A44,[1]Plan!A$1:O$804,15,FALSE),""))</f>
        <v/>
      </c>
      <c r="K44" s="56" t="str">
        <f>IF(VLOOKUP(A44,[1]Plan!A$1:P$804,16,FALSE)&lt;&gt;"",VLOOKUP(A44,[1]Plan!A$1:P$804,16,FALSE),"")</f>
        <v/>
      </c>
      <c r="L44" s="55"/>
      <c r="M44" s="55"/>
      <c r="N44" s="55"/>
      <c r="O44" s="57">
        <f>IF(F44=0,E44,F44)</f>
        <v>0</v>
      </c>
      <c r="P44" s="57" t="b">
        <f>OR(H44="Y",I44="Y")</f>
        <v>0</v>
      </c>
      <c r="Q44" s="58">
        <f>IF(P44,O44*'[1]ETC Data'!$H$3*'[1]ETC Data'!$I$3,0)</f>
        <v>0</v>
      </c>
      <c r="R44" s="58">
        <f>Q44-(Q44*((VLOOKUP(A44,[1]Plan!A$1:Z$804,26,FALSE)/100)))</f>
        <v>0</v>
      </c>
      <c r="S44" s="58">
        <f>IF(P44,O44*'[1]ETC Data'!$H$3*'[1]ETC Data'!$J$3,0)</f>
        <v>0</v>
      </c>
      <c r="T44" s="58">
        <f>S44-(S44*((VLOOKUP(A44,[1]Plan!A$1:AA$804,27,FALSE)/100)))</f>
        <v>0</v>
      </c>
      <c r="U44" s="58">
        <f>IF(P44,O44*'[1]ETC Data'!$H$3*'[1]ETC Data'!$K$3,0)</f>
        <v>0</v>
      </c>
      <c r="V44" s="58">
        <f>U44-(U44*((VLOOKUP(A44,[1]Plan!A$1:AB$804,28,FALSE)/100)))</f>
        <v>0</v>
      </c>
      <c r="W44" s="58">
        <f>IF(P44,O44*'[1]ETC Data'!$H$3*'[1]ETC Data'!$L$3,0)</f>
        <v>0</v>
      </c>
      <c r="X44" s="58">
        <f>W44-(W44*((VLOOKUP(A44,[1]Plan!A$1:AC$804,29,FALSE)/100)))</f>
        <v>0</v>
      </c>
      <c r="Y44" s="59"/>
      <c r="Z44" s="60" t="b">
        <f>OR(H44="Y",J44="Y")</f>
        <v>0</v>
      </c>
      <c r="AA44" s="58">
        <f>IF(Z44,O44*'[1]ETC Data'!$H$4*'[1]ETC Data'!$I$4,0)</f>
        <v>0</v>
      </c>
      <c r="AB44" s="58">
        <f>AA44-(AA44*((VLOOKUP(A44,[1]Plan!A$1:AI$804,35,FALSE)/100)))</f>
        <v>0</v>
      </c>
      <c r="AC44" s="58">
        <f>IF(Z44,O44*'[1]ETC Data'!$H$4*'[1]ETC Data'!$J$4,0)</f>
        <v>0</v>
      </c>
      <c r="AD44" s="58">
        <f>AC44-(AC44*((VLOOKUP(A44,[1]Plan!A$1:AJ$804,36,FALSE)/100)))</f>
        <v>0</v>
      </c>
      <c r="AE44" s="58">
        <f>IF(Z44,O44*'[1]ETC Data'!$H$4*'[1]ETC Data'!$K$4,0)</f>
        <v>0</v>
      </c>
      <c r="AF44" s="58">
        <f>AE44-(AE44*((VLOOKUP(A44,[1]Plan!A$1:AK$804,37,FALSE)/100)))</f>
        <v>0</v>
      </c>
      <c r="AG44" s="58">
        <f>IF(Z44,O44*'[1]ETC Data'!$H$4*'[1]ETC Data'!$L$4,0)</f>
        <v>0</v>
      </c>
      <c r="AH44" s="58">
        <f>AG44-(AG44*((VLOOKUP(A44,[1]Plan!A$1:AP$804,42,FALSE)/100)))</f>
        <v>0</v>
      </c>
      <c r="AI44" s="60"/>
      <c r="AJ44" s="60" t="b">
        <f>OR(H44="Y",K44="Y")</f>
        <v>0</v>
      </c>
      <c r="AK44" s="61">
        <f>IF(AJ44,O44*'[1]ETC Data'!$H$5*'[1]ETC Data'!$I$5,0)</f>
        <v>0</v>
      </c>
      <c r="AL44" s="58">
        <f>AK44-(AK44*((VLOOKUP(A44,[1]Plan!A$1:AY$804,51,FALSE)/100)))</f>
        <v>0</v>
      </c>
      <c r="AM44" s="58">
        <f>IF(AJ44,O44*'[1]ETC Data'!$H$5*'[1]ETC Data'!$J$5,0)</f>
        <v>0</v>
      </c>
      <c r="AN44" s="58">
        <f>AM44-(AM44*((VLOOKUP(A44,[1]Plan!A$1:BA$804,53,FALSE)/100)))</f>
        <v>0</v>
      </c>
      <c r="AO44" s="61">
        <f>IF(AJ44,O44*'[1]ETC Data'!$H$5*'[1]ETC Data'!$K$5,0)</f>
        <v>0</v>
      </c>
      <c r="AP44" s="58">
        <f>AO44-(AO44*((VLOOKUP(A44,[1]Plan!A$1:BB$804,54,FALSE)/100)))</f>
        <v>0</v>
      </c>
      <c r="AQ44" s="58">
        <f>IF(AJ44,O44*'[1]ETC Data'!$H$5*'[1]ETC Data'!$L$5,0)</f>
        <v>0</v>
      </c>
      <c r="AR44" s="58">
        <f>AQ44-(AQ44*((VLOOKUP(A44,[1]Plan!A$1:BD$804,56,FALSE)/100)))</f>
        <v>0</v>
      </c>
      <c r="AS44" s="20">
        <f>VLOOKUP(A44,'[1]PR Matrix'!A:B,2,FALSE)</f>
        <v>0</v>
      </c>
      <c r="AT44" s="21">
        <f>R44+T44+V44+X44+AB44+AD44+AF44+AH44+AL44+AN44+AP44+AR44</f>
        <v>0</v>
      </c>
      <c r="AU44" s="21">
        <f>Q44+S44+U44+W44+AA44+AC44+AE44+AG44+AK44+AM44+AO44+AQ44</f>
        <v>0</v>
      </c>
      <c r="AV44" s="21">
        <f>R44+AB44+AL44</f>
        <v>0</v>
      </c>
      <c r="AW44" s="21">
        <f>T44+AD44+AN44</f>
        <v>0</v>
      </c>
      <c r="AX44" s="21">
        <f>V44+AF44+AP44</f>
        <v>0</v>
      </c>
      <c r="AY44" s="21">
        <f>X44+AH44+AR44</f>
        <v>0</v>
      </c>
    </row>
    <row r="45" spans="1:51" hidden="1" x14ac:dyDescent="0.2">
      <c r="A45" s="50" t="s">
        <v>251</v>
      </c>
      <c r="B45" s="51" t="s">
        <v>208</v>
      </c>
      <c r="C45" s="51"/>
      <c r="D45" s="51"/>
      <c r="E45" s="52">
        <f>IF(G45="Y",VLOOKUP(B45&amp;"|"&amp;C45,'[1]ETC Data'!$C$2:$D$16,2,FALSE),0)</f>
        <v>0</v>
      </c>
      <c r="F45" s="52">
        <f>IF(D45="",0,IF(G45="Y",VLOOKUP(B45&amp;"|"&amp;D45,'[1]ETC Data'!$C$2:$D$16,2,FALSE),0))</f>
        <v>0</v>
      </c>
      <c r="G45" s="53" t="str">
        <f>IF(VLOOKUP(A45,[1]Plan!A$1:H$804,8,FALSE)&lt;&gt;"",VLOOKUP(A45,[1]Plan!A$1:H$804,8,FALSE),"")</f>
        <v>N</v>
      </c>
      <c r="H45" s="54" t="str">
        <f>IF(VLOOKUP(A45,[1]Plan!A$1:L$804,12,FALSE)&lt;&gt;"",VLOOKUP(A45,[1]Plan!A$1:L$804,12,FALSE),"")</f>
        <v/>
      </c>
      <c r="I45" s="55" t="str">
        <f>IF(VLOOKUP(A45,[1]Plan!A$1:M$804,13,FALSE)&lt;&gt;"",VLOOKUP(A45,[1]Plan!A$1:M$804,13,FALSE),"")</f>
        <v/>
      </c>
      <c r="J45" s="55" t="str">
        <f>IF(VLOOKUP(A45,[1]Plan!A$1:N$804,14,FALSE)&lt;&gt;"",VLOOKUP(A45,[1]Plan!A$1:N$804,14,FALSE),IF(VLOOKUP(A45,[1]Plan!A$1:O$804,15,FALSE)&lt;&gt;"",VLOOKUP(A45,[1]Plan!A$1:O$804,15,FALSE),""))</f>
        <v/>
      </c>
      <c r="K45" s="56" t="str">
        <f>IF(VLOOKUP(A45,[1]Plan!A$1:P$804,16,FALSE)&lt;&gt;"",VLOOKUP(A45,[1]Plan!A$1:P$804,16,FALSE),"")</f>
        <v/>
      </c>
      <c r="L45" s="55"/>
      <c r="M45" s="55"/>
      <c r="N45" s="55"/>
      <c r="O45" s="57">
        <f>IF(F45=0,E45,F45)</f>
        <v>0</v>
      </c>
      <c r="P45" s="57" t="b">
        <f>OR(H45="Y",I45="Y")</f>
        <v>0</v>
      </c>
      <c r="Q45" s="58">
        <f>IF(P45,O45*'[1]ETC Data'!$H$3*'[1]ETC Data'!$I$3,0)</f>
        <v>0</v>
      </c>
      <c r="R45" s="58">
        <f>Q45-(Q45*((VLOOKUP(A45,[1]Plan!A$1:Z$804,26,FALSE)/100)))</f>
        <v>0</v>
      </c>
      <c r="S45" s="58">
        <f>IF(P45,O45*'[1]ETC Data'!$H$3*'[1]ETC Data'!$J$3,0)</f>
        <v>0</v>
      </c>
      <c r="T45" s="58">
        <f>S45-(S45*((VLOOKUP(A45,[1]Plan!A$1:AA$804,27,FALSE)/100)))</f>
        <v>0</v>
      </c>
      <c r="U45" s="58">
        <f>IF(P45,O45*'[1]ETC Data'!$H$3*'[1]ETC Data'!$K$3,0)</f>
        <v>0</v>
      </c>
      <c r="V45" s="58">
        <f>U45-(U45*((VLOOKUP(A45,[1]Plan!A$1:AB$804,28,FALSE)/100)))</f>
        <v>0</v>
      </c>
      <c r="W45" s="58">
        <f>IF(P45,O45*'[1]ETC Data'!$H$3*'[1]ETC Data'!$L$3,0)</f>
        <v>0</v>
      </c>
      <c r="X45" s="58">
        <f>W45-(W45*((VLOOKUP(A45,[1]Plan!A$1:AC$804,29,FALSE)/100)))</f>
        <v>0</v>
      </c>
      <c r="Y45" s="59"/>
      <c r="Z45" s="60" t="b">
        <f>OR(H45="Y",J45="Y")</f>
        <v>0</v>
      </c>
      <c r="AA45" s="58">
        <f>IF(Z45,O45*'[1]ETC Data'!$H$4*'[1]ETC Data'!$I$4,0)</f>
        <v>0</v>
      </c>
      <c r="AB45" s="58">
        <f>AA45-(AA45*((VLOOKUP(A45,[1]Plan!A$1:AI$804,35,FALSE)/100)))</f>
        <v>0</v>
      </c>
      <c r="AC45" s="58">
        <f>IF(Z45,O45*'[1]ETC Data'!$H$4*'[1]ETC Data'!$J$4,0)</f>
        <v>0</v>
      </c>
      <c r="AD45" s="58">
        <f>AC45-(AC45*((VLOOKUP(A45,[1]Plan!A$1:AJ$804,36,FALSE)/100)))</f>
        <v>0</v>
      </c>
      <c r="AE45" s="58">
        <f>IF(Z45,O45*'[1]ETC Data'!$H$4*'[1]ETC Data'!$K$4,0)</f>
        <v>0</v>
      </c>
      <c r="AF45" s="58">
        <f>AE45-(AE45*((VLOOKUP(A45,[1]Plan!A$1:AK$804,37,FALSE)/100)))</f>
        <v>0</v>
      </c>
      <c r="AG45" s="58">
        <f>IF(Z45,O45*'[1]ETC Data'!$H$4*'[1]ETC Data'!$L$4,0)</f>
        <v>0</v>
      </c>
      <c r="AH45" s="58">
        <f>AG45-(AG45*((VLOOKUP(A45,[1]Plan!A$1:AP$804,42,FALSE)/100)))</f>
        <v>0</v>
      </c>
      <c r="AI45" s="60"/>
      <c r="AJ45" s="60" t="b">
        <f>OR(H45="Y",K45="Y")</f>
        <v>0</v>
      </c>
      <c r="AK45" s="61">
        <f>IF(AJ45,O45*'[1]ETC Data'!$H$5*'[1]ETC Data'!$I$5,0)</f>
        <v>0</v>
      </c>
      <c r="AL45" s="58">
        <f>AK45-(AK45*((VLOOKUP(A45,[1]Plan!A$1:AY$804,51,FALSE)/100)))</f>
        <v>0</v>
      </c>
      <c r="AM45" s="58">
        <f>IF(AJ45,O45*'[1]ETC Data'!$H$5*'[1]ETC Data'!$J$5,0)</f>
        <v>0</v>
      </c>
      <c r="AN45" s="58">
        <f>AM45-(AM45*((VLOOKUP(A45,[1]Plan!A$1:BA$804,53,FALSE)/100)))</f>
        <v>0</v>
      </c>
      <c r="AO45" s="61">
        <f>IF(AJ45,O45*'[1]ETC Data'!$H$5*'[1]ETC Data'!$K$5,0)</f>
        <v>0</v>
      </c>
      <c r="AP45" s="58">
        <f>AO45-(AO45*((VLOOKUP(A45,[1]Plan!A$1:BB$804,54,FALSE)/100)))</f>
        <v>0</v>
      </c>
      <c r="AQ45" s="58">
        <f>IF(AJ45,O45*'[1]ETC Data'!$H$5*'[1]ETC Data'!$L$5,0)</f>
        <v>0</v>
      </c>
      <c r="AR45" s="58">
        <f>AQ45-(AQ45*((VLOOKUP(A45,[1]Plan!A$1:BD$804,56,FALSE)/100)))</f>
        <v>0</v>
      </c>
      <c r="AS45" s="20">
        <f>VLOOKUP(A45,'[1]PR Matrix'!A:B,2,FALSE)</f>
        <v>0</v>
      </c>
      <c r="AT45" s="21">
        <f>R45+T45+V45+X45+AB45+AD45+AF45+AH45+AL45+AN45+AP45+AR45</f>
        <v>0</v>
      </c>
      <c r="AU45" s="21">
        <f>Q45+S45+U45+W45+AA45+AC45+AE45+AG45+AK45+AM45+AO45+AQ45</f>
        <v>0</v>
      </c>
      <c r="AV45" s="21">
        <f>R45+AB45+AL45</f>
        <v>0</v>
      </c>
      <c r="AW45" s="21">
        <f>T45+AD45+AN45</f>
        <v>0</v>
      </c>
      <c r="AX45" s="21">
        <f>V45+AF45+AP45</f>
        <v>0</v>
      </c>
      <c r="AY45" s="21">
        <f>X45+AH45+AR45</f>
        <v>0</v>
      </c>
    </row>
    <row r="46" spans="1:51" hidden="1" x14ac:dyDescent="0.2">
      <c r="A46" s="50" t="s">
        <v>252</v>
      </c>
      <c r="B46" s="51" t="s">
        <v>208</v>
      </c>
      <c r="C46" s="51"/>
      <c r="D46" s="51"/>
      <c r="E46" s="52">
        <f>IF(G46="Y",VLOOKUP(B46&amp;"|"&amp;C46,'[1]ETC Data'!$C$2:$D$16,2,FALSE),0)</f>
        <v>0</v>
      </c>
      <c r="F46" s="52">
        <f>IF(D46="",0,IF(G46="Y",VLOOKUP(B46&amp;"|"&amp;D46,'[1]ETC Data'!$C$2:$D$16,2,FALSE),0))</f>
        <v>0</v>
      </c>
      <c r="G46" s="53" t="str">
        <f>IF(VLOOKUP(A46,[1]Plan!A$1:H$804,8,FALSE)&lt;&gt;"",VLOOKUP(A46,[1]Plan!A$1:H$804,8,FALSE),"")</f>
        <v>N</v>
      </c>
      <c r="H46" s="54" t="str">
        <f>IF(VLOOKUP(A46,[1]Plan!A$1:L$804,12,FALSE)&lt;&gt;"",VLOOKUP(A46,[1]Plan!A$1:L$804,12,FALSE),"")</f>
        <v/>
      </c>
      <c r="I46" s="55" t="str">
        <f>IF(VLOOKUP(A46,[1]Plan!A$1:M$804,13,FALSE)&lt;&gt;"",VLOOKUP(A46,[1]Plan!A$1:M$804,13,FALSE),"")</f>
        <v/>
      </c>
      <c r="J46" s="55" t="str">
        <f>IF(VLOOKUP(A46,[1]Plan!A$1:N$804,14,FALSE)&lt;&gt;"",VLOOKUP(A46,[1]Plan!A$1:N$804,14,FALSE),IF(VLOOKUP(A46,[1]Plan!A$1:O$804,15,FALSE)&lt;&gt;"",VLOOKUP(A46,[1]Plan!A$1:O$804,15,FALSE),""))</f>
        <v/>
      </c>
      <c r="K46" s="56" t="str">
        <f>IF(VLOOKUP(A46,[1]Plan!A$1:P$804,16,FALSE)&lt;&gt;"",VLOOKUP(A46,[1]Plan!A$1:P$804,16,FALSE),"")</f>
        <v/>
      </c>
      <c r="L46" s="55"/>
      <c r="M46" s="55"/>
      <c r="N46" s="55"/>
      <c r="O46" s="57">
        <f>IF(F46=0,E46,F46)</f>
        <v>0</v>
      </c>
      <c r="P46" s="57" t="b">
        <f>OR(H46="Y",I46="Y")</f>
        <v>0</v>
      </c>
      <c r="Q46" s="58">
        <f>IF(P46,O46*'[1]ETC Data'!$H$3*'[1]ETC Data'!$I$3,0)</f>
        <v>0</v>
      </c>
      <c r="R46" s="58">
        <f>Q46-(Q46*((VLOOKUP(A46,[1]Plan!A$1:Z$804,26,FALSE)/100)))</f>
        <v>0</v>
      </c>
      <c r="S46" s="58">
        <f>IF(P46,O46*'[1]ETC Data'!$H$3*'[1]ETC Data'!$J$3,0)</f>
        <v>0</v>
      </c>
      <c r="T46" s="58">
        <f>S46-(S46*((VLOOKUP(A46,[1]Plan!A$1:AA$804,27,FALSE)/100)))</f>
        <v>0</v>
      </c>
      <c r="U46" s="58">
        <f>IF(P46,O46*'[1]ETC Data'!$H$3*'[1]ETC Data'!$K$3,0)</f>
        <v>0</v>
      </c>
      <c r="V46" s="58">
        <f>U46-(U46*((VLOOKUP(A46,[1]Plan!A$1:AB$804,28,FALSE)/100)))</f>
        <v>0</v>
      </c>
      <c r="W46" s="58">
        <f>IF(P46,O46*'[1]ETC Data'!$H$3*'[1]ETC Data'!$L$3,0)</f>
        <v>0</v>
      </c>
      <c r="X46" s="58">
        <f>W46-(W46*((VLOOKUP(A46,[1]Plan!A$1:AC$804,29,FALSE)/100)))</f>
        <v>0</v>
      </c>
      <c r="Y46" s="59"/>
      <c r="Z46" s="60" t="b">
        <f>OR(H46="Y",J46="Y")</f>
        <v>0</v>
      </c>
      <c r="AA46" s="58">
        <f>IF(Z46,O46*'[1]ETC Data'!$H$4*'[1]ETC Data'!$I$4,0)</f>
        <v>0</v>
      </c>
      <c r="AB46" s="58">
        <f>AA46-(AA46*((VLOOKUP(A46,[1]Plan!A$1:AI$804,35,FALSE)/100)))</f>
        <v>0</v>
      </c>
      <c r="AC46" s="58">
        <f>IF(Z46,O46*'[1]ETC Data'!$H$4*'[1]ETC Data'!$J$4,0)</f>
        <v>0</v>
      </c>
      <c r="AD46" s="58">
        <f>AC46-(AC46*((VLOOKUP(A46,[1]Plan!A$1:AJ$804,36,FALSE)/100)))</f>
        <v>0</v>
      </c>
      <c r="AE46" s="58">
        <f>IF(Z46,O46*'[1]ETC Data'!$H$4*'[1]ETC Data'!$K$4,0)</f>
        <v>0</v>
      </c>
      <c r="AF46" s="58">
        <f>AE46-(AE46*((VLOOKUP(A46,[1]Plan!A$1:AK$804,37,FALSE)/100)))</f>
        <v>0</v>
      </c>
      <c r="AG46" s="58">
        <f>IF(Z46,O46*'[1]ETC Data'!$H$4*'[1]ETC Data'!$L$4,0)</f>
        <v>0</v>
      </c>
      <c r="AH46" s="58">
        <f>AG46-(AG46*((VLOOKUP(A46,[1]Plan!A$1:AP$804,42,FALSE)/100)))</f>
        <v>0</v>
      </c>
      <c r="AI46" s="60"/>
      <c r="AJ46" s="60" t="b">
        <f>OR(H46="Y",K46="Y")</f>
        <v>0</v>
      </c>
      <c r="AK46" s="61">
        <f>IF(AJ46,O46*'[1]ETC Data'!$H$5*'[1]ETC Data'!$I$5,0)</f>
        <v>0</v>
      </c>
      <c r="AL46" s="58">
        <f>AK46-(AK46*((VLOOKUP(A46,[1]Plan!A$1:AY$804,51,FALSE)/100)))</f>
        <v>0</v>
      </c>
      <c r="AM46" s="58">
        <f>IF(AJ46,O46*'[1]ETC Data'!$H$5*'[1]ETC Data'!$J$5,0)</f>
        <v>0</v>
      </c>
      <c r="AN46" s="58">
        <f>AM46-(AM46*((VLOOKUP(A46,[1]Plan!A$1:BA$804,53,FALSE)/100)))</f>
        <v>0</v>
      </c>
      <c r="AO46" s="61">
        <f>IF(AJ46,O46*'[1]ETC Data'!$H$5*'[1]ETC Data'!$K$5,0)</f>
        <v>0</v>
      </c>
      <c r="AP46" s="58">
        <f>AO46-(AO46*((VLOOKUP(A46,[1]Plan!A$1:BB$804,54,FALSE)/100)))</f>
        <v>0</v>
      </c>
      <c r="AQ46" s="58">
        <f>IF(AJ46,O46*'[1]ETC Data'!$H$5*'[1]ETC Data'!$L$5,0)</f>
        <v>0</v>
      </c>
      <c r="AR46" s="58">
        <f>AQ46-(AQ46*((VLOOKUP(A46,[1]Plan!A$1:BD$804,56,FALSE)/100)))</f>
        <v>0</v>
      </c>
      <c r="AS46" s="20">
        <f>VLOOKUP(A46,'[1]PR Matrix'!A:B,2,FALSE)</f>
        <v>0</v>
      </c>
      <c r="AT46" s="21">
        <f>R46+T46+V46+X46+AB46+AD46+AF46+AH46+AL46+AN46+AP46+AR46</f>
        <v>0</v>
      </c>
      <c r="AU46" s="21">
        <f>Q46+S46+U46+W46+AA46+AC46+AE46+AG46+AK46+AM46+AO46+AQ46</f>
        <v>0</v>
      </c>
      <c r="AV46" s="21">
        <f>R46+AB46+AL46</f>
        <v>0</v>
      </c>
      <c r="AW46" s="21">
        <f>T46+AD46+AN46</f>
        <v>0</v>
      </c>
      <c r="AX46" s="21">
        <f>V46+AF46+AP46</f>
        <v>0</v>
      </c>
      <c r="AY46" s="21">
        <f>X46+AH46+AR46</f>
        <v>0</v>
      </c>
    </row>
    <row r="47" spans="1:51" hidden="1" x14ac:dyDescent="0.2">
      <c r="A47" s="50" t="s">
        <v>253</v>
      </c>
      <c r="B47" s="51" t="s">
        <v>208</v>
      </c>
      <c r="C47" s="51"/>
      <c r="D47" s="51"/>
      <c r="E47" s="52">
        <f>IF(G47="Y",VLOOKUP(B47&amp;"|"&amp;C47,'[1]ETC Data'!$C$2:$D$16,2,FALSE),0)</f>
        <v>0</v>
      </c>
      <c r="F47" s="52">
        <f>IF(D47="",0,IF(G47="Y",VLOOKUP(B47&amp;"|"&amp;D47,'[1]ETC Data'!$C$2:$D$16,2,FALSE),0))</f>
        <v>0</v>
      </c>
      <c r="G47" s="53" t="str">
        <f>IF(VLOOKUP(A47,[1]Plan!A$1:H$804,8,FALSE)&lt;&gt;"",VLOOKUP(A47,[1]Plan!A$1:H$804,8,FALSE),"")</f>
        <v>N</v>
      </c>
      <c r="H47" s="54" t="str">
        <f>IF(VLOOKUP(A47,[1]Plan!A$1:L$804,12,FALSE)&lt;&gt;"",VLOOKUP(A47,[1]Plan!A$1:L$804,12,FALSE),"")</f>
        <v/>
      </c>
      <c r="I47" s="55" t="str">
        <f>IF(VLOOKUP(A47,[1]Plan!A$1:M$804,13,FALSE)&lt;&gt;"",VLOOKUP(A47,[1]Plan!A$1:M$804,13,FALSE),"")</f>
        <v/>
      </c>
      <c r="J47" s="55" t="str">
        <f>IF(VLOOKUP(A47,[1]Plan!A$1:N$804,14,FALSE)&lt;&gt;"",VLOOKUP(A47,[1]Plan!A$1:N$804,14,FALSE),IF(VLOOKUP(A47,[1]Plan!A$1:O$804,15,FALSE)&lt;&gt;"",VLOOKUP(A47,[1]Plan!A$1:O$804,15,FALSE),""))</f>
        <v/>
      </c>
      <c r="K47" s="56" t="str">
        <f>IF(VLOOKUP(A47,[1]Plan!A$1:P$804,16,FALSE)&lt;&gt;"",VLOOKUP(A47,[1]Plan!A$1:P$804,16,FALSE),"")</f>
        <v/>
      </c>
      <c r="L47" s="55"/>
      <c r="M47" s="55"/>
      <c r="N47" s="55"/>
      <c r="O47" s="57">
        <f>IF(F47=0,E47,F47)</f>
        <v>0</v>
      </c>
      <c r="P47" s="57" t="b">
        <f>OR(H47="Y",I47="Y")</f>
        <v>0</v>
      </c>
      <c r="Q47" s="58">
        <f>IF(P47,O47*'[1]ETC Data'!$H$3*'[1]ETC Data'!$I$3,0)</f>
        <v>0</v>
      </c>
      <c r="R47" s="58">
        <f>Q47-(Q47*((VLOOKUP(A47,[1]Plan!A$1:Z$804,26,FALSE)/100)))</f>
        <v>0</v>
      </c>
      <c r="S47" s="58">
        <f>IF(P47,O47*'[1]ETC Data'!$H$3*'[1]ETC Data'!$J$3,0)</f>
        <v>0</v>
      </c>
      <c r="T47" s="58">
        <f>S47-(S47*((VLOOKUP(A47,[1]Plan!A$1:AA$804,27,FALSE)/100)))</f>
        <v>0</v>
      </c>
      <c r="U47" s="58">
        <f>IF(P47,O47*'[1]ETC Data'!$H$3*'[1]ETC Data'!$K$3,0)</f>
        <v>0</v>
      </c>
      <c r="V47" s="58">
        <f>U47-(U47*((VLOOKUP(A47,[1]Plan!A$1:AB$804,28,FALSE)/100)))</f>
        <v>0</v>
      </c>
      <c r="W47" s="58">
        <f>IF(P47,O47*'[1]ETC Data'!$H$3*'[1]ETC Data'!$L$3,0)</f>
        <v>0</v>
      </c>
      <c r="X47" s="58">
        <f>W47-(W47*((VLOOKUP(A47,[1]Plan!A$1:AC$804,29,FALSE)/100)))</f>
        <v>0</v>
      </c>
      <c r="Y47" s="59"/>
      <c r="Z47" s="60" t="b">
        <f>OR(H47="Y",J47="Y")</f>
        <v>0</v>
      </c>
      <c r="AA47" s="58">
        <f>IF(Z47,O47*'[1]ETC Data'!$H$4*'[1]ETC Data'!$I$4,0)</f>
        <v>0</v>
      </c>
      <c r="AB47" s="58">
        <f>AA47-(AA47*((VLOOKUP(A47,[1]Plan!A$1:AI$804,35,FALSE)/100)))</f>
        <v>0</v>
      </c>
      <c r="AC47" s="58">
        <f>IF(Z47,O47*'[1]ETC Data'!$H$4*'[1]ETC Data'!$J$4,0)</f>
        <v>0</v>
      </c>
      <c r="AD47" s="58">
        <f>AC47-(AC47*((VLOOKUP(A47,[1]Plan!A$1:AJ$804,36,FALSE)/100)))</f>
        <v>0</v>
      </c>
      <c r="AE47" s="58">
        <f>IF(Z47,O47*'[1]ETC Data'!$H$4*'[1]ETC Data'!$K$4,0)</f>
        <v>0</v>
      </c>
      <c r="AF47" s="58">
        <f>AE47-(AE47*((VLOOKUP(A47,[1]Plan!A$1:AK$804,37,FALSE)/100)))</f>
        <v>0</v>
      </c>
      <c r="AG47" s="58">
        <f>IF(Z47,O47*'[1]ETC Data'!$H$4*'[1]ETC Data'!$L$4,0)</f>
        <v>0</v>
      </c>
      <c r="AH47" s="58">
        <f>AG47-(AG47*((VLOOKUP(A47,[1]Plan!A$1:AP$804,42,FALSE)/100)))</f>
        <v>0</v>
      </c>
      <c r="AI47" s="60"/>
      <c r="AJ47" s="60" t="b">
        <f>OR(H47="Y",K47="Y")</f>
        <v>0</v>
      </c>
      <c r="AK47" s="61">
        <f>IF(AJ47,O47*'[1]ETC Data'!$H$5*'[1]ETC Data'!$I$5,0)</f>
        <v>0</v>
      </c>
      <c r="AL47" s="58">
        <f>AK47-(AK47*((VLOOKUP(A47,[1]Plan!A$1:AY$804,51,FALSE)/100)))</f>
        <v>0</v>
      </c>
      <c r="AM47" s="58">
        <f>IF(AJ47,O47*'[1]ETC Data'!$H$5*'[1]ETC Data'!$J$5,0)</f>
        <v>0</v>
      </c>
      <c r="AN47" s="58">
        <f>AM47-(AM47*((VLOOKUP(A47,[1]Plan!A$1:BA$804,53,FALSE)/100)))</f>
        <v>0</v>
      </c>
      <c r="AO47" s="61">
        <f>IF(AJ47,O47*'[1]ETC Data'!$H$5*'[1]ETC Data'!$K$5,0)</f>
        <v>0</v>
      </c>
      <c r="AP47" s="58">
        <f>AO47-(AO47*((VLOOKUP(A47,[1]Plan!A$1:BB$804,54,FALSE)/100)))</f>
        <v>0</v>
      </c>
      <c r="AQ47" s="58">
        <f>IF(AJ47,O47*'[1]ETC Data'!$H$5*'[1]ETC Data'!$L$5,0)</f>
        <v>0</v>
      </c>
      <c r="AR47" s="58">
        <f>AQ47-(AQ47*((VLOOKUP(A47,[1]Plan!A$1:BD$804,56,FALSE)/100)))</f>
        <v>0</v>
      </c>
      <c r="AS47" s="20">
        <f>VLOOKUP(A47,'[1]PR Matrix'!A:B,2,FALSE)</f>
        <v>0</v>
      </c>
      <c r="AT47" s="21">
        <f>R47+T47+V47+X47+AB47+AD47+AF47+AH47+AL47+AN47+AP47+AR47</f>
        <v>0</v>
      </c>
      <c r="AU47" s="21">
        <f>Q47+S47+U47+W47+AA47+AC47+AE47+AG47+AK47+AM47+AO47+AQ47</f>
        <v>0</v>
      </c>
      <c r="AV47" s="21">
        <f>R47+AB47+AL47</f>
        <v>0</v>
      </c>
      <c r="AW47" s="21">
        <f>T47+AD47+AN47</f>
        <v>0</v>
      </c>
      <c r="AX47" s="21">
        <f>V47+AF47+AP47</f>
        <v>0</v>
      </c>
      <c r="AY47" s="21">
        <f>X47+AH47+AR47</f>
        <v>0</v>
      </c>
    </row>
    <row r="48" spans="1:51" hidden="1" x14ac:dyDescent="0.2">
      <c r="A48" s="50" t="s">
        <v>254</v>
      </c>
      <c r="B48" s="51" t="s">
        <v>208</v>
      </c>
      <c r="C48" s="51"/>
      <c r="D48" s="51"/>
      <c r="E48" s="52">
        <f>IF(G48="Y",VLOOKUP(B48&amp;"|"&amp;C48,'[1]ETC Data'!$C$2:$D$16,2,FALSE),0)</f>
        <v>0</v>
      </c>
      <c r="F48" s="52">
        <f>IF(D48="",0,IF(G48="Y",VLOOKUP(B48&amp;"|"&amp;D48,'[1]ETC Data'!$C$2:$D$16,2,FALSE),0))</f>
        <v>0</v>
      </c>
      <c r="G48" s="53" t="str">
        <f>IF(VLOOKUP(A48,[1]Plan!A$1:H$804,8,FALSE)&lt;&gt;"",VLOOKUP(A48,[1]Plan!A$1:H$804,8,FALSE),"")</f>
        <v>N</v>
      </c>
      <c r="H48" s="54" t="str">
        <f>IF(VLOOKUP(A48,[1]Plan!A$1:L$804,12,FALSE)&lt;&gt;"",VLOOKUP(A48,[1]Plan!A$1:L$804,12,FALSE),"")</f>
        <v/>
      </c>
      <c r="I48" s="55" t="str">
        <f>IF(VLOOKUP(A48,[1]Plan!A$1:M$804,13,FALSE)&lt;&gt;"",VLOOKUP(A48,[1]Plan!A$1:M$804,13,FALSE),"")</f>
        <v/>
      </c>
      <c r="J48" s="55" t="str">
        <f>IF(VLOOKUP(A48,[1]Plan!A$1:N$804,14,FALSE)&lt;&gt;"",VLOOKUP(A48,[1]Plan!A$1:N$804,14,FALSE),IF(VLOOKUP(A48,[1]Plan!A$1:O$804,15,FALSE)&lt;&gt;"",VLOOKUP(A48,[1]Plan!A$1:O$804,15,FALSE),""))</f>
        <v/>
      </c>
      <c r="K48" s="56" t="str">
        <f>IF(VLOOKUP(A48,[1]Plan!A$1:P$804,16,FALSE)&lt;&gt;"",VLOOKUP(A48,[1]Plan!A$1:P$804,16,FALSE),"")</f>
        <v/>
      </c>
      <c r="L48" s="55"/>
      <c r="M48" s="55"/>
      <c r="N48" s="55"/>
      <c r="O48" s="57">
        <f>IF(F48=0,E48,F48)</f>
        <v>0</v>
      </c>
      <c r="P48" s="57" t="b">
        <f>OR(H48="Y",I48="Y")</f>
        <v>0</v>
      </c>
      <c r="Q48" s="58">
        <f>IF(P48,O48*'[1]ETC Data'!$H$3*'[1]ETC Data'!$I$3,0)</f>
        <v>0</v>
      </c>
      <c r="R48" s="58">
        <f>Q48-(Q48*((VLOOKUP(A48,[1]Plan!A$1:Z$804,26,FALSE)/100)))</f>
        <v>0</v>
      </c>
      <c r="S48" s="58">
        <f>IF(P48,O48*'[1]ETC Data'!$H$3*'[1]ETC Data'!$J$3,0)</f>
        <v>0</v>
      </c>
      <c r="T48" s="58">
        <f>S48-(S48*((VLOOKUP(A48,[1]Plan!A$1:AA$804,27,FALSE)/100)))</f>
        <v>0</v>
      </c>
      <c r="U48" s="58">
        <f>IF(P48,O48*'[1]ETC Data'!$H$3*'[1]ETC Data'!$K$3,0)</f>
        <v>0</v>
      </c>
      <c r="V48" s="58">
        <f>U48-(U48*((VLOOKUP(A48,[1]Plan!A$1:AB$804,28,FALSE)/100)))</f>
        <v>0</v>
      </c>
      <c r="W48" s="58">
        <f>IF(P48,O48*'[1]ETC Data'!$H$3*'[1]ETC Data'!$L$3,0)</f>
        <v>0</v>
      </c>
      <c r="X48" s="58">
        <f>W48-(W48*((VLOOKUP(A48,[1]Plan!A$1:AC$804,29,FALSE)/100)))</f>
        <v>0</v>
      </c>
      <c r="Y48" s="59"/>
      <c r="Z48" s="60" t="b">
        <f>OR(H48="Y",J48="Y")</f>
        <v>0</v>
      </c>
      <c r="AA48" s="58">
        <f>IF(Z48,O48*'[1]ETC Data'!$H$4*'[1]ETC Data'!$I$4,0)</f>
        <v>0</v>
      </c>
      <c r="AB48" s="58">
        <f>AA48-(AA48*((VLOOKUP(A48,[1]Plan!A$1:AI$804,35,FALSE)/100)))</f>
        <v>0</v>
      </c>
      <c r="AC48" s="58">
        <f>IF(Z48,O48*'[1]ETC Data'!$H$4*'[1]ETC Data'!$J$4,0)</f>
        <v>0</v>
      </c>
      <c r="AD48" s="58">
        <f>AC48-(AC48*((VLOOKUP(A48,[1]Plan!A$1:AJ$804,36,FALSE)/100)))</f>
        <v>0</v>
      </c>
      <c r="AE48" s="58">
        <f>IF(Z48,O48*'[1]ETC Data'!$H$4*'[1]ETC Data'!$K$4,0)</f>
        <v>0</v>
      </c>
      <c r="AF48" s="58">
        <f>AE48-(AE48*((VLOOKUP(A48,[1]Plan!A$1:AK$804,37,FALSE)/100)))</f>
        <v>0</v>
      </c>
      <c r="AG48" s="58">
        <f>IF(Z48,O48*'[1]ETC Data'!$H$4*'[1]ETC Data'!$L$4,0)</f>
        <v>0</v>
      </c>
      <c r="AH48" s="58">
        <f>AG48-(AG48*((VLOOKUP(A48,[1]Plan!A$1:AP$804,42,FALSE)/100)))</f>
        <v>0</v>
      </c>
      <c r="AI48" s="60"/>
      <c r="AJ48" s="60" t="b">
        <f>OR(H48="Y",K48="Y")</f>
        <v>0</v>
      </c>
      <c r="AK48" s="61">
        <f>IF(AJ48,O48*'[1]ETC Data'!$H$5*'[1]ETC Data'!$I$5,0)</f>
        <v>0</v>
      </c>
      <c r="AL48" s="58">
        <f>AK48-(AK48*((VLOOKUP(A48,[1]Plan!A$1:AY$804,51,FALSE)/100)))</f>
        <v>0</v>
      </c>
      <c r="AM48" s="58">
        <f>IF(AJ48,O48*'[1]ETC Data'!$H$5*'[1]ETC Data'!$J$5,0)</f>
        <v>0</v>
      </c>
      <c r="AN48" s="58">
        <f>AM48-(AM48*((VLOOKUP(A48,[1]Plan!A$1:BA$804,53,FALSE)/100)))</f>
        <v>0</v>
      </c>
      <c r="AO48" s="61">
        <f>IF(AJ48,O48*'[1]ETC Data'!$H$5*'[1]ETC Data'!$K$5,0)</f>
        <v>0</v>
      </c>
      <c r="AP48" s="58">
        <f>AO48-(AO48*((VLOOKUP(A48,[1]Plan!A$1:BB$804,54,FALSE)/100)))</f>
        <v>0</v>
      </c>
      <c r="AQ48" s="58">
        <f>IF(AJ48,O48*'[1]ETC Data'!$H$5*'[1]ETC Data'!$L$5,0)</f>
        <v>0</v>
      </c>
      <c r="AR48" s="58">
        <f>AQ48-(AQ48*((VLOOKUP(A48,[1]Plan!A$1:BD$804,56,FALSE)/100)))</f>
        <v>0</v>
      </c>
      <c r="AS48" s="20">
        <f>VLOOKUP(A48,'[1]PR Matrix'!A:B,2,FALSE)</f>
        <v>0</v>
      </c>
      <c r="AT48" s="21">
        <f>R48+T48+V48+X48+AB48+AD48+AF48+AH48+AL48+AN48+AP48+AR48</f>
        <v>0</v>
      </c>
      <c r="AU48" s="21">
        <f>Q48+S48+U48+W48+AA48+AC48+AE48+AG48+AK48+AM48+AO48+AQ48</f>
        <v>0</v>
      </c>
      <c r="AV48" s="21">
        <f>R48+AB48+AL48</f>
        <v>0</v>
      </c>
      <c r="AW48" s="21">
        <f>T48+AD48+AN48</f>
        <v>0</v>
      </c>
      <c r="AX48" s="21">
        <f>V48+AF48+AP48</f>
        <v>0</v>
      </c>
      <c r="AY48" s="21">
        <f>X48+AH48+AR48</f>
        <v>0</v>
      </c>
    </row>
    <row r="49" spans="1:51" hidden="1" x14ac:dyDescent="0.2">
      <c r="A49" s="86" t="s">
        <v>255</v>
      </c>
      <c r="B49" s="51" t="s">
        <v>208</v>
      </c>
      <c r="C49" s="51"/>
      <c r="D49" s="51"/>
      <c r="E49" s="52">
        <f>IF(G49="Y",VLOOKUP(B49&amp;"|"&amp;C49,'[1]ETC Data'!$C$2:$D$16,2,FALSE),0)</f>
        <v>0</v>
      </c>
      <c r="F49" s="52">
        <f>IF(D49="",0,IF(G49="Y",VLOOKUP(B49&amp;"|"&amp;D49,'[1]ETC Data'!$C$2:$D$16,2,FALSE),0))</f>
        <v>0</v>
      </c>
      <c r="G49" s="53" t="str">
        <f>IF(VLOOKUP(A49,[1]Plan!A$1:H$804,8,FALSE)&lt;&gt;"",VLOOKUP(A49,[1]Plan!A$1:H$804,8,FALSE),"")</f>
        <v>N</v>
      </c>
      <c r="H49" s="54" t="str">
        <f>IF(VLOOKUP(A49,[1]Plan!A$1:L$804,12,FALSE)&lt;&gt;"",VLOOKUP(A49,[1]Plan!A$1:L$804,12,FALSE),"")</f>
        <v/>
      </c>
      <c r="I49" s="55" t="str">
        <f>IF(VLOOKUP(A49,[1]Plan!A$1:M$804,13,FALSE)&lt;&gt;"",VLOOKUP(A49,[1]Plan!A$1:M$804,13,FALSE),"")</f>
        <v/>
      </c>
      <c r="J49" s="55" t="str">
        <f>IF(VLOOKUP(A49,[1]Plan!A$1:N$804,14,FALSE)&lt;&gt;"",VLOOKUP(A49,[1]Plan!A$1:N$804,14,FALSE),IF(VLOOKUP(A49,[1]Plan!A$1:O$804,15,FALSE)&lt;&gt;"",VLOOKUP(A49,[1]Plan!A$1:O$804,15,FALSE),""))</f>
        <v/>
      </c>
      <c r="K49" s="56" t="str">
        <f>IF(VLOOKUP(A49,[1]Plan!A$1:P$804,16,FALSE)&lt;&gt;"",VLOOKUP(A49,[1]Plan!A$1:P$804,16,FALSE),"")</f>
        <v/>
      </c>
      <c r="L49" s="55"/>
      <c r="M49" s="55"/>
      <c r="N49" s="55"/>
      <c r="O49" s="57">
        <f>IF(F49=0,E49,F49)</f>
        <v>0</v>
      </c>
      <c r="P49" s="57" t="b">
        <f>OR(H49="Y",I49="Y")</f>
        <v>0</v>
      </c>
      <c r="Q49" s="58">
        <f>IF(P49,O49*'[1]ETC Data'!$H$3*'[1]ETC Data'!$I$3,0)</f>
        <v>0</v>
      </c>
      <c r="R49" s="58">
        <f>Q49-(Q49*((VLOOKUP(A49,[1]Plan!A$1:Z$804,26,FALSE)/100)))</f>
        <v>0</v>
      </c>
      <c r="S49" s="58">
        <f>IF(P49,O49*'[1]ETC Data'!$H$3*'[1]ETC Data'!$J$3,0)</f>
        <v>0</v>
      </c>
      <c r="T49" s="58">
        <f>S49-(S49*((VLOOKUP(A49,[1]Plan!A$1:AA$804,27,FALSE)/100)))</f>
        <v>0</v>
      </c>
      <c r="U49" s="58">
        <f>IF(P49,O49*'[1]ETC Data'!$H$3*'[1]ETC Data'!$K$3,0)</f>
        <v>0</v>
      </c>
      <c r="V49" s="58">
        <f>U49-(U49*((VLOOKUP(A49,[1]Plan!A$1:AB$804,28,FALSE)/100)))</f>
        <v>0</v>
      </c>
      <c r="W49" s="58">
        <f>IF(P49,O49*'[1]ETC Data'!$H$3*'[1]ETC Data'!$L$3,0)</f>
        <v>0</v>
      </c>
      <c r="X49" s="58">
        <f>W49-(W49*((VLOOKUP(A49,[1]Plan!A$1:AC$804,29,FALSE)/100)))</f>
        <v>0</v>
      </c>
      <c r="Y49" s="59"/>
      <c r="Z49" s="60" t="b">
        <f>OR(H49="Y",J49="Y")</f>
        <v>0</v>
      </c>
      <c r="AA49" s="58">
        <f>IF(Z49,O49*'[1]ETC Data'!$H$4*'[1]ETC Data'!$I$4,0)</f>
        <v>0</v>
      </c>
      <c r="AB49" s="58">
        <f>AA49-(AA49*((VLOOKUP(A49,[1]Plan!A$1:AI$804,35,FALSE)/100)))</f>
        <v>0</v>
      </c>
      <c r="AC49" s="58">
        <f>IF(Z49,O49*'[1]ETC Data'!$H$4*'[1]ETC Data'!$J$4,0)</f>
        <v>0</v>
      </c>
      <c r="AD49" s="58">
        <f>AC49-(AC49*((VLOOKUP(A49,[1]Plan!A$1:AJ$804,36,FALSE)/100)))</f>
        <v>0</v>
      </c>
      <c r="AE49" s="58">
        <f>IF(Z49,O49*'[1]ETC Data'!$H$4*'[1]ETC Data'!$K$4,0)</f>
        <v>0</v>
      </c>
      <c r="AF49" s="58">
        <f>AE49-(AE49*((VLOOKUP(A49,[1]Plan!A$1:AK$804,37,FALSE)/100)))</f>
        <v>0</v>
      </c>
      <c r="AG49" s="58">
        <f>IF(Z49,O49*'[1]ETC Data'!$H$4*'[1]ETC Data'!$L$4,0)</f>
        <v>0</v>
      </c>
      <c r="AH49" s="58">
        <f>AG49-(AG49*((VLOOKUP(A49,[1]Plan!A$1:AP$804,42,FALSE)/100)))</f>
        <v>0</v>
      </c>
      <c r="AI49" s="60"/>
      <c r="AJ49" s="60" t="b">
        <f>OR(H49="Y",K49="Y")</f>
        <v>0</v>
      </c>
      <c r="AK49" s="61">
        <f>IF(AJ49,O49*'[1]ETC Data'!$H$5*'[1]ETC Data'!$I$5,0)</f>
        <v>0</v>
      </c>
      <c r="AL49" s="58">
        <f>AK49-(AK49*((VLOOKUP(A49,[1]Plan!A$1:AY$804,51,FALSE)/100)))</f>
        <v>0</v>
      </c>
      <c r="AM49" s="58">
        <f>IF(AJ49,O49*'[1]ETC Data'!$H$5*'[1]ETC Data'!$J$5,0)</f>
        <v>0</v>
      </c>
      <c r="AN49" s="58">
        <f>AM49-(AM49*((VLOOKUP(A49,[1]Plan!A$1:BA$804,53,FALSE)/100)))</f>
        <v>0</v>
      </c>
      <c r="AO49" s="61">
        <f>IF(AJ49,O49*'[1]ETC Data'!$H$5*'[1]ETC Data'!$K$5,0)</f>
        <v>0</v>
      </c>
      <c r="AP49" s="58">
        <f>AO49-(AO49*((VLOOKUP(A49,[1]Plan!A$1:BB$804,54,FALSE)/100)))</f>
        <v>0</v>
      </c>
      <c r="AQ49" s="58">
        <f>IF(AJ49,O49*'[1]ETC Data'!$H$5*'[1]ETC Data'!$L$5,0)</f>
        <v>0</v>
      </c>
      <c r="AR49" s="58">
        <f>AQ49-(AQ49*((VLOOKUP(A49,[1]Plan!A$1:BD$804,56,FALSE)/100)))</f>
        <v>0</v>
      </c>
      <c r="AS49" s="20">
        <f>VLOOKUP(A49,'[1]PR Matrix'!A:B,2,FALSE)</f>
        <v>0</v>
      </c>
      <c r="AT49" s="21">
        <f>R49+T49+V49+X49+AB49+AD49+AF49+AH49+AL49+AN49+AP49+AR49</f>
        <v>0</v>
      </c>
      <c r="AU49" s="21">
        <f>Q49+S49+U49+W49+AA49+AC49+AE49+AG49+AK49+AM49+AO49+AQ49</f>
        <v>0</v>
      </c>
      <c r="AV49" s="21">
        <f>R49+AB49+AL49</f>
        <v>0</v>
      </c>
      <c r="AW49" s="21">
        <f>T49+AD49+AN49</f>
        <v>0</v>
      </c>
      <c r="AX49" s="21">
        <f>V49+AF49+AP49</f>
        <v>0</v>
      </c>
      <c r="AY49" s="21">
        <f>X49+AH49+AR49</f>
        <v>0</v>
      </c>
    </row>
    <row r="50" spans="1:51" hidden="1" x14ac:dyDescent="0.2">
      <c r="A50" s="86" t="s">
        <v>256</v>
      </c>
      <c r="B50" s="51" t="s">
        <v>209</v>
      </c>
      <c r="C50" s="51"/>
      <c r="D50" s="51"/>
      <c r="E50" s="52">
        <f>IF(G50="Y",VLOOKUP(B50&amp;"|"&amp;C50,'[1]ETC Data'!$C$2:$D$16,2,FALSE),0)</f>
        <v>0</v>
      </c>
      <c r="F50" s="52">
        <f>IF(D50="",0,IF(G50="Y",VLOOKUP(B50&amp;"|"&amp;D50,'[1]ETC Data'!$C$2:$D$16,2,FALSE),0))</f>
        <v>0</v>
      </c>
      <c r="G50" s="53" t="str">
        <f>IF(VLOOKUP(A50,[1]Plan!A$1:H$804,8,FALSE)&lt;&gt;"",VLOOKUP(A50,[1]Plan!A$1:H$804,8,FALSE),"")</f>
        <v>N</v>
      </c>
      <c r="H50" s="54" t="str">
        <f>IF(VLOOKUP(A50,[1]Plan!A$1:L$804,12,FALSE)&lt;&gt;"",VLOOKUP(A50,[1]Plan!A$1:L$804,12,FALSE),"")</f>
        <v/>
      </c>
      <c r="I50" s="55" t="str">
        <f>IF(VLOOKUP(A50,[1]Plan!A$1:M$804,13,FALSE)&lt;&gt;"",VLOOKUP(A50,[1]Plan!A$1:M$804,13,FALSE),"")</f>
        <v/>
      </c>
      <c r="J50" s="55" t="str">
        <f>IF(VLOOKUP(A50,[1]Plan!A$1:N$804,14,FALSE)&lt;&gt;"",VLOOKUP(A50,[1]Plan!A$1:N$804,14,FALSE),IF(VLOOKUP(A50,[1]Plan!A$1:O$804,15,FALSE)&lt;&gt;"",VLOOKUP(A50,[1]Plan!A$1:O$804,15,FALSE),""))</f>
        <v/>
      </c>
      <c r="K50" s="56" t="str">
        <f>IF(VLOOKUP(A50,[1]Plan!A$1:P$804,16,FALSE)&lt;&gt;"",VLOOKUP(A50,[1]Plan!A$1:P$804,16,FALSE),"")</f>
        <v/>
      </c>
      <c r="L50" s="55"/>
      <c r="M50" s="55"/>
      <c r="N50" s="55"/>
      <c r="O50" s="57">
        <f>IF(F50=0,E50,F50)</f>
        <v>0</v>
      </c>
      <c r="P50" s="57" t="b">
        <f>OR(H50="Y",I50="Y")</f>
        <v>0</v>
      </c>
      <c r="Q50" s="58">
        <f>IF(P50,O50*'[1]ETC Data'!$H$3*'[1]ETC Data'!$I$3,0)</f>
        <v>0</v>
      </c>
      <c r="R50" s="58">
        <f>Q50-(Q50*((VLOOKUP(A50,[1]Plan!A$1:Z$804,26,FALSE)/100)))</f>
        <v>0</v>
      </c>
      <c r="S50" s="58">
        <f>IF(P50,O50*'[1]ETC Data'!$H$3*'[1]ETC Data'!$J$3,0)</f>
        <v>0</v>
      </c>
      <c r="T50" s="58">
        <f>S50-(S50*((VLOOKUP(A50,[1]Plan!A$1:AA$804,27,FALSE)/100)))</f>
        <v>0</v>
      </c>
      <c r="U50" s="58">
        <f>IF(P50,O50*'[1]ETC Data'!$H$3*'[1]ETC Data'!$K$3,0)</f>
        <v>0</v>
      </c>
      <c r="V50" s="58">
        <f>U50-(U50*((VLOOKUP(A50,[1]Plan!A$1:AB$804,28,FALSE)/100)))</f>
        <v>0</v>
      </c>
      <c r="W50" s="58">
        <f>IF(P50,O50*'[1]ETC Data'!$H$3*'[1]ETC Data'!$L$3,0)</f>
        <v>0</v>
      </c>
      <c r="X50" s="58">
        <f>W50-(W50*((VLOOKUP(A50,[1]Plan!A$1:AC$804,29,FALSE)/100)))</f>
        <v>0</v>
      </c>
      <c r="Y50" s="59"/>
      <c r="Z50" s="60" t="b">
        <f>OR(H50="Y",J50="Y")</f>
        <v>0</v>
      </c>
      <c r="AA50" s="58">
        <f>IF(Z50,O50*'[1]ETC Data'!$H$4*'[1]ETC Data'!$I$4,0)</f>
        <v>0</v>
      </c>
      <c r="AB50" s="58">
        <f>AA50-(AA50*((VLOOKUP(A50,[1]Plan!A$1:AI$804,35,FALSE)/100)))</f>
        <v>0</v>
      </c>
      <c r="AC50" s="58">
        <f>IF(Z50,O50*'[1]ETC Data'!$H$4*'[1]ETC Data'!$J$4,0)</f>
        <v>0</v>
      </c>
      <c r="AD50" s="58">
        <f>AC50-(AC50*((VLOOKUP(A50,[1]Plan!A$1:AJ$804,36,FALSE)/100)))</f>
        <v>0</v>
      </c>
      <c r="AE50" s="58">
        <f>IF(Z50,O50*'[1]ETC Data'!$H$4*'[1]ETC Data'!$K$4,0)</f>
        <v>0</v>
      </c>
      <c r="AF50" s="58">
        <f>AE50-(AE50*((VLOOKUP(A50,[1]Plan!A$1:AK$804,37,FALSE)/100)))</f>
        <v>0</v>
      </c>
      <c r="AG50" s="58">
        <f>IF(Z50,O50*'[1]ETC Data'!$H$4*'[1]ETC Data'!$L$4,0)</f>
        <v>0</v>
      </c>
      <c r="AH50" s="58">
        <f>AG50-(AG50*((VLOOKUP(A50,[1]Plan!A$1:AP$804,42,FALSE)/100)))</f>
        <v>0</v>
      </c>
      <c r="AI50" s="60"/>
      <c r="AJ50" s="60" t="b">
        <f>OR(H50="Y",K50="Y")</f>
        <v>0</v>
      </c>
      <c r="AK50" s="61">
        <f>IF(AJ50,O50*'[1]ETC Data'!$H$5*'[1]ETC Data'!$I$5,0)</f>
        <v>0</v>
      </c>
      <c r="AL50" s="58">
        <f>AK50-(AK50*((VLOOKUP(A50,[1]Plan!A$1:AY$804,51,FALSE)/100)))</f>
        <v>0</v>
      </c>
      <c r="AM50" s="58">
        <f>IF(AJ50,O50*'[1]ETC Data'!$H$5*'[1]ETC Data'!$J$5,0)</f>
        <v>0</v>
      </c>
      <c r="AN50" s="58">
        <f>AM50-(AM50*((VLOOKUP(A50,[1]Plan!A$1:BA$804,53,FALSE)/100)))</f>
        <v>0</v>
      </c>
      <c r="AO50" s="61">
        <f>IF(AJ50,O50*'[1]ETC Data'!$H$5*'[1]ETC Data'!$K$5,0)</f>
        <v>0</v>
      </c>
      <c r="AP50" s="58">
        <f>AO50-(AO50*((VLOOKUP(A50,[1]Plan!A$1:BB$804,54,FALSE)/100)))</f>
        <v>0</v>
      </c>
      <c r="AQ50" s="58">
        <f>IF(AJ50,O50*'[1]ETC Data'!$H$5*'[1]ETC Data'!$L$5,0)</f>
        <v>0</v>
      </c>
      <c r="AR50" s="58">
        <f>AQ50-(AQ50*((VLOOKUP(A50,[1]Plan!A$1:BD$804,56,FALSE)/100)))</f>
        <v>0</v>
      </c>
      <c r="AS50" s="20">
        <f>VLOOKUP(A50,'[1]PR Matrix'!A:B,2,FALSE)</f>
        <v>0</v>
      </c>
      <c r="AT50" s="21">
        <f>R50+T50+V50+X50+AB50+AD50+AF50+AH50+AL50+AN50+AP50+AR50</f>
        <v>0</v>
      </c>
      <c r="AU50" s="21">
        <f>Q50+S50+U50+W50+AA50+AC50+AE50+AG50+AK50+AM50+AO50+AQ50</f>
        <v>0</v>
      </c>
      <c r="AV50" s="21">
        <f>R50+AB50+AL50</f>
        <v>0</v>
      </c>
      <c r="AW50" s="21">
        <f>T50+AD50+AN50</f>
        <v>0</v>
      </c>
      <c r="AX50" s="21">
        <f>V50+AF50+AP50</f>
        <v>0</v>
      </c>
      <c r="AY50" s="21">
        <f>X50+AH50+AR50</f>
        <v>0</v>
      </c>
    </row>
    <row r="51" spans="1:51" hidden="1" x14ac:dyDescent="0.2">
      <c r="A51" s="86" t="s">
        <v>257</v>
      </c>
      <c r="B51" s="51" t="s">
        <v>258</v>
      </c>
      <c r="C51" s="51"/>
      <c r="D51" s="51"/>
      <c r="E51" s="52">
        <f>IF(G51="Y",VLOOKUP(B51&amp;"|"&amp;C51,'[1]ETC Data'!$C$2:$D$16,2,FALSE),0)</f>
        <v>0</v>
      </c>
      <c r="F51" s="52">
        <f>IF(D51="",0,IF(G51="Y",VLOOKUP(B51&amp;"|"&amp;D51,'[1]ETC Data'!$C$2:$D$16,2,FALSE),0))</f>
        <v>0</v>
      </c>
      <c r="G51" s="53" t="str">
        <f>IF(VLOOKUP(A51,[1]Plan!A$1:H$804,8,FALSE)&lt;&gt;"",VLOOKUP(A51,[1]Plan!A$1:H$804,8,FALSE),"")</f>
        <v>N</v>
      </c>
      <c r="H51" s="54" t="str">
        <f>IF(VLOOKUP(A51,[1]Plan!A$1:L$804,12,FALSE)&lt;&gt;"",VLOOKUP(A51,[1]Plan!A$1:L$804,12,FALSE),"")</f>
        <v/>
      </c>
      <c r="I51" s="55" t="str">
        <f>IF(VLOOKUP(A51,[1]Plan!A$1:M$804,13,FALSE)&lt;&gt;"",VLOOKUP(A51,[1]Plan!A$1:M$804,13,FALSE),"")</f>
        <v/>
      </c>
      <c r="J51" s="55" t="str">
        <f>IF(VLOOKUP(A51,[1]Plan!A$1:N$804,14,FALSE)&lt;&gt;"",VLOOKUP(A51,[1]Plan!A$1:N$804,14,FALSE),IF(VLOOKUP(A51,[1]Plan!A$1:O$804,15,FALSE)&lt;&gt;"",VLOOKUP(A51,[1]Plan!A$1:O$804,15,FALSE),""))</f>
        <v/>
      </c>
      <c r="K51" s="56" t="str">
        <f>IF(VLOOKUP(A51,[1]Plan!A$1:P$804,16,FALSE)&lt;&gt;"",VLOOKUP(A51,[1]Plan!A$1:P$804,16,FALSE),"")</f>
        <v/>
      </c>
      <c r="L51" s="55"/>
      <c r="M51" s="55"/>
      <c r="N51" s="55"/>
      <c r="O51" s="57">
        <f>IF(F51=0,E51,F51)</f>
        <v>0</v>
      </c>
      <c r="P51" s="57" t="b">
        <f>OR(H51="Y",I51="Y")</f>
        <v>0</v>
      </c>
      <c r="Q51" s="58">
        <f>IF(P51,O51*'[1]ETC Data'!$H$3*'[1]ETC Data'!$I$3,0)</f>
        <v>0</v>
      </c>
      <c r="R51" s="58">
        <f>Q51-(Q51*((VLOOKUP(A51,[1]Plan!A$1:Z$804,26,FALSE)/100)))</f>
        <v>0</v>
      </c>
      <c r="S51" s="58">
        <f>IF(P51,O51*'[1]ETC Data'!$H$3*'[1]ETC Data'!$J$3,0)</f>
        <v>0</v>
      </c>
      <c r="T51" s="58">
        <f>S51-(S51*((VLOOKUP(A51,[1]Plan!A$1:AA$804,27,FALSE)/100)))</f>
        <v>0</v>
      </c>
      <c r="U51" s="58">
        <f>IF(P51,O51*'[1]ETC Data'!$H$3*'[1]ETC Data'!$K$3,0)</f>
        <v>0</v>
      </c>
      <c r="V51" s="58">
        <f>U51-(U51*((VLOOKUP(A51,[1]Plan!A$1:AB$804,28,FALSE)/100)))</f>
        <v>0</v>
      </c>
      <c r="W51" s="58">
        <f>IF(P51,O51*'[1]ETC Data'!$H$3*'[1]ETC Data'!$L$3,0)</f>
        <v>0</v>
      </c>
      <c r="X51" s="58">
        <f>W51-(W51*((VLOOKUP(A51,[1]Plan!A$1:AC$804,29,FALSE)/100)))</f>
        <v>0</v>
      </c>
      <c r="Y51" s="59"/>
      <c r="Z51" s="60" t="b">
        <f>OR(H51="Y",J51="Y")</f>
        <v>0</v>
      </c>
      <c r="AA51" s="58">
        <f>IF(Z51,O51*'[1]ETC Data'!$H$4*'[1]ETC Data'!$I$4,0)</f>
        <v>0</v>
      </c>
      <c r="AB51" s="58">
        <f>AA51-(AA51*((VLOOKUP(A51,[1]Plan!A$1:AI$804,35,FALSE)/100)))</f>
        <v>0</v>
      </c>
      <c r="AC51" s="58">
        <f>IF(Z51,O51*'[1]ETC Data'!$H$4*'[1]ETC Data'!$J$4,0)</f>
        <v>0</v>
      </c>
      <c r="AD51" s="58">
        <f>AC51-(AC51*((VLOOKUP(A51,[1]Plan!A$1:AJ$804,36,FALSE)/100)))</f>
        <v>0</v>
      </c>
      <c r="AE51" s="58">
        <f>IF(Z51,O51*'[1]ETC Data'!$H$4*'[1]ETC Data'!$K$4,0)</f>
        <v>0</v>
      </c>
      <c r="AF51" s="58">
        <f>AE51-(AE51*((VLOOKUP(A51,[1]Plan!A$1:AK$804,37,FALSE)/100)))</f>
        <v>0</v>
      </c>
      <c r="AG51" s="58">
        <f>IF(Z51,O51*'[1]ETC Data'!$H$4*'[1]ETC Data'!$L$4,0)</f>
        <v>0</v>
      </c>
      <c r="AH51" s="58">
        <f>AG51-(AG51*((VLOOKUP(A51,[1]Plan!A$1:AP$804,42,FALSE)/100)))</f>
        <v>0</v>
      </c>
      <c r="AI51" s="60"/>
      <c r="AJ51" s="60" t="b">
        <f>OR(H51="Y",K51="Y")</f>
        <v>0</v>
      </c>
      <c r="AK51" s="61">
        <f>IF(AJ51,O51*'[1]ETC Data'!$H$5*'[1]ETC Data'!$I$5,0)</f>
        <v>0</v>
      </c>
      <c r="AL51" s="58">
        <f>AK51-(AK51*((VLOOKUP(A51,[1]Plan!A$1:AY$804,51,FALSE)/100)))</f>
        <v>0</v>
      </c>
      <c r="AM51" s="58">
        <f>IF(AJ51,O51*'[1]ETC Data'!$H$5*'[1]ETC Data'!$J$5,0)</f>
        <v>0</v>
      </c>
      <c r="AN51" s="58">
        <f>AM51-(AM51*((VLOOKUP(A51,[1]Plan!A$1:BA$804,53,FALSE)/100)))</f>
        <v>0</v>
      </c>
      <c r="AO51" s="61">
        <f>IF(AJ51,O51*'[1]ETC Data'!$H$5*'[1]ETC Data'!$K$5,0)</f>
        <v>0</v>
      </c>
      <c r="AP51" s="58">
        <f>AO51-(AO51*((VLOOKUP(A51,[1]Plan!A$1:BB$804,54,FALSE)/100)))</f>
        <v>0</v>
      </c>
      <c r="AQ51" s="58">
        <f>IF(AJ51,O51*'[1]ETC Data'!$H$5*'[1]ETC Data'!$L$5,0)</f>
        <v>0</v>
      </c>
      <c r="AR51" s="58">
        <f>AQ51-(AQ51*((VLOOKUP(A51,[1]Plan!A$1:BD$804,56,FALSE)/100)))</f>
        <v>0</v>
      </c>
      <c r="AS51" s="20">
        <f>VLOOKUP(A51,'[1]PR Matrix'!A:B,2,FALSE)</f>
        <v>0</v>
      </c>
      <c r="AT51" s="21">
        <f>R51+T51+V51+X51+AB51+AD51+AF51+AH51+AL51+AN51+AP51+AR51</f>
        <v>0</v>
      </c>
      <c r="AU51" s="21">
        <f>Q51+S51+U51+W51+AA51+AC51+AE51+AG51+AK51+AM51+AO51+AQ51</f>
        <v>0</v>
      </c>
      <c r="AV51" s="21">
        <f>R51+AB51+AL51</f>
        <v>0</v>
      </c>
      <c r="AW51" s="21">
        <f>T51+AD51+AN51</f>
        <v>0</v>
      </c>
      <c r="AX51" s="21">
        <f>V51+AF51+AP51</f>
        <v>0</v>
      </c>
      <c r="AY51" s="21">
        <f>X51+AH51+AR51</f>
        <v>0</v>
      </c>
    </row>
    <row r="52" spans="1:51" hidden="1" x14ac:dyDescent="0.2">
      <c r="A52" s="86" t="s">
        <v>259</v>
      </c>
      <c r="B52" s="51" t="s">
        <v>258</v>
      </c>
      <c r="C52" s="51"/>
      <c r="D52" s="51"/>
      <c r="E52" s="52">
        <f>IF(G52="Y",VLOOKUP(B52&amp;"|"&amp;C52,'[1]ETC Data'!$C$2:$D$16,2,FALSE),0)</f>
        <v>0</v>
      </c>
      <c r="F52" s="52">
        <f>IF(D52="",0,IF(G52="Y",VLOOKUP(B52&amp;"|"&amp;D52,'[1]ETC Data'!$C$2:$D$16,2,FALSE),0))</f>
        <v>0</v>
      </c>
      <c r="G52" s="53" t="str">
        <f>IF(VLOOKUP(A52,[1]Plan!A$1:H$804,8,FALSE)&lt;&gt;"",VLOOKUP(A52,[1]Plan!A$1:H$804,8,FALSE),"")</f>
        <v>N</v>
      </c>
      <c r="H52" s="54" t="str">
        <f>IF(VLOOKUP(A52,[1]Plan!A$1:L$804,12,FALSE)&lt;&gt;"",VLOOKUP(A52,[1]Plan!A$1:L$804,12,FALSE),"")</f>
        <v/>
      </c>
      <c r="I52" s="55" t="str">
        <f>IF(VLOOKUP(A52,[1]Plan!A$1:M$804,13,FALSE)&lt;&gt;"",VLOOKUP(A52,[1]Plan!A$1:M$804,13,FALSE),"")</f>
        <v/>
      </c>
      <c r="J52" s="55" t="str">
        <f>IF(VLOOKUP(A52,[1]Plan!A$1:N$804,14,FALSE)&lt;&gt;"",VLOOKUP(A52,[1]Plan!A$1:N$804,14,FALSE),IF(VLOOKUP(A52,[1]Plan!A$1:O$804,15,FALSE)&lt;&gt;"",VLOOKUP(A52,[1]Plan!A$1:O$804,15,FALSE),""))</f>
        <v/>
      </c>
      <c r="K52" s="56" t="str">
        <f>IF(VLOOKUP(A52,[1]Plan!A$1:P$804,16,FALSE)&lt;&gt;"",VLOOKUP(A52,[1]Plan!A$1:P$804,16,FALSE),"")</f>
        <v/>
      </c>
      <c r="L52" s="55"/>
      <c r="M52" s="55"/>
      <c r="N52" s="55"/>
      <c r="O52" s="57">
        <f>IF(F52=0,E52,F52)</f>
        <v>0</v>
      </c>
      <c r="P52" s="57" t="b">
        <f>OR(H52="Y",I52="Y")</f>
        <v>0</v>
      </c>
      <c r="Q52" s="58">
        <f>IF(P52,O52*'[1]ETC Data'!$H$3*'[1]ETC Data'!$I$3,0)</f>
        <v>0</v>
      </c>
      <c r="R52" s="58">
        <f>Q52-(Q52*((VLOOKUP(A52,[1]Plan!A$1:Z$804,26,FALSE)/100)))</f>
        <v>0</v>
      </c>
      <c r="S52" s="58">
        <f>IF(P52,O52*'[1]ETC Data'!$H$3*'[1]ETC Data'!$J$3,0)</f>
        <v>0</v>
      </c>
      <c r="T52" s="58">
        <f>S52-(S52*((VLOOKUP(A52,[1]Plan!A$1:AA$804,27,FALSE)/100)))</f>
        <v>0</v>
      </c>
      <c r="U52" s="58">
        <f>IF(P52,O52*'[1]ETC Data'!$H$3*'[1]ETC Data'!$K$3,0)</f>
        <v>0</v>
      </c>
      <c r="V52" s="58">
        <f>U52-(U52*((VLOOKUP(A52,[1]Plan!A$1:AB$804,28,FALSE)/100)))</f>
        <v>0</v>
      </c>
      <c r="W52" s="58">
        <f>IF(P52,O52*'[1]ETC Data'!$H$3*'[1]ETC Data'!$L$3,0)</f>
        <v>0</v>
      </c>
      <c r="X52" s="58">
        <f>W52-(W52*((VLOOKUP(A52,[1]Plan!A$1:AC$804,29,FALSE)/100)))</f>
        <v>0</v>
      </c>
      <c r="Y52" s="59"/>
      <c r="Z52" s="60" t="b">
        <f>OR(H52="Y",J52="Y")</f>
        <v>0</v>
      </c>
      <c r="AA52" s="58">
        <f>IF(Z52,O52*'[1]ETC Data'!$H$4*'[1]ETC Data'!$I$4,0)</f>
        <v>0</v>
      </c>
      <c r="AB52" s="58">
        <f>AA52-(AA52*((VLOOKUP(A52,[1]Plan!A$1:AI$804,35,FALSE)/100)))</f>
        <v>0</v>
      </c>
      <c r="AC52" s="58">
        <f>IF(Z52,O52*'[1]ETC Data'!$H$4*'[1]ETC Data'!$J$4,0)</f>
        <v>0</v>
      </c>
      <c r="AD52" s="58">
        <f>AC52-(AC52*((VLOOKUP(A52,[1]Plan!A$1:AJ$804,36,FALSE)/100)))</f>
        <v>0</v>
      </c>
      <c r="AE52" s="58">
        <f>IF(Z52,O52*'[1]ETC Data'!$H$4*'[1]ETC Data'!$K$4,0)</f>
        <v>0</v>
      </c>
      <c r="AF52" s="58">
        <f>AE52-(AE52*((VLOOKUP(A52,[1]Plan!A$1:AK$804,37,FALSE)/100)))</f>
        <v>0</v>
      </c>
      <c r="AG52" s="58">
        <f>IF(Z52,O52*'[1]ETC Data'!$H$4*'[1]ETC Data'!$L$4,0)</f>
        <v>0</v>
      </c>
      <c r="AH52" s="58">
        <f>AG52-(AG52*((VLOOKUP(A52,[1]Plan!A$1:AP$804,42,FALSE)/100)))</f>
        <v>0</v>
      </c>
      <c r="AI52" s="60"/>
      <c r="AJ52" s="60" t="b">
        <f>OR(H52="Y",K52="Y")</f>
        <v>0</v>
      </c>
      <c r="AK52" s="61">
        <f>IF(AJ52,O52*'[1]ETC Data'!$H$5*'[1]ETC Data'!$I$5,0)</f>
        <v>0</v>
      </c>
      <c r="AL52" s="58">
        <f>AK52-(AK52*((VLOOKUP(A52,[1]Plan!A$1:AY$804,51,FALSE)/100)))</f>
        <v>0</v>
      </c>
      <c r="AM52" s="58">
        <f>IF(AJ52,O52*'[1]ETC Data'!$H$5*'[1]ETC Data'!$J$5,0)</f>
        <v>0</v>
      </c>
      <c r="AN52" s="58">
        <f>AM52-(AM52*((VLOOKUP(A52,[1]Plan!A$1:BA$804,53,FALSE)/100)))</f>
        <v>0</v>
      </c>
      <c r="AO52" s="61">
        <f>IF(AJ52,O52*'[1]ETC Data'!$H$5*'[1]ETC Data'!$K$5,0)</f>
        <v>0</v>
      </c>
      <c r="AP52" s="58">
        <f>AO52-(AO52*((VLOOKUP(A52,[1]Plan!A$1:BB$804,54,FALSE)/100)))</f>
        <v>0</v>
      </c>
      <c r="AQ52" s="58">
        <f>IF(AJ52,O52*'[1]ETC Data'!$H$5*'[1]ETC Data'!$L$5,0)</f>
        <v>0</v>
      </c>
      <c r="AR52" s="58">
        <f>AQ52-(AQ52*((VLOOKUP(A52,[1]Plan!A$1:BD$804,56,FALSE)/100)))</f>
        <v>0</v>
      </c>
      <c r="AS52" s="20">
        <f>VLOOKUP(A52,'[1]PR Matrix'!A:B,2,FALSE)</f>
        <v>0</v>
      </c>
      <c r="AT52" s="21">
        <f>R52+T52+V52+X52+AB52+AD52+AF52+AH52+AL52+AN52+AP52+AR52</f>
        <v>0</v>
      </c>
      <c r="AU52" s="21">
        <f>Q52+S52+U52+W52+AA52+AC52+AE52+AG52+AK52+AM52+AO52+AQ52</f>
        <v>0</v>
      </c>
      <c r="AV52" s="21">
        <f>R52+AB52+AL52</f>
        <v>0</v>
      </c>
      <c r="AW52" s="21">
        <f>T52+AD52+AN52</f>
        <v>0</v>
      </c>
      <c r="AX52" s="21">
        <f>V52+AF52+AP52</f>
        <v>0</v>
      </c>
      <c r="AY52" s="21">
        <f>X52+AH52+AR52</f>
        <v>0</v>
      </c>
    </row>
    <row r="53" spans="1:51" hidden="1" x14ac:dyDescent="0.2">
      <c r="A53" s="50" t="s">
        <v>260</v>
      </c>
      <c r="B53" s="51" t="s">
        <v>208</v>
      </c>
      <c r="C53" s="51"/>
      <c r="D53" s="51"/>
      <c r="E53" s="52">
        <f>IF(G53="Y",VLOOKUP(B53&amp;"|"&amp;C53,'[1]ETC Data'!$C$2:$D$16,2,FALSE),0)</f>
        <v>0</v>
      </c>
      <c r="F53" s="52">
        <f>IF(D53="",0,IF(G53="Y",VLOOKUP(B53&amp;"|"&amp;D53,'[1]ETC Data'!$C$2:$D$16,2,FALSE),0))</f>
        <v>0</v>
      </c>
      <c r="G53" s="53" t="str">
        <f>IF(VLOOKUP(A53,[1]Plan!A$1:H$804,8,FALSE)&lt;&gt;"",VLOOKUP(A53,[1]Plan!A$1:H$804,8,FALSE),"")</f>
        <v>N</v>
      </c>
      <c r="H53" s="54" t="str">
        <f>IF(VLOOKUP(A53,[1]Plan!A$1:L$804,12,FALSE)&lt;&gt;"",VLOOKUP(A53,[1]Plan!A$1:L$804,12,FALSE),"")</f>
        <v/>
      </c>
      <c r="I53" s="55" t="str">
        <f>IF(VLOOKUP(A53,[1]Plan!A$1:M$804,13,FALSE)&lt;&gt;"",VLOOKUP(A53,[1]Plan!A$1:M$804,13,FALSE),"")</f>
        <v/>
      </c>
      <c r="J53" s="55" t="str">
        <f>IF(VLOOKUP(A53,[1]Plan!A$1:N$804,14,FALSE)&lt;&gt;"",VLOOKUP(A53,[1]Plan!A$1:N$804,14,FALSE),IF(VLOOKUP(A53,[1]Plan!A$1:O$804,15,FALSE)&lt;&gt;"",VLOOKUP(A53,[1]Plan!A$1:O$804,15,FALSE),""))</f>
        <v/>
      </c>
      <c r="K53" s="56" t="str">
        <f>IF(VLOOKUP(A53,[1]Plan!A$1:P$804,16,FALSE)&lt;&gt;"",VLOOKUP(A53,[1]Plan!A$1:P$804,16,FALSE),"")</f>
        <v/>
      </c>
      <c r="L53" s="55"/>
      <c r="M53" s="55"/>
      <c r="N53" s="55"/>
      <c r="O53" s="57">
        <f>IF(F53=0,E53,F53)</f>
        <v>0</v>
      </c>
      <c r="P53" s="57" t="b">
        <f>OR(H53="Y",I53="Y")</f>
        <v>0</v>
      </c>
      <c r="Q53" s="58">
        <f>IF(P53,O53*'[1]ETC Data'!$H$3*'[1]ETC Data'!$I$3,0)</f>
        <v>0</v>
      </c>
      <c r="R53" s="58">
        <f>Q53-(Q53*((VLOOKUP(A53,[1]Plan!A$1:Z$804,26,FALSE)/100)))</f>
        <v>0</v>
      </c>
      <c r="S53" s="58">
        <f>IF(P53,O53*'[1]ETC Data'!$H$3*'[1]ETC Data'!$J$3,0)</f>
        <v>0</v>
      </c>
      <c r="T53" s="58">
        <f>S53-(S53*((VLOOKUP(A53,[1]Plan!A$1:AA$804,27,FALSE)/100)))</f>
        <v>0</v>
      </c>
      <c r="U53" s="58">
        <f>IF(P53,O53*'[1]ETC Data'!$H$3*'[1]ETC Data'!$K$3,0)</f>
        <v>0</v>
      </c>
      <c r="V53" s="58">
        <f>U53-(U53*((VLOOKUP(A53,[1]Plan!A$1:AB$804,28,FALSE)/100)))</f>
        <v>0</v>
      </c>
      <c r="W53" s="58">
        <f>IF(P53,O53*'[1]ETC Data'!$H$3*'[1]ETC Data'!$L$3,0)</f>
        <v>0</v>
      </c>
      <c r="X53" s="58">
        <f>W53-(W53*((VLOOKUP(A53,[1]Plan!A$1:AC$804,29,FALSE)/100)))</f>
        <v>0</v>
      </c>
      <c r="Y53" s="59"/>
      <c r="Z53" s="60" t="b">
        <f>OR(H53="Y",J53="Y")</f>
        <v>0</v>
      </c>
      <c r="AA53" s="58">
        <f>IF(Z53,O53*'[1]ETC Data'!$H$4*'[1]ETC Data'!$I$4,0)</f>
        <v>0</v>
      </c>
      <c r="AB53" s="58">
        <f>AA53-(AA53*((VLOOKUP(A53,[1]Plan!A$1:AI$804,35,FALSE)/100)))</f>
        <v>0</v>
      </c>
      <c r="AC53" s="58">
        <f>IF(Z53,O53*'[1]ETC Data'!$H$4*'[1]ETC Data'!$J$4,0)</f>
        <v>0</v>
      </c>
      <c r="AD53" s="58">
        <f>AC53-(AC53*((VLOOKUP(A53,[1]Plan!A$1:AJ$804,36,FALSE)/100)))</f>
        <v>0</v>
      </c>
      <c r="AE53" s="58">
        <f>IF(Z53,O53*'[1]ETC Data'!$H$4*'[1]ETC Data'!$K$4,0)</f>
        <v>0</v>
      </c>
      <c r="AF53" s="58">
        <f>AE53-(AE53*((VLOOKUP(A53,[1]Plan!A$1:AK$804,37,FALSE)/100)))</f>
        <v>0</v>
      </c>
      <c r="AG53" s="58">
        <f>IF(Z53,O53*'[1]ETC Data'!$H$4*'[1]ETC Data'!$L$4,0)</f>
        <v>0</v>
      </c>
      <c r="AH53" s="58">
        <f>AG53-(AG53*((VLOOKUP(A53,[1]Plan!A$1:AP$804,42,FALSE)/100)))</f>
        <v>0</v>
      </c>
      <c r="AI53" s="60"/>
      <c r="AJ53" s="60" t="b">
        <f>OR(H53="Y",K53="Y")</f>
        <v>0</v>
      </c>
      <c r="AK53" s="61">
        <f>IF(AJ53,O53*'[1]ETC Data'!$H$5*'[1]ETC Data'!$I$5,0)</f>
        <v>0</v>
      </c>
      <c r="AL53" s="58">
        <f>AK53-(AK53*((VLOOKUP(A53,[1]Plan!A$1:AY$804,51,FALSE)/100)))</f>
        <v>0</v>
      </c>
      <c r="AM53" s="58">
        <f>IF(AJ53,O53*'[1]ETC Data'!$H$5*'[1]ETC Data'!$J$5,0)</f>
        <v>0</v>
      </c>
      <c r="AN53" s="58">
        <f>AM53-(AM53*((VLOOKUP(A53,[1]Plan!A$1:BA$804,53,FALSE)/100)))</f>
        <v>0</v>
      </c>
      <c r="AO53" s="61">
        <f>IF(AJ53,O53*'[1]ETC Data'!$H$5*'[1]ETC Data'!$K$5,0)</f>
        <v>0</v>
      </c>
      <c r="AP53" s="58">
        <f>AO53-(AO53*((VLOOKUP(A53,[1]Plan!A$1:BB$804,54,FALSE)/100)))</f>
        <v>0</v>
      </c>
      <c r="AQ53" s="58">
        <f>IF(AJ53,O53*'[1]ETC Data'!$H$5*'[1]ETC Data'!$L$5,0)</f>
        <v>0</v>
      </c>
      <c r="AR53" s="58">
        <f>AQ53-(AQ53*((VLOOKUP(A53,[1]Plan!A$1:BD$804,56,FALSE)/100)))</f>
        <v>0</v>
      </c>
      <c r="AS53" s="20">
        <f>VLOOKUP(A53,'[1]PR Matrix'!A:B,2,FALSE)</f>
        <v>0</v>
      </c>
      <c r="AT53" s="21">
        <f>R53+T53+V53+X53+AB53+AD53+AF53+AH53+AL53+AN53+AP53+AR53</f>
        <v>0</v>
      </c>
      <c r="AU53" s="21">
        <f>Q53+S53+U53+W53+AA53+AC53+AE53+AG53+AK53+AM53+AO53+AQ53</f>
        <v>0</v>
      </c>
      <c r="AV53" s="21">
        <f>R53+AB53+AL53</f>
        <v>0</v>
      </c>
      <c r="AW53" s="21">
        <f>T53+AD53+AN53</f>
        <v>0</v>
      </c>
      <c r="AX53" s="21">
        <f>V53+AF53+AP53</f>
        <v>0</v>
      </c>
      <c r="AY53" s="21">
        <f>X53+AH53+AR53</f>
        <v>0</v>
      </c>
    </row>
    <row r="54" spans="1:51" hidden="1" x14ac:dyDescent="0.2">
      <c r="A54" s="50" t="s">
        <v>261</v>
      </c>
      <c r="B54" s="51" t="s">
        <v>208</v>
      </c>
      <c r="C54" s="51"/>
      <c r="D54" s="51"/>
      <c r="E54" s="52">
        <f>IF(G54="Y",VLOOKUP(B54&amp;"|"&amp;C54,'[1]ETC Data'!$C$2:$D$16,2,FALSE),0)</f>
        <v>0</v>
      </c>
      <c r="F54" s="52">
        <f>IF(D54="",0,IF(G54="Y",VLOOKUP(B54&amp;"|"&amp;D54,'[1]ETC Data'!$C$2:$D$16,2,FALSE),0))</f>
        <v>0</v>
      </c>
      <c r="G54" s="53" t="str">
        <f>IF(VLOOKUP(A54,[1]Plan!A$1:H$804,8,FALSE)&lt;&gt;"",VLOOKUP(A54,[1]Plan!A$1:H$804,8,FALSE),"")</f>
        <v>N</v>
      </c>
      <c r="H54" s="54" t="str">
        <f>IF(VLOOKUP(A54,[1]Plan!A$1:L$804,12,FALSE)&lt;&gt;"",VLOOKUP(A54,[1]Plan!A$1:L$804,12,FALSE),"")</f>
        <v/>
      </c>
      <c r="I54" s="55" t="str">
        <f>IF(VLOOKUP(A54,[1]Plan!A$1:M$804,13,FALSE)&lt;&gt;"",VLOOKUP(A54,[1]Plan!A$1:M$804,13,FALSE),"")</f>
        <v/>
      </c>
      <c r="J54" s="55" t="str">
        <f>IF(VLOOKUP(A54,[1]Plan!A$1:N$804,14,FALSE)&lt;&gt;"",VLOOKUP(A54,[1]Plan!A$1:N$804,14,FALSE),IF(VLOOKUP(A54,[1]Plan!A$1:O$804,15,FALSE)&lt;&gt;"",VLOOKUP(A54,[1]Plan!A$1:O$804,15,FALSE),""))</f>
        <v/>
      </c>
      <c r="K54" s="56" t="str">
        <f>IF(VLOOKUP(A54,[1]Plan!A$1:P$804,16,FALSE)&lt;&gt;"",VLOOKUP(A54,[1]Plan!A$1:P$804,16,FALSE),"")</f>
        <v/>
      </c>
      <c r="L54" s="55"/>
      <c r="M54" s="55"/>
      <c r="N54" s="55"/>
      <c r="O54" s="57">
        <f>IF(F54=0,E54,F54)</f>
        <v>0</v>
      </c>
      <c r="P54" s="57" t="b">
        <f>OR(H54="Y",I54="Y")</f>
        <v>0</v>
      </c>
      <c r="Q54" s="58">
        <f>IF(P54,O54*'[1]ETC Data'!$H$3*'[1]ETC Data'!$I$3,0)</f>
        <v>0</v>
      </c>
      <c r="R54" s="58">
        <f>Q54-(Q54*((VLOOKUP(A54,[1]Plan!A$1:Z$804,26,FALSE)/100)))</f>
        <v>0</v>
      </c>
      <c r="S54" s="58">
        <f>IF(P54,O54*'[1]ETC Data'!$H$3*'[1]ETC Data'!$J$3,0)</f>
        <v>0</v>
      </c>
      <c r="T54" s="58">
        <f>S54-(S54*((VLOOKUP(A54,[1]Plan!A$1:AA$804,27,FALSE)/100)))</f>
        <v>0</v>
      </c>
      <c r="U54" s="58">
        <f>IF(P54,O54*'[1]ETC Data'!$H$3*'[1]ETC Data'!$K$3,0)</f>
        <v>0</v>
      </c>
      <c r="V54" s="58">
        <f>U54-(U54*((VLOOKUP(A54,[1]Plan!A$1:AB$804,28,FALSE)/100)))</f>
        <v>0</v>
      </c>
      <c r="W54" s="58">
        <f>IF(P54,O54*'[1]ETC Data'!$H$3*'[1]ETC Data'!$L$3,0)</f>
        <v>0</v>
      </c>
      <c r="X54" s="58">
        <f>W54-(W54*((VLOOKUP(A54,[1]Plan!A$1:AC$804,29,FALSE)/100)))</f>
        <v>0</v>
      </c>
      <c r="Y54" s="59"/>
      <c r="Z54" s="60" t="b">
        <f>OR(H54="Y",J54="Y")</f>
        <v>0</v>
      </c>
      <c r="AA54" s="58">
        <f>IF(Z54,O54*'[1]ETC Data'!$H$4*'[1]ETC Data'!$I$4,0)</f>
        <v>0</v>
      </c>
      <c r="AB54" s="58">
        <f>AA54-(AA54*((VLOOKUP(A54,[1]Plan!A$1:AI$804,35,FALSE)/100)))</f>
        <v>0</v>
      </c>
      <c r="AC54" s="58">
        <f>IF(Z54,O54*'[1]ETC Data'!$H$4*'[1]ETC Data'!$J$4,0)</f>
        <v>0</v>
      </c>
      <c r="AD54" s="58">
        <f>AC54-(AC54*((VLOOKUP(A54,[1]Plan!A$1:AJ$804,36,FALSE)/100)))</f>
        <v>0</v>
      </c>
      <c r="AE54" s="58">
        <f>IF(Z54,O54*'[1]ETC Data'!$H$4*'[1]ETC Data'!$K$4,0)</f>
        <v>0</v>
      </c>
      <c r="AF54" s="58">
        <f>AE54-(AE54*((VLOOKUP(A54,[1]Plan!A$1:AK$804,37,FALSE)/100)))</f>
        <v>0</v>
      </c>
      <c r="AG54" s="58">
        <f>IF(Z54,O54*'[1]ETC Data'!$H$4*'[1]ETC Data'!$L$4,0)</f>
        <v>0</v>
      </c>
      <c r="AH54" s="58">
        <f>AG54-(AG54*((VLOOKUP(A54,[1]Plan!A$1:AP$804,42,FALSE)/100)))</f>
        <v>0</v>
      </c>
      <c r="AI54" s="60"/>
      <c r="AJ54" s="60" t="b">
        <f>OR(H54="Y",K54="Y")</f>
        <v>0</v>
      </c>
      <c r="AK54" s="61">
        <f>IF(AJ54,O54*'[1]ETC Data'!$H$5*'[1]ETC Data'!$I$5,0)</f>
        <v>0</v>
      </c>
      <c r="AL54" s="58">
        <f>AK54-(AK54*((VLOOKUP(A54,[1]Plan!A$1:AY$804,51,FALSE)/100)))</f>
        <v>0</v>
      </c>
      <c r="AM54" s="58">
        <f>IF(AJ54,O54*'[1]ETC Data'!$H$5*'[1]ETC Data'!$J$5,0)</f>
        <v>0</v>
      </c>
      <c r="AN54" s="58">
        <f>AM54-(AM54*((VLOOKUP(A54,[1]Plan!A$1:BA$804,53,FALSE)/100)))</f>
        <v>0</v>
      </c>
      <c r="AO54" s="61">
        <f>IF(AJ54,O54*'[1]ETC Data'!$H$5*'[1]ETC Data'!$K$5,0)</f>
        <v>0</v>
      </c>
      <c r="AP54" s="58">
        <f>AO54-(AO54*((VLOOKUP(A54,[1]Plan!A$1:BB$804,54,FALSE)/100)))</f>
        <v>0</v>
      </c>
      <c r="AQ54" s="58">
        <f>IF(AJ54,O54*'[1]ETC Data'!$H$5*'[1]ETC Data'!$L$5,0)</f>
        <v>0</v>
      </c>
      <c r="AR54" s="58">
        <f>AQ54-(AQ54*((VLOOKUP(A54,[1]Plan!A$1:BD$804,56,FALSE)/100)))</f>
        <v>0</v>
      </c>
      <c r="AS54" s="20">
        <f>VLOOKUP(A54,'[1]PR Matrix'!A:B,2,FALSE)</f>
        <v>0</v>
      </c>
      <c r="AT54" s="21">
        <f>R54+T54+V54+X54+AB54+AD54+AF54+AH54+AL54+AN54+AP54+AR54</f>
        <v>0</v>
      </c>
      <c r="AU54" s="21">
        <f>Q54+S54+U54+W54+AA54+AC54+AE54+AG54+AK54+AM54+AO54+AQ54</f>
        <v>0</v>
      </c>
      <c r="AV54" s="21">
        <f>R54+AB54+AL54</f>
        <v>0</v>
      </c>
      <c r="AW54" s="21">
        <f>T54+AD54+AN54</f>
        <v>0</v>
      </c>
      <c r="AX54" s="21">
        <f>V54+AF54+AP54</f>
        <v>0</v>
      </c>
      <c r="AY54" s="21">
        <f>X54+AH54+AR54</f>
        <v>0</v>
      </c>
    </row>
    <row r="55" spans="1:51" hidden="1" x14ac:dyDescent="0.2">
      <c r="A55" s="50" t="s">
        <v>262</v>
      </c>
      <c r="B55" s="51" t="s">
        <v>208</v>
      </c>
      <c r="C55" s="51"/>
      <c r="D55" s="51"/>
      <c r="E55" s="52">
        <f>IF(G55="Y",VLOOKUP(B55&amp;"|"&amp;C55,'[1]ETC Data'!$C$2:$D$16,2,FALSE),0)</f>
        <v>0</v>
      </c>
      <c r="F55" s="52">
        <f>IF(D55="",0,IF(G55="Y",VLOOKUP(B55&amp;"|"&amp;D55,'[1]ETC Data'!$C$2:$D$16,2,FALSE),0))</f>
        <v>0</v>
      </c>
      <c r="G55" s="53" t="str">
        <f>IF(VLOOKUP(A55,[1]Plan!A$1:H$804,8,FALSE)&lt;&gt;"",VLOOKUP(A55,[1]Plan!A$1:H$804,8,FALSE),"")</f>
        <v>N</v>
      </c>
      <c r="H55" s="54" t="str">
        <f>IF(VLOOKUP(A55,[1]Plan!A$1:L$804,12,FALSE)&lt;&gt;"",VLOOKUP(A55,[1]Plan!A$1:L$804,12,FALSE),"")</f>
        <v/>
      </c>
      <c r="I55" s="55" t="str">
        <f>IF(VLOOKUP(A55,[1]Plan!A$1:M$804,13,FALSE)&lt;&gt;"",VLOOKUP(A55,[1]Plan!A$1:M$804,13,FALSE),"")</f>
        <v/>
      </c>
      <c r="J55" s="55" t="str">
        <f>IF(VLOOKUP(A55,[1]Plan!A$1:N$804,14,FALSE)&lt;&gt;"",VLOOKUP(A55,[1]Plan!A$1:N$804,14,FALSE),IF(VLOOKUP(A55,[1]Plan!A$1:O$804,15,FALSE)&lt;&gt;"",VLOOKUP(A55,[1]Plan!A$1:O$804,15,FALSE),""))</f>
        <v/>
      </c>
      <c r="K55" s="56" t="str">
        <f>IF(VLOOKUP(A55,[1]Plan!A$1:P$804,16,FALSE)&lt;&gt;"",VLOOKUP(A55,[1]Plan!A$1:P$804,16,FALSE),"")</f>
        <v/>
      </c>
      <c r="L55" s="55"/>
      <c r="M55" s="55"/>
      <c r="N55" s="55"/>
      <c r="O55" s="57">
        <f>IF(F55=0,E55,F55)</f>
        <v>0</v>
      </c>
      <c r="P55" s="57" t="b">
        <f>OR(H55="Y",I55="Y")</f>
        <v>0</v>
      </c>
      <c r="Q55" s="58">
        <f>IF(P55,O55*'[1]ETC Data'!$H$3*'[1]ETC Data'!$I$3,0)</f>
        <v>0</v>
      </c>
      <c r="R55" s="58">
        <f>Q55-(Q55*((VLOOKUP(A55,[1]Plan!A$1:Z$804,26,FALSE)/100)))</f>
        <v>0</v>
      </c>
      <c r="S55" s="58">
        <f>IF(P55,O55*'[1]ETC Data'!$H$3*'[1]ETC Data'!$J$3,0)</f>
        <v>0</v>
      </c>
      <c r="T55" s="58">
        <f>S55-(S55*((VLOOKUP(A55,[1]Plan!A$1:AA$804,27,FALSE)/100)))</f>
        <v>0</v>
      </c>
      <c r="U55" s="58">
        <f>IF(P55,O55*'[1]ETC Data'!$H$3*'[1]ETC Data'!$K$3,0)</f>
        <v>0</v>
      </c>
      <c r="V55" s="58">
        <f>U55-(U55*((VLOOKUP(A55,[1]Plan!A$1:AB$804,28,FALSE)/100)))</f>
        <v>0</v>
      </c>
      <c r="W55" s="58">
        <f>IF(P55,O55*'[1]ETC Data'!$H$3*'[1]ETC Data'!$L$3,0)</f>
        <v>0</v>
      </c>
      <c r="X55" s="58">
        <f>W55-(W55*((VLOOKUP(A55,[1]Plan!A$1:AC$804,29,FALSE)/100)))</f>
        <v>0</v>
      </c>
      <c r="Y55" s="59"/>
      <c r="Z55" s="60" t="b">
        <f>OR(H55="Y",J55="Y")</f>
        <v>0</v>
      </c>
      <c r="AA55" s="58">
        <f>IF(Z55,O55*'[1]ETC Data'!$H$4*'[1]ETC Data'!$I$4,0)</f>
        <v>0</v>
      </c>
      <c r="AB55" s="58">
        <f>AA55-(AA55*((VLOOKUP(A55,[1]Plan!A$1:AI$804,35,FALSE)/100)))</f>
        <v>0</v>
      </c>
      <c r="AC55" s="58">
        <f>IF(Z55,O55*'[1]ETC Data'!$H$4*'[1]ETC Data'!$J$4,0)</f>
        <v>0</v>
      </c>
      <c r="AD55" s="58">
        <f>AC55-(AC55*((VLOOKUP(A55,[1]Plan!A$1:AJ$804,36,FALSE)/100)))</f>
        <v>0</v>
      </c>
      <c r="AE55" s="58">
        <f>IF(Z55,O55*'[1]ETC Data'!$H$4*'[1]ETC Data'!$K$4,0)</f>
        <v>0</v>
      </c>
      <c r="AF55" s="58">
        <f>AE55-(AE55*((VLOOKUP(A55,[1]Plan!A$1:AK$804,37,FALSE)/100)))</f>
        <v>0</v>
      </c>
      <c r="AG55" s="58">
        <f>IF(Z55,O55*'[1]ETC Data'!$H$4*'[1]ETC Data'!$L$4,0)</f>
        <v>0</v>
      </c>
      <c r="AH55" s="58">
        <f>AG55-(AG55*((VLOOKUP(A55,[1]Plan!A$1:AP$804,42,FALSE)/100)))</f>
        <v>0</v>
      </c>
      <c r="AI55" s="60"/>
      <c r="AJ55" s="60" t="b">
        <f>OR(H55="Y",K55="Y")</f>
        <v>0</v>
      </c>
      <c r="AK55" s="61">
        <f>IF(AJ55,O55*'[1]ETC Data'!$H$5*'[1]ETC Data'!$I$5,0)</f>
        <v>0</v>
      </c>
      <c r="AL55" s="58">
        <f>AK55-(AK55*((VLOOKUP(A55,[1]Plan!A$1:AY$804,51,FALSE)/100)))</f>
        <v>0</v>
      </c>
      <c r="AM55" s="58">
        <f>IF(AJ55,O55*'[1]ETC Data'!$H$5*'[1]ETC Data'!$J$5,0)</f>
        <v>0</v>
      </c>
      <c r="AN55" s="58">
        <f>AM55-(AM55*((VLOOKUP(A55,[1]Plan!A$1:BA$804,53,FALSE)/100)))</f>
        <v>0</v>
      </c>
      <c r="AO55" s="61">
        <f>IF(AJ55,O55*'[1]ETC Data'!$H$5*'[1]ETC Data'!$K$5,0)</f>
        <v>0</v>
      </c>
      <c r="AP55" s="58">
        <f>AO55-(AO55*((VLOOKUP(A55,[1]Plan!A$1:BB$804,54,FALSE)/100)))</f>
        <v>0</v>
      </c>
      <c r="AQ55" s="58">
        <f>IF(AJ55,O55*'[1]ETC Data'!$H$5*'[1]ETC Data'!$L$5,0)</f>
        <v>0</v>
      </c>
      <c r="AR55" s="58">
        <f>AQ55-(AQ55*((VLOOKUP(A55,[1]Plan!A$1:BD$804,56,FALSE)/100)))</f>
        <v>0</v>
      </c>
      <c r="AS55" s="20">
        <f>VLOOKUP(A55,'[1]PR Matrix'!A:B,2,FALSE)</f>
        <v>0</v>
      </c>
      <c r="AT55" s="21">
        <f>R55+T55+V55+X55+AB55+AD55+AF55+AH55+AL55+AN55+AP55+AR55</f>
        <v>0</v>
      </c>
      <c r="AU55" s="21">
        <f>Q55+S55+U55+W55+AA55+AC55+AE55+AG55+AK55+AM55+AO55+AQ55</f>
        <v>0</v>
      </c>
      <c r="AV55" s="21">
        <f>R55+AB55+AL55</f>
        <v>0</v>
      </c>
      <c r="AW55" s="21">
        <f>T55+AD55+AN55</f>
        <v>0</v>
      </c>
      <c r="AX55" s="21">
        <f>V55+AF55+AP55</f>
        <v>0</v>
      </c>
      <c r="AY55" s="21">
        <f>X55+AH55+AR55</f>
        <v>0</v>
      </c>
    </row>
    <row r="56" spans="1:51" hidden="1" x14ac:dyDescent="0.2">
      <c r="A56" s="50" t="s">
        <v>263</v>
      </c>
      <c r="B56" s="51" t="s">
        <v>208</v>
      </c>
      <c r="C56" s="51"/>
      <c r="D56" s="51"/>
      <c r="E56" s="52">
        <f>IF(G56="Y",VLOOKUP(B56&amp;"|"&amp;C56,'[1]ETC Data'!$C$2:$D$16,2,FALSE),0)</f>
        <v>0</v>
      </c>
      <c r="F56" s="52">
        <f>IF(D56="",0,IF(G56="Y",VLOOKUP(B56&amp;"|"&amp;D56,'[1]ETC Data'!$C$2:$D$16,2,FALSE),0))</f>
        <v>0</v>
      </c>
      <c r="G56" s="53" t="str">
        <f>IF(VLOOKUP(A56,[1]Plan!A$1:H$804,8,FALSE)&lt;&gt;"",VLOOKUP(A56,[1]Plan!A$1:H$804,8,FALSE),"")</f>
        <v>N</v>
      </c>
      <c r="H56" s="54" t="str">
        <f>IF(VLOOKUP(A56,[1]Plan!A$1:L$804,12,FALSE)&lt;&gt;"",VLOOKUP(A56,[1]Plan!A$1:L$804,12,FALSE),"")</f>
        <v/>
      </c>
      <c r="I56" s="55" t="str">
        <f>IF(VLOOKUP(A56,[1]Plan!A$1:M$804,13,FALSE)&lt;&gt;"",VLOOKUP(A56,[1]Plan!A$1:M$804,13,FALSE),"")</f>
        <v/>
      </c>
      <c r="J56" s="55" t="str">
        <f>IF(VLOOKUP(A56,[1]Plan!A$1:N$804,14,FALSE)&lt;&gt;"",VLOOKUP(A56,[1]Plan!A$1:N$804,14,FALSE),IF(VLOOKUP(A56,[1]Plan!A$1:O$804,15,FALSE)&lt;&gt;"",VLOOKUP(A56,[1]Plan!A$1:O$804,15,FALSE),""))</f>
        <v/>
      </c>
      <c r="K56" s="56" t="str">
        <f>IF(VLOOKUP(A56,[1]Plan!A$1:P$804,16,FALSE)&lt;&gt;"",VLOOKUP(A56,[1]Plan!A$1:P$804,16,FALSE),"")</f>
        <v/>
      </c>
      <c r="L56" s="55"/>
      <c r="M56" s="55"/>
      <c r="N56" s="55"/>
      <c r="O56" s="57">
        <f>IF(F56=0,E56,F56)</f>
        <v>0</v>
      </c>
      <c r="P56" s="57" t="b">
        <f>OR(H56="Y",I56="Y")</f>
        <v>0</v>
      </c>
      <c r="Q56" s="58">
        <f>IF(P56,O56*'[1]ETC Data'!$H$3*'[1]ETC Data'!$I$3,0)</f>
        <v>0</v>
      </c>
      <c r="R56" s="58">
        <f>Q56-(Q56*((VLOOKUP(A56,[1]Plan!A$1:Z$804,26,FALSE)/100)))</f>
        <v>0</v>
      </c>
      <c r="S56" s="58">
        <f>IF(P56,O56*'[1]ETC Data'!$H$3*'[1]ETC Data'!$J$3,0)</f>
        <v>0</v>
      </c>
      <c r="T56" s="58">
        <f>S56-(S56*((VLOOKUP(A56,[1]Plan!A$1:AA$804,27,FALSE)/100)))</f>
        <v>0</v>
      </c>
      <c r="U56" s="58">
        <f>IF(P56,O56*'[1]ETC Data'!$H$3*'[1]ETC Data'!$K$3,0)</f>
        <v>0</v>
      </c>
      <c r="V56" s="58">
        <f>U56-(U56*((VLOOKUP(A56,[1]Plan!A$1:AB$804,28,FALSE)/100)))</f>
        <v>0</v>
      </c>
      <c r="W56" s="58">
        <f>IF(P56,O56*'[1]ETC Data'!$H$3*'[1]ETC Data'!$L$3,0)</f>
        <v>0</v>
      </c>
      <c r="X56" s="58">
        <f>W56-(W56*((VLOOKUP(A56,[1]Plan!A$1:AC$804,29,FALSE)/100)))</f>
        <v>0</v>
      </c>
      <c r="Y56" s="59"/>
      <c r="Z56" s="60" t="b">
        <f>OR(H56="Y",J56="Y")</f>
        <v>0</v>
      </c>
      <c r="AA56" s="58">
        <f>IF(Z56,O56*'[1]ETC Data'!$H$4*'[1]ETC Data'!$I$4,0)</f>
        <v>0</v>
      </c>
      <c r="AB56" s="58">
        <f>AA56-(AA56*((VLOOKUP(A56,[1]Plan!A$1:AI$804,35,FALSE)/100)))</f>
        <v>0</v>
      </c>
      <c r="AC56" s="58">
        <f>IF(Z56,O56*'[1]ETC Data'!$H$4*'[1]ETC Data'!$J$4,0)</f>
        <v>0</v>
      </c>
      <c r="AD56" s="58">
        <f>AC56-(AC56*((VLOOKUP(A56,[1]Plan!A$1:AJ$804,36,FALSE)/100)))</f>
        <v>0</v>
      </c>
      <c r="AE56" s="58">
        <f>IF(Z56,O56*'[1]ETC Data'!$H$4*'[1]ETC Data'!$K$4,0)</f>
        <v>0</v>
      </c>
      <c r="AF56" s="58">
        <f>AE56-(AE56*((VLOOKUP(A56,[1]Plan!A$1:AK$804,37,FALSE)/100)))</f>
        <v>0</v>
      </c>
      <c r="AG56" s="58">
        <f>IF(Z56,O56*'[1]ETC Data'!$H$4*'[1]ETC Data'!$L$4,0)</f>
        <v>0</v>
      </c>
      <c r="AH56" s="58">
        <f>AG56-(AG56*((VLOOKUP(A56,[1]Plan!A$1:AP$804,42,FALSE)/100)))</f>
        <v>0</v>
      </c>
      <c r="AI56" s="60"/>
      <c r="AJ56" s="60" t="b">
        <f>OR(H56="Y",K56="Y")</f>
        <v>0</v>
      </c>
      <c r="AK56" s="61">
        <f>IF(AJ56,O56*'[1]ETC Data'!$H$5*'[1]ETC Data'!$I$5,0)</f>
        <v>0</v>
      </c>
      <c r="AL56" s="58">
        <f>AK56-(AK56*((VLOOKUP(A56,[1]Plan!A$1:AY$804,51,FALSE)/100)))</f>
        <v>0</v>
      </c>
      <c r="AM56" s="58">
        <f>IF(AJ56,O56*'[1]ETC Data'!$H$5*'[1]ETC Data'!$J$5,0)</f>
        <v>0</v>
      </c>
      <c r="AN56" s="58">
        <f>AM56-(AM56*((VLOOKUP(A56,[1]Plan!A$1:BA$804,53,FALSE)/100)))</f>
        <v>0</v>
      </c>
      <c r="AO56" s="61">
        <f>IF(AJ56,O56*'[1]ETC Data'!$H$5*'[1]ETC Data'!$K$5,0)</f>
        <v>0</v>
      </c>
      <c r="AP56" s="58">
        <f>AO56-(AO56*((VLOOKUP(A56,[1]Plan!A$1:BB$804,54,FALSE)/100)))</f>
        <v>0</v>
      </c>
      <c r="AQ56" s="58">
        <f>IF(AJ56,O56*'[1]ETC Data'!$H$5*'[1]ETC Data'!$L$5,0)</f>
        <v>0</v>
      </c>
      <c r="AR56" s="58">
        <f>AQ56-(AQ56*((VLOOKUP(A56,[1]Plan!A$1:BD$804,56,FALSE)/100)))</f>
        <v>0</v>
      </c>
      <c r="AS56" s="20">
        <f>VLOOKUP(A56,'[1]PR Matrix'!A:B,2,FALSE)</f>
        <v>0</v>
      </c>
      <c r="AT56" s="21">
        <f>R56+T56+V56+X56+AB56+AD56+AF56+AH56+AL56+AN56+AP56+AR56</f>
        <v>0</v>
      </c>
      <c r="AU56" s="21">
        <f>Q56+S56+U56+W56+AA56+AC56+AE56+AG56+AK56+AM56+AO56+AQ56</f>
        <v>0</v>
      </c>
      <c r="AV56" s="21">
        <f>R56+AB56+AL56</f>
        <v>0</v>
      </c>
      <c r="AW56" s="21">
        <f>T56+AD56+AN56</f>
        <v>0</v>
      </c>
      <c r="AX56" s="21">
        <f>V56+AF56+AP56</f>
        <v>0</v>
      </c>
      <c r="AY56" s="21">
        <f>X56+AH56+AR56</f>
        <v>0</v>
      </c>
    </row>
    <row r="57" spans="1:51" hidden="1" x14ac:dyDescent="0.2">
      <c r="A57" s="50" t="s">
        <v>264</v>
      </c>
      <c r="B57" s="51" t="s">
        <v>208</v>
      </c>
      <c r="C57" s="51"/>
      <c r="D57" s="51"/>
      <c r="E57" s="52">
        <f>IF(G57="Y",VLOOKUP(B57&amp;"|"&amp;C57,'[1]ETC Data'!$C$2:$D$16,2,FALSE),0)</f>
        <v>0</v>
      </c>
      <c r="F57" s="52">
        <f>IF(D57="",0,IF(G57="Y",VLOOKUP(B57&amp;"|"&amp;D57,'[1]ETC Data'!$C$2:$D$16,2,FALSE),0))</f>
        <v>0</v>
      </c>
      <c r="G57" s="53" t="str">
        <f>IF(VLOOKUP(A57,[1]Plan!A$1:H$804,8,FALSE)&lt;&gt;"",VLOOKUP(A57,[1]Plan!A$1:H$804,8,FALSE),"")</f>
        <v>N</v>
      </c>
      <c r="H57" s="54" t="str">
        <f>IF(VLOOKUP(A57,[1]Plan!A$1:L$804,12,FALSE)&lt;&gt;"",VLOOKUP(A57,[1]Plan!A$1:L$804,12,FALSE),"")</f>
        <v/>
      </c>
      <c r="I57" s="55" t="str">
        <f>IF(VLOOKUP(A57,[1]Plan!A$1:M$804,13,FALSE)&lt;&gt;"",VLOOKUP(A57,[1]Plan!A$1:M$804,13,FALSE),"")</f>
        <v/>
      </c>
      <c r="J57" s="55" t="str">
        <f>IF(VLOOKUP(A57,[1]Plan!A$1:N$804,14,FALSE)&lt;&gt;"",VLOOKUP(A57,[1]Plan!A$1:N$804,14,FALSE),IF(VLOOKUP(A57,[1]Plan!A$1:O$804,15,FALSE)&lt;&gt;"",VLOOKUP(A57,[1]Plan!A$1:O$804,15,FALSE),""))</f>
        <v/>
      </c>
      <c r="K57" s="56" t="str">
        <f>IF(VLOOKUP(A57,[1]Plan!A$1:P$804,16,FALSE)&lt;&gt;"",VLOOKUP(A57,[1]Plan!A$1:P$804,16,FALSE),"")</f>
        <v/>
      </c>
      <c r="L57" s="55"/>
      <c r="M57" s="55"/>
      <c r="N57" s="55"/>
      <c r="O57" s="57">
        <f>IF(F57=0,E57,F57)</f>
        <v>0</v>
      </c>
      <c r="P57" s="57" t="b">
        <f>OR(H57="Y",I57="Y")</f>
        <v>0</v>
      </c>
      <c r="Q57" s="58">
        <f>IF(P57,O57*'[1]ETC Data'!$H$3*'[1]ETC Data'!$I$3,0)</f>
        <v>0</v>
      </c>
      <c r="R57" s="58">
        <f>Q57-(Q57*((VLOOKUP(A57,[1]Plan!A$1:Z$804,26,FALSE)/100)))</f>
        <v>0</v>
      </c>
      <c r="S57" s="58">
        <f>IF(P57,O57*'[1]ETC Data'!$H$3*'[1]ETC Data'!$J$3,0)</f>
        <v>0</v>
      </c>
      <c r="T57" s="58">
        <f>S57-(S57*((VLOOKUP(A57,[1]Plan!A$1:AA$804,27,FALSE)/100)))</f>
        <v>0</v>
      </c>
      <c r="U57" s="58">
        <f>IF(P57,O57*'[1]ETC Data'!$H$3*'[1]ETC Data'!$K$3,0)</f>
        <v>0</v>
      </c>
      <c r="V57" s="58">
        <f>U57-(U57*((VLOOKUP(A57,[1]Plan!A$1:AB$804,28,FALSE)/100)))</f>
        <v>0</v>
      </c>
      <c r="W57" s="58">
        <f>IF(P57,O57*'[1]ETC Data'!$H$3*'[1]ETC Data'!$L$3,0)</f>
        <v>0</v>
      </c>
      <c r="X57" s="58">
        <f>W57-(W57*((VLOOKUP(A57,[1]Plan!A$1:AC$804,29,FALSE)/100)))</f>
        <v>0</v>
      </c>
      <c r="Y57" s="59"/>
      <c r="Z57" s="60" t="b">
        <f>OR(H57="Y",J57="Y")</f>
        <v>0</v>
      </c>
      <c r="AA57" s="58">
        <f>IF(Z57,O57*'[1]ETC Data'!$H$4*'[1]ETC Data'!$I$4,0)</f>
        <v>0</v>
      </c>
      <c r="AB57" s="58">
        <f>AA57-(AA57*((VLOOKUP(A57,[1]Plan!A$1:AI$804,35,FALSE)/100)))</f>
        <v>0</v>
      </c>
      <c r="AC57" s="58">
        <f>IF(Z57,O57*'[1]ETC Data'!$H$4*'[1]ETC Data'!$J$4,0)</f>
        <v>0</v>
      </c>
      <c r="AD57" s="58">
        <f>AC57-(AC57*((VLOOKUP(A57,[1]Plan!A$1:AJ$804,36,FALSE)/100)))</f>
        <v>0</v>
      </c>
      <c r="AE57" s="58">
        <f>IF(Z57,O57*'[1]ETC Data'!$H$4*'[1]ETC Data'!$K$4,0)</f>
        <v>0</v>
      </c>
      <c r="AF57" s="58">
        <f>AE57-(AE57*((VLOOKUP(A57,[1]Plan!A$1:AK$804,37,FALSE)/100)))</f>
        <v>0</v>
      </c>
      <c r="AG57" s="58">
        <f>IF(Z57,O57*'[1]ETC Data'!$H$4*'[1]ETC Data'!$L$4,0)</f>
        <v>0</v>
      </c>
      <c r="AH57" s="58">
        <f>AG57-(AG57*((VLOOKUP(A57,[1]Plan!A$1:AP$804,42,FALSE)/100)))</f>
        <v>0</v>
      </c>
      <c r="AI57" s="60"/>
      <c r="AJ57" s="60" t="b">
        <f>OR(H57="Y",K57="Y")</f>
        <v>0</v>
      </c>
      <c r="AK57" s="61">
        <f>IF(AJ57,O57*'[1]ETC Data'!$H$5*'[1]ETC Data'!$I$5,0)</f>
        <v>0</v>
      </c>
      <c r="AL57" s="58">
        <f>AK57-(AK57*((VLOOKUP(A57,[1]Plan!A$1:AY$804,51,FALSE)/100)))</f>
        <v>0</v>
      </c>
      <c r="AM57" s="58">
        <f>IF(AJ57,O57*'[1]ETC Data'!$H$5*'[1]ETC Data'!$J$5,0)</f>
        <v>0</v>
      </c>
      <c r="AN57" s="58">
        <f>AM57-(AM57*((VLOOKUP(A57,[1]Plan!A$1:BA$804,53,FALSE)/100)))</f>
        <v>0</v>
      </c>
      <c r="AO57" s="61">
        <f>IF(AJ57,O57*'[1]ETC Data'!$H$5*'[1]ETC Data'!$K$5,0)</f>
        <v>0</v>
      </c>
      <c r="AP57" s="58">
        <f>AO57-(AO57*((VLOOKUP(A57,[1]Plan!A$1:BB$804,54,FALSE)/100)))</f>
        <v>0</v>
      </c>
      <c r="AQ57" s="58">
        <f>IF(AJ57,O57*'[1]ETC Data'!$H$5*'[1]ETC Data'!$L$5,0)</f>
        <v>0</v>
      </c>
      <c r="AR57" s="58">
        <f>AQ57-(AQ57*((VLOOKUP(A57,[1]Plan!A$1:BD$804,56,FALSE)/100)))</f>
        <v>0</v>
      </c>
      <c r="AS57" s="20">
        <f>VLOOKUP(A57,'[1]PR Matrix'!A:B,2,FALSE)</f>
        <v>0</v>
      </c>
      <c r="AT57" s="21">
        <f>R57+T57+V57+X57+AB57+AD57+AF57+AH57+AL57+AN57+AP57+AR57</f>
        <v>0</v>
      </c>
      <c r="AU57" s="21">
        <f>Q57+S57+U57+W57+AA57+AC57+AE57+AG57+AK57+AM57+AO57+AQ57</f>
        <v>0</v>
      </c>
      <c r="AV57" s="21">
        <f>R57+AB57+AL57</f>
        <v>0</v>
      </c>
      <c r="AW57" s="21">
        <f>T57+AD57+AN57</f>
        <v>0</v>
      </c>
      <c r="AX57" s="21">
        <f>V57+AF57+AP57</f>
        <v>0</v>
      </c>
      <c r="AY57" s="21">
        <f>X57+AH57+AR57</f>
        <v>0</v>
      </c>
    </row>
    <row r="58" spans="1:51" hidden="1" x14ac:dyDescent="0.2">
      <c r="A58" s="50" t="s">
        <v>265</v>
      </c>
      <c r="B58" s="51" t="s">
        <v>208</v>
      </c>
      <c r="C58" s="51"/>
      <c r="D58" s="51"/>
      <c r="E58" s="52">
        <f>IF(G58="Y",VLOOKUP(B58&amp;"|"&amp;C58,'[1]ETC Data'!$C$2:$D$16,2,FALSE),0)</f>
        <v>0</v>
      </c>
      <c r="F58" s="52">
        <f>IF(D58="",0,IF(G58="Y",VLOOKUP(B58&amp;"|"&amp;D58,'[1]ETC Data'!$C$2:$D$16,2,FALSE),0))</f>
        <v>0</v>
      </c>
      <c r="G58" s="53" t="str">
        <f>IF(VLOOKUP(A58,[1]Plan!A$1:H$804,8,FALSE)&lt;&gt;"",VLOOKUP(A58,[1]Plan!A$1:H$804,8,FALSE),"")</f>
        <v>N</v>
      </c>
      <c r="H58" s="54" t="str">
        <f>IF(VLOOKUP(A58,[1]Plan!A$1:L$804,12,FALSE)&lt;&gt;"",VLOOKUP(A58,[1]Plan!A$1:L$804,12,FALSE),"")</f>
        <v/>
      </c>
      <c r="I58" s="55" t="str">
        <f>IF(VLOOKUP(A58,[1]Plan!A$1:M$804,13,FALSE)&lt;&gt;"",VLOOKUP(A58,[1]Plan!A$1:M$804,13,FALSE),"")</f>
        <v/>
      </c>
      <c r="J58" s="55" t="str">
        <f>IF(VLOOKUP(A58,[1]Plan!A$1:N$804,14,FALSE)&lt;&gt;"",VLOOKUP(A58,[1]Plan!A$1:N$804,14,FALSE),IF(VLOOKUP(A58,[1]Plan!A$1:O$804,15,FALSE)&lt;&gt;"",VLOOKUP(A58,[1]Plan!A$1:O$804,15,FALSE),""))</f>
        <v/>
      </c>
      <c r="K58" s="56" t="str">
        <f>IF(VLOOKUP(A58,[1]Plan!A$1:P$804,16,FALSE)&lt;&gt;"",VLOOKUP(A58,[1]Plan!A$1:P$804,16,FALSE),"")</f>
        <v/>
      </c>
      <c r="L58" s="55"/>
      <c r="M58" s="55"/>
      <c r="N58" s="55"/>
      <c r="O58" s="57">
        <f>IF(F58=0,E58,F58)</f>
        <v>0</v>
      </c>
      <c r="P58" s="57" t="b">
        <f>OR(H58="Y",I58="Y")</f>
        <v>0</v>
      </c>
      <c r="Q58" s="58">
        <f>IF(P58,O58*'[1]ETC Data'!$H$3*'[1]ETC Data'!$I$3,0)</f>
        <v>0</v>
      </c>
      <c r="R58" s="58">
        <f>Q58-(Q58*((VLOOKUP(A58,[1]Plan!A$1:Z$804,26,FALSE)/100)))</f>
        <v>0</v>
      </c>
      <c r="S58" s="58">
        <f>IF(P58,O58*'[1]ETC Data'!$H$3*'[1]ETC Data'!$J$3,0)</f>
        <v>0</v>
      </c>
      <c r="T58" s="58">
        <f>S58-(S58*((VLOOKUP(A58,[1]Plan!A$1:AA$804,27,FALSE)/100)))</f>
        <v>0</v>
      </c>
      <c r="U58" s="58">
        <f>IF(P58,O58*'[1]ETC Data'!$H$3*'[1]ETC Data'!$K$3,0)</f>
        <v>0</v>
      </c>
      <c r="V58" s="58">
        <f>U58-(U58*((VLOOKUP(A58,[1]Plan!A$1:AB$804,28,FALSE)/100)))</f>
        <v>0</v>
      </c>
      <c r="W58" s="58">
        <f>IF(P58,O58*'[1]ETC Data'!$H$3*'[1]ETC Data'!$L$3,0)</f>
        <v>0</v>
      </c>
      <c r="X58" s="58">
        <f>W58-(W58*((VLOOKUP(A58,[1]Plan!A$1:AC$804,29,FALSE)/100)))</f>
        <v>0</v>
      </c>
      <c r="Y58" s="59"/>
      <c r="Z58" s="60" t="b">
        <f>OR(H58="Y",J58="Y")</f>
        <v>0</v>
      </c>
      <c r="AA58" s="58">
        <f>IF(Z58,O58*'[1]ETC Data'!$H$4*'[1]ETC Data'!$I$4,0)</f>
        <v>0</v>
      </c>
      <c r="AB58" s="58">
        <f>AA58-(AA58*((VLOOKUP(A58,[1]Plan!A$1:AI$804,35,FALSE)/100)))</f>
        <v>0</v>
      </c>
      <c r="AC58" s="58">
        <f>IF(Z58,O58*'[1]ETC Data'!$H$4*'[1]ETC Data'!$J$4,0)</f>
        <v>0</v>
      </c>
      <c r="AD58" s="58">
        <f>AC58-(AC58*((VLOOKUP(A58,[1]Plan!A$1:AJ$804,36,FALSE)/100)))</f>
        <v>0</v>
      </c>
      <c r="AE58" s="58">
        <f>IF(Z58,O58*'[1]ETC Data'!$H$4*'[1]ETC Data'!$K$4,0)</f>
        <v>0</v>
      </c>
      <c r="AF58" s="58">
        <f>AE58-(AE58*((VLOOKUP(A58,[1]Plan!A$1:AK$804,37,FALSE)/100)))</f>
        <v>0</v>
      </c>
      <c r="AG58" s="58">
        <f>IF(Z58,O58*'[1]ETC Data'!$H$4*'[1]ETC Data'!$L$4,0)</f>
        <v>0</v>
      </c>
      <c r="AH58" s="58">
        <f>AG58-(AG58*((VLOOKUP(A58,[1]Plan!A$1:AP$804,42,FALSE)/100)))</f>
        <v>0</v>
      </c>
      <c r="AI58" s="60"/>
      <c r="AJ58" s="60" t="b">
        <f>OR(H58="Y",K58="Y")</f>
        <v>0</v>
      </c>
      <c r="AK58" s="61">
        <f>IF(AJ58,O58*'[1]ETC Data'!$H$5*'[1]ETC Data'!$I$5,0)</f>
        <v>0</v>
      </c>
      <c r="AL58" s="58">
        <f>AK58-(AK58*((VLOOKUP(A58,[1]Plan!A$1:AY$804,51,FALSE)/100)))</f>
        <v>0</v>
      </c>
      <c r="AM58" s="58">
        <f>IF(AJ58,O58*'[1]ETC Data'!$H$5*'[1]ETC Data'!$J$5,0)</f>
        <v>0</v>
      </c>
      <c r="AN58" s="58">
        <f>AM58-(AM58*((VLOOKUP(A58,[1]Plan!A$1:BA$804,53,FALSE)/100)))</f>
        <v>0</v>
      </c>
      <c r="AO58" s="61">
        <f>IF(AJ58,O58*'[1]ETC Data'!$H$5*'[1]ETC Data'!$K$5,0)</f>
        <v>0</v>
      </c>
      <c r="AP58" s="58">
        <f>AO58-(AO58*((VLOOKUP(A58,[1]Plan!A$1:BB$804,54,FALSE)/100)))</f>
        <v>0</v>
      </c>
      <c r="AQ58" s="58">
        <f>IF(AJ58,O58*'[1]ETC Data'!$H$5*'[1]ETC Data'!$L$5,0)</f>
        <v>0</v>
      </c>
      <c r="AR58" s="58">
        <f>AQ58-(AQ58*((VLOOKUP(A58,[1]Plan!A$1:BD$804,56,FALSE)/100)))</f>
        <v>0</v>
      </c>
      <c r="AS58" s="20">
        <f>VLOOKUP(A58,'[1]PR Matrix'!A:B,2,FALSE)</f>
        <v>0</v>
      </c>
      <c r="AT58" s="21">
        <f>R58+T58+V58+X58+AB58+AD58+AF58+AH58+AL58+AN58+AP58+AR58</f>
        <v>0</v>
      </c>
      <c r="AU58" s="21">
        <f>Q58+S58+U58+W58+AA58+AC58+AE58+AG58+AK58+AM58+AO58+AQ58</f>
        <v>0</v>
      </c>
      <c r="AV58" s="21">
        <f>R58+AB58+AL58</f>
        <v>0</v>
      </c>
      <c r="AW58" s="21">
        <f>T58+AD58+AN58</f>
        <v>0</v>
      </c>
      <c r="AX58" s="21">
        <f>V58+AF58+AP58</f>
        <v>0</v>
      </c>
      <c r="AY58" s="21">
        <f>X58+AH58+AR58</f>
        <v>0</v>
      </c>
    </row>
    <row r="59" spans="1:51" hidden="1" x14ac:dyDescent="0.2">
      <c r="A59" s="50" t="s">
        <v>266</v>
      </c>
      <c r="B59" s="51" t="s">
        <v>208</v>
      </c>
      <c r="C59" s="51"/>
      <c r="D59" s="51"/>
      <c r="E59" s="52">
        <f>IF(G59="Y",VLOOKUP(B59&amp;"|"&amp;C59,'[1]ETC Data'!$C$2:$D$16,2,FALSE),0)</f>
        <v>0</v>
      </c>
      <c r="F59" s="52">
        <f>IF(D59="",0,IF(G59="Y",VLOOKUP(B59&amp;"|"&amp;D59,'[1]ETC Data'!$C$2:$D$16,2,FALSE),0))</f>
        <v>0</v>
      </c>
      <c r="G59" s="53" t="str">
        <f>IF(VLOOKUP(A59,[1]Plan!A$1:H$804,8,FALSE)&lt;&gt;"",VLOOKUP(A59,[1]Plan!A$1:H$804,8,FALSE),"")</f>
        <v>N</v>
      </c>
      <c r="H59" s="54" t="str">
        <f>IF(VLOOKUP(A59,[1]Plan!A$1:L$804,12,FALSE)&lt;&gt;"",VLOOKUP(A59,[1]Plan!A$1:L$804,12,FALSE),"")</f>
        <v/>
      </c>
      <c r="I59" s="55" t="str">
        <f>IF(VLOOKUP(A59,[1]Plan!A$1:M$804,13,FALSE)&lt;&gt;"",VLOOKUP(A59,[1]Plan!A$1:M$804,13,FALSE),"")</f>
        <v/>
      </c>
      <c r="J59" s="55" t="str">
        <f>IF(VLOOKUP(A59,[1]Plan!A$1:N$804,14,FALSE)&lt;&gt;"",VLOOKUP(A59,[1]Plan!A$1:N$804,14,FALSE),IF(VLOOKUP(A59,[1]Plan!A$1:O$804,15,FALSE)&lt;&gt;"",VLOOKUP(A59,[1]Plan!A$1:O$804,15,FALSE),""))</f>
        <v/>
      </c>
      <c r="K59" s="56" t="str">
        <f>IF(VLOOKUP(A59,[1]Plan!A$1:P$804,16,FALSE)&lt;&gt;"",VLOOKUP(A59,[1]Plan!A$1:P$804,16,FALSE),"")</f>
        <v/>
      </c>
      <c r="L59" s="55"/>
      <c r="M59" s="55"/>
      <c r="N59" s="55"/>
      <c r="O59" s="57">
        <f>IF(F59=0,E59,F59)</f>
        <v>0</v>
      </c>
      <c r="P59" s="57" t="b">
        <f>OR(H59="Y",I59="Y")</f>
        <v>0</v>
      </c>
      <c r="Q59" s="58">
        <f>IF(P59,O59*'[1]ETC Data'!$H$3*'[1]ETC Data'!$I$3,0)</f>
        <v>0</v>
      </c>
      <c r="R59" s="58">
        <f>Q59-(Q59*((VLOOKUP(A59,[1]Plan!A$1:Z$804,26,FALSE)/100)))</f>
        <v>0</v>
      </c>
      <c r="S59" s="58">
        <f>IF(P59,O59*'[1]ETC Data'!$H$3*'[1]ETC Data'!$J$3,0)</f>
        <v>0</v>
      </c>
      <c r="T59" s="58">
        <f>S59-(S59*((VLOOKUP(A59,[1]Plan!A$1:AA$804,27,FALSE)/100)))</f>
        <v>0</v>
      </c>
      <c r="U59" s="58">
        <f>IF(P59,O59*'[1]ETC Data'!$H$3*'[1]ETC Data'!$K$3,0)</f>
        <v>0</v>
      </c>
      <c r="V59" s="58">
        <f>U59-(U59*((VLOOKUP(A59,[1]Plan!A$1:AB$804,28,FALSE)/100)))</f>
        <v>0</v>
      </c>
      <c r="W59" s="58">
        <f>IF(P59,O59*'[1]ETC Data'!$H$3*'[1]ETC Data'!$L$3,0)</f>
        <v>0</v>
      </c>
      <c r="X59" s="58">
        <f>W59-(W59*((VLOOKUP(A59,[1]Plan!A$1:AC$804,29,FALSE)/100)))</f>
        <v>0</v>
      </c>
      <c r="Y59" s="59"/>
      <c r="Z59" s="60" t="b">
        <f>OR(H59="Y",J59="Y")</f>
        <v>0</v>
      </c>
      <c r="AA59" s="58">
        <f>IF(Z59,O59*'[1]ETC Data'!$H$4*'[1]ETC Data'!$I$4,0)</f>
        <v>0</v>
      </c>
      <c r="AB59" s="58">
        <f>AA59-(AA59*((VLOOKUP(A59,[1]Plan!A$1:AI$804,35,FALSE)/100)))</f>
        <v>0</v>
      </c>
      <c r="AC59" s="58">
        <f>IF(Z59,O59*'[1]ETC Data'!$H$4*'[1]ETC Data'!$J$4,0)</f>
        <v>0</v>
      </c>
      <c r="AD59" s="58">
        <f>AC59-(AC59*((VLOOKUP(A59,[1]Plan!A$1:AJ$804,36,FALSE)/100)))</f>
        <v>0</v>
      </c>
      <c r="AE59" s="58">
        <f>IF(Z59,O59*'[1]ETC Data'!$H$4*'[1]ETC Data'!$K$4,0)</f>
        <v>0</v>
      </c>
      <c r="AF59" s="58">
        <f>AE59-(AE59*((VLOOKUP(A59,[1]Plan!A$1:AK$804,37,FALSE)/100)))</f>
        <v>0</v>
      </c>
      <c r="AG59" s="58">
        <f>IF(Z59,O59*'[1]ETC Data'!$H$4*'[1]ETC Data'!$L$4,0)</f>
        <v>0</v>
      </c>
      <c r="AH59" s="58">
        <f>AG59-(AG59*((VLOOKUP(A59,[1]Plan!A$1:AP$804,42,FALSE)/100)))</f>
        <v>0</v>
      </c>
      <c r="AI59" s="60"/>
      <c r="AJ59" s="60" t="b">
        <f>OR(H59="Y",K59="Y")</f>
        <v>0</v>
      </c>
      <c r="AK59" s="61">
        <f>IF(AJ59,O59*'[1]ETC Data'!$H$5*'[1]ETC Data'!$I$5,0)</f>
        <v>0</v>
      </c>
      <c r="AL59" s="58">
        <f>AK59-(AK59*((VLOOKUP(A59,[1]Plan!A$1:AY$804,51,FALSE)/100)))</f>
        <v>0</v>
      </c>
      <c r="AM59" s="58">
        <f>IF(AJ59,O59*'[1]ETC Data'!$H$5*'[1]ETC Data'!$J$5,0)</f>
        <v>0</v>
      </c>
      <c r="AN59" s="58">
        <f>AM59-(AM59*((VLOOKUP(A59,[1]Plan!A$1:BA$804,53,FALSE)/100)))</f>
        <v>0</v>
      </c>
      <c r="AO59" s="61">
        <f>IF(AJ59,O59*'[1]ETC Data'!$H$5*'[1]ETC Data'!$K$5,0)</f>
        <v>0</v>
      </c>
      <c r="AP59" s="58">
        <f>AO59-(AO59*((VLOOKUP(A59,[1]Plan!A$1:BB$804,54,FALSE)/100)))</f>
        <v>0</v>
      </c>
      <c r="AQ59" s="58">
        <f>IF(AJ59,O59*'[1]ETC Data'!$H$5*'[1]ETC Data'!$L$5,0)</f>
        <v>0</v>
      </c>
      <c r="AR59" s="58">
        <f>AQ59-(AQ59*((VLOOKUP(A59,[1]Plan!A$1:BD$804,56,FALSE)/100)))</f>
        <v>0</v>
      </c>
      <c r="AS59" s="20">
        <f>VLOOKUP(A59,'[1]PR Matrix'!A:B,2,FALSE)</f>
        <v>0</v>
      </c>
      <c r="AT59" s="21">
        <f>R59+T59+V59+X59+AB59+AD59+AF59+AH59+AL59+AN59+AP59+AR59</f>
        <v>0</v>
      </c>
      <c r="AU59" s="21">
        <f>Q59+S59+U59+W59+AA59+AC59+AE59+AG59+AK59+AM59+AO59+AQ59</f>
        <v>0</v>
      </c>
      <c r="AV59" s="21">
        <f>R59+AB59+AL59</f>
        <v>0</v>
      </c>
      <c r="AW59" s="21">
        <f>T59+AD59+AN59</f>
        <v>0</v>
      </c>
      <c r="AX59" s="21">
        <f>V59+AF59+AP59</f>
        <v>0</v>
      </c>
      <c r="AY59" s="21">
        <f>X59+AH59+AR59</f>
        <v>0</v>
      </c>
    </row>
    <row r="60" spans="1:51" x14ac:dyDescent="0.2">
      <c r="A60" s="50" t="s">
        <v>267</v>
      </c>
      <c r="B60" s="51" t="s">
        <v>208</v>
      </c>
      <c r="C60" s="51" t="s">
        <v>258</v>
      </c>
      <c r="D60" s="51"/>
      <c r="E60" s="63">
        <f>IF(G60="Y",VLOOKUP(B60&amp;"|"&amp;C60,'[1]ETC Data'!$C$2:$D$16,2,FALSE),0)</f>
        <v>169</v>
      </c>
      <c r="F60" s="63">
        <f>IF(D60="",0,IF(G60="Y",VLOOKUP(B60&amp;"|"&amp;D60,'[1]ETC Data'!$C$2:$D$16,2,FALSE),0))</f>
        <v>0</v>
      </c>
      <c r="G60" s="53" t="str">
        <f>IF(VLOOKUP(A60,[1]Plan!A$1:H$804,8,FALSE)&lt;&gt;"",VLOOKUP(A60,[1]Plan!A$1:H$804,8,FALSE),"")</f>
        <v>Y</v>
      </c>
      <c r="H60" s="54" t="str">
        <f>IF(VLOOKUP(A60,[1]Plan!A$1:L$804,12,FALSE)&lt;&gt;"",VLOOKUP(A60,[1]Plan!A$1:L$804,12,FALSE),"")</f>
        <v/>
      </c>
      <c r="I60" s="55" t="str">
        <f>IF(VLOOKUP(A60,[1]Plan!A$1:M$804,13,FALSE)&lt;&gt;"",VLOOKUP(A60,[1]Plan!A$1:M$804,13,FALSE),"")</f>
        <v>Y</v>
      </c>
      <c r="J60" s="55" t="str">
        <f>IF(VLOOKUP(A60,[1]Plan!A$1:N$804,14,FALSE)&lt;&gt;"",VLOOKUP(A60,[1]Plan!A$1:N$804,14,FALSE),IF(VLOOKUP(A60,[1]Plan!A$1:O$804,15,FALSE)&lt;&gt;"",VLOOKUP(A60,[1]Plan!A$1:O$804,15,FALSE),""))</f>
        <v>Y</v>
      </c>
      <c r="K60" s="56" t="str">
        <f>IF(VLOOKUP(A60,[1]Plan!A$1:P$804,16,FALSE)&lt;&gt;"",VLOOKUP(A60,[1]Plan!A$1:P$804,16,FALSE),"")</f>
        <v>Y</v>
      </c>
      <c r="L60" s="55"/>
      <c r="M60" s="55"/>
      <c r="N60" s="55"/>
      <c r="O60" s="57">
        <f>IF(F60=0,E60,F60)</f>
        <v>169</v>
      </c>
      <c r="P60" s="57" t="b">
        <f>OR(H60="Y",I60="Y")</f>
        <v>1</v>
      </c>
      <c r="Q60" s="58">
        <f>IF(P60,O60*'[1]ETC Data'!$H$3*'[1]ETC Data'!$I$3,0)</f>
        <v>33.319079074534713</v>
      </c>
      <c r="R60" s="58">
        <f>Q60-(Q60*((VLOOKUP(A60,[1]Plan!A$1:Z$804,26,FALSE)/100)))</f>
        <v>0</v>
      </c>
      <c r="S60" s="58">
        <f>IF(P60,O60*'[1]ETC Data'!$H$3*'[1]ETC Data'!$J$3,0)</f>
        <v>7.9965789778883307</v>
      </c>
      <c r="T60" s="58">
        <f>S60-(S60*((VLOOKUP(A60,[1]Plan!A$1:AA$804,27,FALSE)/100)))</f>
        <v>0</v>
      </c>
      <c r="U60" s="58">
        <f>IF(P60,O60*'[1]ETC Data'!$H$3*'[1]ETC Data'!$K$3,0)</f>
        <v>2.2212719383023143</v>
      </c>
      <c r="V60" s="58">
        <f>U60-(U60*((VLOOKUP(A60,[1]Plan!A$1:AB$804,28,FALSE)/100)))</f>
        <v>0</v>
      </c>
      <c r="W60" s="58">
        <f>IF(P60,O60*'[1]ETC Data'!$H$3*'[1]ETC Data'!$L$3,0)</f>
        <v>0.88850877532092565</v>
      </c>
      <c r="X60" s="58">
        <f>W60-(W60*((VLOOKUP(A60,[1]Plan!A$1:AC$804,29,FALSE)/100)))</f>
        <v>0</v>
      </c>
      <c r="Y60" s="59"/>
      <c r="Z60" s="60" t="b">
        <f>OR(H60="Y",J60="Y")</f>
        <v>1</v>
      </c>
      <c r="AA60" s="58">
        <f>IF(Z60,O60*'[1]ETC Data'!$H$4*'[1]ETC Data'!$I$4,0)</f>
        <v>41.238099455199013</v>
      </c>
      <c r="AB60" s="58">
        <f>AA60-(AA60*((VLOOKUP(A60,[1]Plan!A$1:AI$804,35,FALSE)/100)))</f>
        <v>0</v>
      </c>
      <c r="AC60" s="58">
        <f>IF(Z60,O60*'[1]ETC Data'!$H$4*'[1]ETC Data'!$J$4,0)</f>
        <v>20.619049727599506</v>
      </c>
      <c r="AD60" s="58">
        <f>AC60-(AC60*((VLOOKUP(A60,[1]Plan!A$1:AJ$804,36,FALSE)/100)))</f>
        <v>0</v>
      </c>
      <c r="AE60" s="58">
        <f>IF(Z60,O60*'[1]ETC Data'!$H$4*'[1]ETC Data'!$K$4,0)</f>
        <v>14.845715803871643</v>
      </c>
      <c r="AF60" s="58">
        <f>AE60-(AE60*((VLOOKUP(A60,[1]Plan!A$1:AK$804,37,FALSE)/100)))</f>
        <v>0</v>
      </c>
      <c r="AG60" s="58">
        <f>IF(Z60,O60*'[1]ETC Data'!$H$4*'[1]ETC Data'!$L$4,0)</f>
        <v>5.7733339237278622</v>
      </c>
      <c r="AH60" s="58">
        <f>AG60-(AG60*((VLOOKUP(A60,[1]Plan!A$1:AP$804,42,FALSE)/100)))</f>
        <v>0</v>
      </c>
      <c r="AI60" s="60"/>
      <c r="AJ60" s="60" t="b">
        <f>OR(H60="Y",K60="Y")</f>
        <v>1</v>
      </c>
      <c r="AK60" s="61">
        <f>IF(AJ60,O60*'[1]ETC Data'!$H$5*'[1]ETC Data'!$I$5,0)</f>
        <v>21.049181161777842</v>
      </c>
      <c r="AL60" s="58">
        <f>AK60-(AK60*((VLOOKUP(A60,[1]Plan!A$1:AY$804,51,FALSE)/100)))</f>
        <v>0</v>
      </c>
      <c r="AM60" s="58">
        <f>IF(AJ60,O60*'[1]ETC Data'!$H$5*'[1]ETC Data'!$J$5,0)</f>
        <v>10.524590580888921</v>
      </c>
      <c r="AN60" s="58">
        <f>AM60-(AM60*((VLOOKUP(A60,[1]Plan!A$1:BA$804,53,FALSE)/100)))</f>
        <v>0</v>
      </c>
      <c r="AO60" s="61">
        <f>IF(AJ60,O60*'[1]ETC Data'!$H$5*'[1]ETC Data'!$K$5,0)</f>
        <v>7.5777052182400224</v>
      </c>
      <c r="AP60" s="58">
        <f>AO60-(AO60*((VLOOKUP(A60,[1]Plan!A$1:BB$804,54,FALSE)/100)))</f>
        <v>0</v>
      </c>
      <c r="AQ60" s="58">
        <f>IF(AJ60,O60*'[1]ETC Data'!$H$5*'[1]ETC Data'!$L$5,0)</f>
        <v>2.946885362648898</v>
      </c>
      <c r="AR60" s="58">
        <f>AQ60-(AQ60*((VLOOKUP(A60,[1]Plan!A$1:BD$804,56,FALSE)/100)))</f>
        <v>0</v>
      </c>
      <c r="AS60" s="20">
        <f>VLOOKUP(A60,'[1]PR Matrix'!A:B,2,FALSE)</f>
        <v>6247</v>
      </c>
      <c r="AT60" s="21">
        <f>R60+T60+V60+X60+AB60+AD60+AF60+AH60+AL60+AN60+AP60+AR60</f>
        <v>0</v>
      </c>
      <c r="AU60" s="21">
        <f>Q60+S60+U60+W60+AA60+AC60+AE60+AG60+AK60+AM60+AO60+AQ60</f>
        <v>168.99999999999997</v>
      </c>
      <c r="AV60" s="21">
        <f>R60+AB60+AL60</f>
        <v>0</v>
      </c>
      <c r="AW60" s="21">
        <f>T60+AD60+AN60</f>
        <v>0</v>
      </c>
      <c r="AX60" s="21">
        <f>V60+AF60+AP60</f>
        <v>0</v>
      </c>
      <c r="AY60" s="21">
        <f>X60+AH60+AR60</f>
        <v>0</v>
      </c>
    </row>
    <row r="61" spans="1:51" hidden="1" x14ac:dyDescent="0.2">
      <c r="A61" s="50" t="s">
        <v>268</v>
      </c>
      <c r="B61" s="51" t="s">
        <v>208</v>
      </c>
      <c r="C61" s="51"/>
      <c r="D61" s="51"/>
      <c r="E61" s="52">
        <f>IF(G61="Y",VLOOKUP(B61&amp;"|"&amp;C61,'[1]ETC Data'!$C$2:$D$16,2,FALSE),0)</f>
        <v>0</v>
      </c>
      <c r="F61" s="52">
        <f>IF(D61="",0,IF(G61="Y",VLOOKUP(B61&amp;"|"&amp;D61,'[1]ETC Data'!$C$2:$D$16,2,FALSE),0))</f>
        <v>0</v>
      </c>
      <c r="G61" s="53" t="str">
        <f>IF(VLOOKUP(A61,[1]Plan!A$1:H$804,8,FALSE)&lt;&gt;"",VLOOKUP(A61,[1]Plan!A$1:H$804,8,FALSE),"")</f>
        <v>N</v>
      </c>
      <c r="H61" s="54" t="str">
        <f>IF(VLOOKUP(A61,[1]Plan!A$1:L$804,12,FALSE)&lt;&gt;"",VLOOKUP(A61,[1]Plan!A$1:L$804,12,FALSE),"")</f>
        <v/>
      </c>
      <c r="I61" s="55" t="str">
        <f>IF(VLOOKUP(A61,[1]Plan!A$1:M$804,13,FALSE)&lt;&gt;"",VLOOKUP(A61,[1]Plan!A$1:M$804,13,FALSE),"")</f>
        <v/>
      </c>
      <c r="J61" s="55" t="str">
        <f>IF(VLOOKUP(A61,[1]Plan!A$1:N$804,14,FALSE)&lt;&gt;"",VLOOKUP(A61,[1]Plan!A$1:N$804,14,FALSE),IF(VLOOKUP(A61,[1]Plan!A$1:O$804,15,FALSE)&lt;&gt;"",VLOOKUP(A61,[1]Plan!A$1:O$804,15,FALSE),""))</f>
        <v/>
      </c>
      <c r="K61" s="56" t="str">
        <f>IF(VLOOKUP(A61,[1]Plan!A$1:P$804,16,FALSE)&lt;&gt;"",VLOOKUP(A61,[1]Plan!A$1:P$804,16,FALSE),"")</f>
        <v/>
      </c>
      <c r="L61" s="55"/>
      <c r="M61" s="55"/>
      <c r="N61" s="55"/>
      <c r="O61" s="57">
        <f>IF(F61=0,E61,F61)</f>
        <v>0</v>
      </c>
      <c r="P61" s="57" t="b">
        <f>OR(H61="Y",I61="Y")</f>
        <v>0</v>
      </c>
      <c r="Q61" s="58">
        <f>IF(P61,O61*'[1]ETC Data'!$H$3*'[1]ETC Data'!$I$3,0)</f>
        <v>0</v>
      </c>
      <c r="R61" s="58">
        <f>Q61-(Q61*((VLOOKUP(A61,[1]Plan!A$1:Z$804,26,FALSE)/100)))</f>
        <v>0</v>
      </c>
      <c r="S61" s="58">
        <f>IF(P61,O61*'[1]ETC Data'!$H$3*'[1]ETC Data'!$J$3,0)</f>
        <v>0</v>
      </c>
      <c r="T61" s="58">
        <f>S61-(S61*((VLOOKUP(A61,[1]Plan!A$1:AA$804,27,FALSE)/100)))</f>
        <v>0</v>
      </c>
      <c r="U61" s="58">
        <f>IF(P61,O61*'[1]ETC Data'!$H$3*'[1]ETC Data'!$K$3,0)</f>
        <v>0</v>
      </c>
      <c r="V61" s="58">
        <f>U61-(U61*((VLOOKUP(A61,[1]Plan!A$1:AB$804,28,FALSE)/100)))</f>
        <v>0</v>
      </c>
      <c r="W61" s="58">
        <f>IF(P61,O61*'[1]ETC Data'!$H$3*'[1]ETC Data'!$L$3,0)</f>
        <v>0</v>
      </c>
      <c r="X61" s="58">
        <f>W61-(W61*((VLOOKUP(A61,[1]Plan!A$1:AC$804,29,FALSE)/100)))</f>
        <v>0</v>
      </c>
      <c r="Y61" s="59"/>
      <c r="Z61" s="60" t="b">
        <f>OR(H61="Y",J61="Y")</f>
        <v>0</v>
      </c>
      <c r="AA61" s="58">
        <f>IF(Z61,O61*'[1]ETC Data'!$H$4*'[1]ETC Data'!$I$4,0)</f>
        <v>0</v>
      </c>
      <c r="AB61" s="58">
        <f>AA61-(AA61*((VLOOKUP(A61,[1]Plan!A$1:AI$804,35,FALSE)/100)))</f>
        <v>0</v>
      </c>
      <c r="AC61" s="58">
        <f>IF(Z61,O61*'[1]ETC Data'!$H$4*'[1]ETC Data'!$J$4,0)</f>
        <v>0</v>
      </c>
      <c r="AD61" s="58">
        <f>AC61-(AC61*((VLOOKUP(A61,[1]Plan!A$1:AJ$804,36,FALSE)/100)))</f>
        <v>0</v>
      </c>
      <c r="AE61" s="58">
        <f>IF(Z61,O61*'[1]ETC Data'!$H$4*'[1]ETC Data'!$K$4,0)</f>
        <v>0</v>
      </c>
      <c r="AF61" s="58">
        <f>AE61-(AE61*((VLOOKUP(A61,[1]Plan!A$1:AK$804,37,FALSE)/100)))</f>
        <v>0</v>
      </c>
      <c r="AG61" s="58">
        <f>IF(Z61,O61*'[1]ETC Data'!$H$4*'[1]ETC Data'!$L$4,0)</f>
        <v>0</v>
      </c>
      <c r="AH61" s="58">
        <f>AG61-(AG61*((VLOOKUP(A61,[1]Plan!A$1:AP$804,42,FALSE)/100)))</f>
        <v>0</v>
      </c>
      <c r="AI61" s="60"/>
      <c r="AJ61" s="60" t="b">
        <f>OR(H61="Y",K61="Y")</f>
        <v>0</v>
      </c>
      <c r="AK61" s="61">
        <f>IF(AJ61,O61*'[1]ETC Data'!$H$5*'[1]ETC Data'!$I$5,0)</f>
        <v>0</v>
      </c>
      <c r="AL61" s="58">
        <f>AK61-(AK61*((VLOOKUP(A61,[1]Plan!A$1:AY$804,51,FALSE)/100)))</f>
        <v>0</v>
      </c>
      <c r="AM61" s="58">
        <f>IF(AJ61,O61*'[1]ETC Data'!$H$5*'[1]ETC Data'!$J$5,0)</f>
        <v>0</v>
      </c>
      <c r="AN61" s="58">
        <f>AM61-(AM61*((VLOOKUP(A61,[1]Plan!A$1:BA$804,53,FALSE)/100)))</f>
        <v>0</v>
      </c>
      <c r="AO61" s="61">
        <f>IF(AJ61,O61*'[1]ETC Data'!$H$5*'[1]ETC Data'!$K$5,0)</f>
        <v>0</v>
      </c>
      <c r="AP61" s="58">
        <f>AO61-(AO61*((VLOOKUP(A61,[1]Plan!A$1:BB$804,54,FALSE)/100)))</f>
        <v>0</v>
      </c>
      <c r="AQ61" s="58">
        <f>IF(AJ61,O61*'[1]ETC Data'!$H$5*'[1]ETC Data'!$L$5,0)</f>
        <v>0</v>
      </c>
      <c r="AR61" s="58">
        <f>AQ61-(AQ61*((VLOOKUP(A61,[1]Plan!A$1:BD$804,56,FALSE)/100)))</f>
        <v>0</v>
      </c>
      <c r="AS61" s="20">
        <f>VLOOKUP(A61,'[1]PR Matrix'!A:B,2,FALSE)</f>
        <v>0</v>
      </c>
      <c r="AT61" s="21">
        <f>R61+T61+V61+X61+AB61+AD61+AF61+AH61+AL61+AN61+AP61+AR61</f>
        <v>0</v>
      </c>
      <c r="AU61" s="21">
        <f>Q61+S61+U61+W61+AA61+AC61+AE61+AG61+AK61+AM61+AO61+AQ61</f>
        <v>0</v>
      </c>
      <c r="AV61" s="21">
        <f>R61+AB61+AL61</f>
        <v>0</v>
      </c>
      <c r="AW61" s="21">
        <f>T61+AD61+AN61</f>
        <v>0</v>
      </c>
      <c r="AX61" s="21">
        <f>V61+AF61+AP61</f>
        <v>0</v>
      </c>
      <c r="AY61" s="21">
        <f>X61+AH61+AR61</f>
        <v>0</v>
      </c>
    </row>
    <row r="62" spans="1:51" hidden="1" x14ac:dyDescent="0.2">
      <c r="A62" s="50" t="s">
        <v>269</v>
      </c>
      <c r="B62" s="51" t="s">
        <v>208</v>
      </c>
      <c r="C62" s="51"/>
      <c r="D62" s="51"/>
      <c r="E62" s="52">
        <f>IF(G62="Y",VLOOKUP(B62&amp;"|"&amp;C62,'[1]ETC Data'!$C$2:$D$16,2,FALSE),0)</f>
        <v>0</v>
      </c>
      <c r="F62" s="52">
        <f>IF(D62="",0,IF(G62="Y",VLOOKUP(B62&amp;"|"&amp;D62,'[1]ETC Data'!$C$2:$D$16,2,FALSE),0))</f>
        <v>0</v>
      </c>
      <c r="G62" s="53" t="str">
        <f>IF(VLOOKUP(A62,[1]Plan!A$1:H$804,8,FALSE)&lt;&gt;"",VLOOKUP(A62,[1]Plan!A$1:H$804,8,FALSE),"")</f>
        <v>N</v>
      </c>
      <c r="H62" s="54" t="str">
        <f>IF(VLOOKUP(A62,[1]Plan!A$1:L$804,12,FALSE)&lt;&gt;"",VLOOKUP(A62,[1]Plan!A$1:L$804,12,FALSE),"")</f>
        <v/>
      </c>
      <c r="I62" s="55" t="str">
        <f>IF(VLOOKUP(A62,[1]Plan!A$1:M$804,13,FALSE)&lt;&gt;"",VLOOKUP(A62,[1]Plan!A$1:M$804,13,FALSE),"")</f>
        <v/>
      </c>
      <c r="J62" s="55" t="str">
        <f>IF(VLOOKUP(A62,[1]Plan!A$1:N$804,14,FALSE)&lt;&gt;"",VLOOKUP(A62,[1]Plan!A$1:N$804,14,FALSE),IF(VLOOKUP(A62,[1]Plan!A$1:O$804,15,FALSE)&lt;&gt;"",VLOOKUP(A62,[1]Plan!A$1:O$804,15,FALSE),""))</f>
        <v/>
      </c>
      <c r="K62" s="56" t="str">
        <f>IF(VLOOKUP(A62,[1]Plan!A$1:P$804,16,FALSE)&lt;&gt;"",VLOOKUP(A62,[1]Plan!A$1:P$804,16,FALSE),"")</f>
        <v/>
      </c>
      <c r="L62" s="55"/>
      <c r="M62" s="55"/>
      <c r="N62" s="55"/>
      <c r="O62" s="57">
        <f>IF(F62=0,E62,F62)</f>
        <v>0</v>
      </c>
      <c r="P62" s="57" t="b">
        <f>OR(H62="Y",I62="Y")</f>
        <v>0</v>
      </c>
      <c r="Q62" s="58">
        <f>IF(P62,O62*'[1]ETC Data'!$H$3*'[1]ETC Data'!$I$3,0)</f>
        <v>0</v>
      </c>
      <c r="R62" s="58">
        <f>Q62-(Q62*((VLOOKUP(A62,[1]Plan!A$1:Z$804,26,FALSE)/100)))</f>
        <v>0</v>
      </c>
      <c r="S62" s="58">
        <f>IF(P62,O62*'[1]ETC Data'!$H$3*'[1]ETC Data'!$J$3,0)</f>
        <v>0</v>
      </c>
      <c r="T62" s="58">
        <f>S62-(S62*((VLOOKUP(A62,[1]Plan!A$1:AA$804,27,FALSE)/100)))</f>
        <v>0</v>
      </c>
      <c r="U62" s="58">
        <f>IF(P62,O62*'[1]ETC Data'!$H$3*'[1]ETC Data'!$K$3,0)</f>
        <v>0</v>
      </c>
      <c r="V62" s="58">
        <f>U62-(U62*((VLOOKUP(A62,[1]Plan!A$1:AB$804,28,FALSE)/100)))</f>
        <v>0</v>
      </c>
      <c r="W62" s="58">
        <f>IF(P62,O62*'[1]ETC Data'!$H$3*'[1]ETC Data'!$L$3,0)</f>
        <v>0</v>
      </c>
      <c r="X62" s="58">
        <f>W62-(W62*((VLOOKUP(A62,[1]Plan!A$1:AC$804,29,FALSE)/100)))</f>
        <v>0</v>
      </c>
      <c r="Y62" s="59"/>
      <c r="Z62" s="60" t="b">
        <f>OR(H62="Y",J62="Y")</f>
        <v>0</v>
      </c>
      <c r="AA62" s="58">
        <f>IF(Z62,O62*'[1]ETC Data'!$H$4*'[1]ETC Data'!$I$4,0)</f>
        <v>0</v>
      </c>
      <c r="AB62" s="58">
        <f>AA62-(AA62*((VLOOKUP(A62,[1]Plan!A$1:AI$804,35,FALSE)/100)))</f>
        <v>0</v>
      </c>
      <c r="AC62" s="58">
        <f>IF(Z62,O62*'[1]ETC Data'!$H$4*'[1]ETC Data'!$J$4,0)</f>
        <v>0</v>
      </c>
      <c r="AD62" s="58">
        <f>AC62-(AC62*((VLOOKUP(A62,[1]Plan!A$1:AJ$804,36,FALSE)/100)))</f>
        <v>0</v>
      </c>
      <c r="AE62" s="58">
        <f>IF(Z62,O62*'[1]ETC Data'!$H$4*'[1]ETC Data'!$K$4,0)</f>
        <v>0</v>
      </c>
      <c r="AF62" s="58">
        <f>AE62-(AE62*((VLOOKUP(A62,[1]Plan!A$1:AK$804,37,FALSE)/100)))</f>
        <v>0</v>
      </c>
      <c r="AG62" s="58">
        <f>IF(Z62,O62*'[1]ETC Data'!$H$4*'[1]ETC Data'!$L$4,0)</f>
        <v>0</v>
      </c>
      <c r="AH62" s="58">
        <f>AG62-(AG62*((VLOOKUP(A62,[1]Plan!A$1:AP$804,42,FALSE)/100)))</f>
        <v>0</v>
      </c>
      <c r="AI62" s="60"/>
      <c r="AJ62" s="60" t="b">
        <f>OR(H62="Y",K62="Y")</f>
        <v>0</v>
      </c>
      <c r="AK62" s="61">
        <f>IF(AJ62,O62*'[1]ETC Data'!$H$5*'[1]ETC Data'!$I$5,0)</f>
        <v>0</v>
      </c>
      <c r="AL62" s="58">
        <f>AK62-(AK62*((VLOOKUP(A62,[1]Plan!A$1:AY$804,51,FALSE)/100)))</f>
        <v>0</v>
      </c>
      <c r="AM62" s="58">
        <f>IF(AJ62,O62*'[1]ETC Data'!$H$5*'[1]ETC Data'!$J$5,0)</f>
        <v>0</v>
      </c>
      <c r="AN62" s="58">
        <f>AM62-(AM62*((VLOOKUP(A62,[1]Plan!A$1:BA$804,53,FALSE)/100)))</f>
        <v>0</v>
      </c>
      <c r="AO62" s="61">
        <f>IF(AJ62,O62*'[1]ETC Data'!$H$5*'[1]ETC Data'!$K$5,0)</f>
        <v>0</v>
      </c>
      <c r="AP62" s="58">
        <f>AO62-(AO62*((VLOOKUP(A62,[1]Plan!A$1:BB$804,54,FALSE)/100)))</f>
        <v>0</v>
      </c>
      <c r="AQ62" s="58">
        <f>IF(AJ62,O62*'[1]ETC Data'!$H$5*'[1]ETC Data'!$L$5,0)</f>
        <v>0</v>
      </c>
      <c r="AR62" s="58">
        <f>AQ62-(AQ62*((VLOOKUP(A62,[1]Plan!A$1:BD$804,56,FALSE)/100)))</f>
        <v>0</v>
      </c>
      <c r="AS62" s="20">
        <f>VLOOKUP(A62,'[1]PR Matrix'!A:B,2,FALSE)</f>
        <v>0</v>
      </c>
      <c r="AT62" s="21">
        <f>R62+T62+V62+X62+AB62+AD62+AF62+AH62+AL62+AN62+AP62+AR62</f>
        <v>0</v>
      </c>
      <c r="AU62" s="21">
        <f>Q62+S62+U62+W62+AA62+AC62+AE62+AG62+AK62+AM62+AO62+AQ62</f>
        <v>0</v>
      </c>
      <c r="AV62" s="21">
        <f>R62+AB62+AL62</f>
        <v>0</v>
      </c>
      <c r="AW62" s="21">
        <f>T62+AD62+AN62</f>
        <v>0</v>
      </c>
      <c r="AX62" s="21">
        <f>V62+AF62+AP62</f>
        <v>0</v>
      </c>
      <c r="AY62" s="21">
        <f>X62+AH62+AR62</f>
        <v>0</v>
      </c>
    </row>
    <row r="63" spans="1:51" hidden="1" x14ac:dyDescent="0.2">
      <c r="A63" s="50" t="s">
        <v>270</v>
      </c>
      <c r="B63" s="51" t="s">
        <v>208</v>
      </c>
      <c r="C63" s="51"/>
      <c r="D63" s="51"/>
      <c r="E63" s="52">
        <f>IF(G63="Y",VLOOKUP(B63&amp;"|"&amp;C63,'[1]ETC Data'!$C$2:$D$16,2,FALSE),0)</f>
        <v>0</v>
      </c>
      <c r="F63" s="52">
        <f>IF(D63="",0,IF(G63="Y",VLOOKUP(B63&amp;"|"&amp;D63,'[1]ETC Data'!$C$2:$D$16,2,FALSE),0))</f>
        <v>0</v>
      </c>
      <c r="G63" s="53" t="str">
        <f>IF(VLOOKUP(A63,[1]Plan!A$1:H$804,8,FALSE)&lt;&gt;"",VLOOKUP(A63,[1]Plan!A$1:H$804,8,FALSE),"")</f>
        <v>N</v>
      </c>
      <c r="H63" s="54" t="str">
        <f>IF(VLOOKUP(A63,[1]Plan!A$1:L$804,12,FALSE)&lt;&gt;"",VLOOKUP(A63,[1]Plan!A$1:L$804,12,FALSE),"")</f>
        <v/>
      </c>
      <c r="I63" s="55" t="str">
        <f>IF(VLOOKUP(A63,[1]Plan!A$1:M$804,13,FALSE)&lt;&gt;"",VLOOKUP(A63,[1]Plan!A$1:M$804,13,FALSE),"")</f>
        <v/>
      </c>
      <c r="J63" s="55" t="str">
        <f>IF(VLOOKUP(A63,[1]Plan!A$1:N$804,14,FALSE)&lt;&gt;"",VLOOKUP(A63,[1]Plan!A$1:N$804,14,FALSE),IF(VLOOKUP(A63,[1]Plan!A$1:O$804,15,FALSE)&lt;&gt;"",VLOOKUP(A63,[1]Plan!A$1:O$804,15,FALSE),""))</f>
        <v/>
      </c>
      <c r="K63" s="56" t="str">
        <f>IF(VLOOKUP(A63,[1]Plan!A$1:P$804,16,FALSE)&lt;&gt;"",VLOOKUP(A63,[1]Plan!A$1:P$804,16,FALSE),"")</f>
        <v/>
      </c>
      <c r="L63" s="55"/>
      <c r="M63" s="55"/>
      <c r="N63" s="55"/>
      <c r="O63" s="57">
        <f>IF(F63=0,E63,F63)</f>
        <v>0</v>
      </c>
      <c r="P63" s="57" t="b">
        <f>OR(H63="Y",I63="Y")</f>
        <v>0</v>
      </c>
      <c r="Q63" s="58">
        <f>IF(P63,O63*'[1]ETC Data'!$H$3*'[1]ETC Data'!$I$3,0)</f>
        <v>0</v>
      </c>
      <c r="R63" s="58">
        <f>Q63-(Q63*((VLOOKUP(A63,[1]Plan!A$1:Z$804,26,FALSE)/100)))</f>
        <v>0</v>
      </c>
      <c r="S63" s="58">
        <f>IF(P63,O63*'[1]ETC Data'!$H$3*'[1]ETC Data'!$J$3,0)</f>
        <v>0</v>
      </c>
      <c r="T63" s="58">
        <f>S63-(S63*((VLOOKUP(A63,[1]Plan!A$1:AA$804,27,FALSE)/100)))</f>
        <v>0</v>
      </c>
      <c r="U63" s="58">
        <f>IF(P63,O63*'[1]ETC Data'!$H$3*'[1]ETC Data'!$K$3,0)</f>
        <v>0</v>
      </c>
      <c r="V63" s="58">
        <f>U63-(U63*((VLOOKUP(A63,[1]Plan!A$1:AB$804,28,FALSE)/100)))</f>
        <v>0</v>
      </c>
      <c r="W63" s="58">
        <f>IF(P63,O63*'[1]ETC Data'!$H$3*'[1]ETC Data'!$L$3,0)</f>
        <v>0</v>
      </c>
      <c r="X63" s="58">
        <f>W63-(W63*((VLOOKUP(A63,[1]Plan!A$1:AC$804,29,FALSE)/100)))</f>
        <v>0</v>
      </c>
      <c r="Y63" s="59"/>
      <c r="Z63" s="60" t="b">
        <f>OR(H63="Y",J63="Y")</f>
        <v>0</v>
      </c>
      <c r="AA63" s="58">
        <f>IF(Z63,O63*'[1]ETC Data'!$H$4*'[1]ETC Data'!$I$4,0)</f>
        <v>0</v>
      </c>
      <c r="AB63" s="58">
        <f>AA63-(AA63*((VLOOKUP(A63,[1]Plan!A$1:AI$804,35,FALSE)/100)))</f>
        <v>0</v>
      </c>
      <c r="AC63" s="58">
        <f>IF(Z63,O63*'[1]ETC Data'!$H$4*'[1]ETC Data'!$J$4,0)</f>
        <v>0</v>
      </c>
      <c r="AD63" s="58">
        <f>AC63-(AC63*((VLOOKUP(A63,[1]Plan!A$1:AJ$804,36,FALSE)/100)))</f>
        <v>0</v>
      </c>
      <c r="AE63" s="58">
        <f>IF(Z63,O63*'[1]ETC Data'!$H$4*'[1]ETC Data'!$K$4,0)</f>
        <v>0</v>
      </c>
      <c r="AF63" s="58">
        <f>AE63-(AE63*((VLOOKUP(A63,[1]Plan!A$1:AK$804,37,FALSE)/100)))</f>
        <v>0</v>
      </c>
      <c r="AG63" s="58">
        <f>IF(Z63,O63*'[1]ETC Data'!$H$4*'[1]ETC Data'!$L$4,0)</f>
        <v>0</v>
      </c>
      <c r="AH63" s="58">
        <f>AG63-(AG63*((VLOOKUP(A63,[1]Plan!A$1:AP$804,42,FALSE)/100)))</f>
        <v>0</v>
      </c>
      <c r="AI63" s="60"/>
      <c r="AJ63" s="60" t="b">
        <f>OR(H63="Y",K63="Y")</f>
        <v>0</v>
      </c>
      <c r="AK63" s="61">
        <f>IF(AJ63,O63*'[1]ETC Data'!$H$5*'[1]ETC Data'!$I$5,0)</f>
        <v>0</v>
      </c>
      <c r="AL63" s="58">
        <f>AK63-(AK63*((VLOOKUP(A63,[1]Plan!A$1:AY$804,51,FALSE)/100)))</f>
        <v>0</v>
      </c>
      <c r="AM63" s="58">
        <f>IF(AJ63,O63*'[1]ETC Data'!$H$5*'[1]ETC Data'!$J$5,0)</f>
        <v>0</v>
      </c>
      <c r="AN63" s="58">
        <f>AM63-(AM63*((VLOOKUP(A63,[1]Plan!A$1:BA$804,53,FALSE)/100)))</f>
        <v>0</v>
      </c>
      <c r="AO63" s="61">
        <f>IF(AJ63,O63*'[1]ETC Data'!$H$5*'[1]ETC Data'!$K$5,0)</f>
        <v>0</v>
      </c>
      <c r="AP63" s="58">
        <f>AO63-(AO63*((VLOOKUP(A63,[1]Plan!A$1:BB$804,54,FALSE)/100)))</f>
        <v>0</v>
      </c>
      <c r="AQ63" s="58">
        <f>IF(AJ63,O63*'[1]ETC Data'!$H$5*'[1]ETC Data'!$L$5,0)</f>
        <v>0</v>
      </c>
      <c r="AR63" s="58">
        <f>AQ63-(AQ63*((VLOOKUP(A63,[1]Plan!A$1:BD$804,56,FALSE)/100)))</f>
        <v>0</v>
      </c>
      <c r="AS63" s="20">
        <f>VLOOKUP(A63,'[1]PR Matrix'!A:B,2,FALSE)</f>
        <v>0</v>
      </c>
      <c r="AT63" s="21">
        <f>R63+T63+V63+X63+AB63+AD63+AF63+AH63+AL63+AN63+AP63+AR63</f>
        <v>0</v>
      </c>
      <c r="AU63" s="21">
        <f>Q63+S63+U63+W63+AA63+AC63+AE63+AG63+AK63+AM63+AO63+AQ63</f>
        <v>0</v>
      </c>
      <c r="AV63" s="21">
        <f>R63+AB63+AL63</f>
        <v>0</v>
      </c>
      <c r="AW63" s="21">
        <f>T63+AD63+AN63</f>
        <v>0</v>
      </c>
      <c r="AX63" s="21">
        <f>V63+AF63+AP63</f>
        <v>0</v>
      </c>
      <c r="AY63" s="21">
        <f>X63+AH63+AR63</f>
        <v>0</v>
      </c>
    </row>
    <row r="64" spans="1:51" hidden="1" x14ac:dyDescent="0.2">
      <c r="A64" s="50" t="s">
        <v>271</v>
      </c>
      <c r="B64" s="51" t="s">
        <v>208</v>
      </c>
      <c r="C64" s="51" t="s">
        <v>208</v>
      </c>
      <c r="D64" s="51"/>
      <c r="E64" s="52">
        <f>IF(G64="Y",VLOOKUP(B64&amp;"|"&amp;C64,'[1]ETC Data'!$C$2:$D$16,2,FALSE),0)</f>
        <v>0</v>
      </c>
      <c r="F64" s="52">
        <f>IF(D64="",0,IF(G64="Y",VLOOKUP(B64&amp;"|"&amp;D64,'[1]ETC Data'!$C$2:$D$16,2,FALSE),0))</f>
        <v>0</v>
      </c>
      <c r="G64" s="53" t="str">
        <f>IF(VLOOKUP(A64,[1]Plan!A$1:H$804,8,FALSE)&lt;&gt;"",VLOOKUP(A64,[1]Plan!A$1:H$804,8,FALSE),"")</f>
        <v>N</v>
      </c>
      <c r="H64" s="54" t="str">
        <f>IF(VLOOKUP(A64,[1]Plan!A$1:L$804,12,FALSE)&lt;&gt;"",VLOOKUP(A64,[1]Plan!A$1:L$804,12,FALSE),"")</f>
        <v/>
      </c>
      <c r="I64" s="55" t="str">
        <f>IF(VLOOKUP(A64,[1]Plan!A$1:M$804,13,FALSE)&lt;&gt;"",VLOOKUP(A64,[1]Plan!A$1:M$804,13,FALSE),"")</f>
        <v/>
      </c>
      <c r="J64" s="55" t="str">
        <f>IF(VLOOKUP(A64,[1]Plan!A$1:N$804,14,FALSE)&lt;&gt;"",VLOOKUP(A64,[1]Plan!A$1:N$804,14,FALSE),IF(VLOOKUP(A64,[1]Plan!A$1:O$804,15,FALSE)&lt;&gt;"",VLOOKUP(A64,[1]Plan!A$1:O$804,15,FALSE),""))</f>
        <v/>
      </c>
      <c r="K64" s="56" t="str">
        <f>IF(VLOOKUP(A64,[1]Plan!A$1:P$804,16,FALSE)&lt;&gt;"",VLOOKUP(A64,[1]Plan!A$1:P$804,16,FALSE),"")</f>
        <v/>
      </c>
      <c r="L64" s="55"/>
      <c r="M64" s="55"/>
      <c r="N64" s="55"/>
      <c r="O64" s="57">
        <f>IF(F64=0,E64,F64)</f>
        <v>0</v>
      </c>
      <c r="P64" s="57" t="b">
        <f>OR(H64="Y",I64="Y")</f>
        <v>0</v>
      </c>
      <c r="Q64" s="58">
        <f>IF(P64,O64*'[1]ETC Data'!$H$3*'[1]ETC Data'!$I$3,0)</f>
        <v>0</v>
      </c>
      <c r="R64" s="58">
        <f>Q64-(Q64*((VLOOKUP(A64,[1]Plan!A$1:Z$804,26,FALSE)/100)))</f>
        <v>0</v>
      </c>
      <c r="S64" s="58">
        <f>IF(P64,O64*'[1]ETC Data'!$H$3*'[1]ETC Data'!$J$3,0)</f>
        <v>0</v>
      </c>
      <c r="T64" s="58">
        <f>S64-(S64*((VLOOKUP(A64,[1]Plan!A$1:AA$804,27,FALSE)/100)))</f>
        <v>0</v>
      </c>
      <c r="U64" s="58">
        <f>IF(P64,O64*'[1]ETC Data'!$H$3*'[1]ETC Data'!$K$3,0)</f>
        <v>0</v>
      </c>
      <c r="V64" s="58">
        <f>U64-(U64*((VLOOKUP(A64,[1]Plan!A$1:AB$804,28,FALSE)/100)))</f>
        <v>0</v>
      </c>
      <c r="W64" s="58">
        <f>IF(P64,O64*'[1]ETC Data'!$H$3*'[1]ETC Data'!$L$3,0)</f>
        <v>0</v>
      </c>
      <c r="X64" s="58">
        <f>W64-(W64*((VLOOKUP(A64,[1]Plan!A$1:AC$804,29,FALSE)/100)))</f>
        <v>0</v>
      </c>
      <c r="Y64" s="59"/>
      <c r="Z64" s="60" t="b">
        <f>OR(H64="Y",J64="Y")</f>
        <v>0</v>
      </c>
      <c r="AA64" s="58">
        <f>IF(Z64,O64*'[1]ETC Data'!$H$4*'[1]ETC Data'!$I$4,0)</f>
        <v>0</v>
      </c>
      <c r="AB64" s="58">
        <f>AA64-(AA64*((VLOOKUP(A64,[1]Plan!A$1:AI$804,35,FALSE)/100)))</f>
        <v>0</v>
      </c>
      <c r="AC64" s="58">
        <f>IF(Z64,O64*'[1]ETC Data'!$H$4*'[1]ETC Data'!$J$4,0)</f>
        <v>0</v>
      </c>
      <c r="AD64" s="58">
        <f>AC64-(AC64*((VLOOKUP(A64,[1]Plan!A$1:AJ$804,36,FALSE)/100)))</f>
        <v>0</v>
      </c>
      <c r="AE64" s="58">
        <f>IF(Z64,O64*'[1]ETC Data'!$H$4*'[1]ETC Data'!$K$4,0)</f>
        <v>0</v>
      </c>
      <c r="AF64" s="58">
        <f>AE64-(AE64*((VLOOKUP(A64,[1]Plan!A$1:AK$804,37,FALSE)/100)))</f>
        <v>0</v>
      </c>
      <c r="AG64" s="58">
        <f>IF(Z64,O64*'[1]ETC Data'!$H$4*'[1]ETC Data'!$L$4,0)</f>
        <v>0</v>
      </c>
      <c r="AH64" s="58">
        <f>AG64-(AG64*((VLOOKUP(A64,[1]Plan!A$1:AP$804,42,FALSE)/100)))</f>
        <v>0</v>
      </c>
      <c r="AI64" s="60"/>
      <c r="AJ64" s="60" t="b">
        <f>OR(H64="Y",K64="Y")</f>
        <v>0</v>
      </c>
      <c r="AK64" s="61">
        <f>IF(AJ64,O64*'[1]ETC Data'!$H$5*'[1]ETC Data'!$I$5,0)</f>
        <v>0</v>
      </c>
      <c r="AL64" s="58">
        <f>AK64-(AK64*((VLOOKUP(A64,[1]Plan!A$1:AY$804,51,FALSE)/100)))</f>
        <v>0</v>
      </c>
      <c r="AM64" s="58">
        <f>IF(AJ64,O64*'[1]ETC Data'!$H$5*'[1]ETC Data'!$J$5,0)</f>
        <v>0</v>
      </c>
      <c r="AN64" s="58">
        <f>AM64-(AM64*((VLOOKUP(A64,[1]Plan!A$1:BA$804,53,FALSE)/100)))</f>
        <v>0</v>
      </c>
      <c r="AO64" s="61">
        <f>IF(AJ64,O64*'[1]ETC Data'!$H$5*'[1]ETC Data'!$K$5,0)</f>
        <v>0</v>
      </c>
      <c r="AP64" s="58">
        <f>AO64-(AO64*((VLOOKUP(A64,[1]Plan!A$1:BB$804,54,FALSE)/100)))</f>
        <v>0</v>
      </c>
      <c r="AQ64" s="58">
        <f>IF(AJ64,O64*'[1]ETC Data'!$H$5*'[1]ETC Data'!$L$5,0)</f>
        <v>0</v>
      </c>
      <c r="AR64" s="58">
        <f>AQ64-(AQ64*((VLOOKUP(A64,[1]Plan!A$1:BD$804,56,FALSE)/100)))</f>
        <v>0</v>
      </c>
      <c r="AS64" s="20">
        <f>VLOOKUP(A64,'[1]PR Matrix'!A:B,2,FALSE)</f>
        <v>0</v>
      </c>
      <c r="AT64" s="21">
        <f>R64+T64+V64+X64+AB64+AD64+AF64+AH64+AL64+AN64+AP64+AR64</f>
        <v>0</v>
      </c>
      <c r="AU64" s="21">
        <f>Q64+S64+U64+W64+AA64+AC64+AE64+AG64+AK64+AM64+AO64+AQ64</f>
        <v>0</v>
      </c>
      <c r="AV64" s="21">
        <f>R64+AB64+AL64</f>
        <v>0</v>
      </c>
      <c r="AW64" s="21">
        <f>T64+AD64+AN64</f>
        <v>0</v>
      </c>
      <c r="AX64" s="21">
        <f>V64+AF64+AP64</f>
        <v>0</v>
      </c>
      <c r="AY64" s="21">
        <f>X64+AH64+AR64</f>
        <v>0</v>
      </c>
    </row>
    <row r="65" spans="1:51" hidden="1" x14ac:dyDescent="0.2">
      <c r="A65" s="50" t="s">
        <v>272</v>
      </c>
      <c r="B65" s="51" t="s">
        <v>208</v>
      </c>
      <c r="C65" s="51"/>
      <c r="D65" s="51"/>
      <c r="E65" s="52">
        <f>IF(G65="Y",VLOOKUP(B65&amp;"|"&amp;C65,'[1]ETC Data'!$C$2:$D$16,2,FALSE),0)</f>
        <v>0</v>
      </c>
      <c r="F65" s="52">
        <f>IF(D65="",0,IF(G65="Y",VLOOKUP(B65&amp;"|"&amp;D65,'[1]ETC Data'!$C$2:$D$16,2,FALSE),0))</f>
        <v>0</v>
      </c>
      <c r="G65" s="53" t="str">
        <f>IF(VLOOKUP(A65,[1]Plan!A$1:H$804,8,FALSE)&lt;&gt;"",VLOOKUP(A65,[1]Plan!A$1:H$804,8,FALSE),"")</f>
        <v>N</v>
      </c>
      <c r="H65" s="54" t="str">
        <f>IF(VLOOKUP(A65,[1]Plan!A$1:L$804,12,FALSE)&lt;&gt;"",VLOOKUP(A65,[1]Plan!A$1:L$804,12,FALSE),"")</f>
        <v/>
      </c>
      <c r="I65" s="55" t="str">
        <f>IF(VLOOKUP(A65,[1]Plan!A$1:M$804,13,FALSE)&lt;&gt;"",VLOOKUP(A65,[1]Plan!A$1:M$804,13,FALSE),"")</f>
        <v/>
      </c>
      <c r="J65" s="55" t="str">
        <f>IF(VLOOKUP(A65,[1]Plan!A$1:N$804,14,FALSE)&lt;&gt;"",VLOOKUP(A65,[1]Plan!A$1:N$804,14,FALSE),IF(VLOOKUP(A65,[1]Plan!A$1:O$804,15,FALSE)&lt;&gt;"",VLOOKUP(A65,[1]Plan!A$1:O$804,15,FALSE),""))</f>
        <v/>
      </c>
      <c r="K65" s="56" t="str">
        <f>IF(VLOOKUP(A65,[1]Plan!A$1:P$804,16,FALSE)&lt;&gt;"",VLOOKUP(A65,[1]Plan!A$1:P$804,16,FALSE),"")</f>
        <v/>
      </c>
      <c r="L65" s="55"/>
      <c r="M65" s="55"/>
      <c r="N65" s="55"/>
      <c r="O65" s="57">
        <f>IF(F65=0,E65,F65)</f>
        <v>0</v>
      </c>
      <c r="P65" s="57" t="b">
        <f>OR(H65="Y",I65="Y")</f>
        <v>0</v>
      </c>
      <c r="Q65" s="58">
        <f>IF(P65,O65*'[1]ETC Data'!$H$3*'[1]ETC Data'!$I$3,0)</f>
        <v>0</v>
      </c>
      <c r="R65" s="58">
        <f>Q65-(Q65*((VLOOKUP(A65,[1]Plan!A$1:Z$804,26,FALSE)/100)))</f>
        <v>0</v>
      </c>
      <c r="S65" s="58">
        <f>IF(P65,O65*'[1]ETC Data'!$H$3*'[1]ETC Data'!$J$3,0)</f>
        <v>0</v>
      </c>
      <c r="T65" s="58">
        <f>S65-(S65*((VLOOKUP(A65,[1]Plan!A$1:AA$804,27,FALSE)/100)))</f>
        <v>0</v>
      </c>
      <c r="U65" s="58">
        <f>IF(P65,O65*'[1]ETC Data'!$H$3*'[1]ETC Data'!$K$3,0)</f>
        <v>0</v>
      </c>
      <c r="V65" s="58">
        <f>U65-(U65*((VLOOKUP(A65,[1]Plan!A$1:AB$804,28,FALSE)/100)))</f>
        <v>0</v>
      </c>
      <c r="W65" s="58">
        <f>IF(P65,O65*'[1]ETC Data'!$H$3*'[1]ETC Data'!$L$3,0)</f>
        <v>0</v>
      </c>
      <c r="X65" s="58">
        <f>W65-(W65*((VLOOKUP(A65,[1]Plan!A$1:AC$804,29,FALSE)/100)))</f>
        <v>0</v>
      </c>
      <c r="Y65" s="59"/>
      <c r="Z65" s="60" t="b">
        <f>OR(H65="Y",J65="Y")</f>
        <v>0</v>
      </c>
      <c r="AA65" s="58">
        <f>IF(Z65,O65*'[1]ETC Data'!$H$4*'[1]ETC Data'!$I$4,0)</f>
        <v>0</v>
      </c>
      <c r="AB65" s="58">
        <f>AA65-(AA65*((VLOOKUP(A65,[1]Plan!A$1:AI$804,35,FALSE)/100)))</f>
        <v>0</v>
      </c>
      <c r="AC65" s="58">
        <f>IF(Z65,O65*'[1]ETC Data'!$H$4*'[1]ETC Data'!$J$4,0)</f>
        <v>0</v>
      </c>
      <c r="AD65" s="58">
        <f>AC65-(AC65*((VLOOKUP(A65,[1]Plan!A$1:AJ$804,36,FALSE)/100)))</f>
        <v>0</v>
      </c>
      <c r="AE65" s="58">
        <f>IF(Z65,O65*'[1]ETC Data'!$H$4*'[1]ETC Data'!$K$4,0)</f>
        <v>0</v>
      </c>
      <c r="AF65" s="58">
        <f>AE65-(AE65*((VLOOKUP(A65,[1]Plan!A$1:AK$804,37,FALSE)/100)))</f>
        <v>0</v>
      </c>
      <c r="AG65" s="58">
        <f>IF(Z65,O65*'[1]ETC Data'!$H$4*'[1]ETC Data'!$L$4,0)</f>
        <v>0</v>
      </c>
      <c r="AH65" s="58">
        <f>AG65-(AG65*((VLOOKUP(A65,[1]Plan!A$1:AP$804,42,FALSE)/100)))</f>
        <v>0</v>
      </c>
      <c r="AI65" s="60"/>
      <c r="AJ65" s="60" t="b">
        <f>OR(H65="Y",K65="Y")</f>
        <v>0</v>
      </c>
      <c r="AK65" s="61">
        <f>IF(AJ65,O65*'[1]ETC Data'!$H$5*'[1]ETC Data'!$I$5,0)</f>
        <v>0</v>
      </c>
      <c r="AL65" s="58">
        <f>AK65-(AK65*((VLOOKUP(A65,[1]Plan!A$1:AY$804,51,FALSE)/100)))</f>
        <v>0</v>
      </c>
      <c r="AM65" s="58">
        <f>IF(AJ65,O65*'[1]ETC Data'!$H$5*'[1]ETC Data'!$J$5,0)</f>
        <v>0</v>
      </c>
      <c r="AN65" s="58">
        <f>AM65-(AM65*((VLOOKUP(A65,[1]Plan!A$1:BA$804,53,FALSE)/100)))</f>
        <v>0</v>
      </c>
      <c r="AO65" s="61">
        <f>IF(AJ65,O65*'[1]ETC Data'!$H$5*'[1]ETC Data'!$K$5,0)</f>
        <v>0</v>
      </c>
      <c r="AP65" s="58">
        <f>AO65-(AO65*((VLOOKUP(A65,[1]Plan!A$1:BB$804,54,FALSE)/100)))</f>
        <v>0</v>
      </c>
      <c r="AQ65" s="58">
        <f>IF(AJ65,O65*'[1]ETC Data'!$H$5*'[1]ETC Data'!$L$5,0)</f>
        <v>0</v>
      </c>
      <c r="AR65" s="58">
        <f>AQ65-(AQ65*((VLOOKUP(A65,[1]Plan!A$1:BD$804,56,FALSE)/100)))</f>
        <v>0</v>
      </c>
      <c r="AS65" s="20">
        <f>VLOOKUP(A65,'[1]PR Matrix'!A:B,2,FALSE)</f>
        <v>0</v>
      </c>
      <c r="AT65" s="21">
        <f>R65+T65+V65+X65+AB65+AD65+AF65+AH65+AL65+AN65+AP65+AR65</f>
        <v>0</v>
      </c>
      <c r="AU65" s="21">
        <f>Q65+S65+U65+W65+AA65+AC65+AE65+AG65+AK65+AM65+AO65+AQ65</f>
        <v>0</v>
      </c>
      <c r="AV65" s="21">
        <f>R65+AB65+AL65</f>
        <v>0</v>
      </c>
      <c r="AW65" s="21">
        <f>T65+AD65+AN65</f>
        <v>0</v>
      </c>
      <c r="AX65" s="21">
        <f>V65+AF65+AP65</f>
        <v>0</v>
      </c>
      <c r="AY65" s="21">
        <f>X65+AH65+AR65</f>
        <v>0</v>
      </c>
    </row>
    <row r="66" spans="1:51" hidden="1" x14ac:dyDescent="0.2">
      <c r="A66" s="50" t="s">
        <v>273</v>
      </c>
      <c r="B66" s="51" t="s">
        <v>258</v>
      </c>
      <c r="C66" s="51"/>
      <c r="D66" s="51"/>
      <c r="E66" s="52">
        <f>IF(G66="Y",VLOOKUP(B66&amp;"|"&amp;C66,'[1]ETC Data'!$C$2:$D$16,2,FALSE),0)</f>
        <v>0</v>
      </c>
      <c r="F66" s="52">
        <f>IF(D66="",0,IF(G66="Y",VLOOKUP(B66&amp;"|"&amp;D66,'[1]ETC Data'!$C$2:$D$16,2,FALSE),0))</f>
        <v>0</v>
      </c>
      <c r="G66" s="53" t="str">
        <f>IF(VLOOKUP(A66,[1]Plan!A$1:H$804,8,FALSE)&lt;&gt;"",VLOOKUP(A66,[1]Plan!A$1:H$804,8,FALSE),"")</f>
        <v>N</v>
      </c>
      <c r="H66" s="54" t="str">
        <f>IF(VLOOKUP(A66,[1]Plan!A$1:L$804,12,FALSE)&lt;&gt;"",VLOOKUP(A66,[1]Plan!A$1:L$804,12,FALSE),"")</f>
        <v/>
      </c>
      <c r="I66" s="55" t="str">
        <f>IF(VLOOKUP(A66,[1]Plan!A$1:M$804,13,FALSE)&lt;&gt;"",VLOOKUP(A66,[1]Plan!A$1:M$804,13,FALSE),"")</f>
        <v/>
      </c>
      <c r="J66" s="55" t="str">
        <f>IF(VLOOKUP(A66,[1]Plan!A$1:N$804,14,FALSE)&lt;&gt;"",VLOOKUP(A66,[1]Plan!A$1:N$804,14,FALSE),IF(VLOOKUP(A66,[1]Plan!A$1:O$804,15,FALSE)&lt;&gt;"",VLOOKUP(A66,[1]Plan!A$1:O$804,15,FALSE),""))</f>
        <v/>
      </c>
      <c r="K66" s="56" t="str">
        <f>IF(VLOOKUP(A66,[1]Plan!A$1:P$804,16,FALSE)&lt;&gt;"",VLOOKUP(A66,[1]Plan!A$1:P$804,16,FALSE),"")</f>
        <v/>
      </c>
      <c r="L66" s="55"/>
      <c r="M66" s="55"/>
      <c r="N66" s="55"/>
      <c r="O66" s="57">
        <f>IF(F66=0,E66,F66)</f>
        <v>0</v>
      </c>
      <c r="P66" s="57" t="b">
        <f>OR(H66="Y",I66="Y")</f>
        <v>0</v>
      </c>
      <c r="Q66" s="58">
        <f>IF(P66,O66*'[1]ETC Data'!$H$3*'[1]ETC Data'!$I$3,0)</f>
        <v>0</v>
      </c>
      <c r="R66" s="58">
        <f>Q66-(Q66*((VLOOKUP(A66,[1]Plan!A$1:Z$804,26,FALSE)/100)))</f>
        <v>0</v>
      </c>
      <c r="S66" s="58">
        <f>IF(P66,O66*'[1]ETC Data'!$H$3*'[1]ETC Data'!$J$3,0)</f>
        <v>0</v>
      </c>
      <c r="T66" s="58">
        <f>S66-(S66*((VLOOKUP(A66,[1]Plan!A$1:AA$804,27,FALSE)/100)))</f>
        <v>0</v>
      </c>
      <c r="U66" s="58">
        <f>IF(P66,O66*'[1]ETC Data'!$H$3*'[1]ETC Data'!$K$3,0)</f>
        <v>0</v>
      </c>
      <c r="V66" s="58">
        <f>U66-(U66*((VLOOKUP(A66,[1]Plan!A$1:AB$804,28,FALSE)/100)))</f>
        <v>0</v>
      </c>
      <c r="W66" s="58">
        <f>IF(P66,O66*'[1]ETC Data'!$H$3*'[1]ETC Data'!$L$3,0)</f>
        <v>0</v>
      </c>
      <c r="X66" s="58">
        <f>W66-(W66*((VLOOKUP(A66,[1]Plan!A$1:AC$804,29,FALSE)/100)))</f>
        <v>0</v>
      </c>
      <c r="Y66" s="59"/>
      <c r="Z66" s="60" t="b">
        <f>OR(H66="Y",J66="Y")</f>
        <v>0</v>
      </c>
      <c r="AA66" s="58">
        <f>IF(Z66,O66*'[1]ETC Data'!$H$4*'[1]ETC Data'!$I$4,0)</f>
        <v>0</v>
      </c>
      <c r="AB66" s="58">
        <f>AA66-(AA66*((VLOOKUP(A66,[1]Plan!A$1:AI$804,35,FALSE)/100)))</f>
        <v>0</v>
      </c>
      <c r="AC66" s="58">
        <f>IF(Z66,O66*'[1]ETC Data'!$H$4*'[1]ETC Data'!$J$4,0)</f>
        <v>0</v>
      </c>
      <c r="AD66" s="58">
        <f>AC66-(AC66*((VLOOKUP(A66,[1]Plan!A$1:AJ$804,36,FALSE)/100)))</f>
        <v>0</v>
      </c>
      <c r="AE66" s="58">
        <f>IF(Z66,O66*'[1]ETC Data'!$H$4*'[1]ETC Data'!$K$4,0)</f>
        <v>0</v>
      </c>
      <c r="AF66" s="58">
        <f>AE66-(AE66*((VLOOKUP(A66,[1]Plan!A$1:AK$804,37,FALSE)/100)))</f>
        <v>0</v>
      </c>
      <c r="AG66" s="58">
        <f>IF(Z66,O66*'[1]ETC Data'!$H$4*'[1]ETC Data'!$L$4,0)</f>
        <v>0</v>
      </c>
      <c r="AH66" s="58">
        <f>AG66-(AG66*((VLOOKUP(A66,[1]Plan!A$1:AP$804,42,FALSE)/100)))</f>
        <v>0</v>
      </c>
      <c r="AI66" s="60"/>
      <c r="AJ66" s="60" t="b">
        <f>OR(H66="Y",K66="Y")</f>
        <v>0</v>
      </c>
      <c r="AK66" s="61">
        <f>IF(AJ66,O66*'[1]ETC Data'!$H$5*'[1]ETC Data'!$I$5,0)</f>
        <v>0</v>
      </c>
      <c r="AL66" s="58">
        <f>AK66-(AK66*((VLOOKUP(A66,[1]Plan!A$1:AY$804,51,FALSE)/100)))</f>
        <v>0</v>
      </c>
      <c r="AM66" s="58">
        <f>IF(AJ66,O66*'[1]ETC Data'!$H$5*'[1]ETC Data'!$J$5,0)</f>
        <v>0</v>
      </c>
      <c r="AN66" s="58">
        <f>AM66-(AM66*((VLOOKUP(A66,[1]Plan!A$1:BA$804,53,FALSE)/100)))</f>
        <v>0</v>
      </c>
      <c r="AO66" s="61">
        <f>IF(AJ66,O66*'[1]ETC Data'!$H$5*'[1]ETC Data'!$K$5,0)</f>
        <v>0</v>
      </c>
      <c r="AP66" s="58">
        <f>AO66-(AO66*((VLOOKUP(A66,[1]Plan!A$1:BB$804,54,FALSE)/100)))</f>
        <v>0</v>
      </c>
      <c r="AQ66" s="58">
        <f>IF(AJ66,O66*'[1]ETC Data'!$H$5*'[1]ETC Data'!$L$5,0)</f>
        <v>0</v>
      </c>
      <c r="AR66" s="58">
        <f>AQ66-(AQ66*((VLOOKUP(A66,[1]Plan!A$1:BD$804,56,FALSE)/100)))</f>
        <v>0</v>
      </c>
      <c r="AS66" s="20">
        <f>VLOOKUP(A66,'[1]PR Matrix'!A:B,2,FALSE)</f>
        <v>0</v>
      </c>
      <c r="AT66" s="21">
        <f>R66+T66+V66+X66+AB66+AD66+AF66+AH66+AL66+AN66+AP66+AR66</f>
        <v>0</v>
      </c>
      <c r="AU66" s="21">
        <f>Q66+S66+U66+W66+AA66+AC66+AE66+AG66+AK66+AM66+AO66+AQ66</f>
        <v>0</v>
      </c>
      <c r="AV66" s="21">
        <f>R66+AB66+AL66</f>
        <v>0</v>
      </c>
      <c r="AW66" s="21">
        <f>T66+AD66+AN66</f>
        <v>0</v>
      </c>
      <c r="AX66" s="21">
        <f>V66+AF66+AP66</f>
        <v>0</v>
      </c>
      <c r="AY66" s="21">
        <f>X66+AH66+AR66</f>
        <v>0</v>
      </c>
    </row>
    <row r="67" spans="1:51" hidden="1" x14ac:dyDescent="0.2">
      <c r="A67" s="50" t="s">
        <v>274</v>
      </c>
      <c r="B67" s="51" t="s">
        <v>258</v>
      </c>
      <c r="C67" s="51"/>
      <c r="D67" s="51"/>
      <c r="E67" s="52">
        <f>IF(G67="Y",VLOOKUP(B67&amp;"|"&amp;C67,'[1]ETC Data'!$C$2:$D$16,2,FALSE),0)</f>
        <v>0</v>
      </c>
      <c r="F67" s="52">
        <f>IF(D67="",0,IF(G67="Y",VLOOKUP(B67&amp;"|"&amp;D67,'[1]ETC Data'!$C$2:$D$16,2,FALSE),0))</f>
        <v>0</v>
      </c>
      <c r="G67" s="53" t="str">
        <f>IF(VLOOKUP(A67,[1]Plan!A$1:H$804,8,FALSE)&lt;&gt;"",VLOOKUP(A67,[1]Plan!A$1:H$804,8,FALSE),"")</f>
        <v>N</v>
      </c>
      <c r="H67" s="54" t="str">
        <f>IF(VLOOKUP(A67,[1]Plan!A$1:L$804,12,FALSE)&lt;&gt;"",VLOOKUP(A67,[1]Plan!A$1:L$804,12,FALSE),"")</f>
        <v/>
      </c>
      <c r="I67" s="55" t="str">
        <f>IF(VLOOKUP(A67,[1]Plan!A$1:M$804,13,FALSE)&lt;&gt;"",VLOOKUP(A67,[1]Plan!A$1:M$804,13,FALSE),"")</f>
        <v/>
      </c>
      <c r="J67" s="55" t="str">
        <f>IF(VLOOKUP(A67,[1]Plan!A$1:N$804,14,FALSE)&lt;&gt;"",VLOOKUP(A67,[1]Plan!A$1:N$804,14,FALSE),IF(VLOOKUP(A67,[1]Plan!A$1:O$804,15,FALSE)&lt;&gt;"",VLOOKUP(A67,[1]Plan!A$1:O$804,15,FALSE),""))</f>
        <v/>
      </c>
      <c r="K67" s="56" t="str">
        <f>IF(VLOOKUP(A67,[1]Plan!A$1:P$804,16,FALSE)&lt;&gt;"",VLOOKUP(A67,[1]Plan!A$1:P$804,16,FALSE),"")</f>
        <v/>
      </c>
      <c r="L67" s="55"/>
      <c r="M67" s="55"/>
      <c r="N67" s="55"/>
      <c r="O67" s="57">
        <f>IF(F67=0,E67,F67)</f>
        <v>0</v>
      </c>
      <c r="P67" s="57" t="b">
        <f>OR(H67="Y",I67="Y")</f>
        <v>0</v>
      </c>
      <c r="Q67" s="58">
        <f>IF(P67,O67*'[1]ETC Data'!$H$3*'[1]ETC Data'!$I$3,0)</f>
        <v>0</v>
      </c>
      <c r="R67" s="58">
        <f>Q67-(Q67*((VLOOKUP(A67,[1]Plan!A$1:Z$804,26,FALSE)/100)))</f>
        <v>0</v>
      </c>
      <c r="S67" s="58">
        <f>IF(P67,O67*'[1]ETC Data'!$H$3*'[1]ETC Data'!$J$3,0)</f>
        <v>0</v>
      </c>
      <c r="T67" s="58">
        <f>S67-(S67*((VLOOKUP(A67,[1]Plan!A$1:AA$804,27,FALSE)/100)))</f>
        <v>0</v>
      </c>
      <c r="U67" s="58">
        <f>IF(P67,O67*'[1]ETC Data'!$H$3*'[1]ETC Data'!$K$3,0)</f>
        <v>0</v>
      </c>
      <c r="V67" s="58">
        <f>U67-(U67*((VLOOKUP(A67,[1]Plan!A$1:AB$804,28,FALSE)/100)))</f>
        <v>0</v>
      </c>
      <c r="W67" s="58">
        <f>IF(P67,O67*'[1]ETC Data'!$H$3*'[1]ETC Data'!$L$3,0)</f>
        <v>0</v>
      </c>
      <c r="X67" s="58">
        <f>W67-(W67*((VLOOKUP(A67,[1]Plan!A$1:AC$804,29,FALSE)/100)))</f>
        <v>0</v>
      </c>
      <c r="Y67" s="59"/>
      <c r="Z67" s="60" t="b">
        <f>OR(H67="Y",J67="Y")</f>
        <v>0</v>
      </c>
      <c r="AA67" s="58">
        <f>IF(Z67,O67*'[1]ETC Data'!$H$4*'[1]ETC Data'!$I$4,0)</f>
        <v>0</v>
      </c>
      <c r="AB67" s="58">
        <f>AA67-(AA67*((VLOOKUP(A67,[1]Plan!A$1:AI$804,35,FALSE)/100)))</f>
        <v>0</v>
      </c>
      <c r="AC67" s="58">
        <f>IF(Z67,O67*'[1]ETC Data'!$H$4*'[1]ETC Data'!$J$4,0)</f>
        <v>0</v>
      </c>
      <c r="AD67" s="58">
        <f>AC67-(AC67*((VLOOKUP(A67,[1]Plan!A$1:AJ$804,36,FALSE)/100)))</f>
        <v>0</v>
      </c>
      <c r="AE67" s="58">
        <f>IF(Z67,O67*'[1]ETC Data'!$H$4*'[1]ETC Data'!$K$4,0)</f>
        <v>0</v>
      </c>
      <c r="AF67" s="58">
        <f>AE67-(AE67*((VLOOKUP(A67,[1]Plan!A$1:AK$804,37,FALSE)/100)))</f>
        <v>0</v>
      </c>
      <c r="AG67" s="58">
        <f>IF(Z67,O67*'[1]ETC Data'!$H$4*'[1]ETC Data'!$L$4,0)</f>
        <v>0</v>
      </c>
      <c r="AH67" s="58">
        <f>AG67-(AG67*((VLOOKUP(A67,[1]Plan!A$1:AP$804,42,FALSE)/100)))</f>
        <v>0</v>
      </c>
      <c r="AI67" s="60"/>
      <c r="AJ67" s="60" t="b">
        <f>OR(H67="Y",K67="Y")</f>
        <v>0</v>
      </c>
      <c r="AK67" s="61">
        <f>IF(AJ67,O67*'[1]ETC Data'!$H$5*'[1]ETC Data'!$I$5,0)</f>
        <v>0</v>
      </c>
      <c r="AL67" s="58">
        <f>AK67-(AK67*((VLOOKUP(A67,[1]Plan!A$1:AY$804,51,FALSE)/100)))</f>
        <v>0</v>
      </c>
      <c r="AM67" s="58">
        <f>IF(AJ67,O67*'[1]ETC Data'!$H$5*'[1]ETC Data'!$J$5,0)</f>
        <v>0</v>
      </c>
      <c r="AN67" s="58">
        <f>AM67-(AM67*((VLOOKUP(A67,[1]Plan!A$1:BA$804,53,FALSE)/100)))</f>
        <v>0</v>
      </c>
      <c r="AO67" s="61">
        <f>IF(AJ67,O67*'[1]ETC Data'!$H$5*'[1]ETC Data'!$K$5,0)</f>
        <v>0</v>
      </c>
      <c r="AP67" s="58">
        <f>AO67-(AO67*((VLOOKUP(A67,[1]Plan!A$1:BB$804,54,FALSE)/100)))</f>
        <v>0</v>
      </c>
      <c r="AQ67" s="58">
        <f>IF(AJ67,O67*'[1]ETC Data'!$H$5*'[1]ETC Data'!$L$5,0)</f>
        <v>0</v>
      </c>
      <c r="AR67" s="58">
        <f>AQ67-(AQ67*((VLOOKUP(A67,[1]Plan!A$1:BD$804,56,FALSE)/100)))</f>
        <v>0</v>
      </c>
      <c r="AS67" s="20">
        <f>VLOOKUP(A67,'[1]PR Matrix'!A:B,2,FALSE)</f>
        <v>0</v>
      </c>
      <c r="AT67" s="21">
        <f>R67+T67+V67+X67+AB67+AD67+AF67+AH67+AL67+AN67+AP67+AR67</f>
        <v>0</v>
      </c>
      <c r="AU67" s="21">
        <f>Q67+S67+U67+W67+AA67+AC67+AE67+AG67+AK67+AM67+AO67+AQ67</f>
        <v>0</v>
      </c>
      <c r="AV67" s="21">
        <f>R67+AB67+AL67</f>
        <v>0</v>
      </c>
      <c r="AW67" s="21">
        <f>T67+AD67+AN67</f>
        <v>0</v>
      </c>
      <c r="AX67" s="21">
        <f>V67+AF67+AP67</f>
        <v>0</v>
      </c>
      <c r="AY67" s="21">
        <f>X67+AH67+AR67</f>
        <v>0</v>
      </c>
    </row>
    <row r="68" spans="1:51" x14ac:dyDescent="0.2">
      <c r="A68" s="50" t="s">
        <v>275</v>
      </c>
      <c r="B68" s="51" t="s">
        <v>208</v>
      </c>
      <c r="C68" s="51" t="s">
        <v>209</v>
      </c>
      <c r="D68" s="51"/>
      <c r="E68" s="63">
        <f>IF(G68="Y",VLOOKUP(B68&amp;"|"&amp;C68,'[1]ETC Data'!$C$2:$D$16,2,FALSE),0)</f>
        <v>48</v>
      </c>
      <c r="F68" s="63">
        <f>IF(D68="",0,IF(G68="Y",VLOOKUP(B68&amp;"|"&amp;D68,'[1]ETC Data'!$C$2:$D$16,2,FALSE),0))</f>
        <v>0</v>
      </c>
      <c r="G68" s="53" t="str">
        <f>IF(VLOOKUP(A68,[1]Plan!A$1:H$804,8,FALSE)&lt;&gt;"",VLOOKUP(A68,[1]Plan!A$1:H$804,8,FALSE),"")</f>
        <v>Y</v>
      </c>
      <c r="H68" s="54" t="str">
        <f>IF(VLOOKUP(A68,[1]Plan!A$1:L$804,12,FALSE)&lt;&gt;"",VLOOKUP(A68,[1]Plan!A$1:L$804,12,FALSE),"")</f>
        <v/>
      </c>
      <c r="I68" s="55" t="str">
        <f>IF(VLOOKUP(A68,[1]Plan!A$1:M$804,13,FALSE)&lt;&gt;"",VLOOKUP(A68,[1]Plan!A$1:M$804,13,FALSE),"")</f>
        <v/>
      </c>
      <c r="J68" s="55" t="str">
        <f>IF(VLOOKUP(A68,[1]Plan!A$1:N$804,14,FALSE)&lt;&gt;"",VLOOKUP(A68,[1]Plan!A$1:N$804,14,FALSE),IF(VLOOKUP(A68,[1]Plan!A$1:O$804,15,FALSE)&lt;&gt;"",VLOOKUP(A68,[1]Plan!A$1:O$804,15,FALSE),""))</f>
        <v>Y</v>
      </c>
      <c r="K68" s="56" t="str">
        <f>IF(VLOOKUP(A68,[1]Plan!A$1:P$804,16,FALSE)&lt;&gt;"",VLOOKUP(A68,[1]Plan!A$1:P$804,16,FALSE),"")</f>
        <v>Y</v>
      </c>
      <c r="L68" s="55"/>
      <c r="M68" s="55"/>
      <c r="N68" s="55"/>
      <c r="O68" s="57">
        <f>IF(F68=0,E68,F68)</f>
        <v>48</v>
      </c>
      <c r="P68" s="57" t="b">
        <f>OR(H68="Y",I68="Y")</f>
        <v>0</v>
      </c>
      <c r="Q68" s="58">
        <f>IF(P68,O68*'[1]ETC Data'!$H$3*'[1]ETC Data'!$I$3,0)</f>
        <v>0</v>
      </c>
      <c r="R68" s="58">
        <f>Q68-(Q68*((VLOOKUP(A68,[1]Plan!A$1:Z$804,26,FALSE)/100)))</f>
        <v>0</v>
      </c>
      <c r="S68" s="58">
        <f>IF(P68,O68*'[1]ETC Data'!$H$3*'[1]ETC Data'!$J$3,0)</f>
        <v>0</v>
      </c>
      <c r="T68" s="58">
        <f>S68-(S68*((VLOOKUP(A68,[1]Plan!A$1:AA$804,27,FALSE)/100)))</f>
        <v>0</v>
      </c>
      <c r="U68" s="58">
        <f>IF(P68,O68*'[1]ETC Data'!$H$3*'[1]ETC Data'!$K$3,0)</f>
        <v>0</v>
      </c>
      <c r="V68" s="58">
        <f>U68-(U68*((VLOOKUP(A68,[1]Plan!A$1:AB$804,28,FALSE)/100)))</f>
        <v>0</v>
      </c>
      <c r="W68" s="58">
        <f>IF(P68,O68*'[1]ETC Data'!$H$3*'[1]ETC Data'!$L$3,0)</f>
        <v>0</v>
      </c>
      <c r="X68" s="58">
        <f>W68-(W68*((VLOOKUP(A68,[1]Plan!A$1:AC$804,29,FALSE)/100)))</f>
        <v>0</v>
      </c>
      <c r="Y68" s="59"/>
      <c r="Z68" s="60" t="b">
        <f>OR(H68="Y",J68="Y")</f>
        <v>1</v>
      </c>
      <c r="AA68" s="58">
        <f>IF(Z68,O68*'[1]ETC Data'!$H$4*'[1]ETC Data'!$I$4,0)</f>
        <v>11.712596294967767</v>
      </c>
      <c r="AB68" s="58">
        <f>AA68-(AA68*((VLOOKUP(A68,[1]Plan!A$1:AI$804,35,FALSE)/100)))</f>
        <v>0</v>
      </c>
      <c r="AC68" s="58">
        <f>IF(Z68,O68*'[1]ETC Data'!$H$4*'[1]ETC Data'!$J$4,0)</f>
        <v>5.8562981474838836</v>
      </c>
      <c r="AD68" s="58">
        <f>AC68-(AC68*((VLOOKUP(A68,[1]Plan!A$1:AJ$804,36,FALSE)/100)))</f>
        <v>0</v>
      </c>
      <c r="AE68" s="58">
        <f>IF(Z68,O68*'[1]ETC Data'!$H$4*'[1]ETC Data'!$K$4,0)</f>
        <v>4.2165346661883962</v>
      </c>
      <c r="AF68" s="58">
        <f>AE68-(AE68*((VLOOKUP(A68,[1]Plan!A$1:AK$804,37,FALSE)/100)))</f>
        <v>0</v>
      </c>
      <c r="AG68" s="58">
        <f>IF(Z68,O68*'[1]ETC Data'!$H$4*'[1]ETC Data'!$L$4,0)</f>
        <v>1.6397634812954875</v>
      </c>
      <c r="AH68" s="58">
        <f>AG68-(AG68*((VLOOKUP(A68,[1]Plan!A$1:AP$804,42,FALSE)/100)))</f>
        <v>0</v>
      </c>
      <c r="AI68" s="60"/>
      <c r="AJ68" s="60" t="b">
        <f>OR(H68="Y",K68="Y")</f>
        <v>1</v>
      </c>
      <c r="AK68" s="61">
        <f>IF(AJ68,O68*'[1]ETC Data'!$H$5*'[1]ETC Data'!$I$5,0)</f>
        <v>5.9784656554161915</v>
      </c>
      <c r="AL68" s="58">
        <v>10</v>
      </c>
      <c r="AM68" s="58">
        <f>IF(AJ68,O68*'[1]ETC Data'!$H$5*'[1]ETC Data'!$J$5,0)</f>
        <v>2.9892328277080957</v>
      </c>
      <c r="AN68" s="58">
        <v>6</v>
      </c>
      <c r="AO68" s="61">
        <f>IF(AJ68,O68*'[1]ETC Data'!$H$5*'[1]ETC Data'!$K$5,0)</f>
        <v>2.1522476359498288</v>
      </c>
      <c r="AP68" s="58">
        <f>AO68-(AO68*((VLOOKUP(A68,[1]Plan!A$1:BB$804,54,FALSE)/100)))</f>
        <v>0</v>
      </c>
      <c r="AQ68" s="58">
        <f>IF(AJ68,O68*'[1]ETC Data'!$H$5*'[1]ETC Data'!$L$5,0)</f>
        <v>0.83698519175826691</v>
      </c>
      <c r="AR68" s="58">
        <f>AQ68-(AQ68*((VLOOKUP(A68,[1]Plan!A$1:BD$804,56,FALSE)/100)))</f>
        <v>0</v>
      </c>
      <c r="AS68" s="20">
        <f>VLOOKUP(A68,'[1]PR Matrix'!A:B,2,FALSE)</f>
        <v>6216</v>
      </c>
      <c r="AT68" s="21">
        <f>R68+T68+V68+X68+AB68+AD68+AF68+AH68+AL68+AN68+AP68+AR68</f>
        <v>16</v>
      </c>
      <c r="AU68" s="21">
        <f>Q68+S68+U68+W68+AA68+AC68+AE68+AG68+AK68+AM68+AO68+AQ68</f>
        <v>35.382123900767915</v>
      </c>
      <c r="AV68" s="21">
        <f>R68+AB68+AL68</f>
        <v>10</v>
      </c>
      <c r="AW68" s="21">
        <f>T68+AD68+AN68</f>
        <v>6</v>
      </c>
      <c r="AX68" s="21">
        <f>V68+AF68+AP68</f>
        <v>0</v>
      </c>
      <c r="AY68" s="21">
        <f>X68+AH68+AR68</f>
        <v>0</v>
      </c>
    </row>
    <row r="69" spans="1:51" hidden="1" x14ac:dyDescent="0.2">
      <c r="A69" s="50" t="s">
        <v>276</v>
      </c>
      <c r="B69" s="51" t="s">
        <v>258</v>
      </c>
      <c r="C69" s="51"/>
      <c r="D69" s="51"/>
      <c r="E69" s="52">
        <f>IF(G69="Y",VLOOKUP(B69&amp;"|"&amp;C69,'[1]ETC Data'!$C$2:$D$16,2,FALSE),0)</f>
        <v>0</v>
      </c>
      <c r="F69" s="52">
        <f>IF(D69="",0,IF(G69="Y",VLOOKUP(B69&amp;"|"&amp;D69,'[1]ETC Data'!$C$2:$D$16,2,FALSE),0))</f>
        <v>0</v>
      </c>
      <c r="G69" s="53" t="str">
        <f>IF(VLOOKUP(A69,[1]Plan!A$1:H$804,8,FALSE)&lt;&gt;"",VLOOKUP(A69,[1]Plan!A$1:H$804,8,FALSE),"")</f>
        <v>N</v>
      </c>
      <c r="H69" s="54" t="str">
        <f>IF(VLOOKUP(A69,[1]Plan!A$1:L$804,12,FALSE)&lt;&gt;"",VLOOKUP(A69,[1]Plan!A$1:L$804,12,FALSE),"")</f>
        <v/>
      </c>
      <c r="I69" s="55" t="str">
        <f>IF(VLOOKUP(A69,[1]Plan!A$1:M$804,13,FALSE)&lt;&gt;"",VLOOKUP(A69,[1]Plan!A$1:M$804,13,FALSE),"")</f>
        <v/>
      </c>
      <c r="J69" s="55" t="str">
        <f>IF(VLOOKUP(A69,[1]Plan!A$1:N$804,14,FALSE)&lt;&gt;"",VLOOKUP(A69,[1]Plan!A$1:N$804,14,FALSE),IF(VLOOKUP(A69,[1]Plan!A$1:O$804,15,FALSE)&lt;&gt;"",VLOOKUP(A69,[1]Plan!A$1:O$804,15,FALSE),""))</f>
        <v/>
      </c>
      <c r="K69" s="56" t="str">
        <f>IF(VLOOKUP(A69,[1]Plan!A$1:P$804,16,FALSE)&lt;&gt;"",VLOOKUP(A69,[1]Plan!A$1:P$804,16,FALSE),"")</f>
        <v/>
      </c>
      <c r="L69" s="55"/>
      <c r="M69" s="55"/>
      <c r="N69" s="55"/>
      <c r="O69" s="57">
        <f>IF(F69=0,E69,F69)</f>
        <v>0</v>
      </c>
      <c r="P69" s="57" t="b">
        <f>OR(H69="Y",I69="Y")</f>
        <v>0</v>
      </c>
      <c r="Q69" s="58">
        <f>IF(P69,O69*'[1]ETC Data'!$H$3*'[1]ETC Data'!$I$3,0)</f>
        <v>0</v>
      </c>
      <c r="R69" s="58">
        <f>Q69-(Q69*((VLOOKUP(A69,[1]Plan!A$1:Z$804,26,FALSE)/100)))</f>
        <v>0</v>
      </c>
      <c r="S69" s="58">
        <f>IF(P69,O69*'[1]ETC Data'!$H$3*'[1]ETC Data'!$J$3,0)</f>
        <v>0</v>
      </c>
      <c r="T69" s="58">
        <f>S69-(S69*((VLOOKUP(A69,[1]Plan!A$1:AA$804,27,FALSE)/100)))</f>
        <v>0</v>
      </c>
      <c r="U69" s="58">
        <f>IF(P69,O69*'[1]ETC Data'!$H$3*'[1]ETC Data'!$K$3,0)</f>
        <v>0</v>
      </c>
      <c r="V69" s="58">
        <f>U69-(U69*((VLOOKUP(A69,[1]Plan!A$1:AB$804,28,FALSE)/100)))</f>
        <v>0</v>
      </c>
      <c r="W69" s="58">
        <f>IF(P69,O69*'[1]ETC Data'!$H$3*'[1]ETC Data'!$L$3,0)</f>
        <v>0</v>
      </c>
      <c r="X69" s="58">
        <f>W69-(W69*((VLOOKUP(A69,[1]Plan!A$1:AC$804,29,FALSE)/100)))</f>
        <v>0</v>
      </c>
      <c r="Y69" s="59"/>
      <c r="Z69" s="60" t="b">
        <f>OR(H69="Y",J69="Y")</f>
        <v>0</v>
      </c>
      <c r="AA69" s="58">
        <f>IF(Z69,O69*'[1]ETC Data'!$H$4*'[1]ETC Data'!$I$4,0)</f>
        <v>0</v>
      </c>
      <c r="AB69" s="58">
        <f>AA69-(AA69*((VLOOKUP(A69,[1]Plan!A$1:AI$804,35,FALSE)/100)))</f>
        <v>0</v>
      </c>
      <c r="AC69" s="58">
        <f>IF(Z69,O69*'[1]ETC Data'!$H$4*'[1]ETC Data'!$J$4,0)</f>
        <v>0</v>
      </c>
      <c r="AD69" s="58">
        <f>AC69-(AC69*((VLOOKUP(A69,[1]Plan!A$1:AJ$804,36,FALSE)/100)))</f>
        <v>0</v>
      </c>
      <c r="AE69" s="58">
        <f>IF(Z69,O69*'[1]ETC Data'!$H$4*'[1]ETC Data'!$K$4,0)</f>
        <v>0</v>
      </c>
      <c r="AF69" s="58">
        <f>AE69-(AE69*((VLOOKUP(A69,[1]Plan!A$1:AK$804,37,FALSE)/100)))</f>
        <v>0</v>
      </c>
      <c r="AG69" s="58">
        <f>IF(Z69,O69*'[1]ETC Data'!$H$4*'[1]ETC Data'!$L$4,0)</f>
        <v>0</v>
      </c>
      <c r="AH69" s="58">
        <f>AG69-(AG69*((VLOOKUP(A69,[1]Plan!A$1:AP$804,42,FALSE)/100)))</f>
        <v>0</v>
      </c>
      <c r="AI69" s="60"/>
      <c r="AJ69" s="60" t="b">
        <f>OR(H69="Y",K69="Y")</f>
        <v>0</v>
      </c>
      <c r="AK69" s="61">
        <f>IF(AJ69,O69*'[1]ETC Data'!$H$5*'[1]ETC Data'!$I$5,0)</f>
        <v>0</v>
      </c>
      <c r="AL69" s="58">
        <f>AK69-(AK69*((VLOOKUP(A69,[1]Plan!A$1:AY$804,51,FALSE)/100)))</f>
        <v>0</v>
      </c>
      <c r="AM69" s="58">
        <f>IF(AJ69,O69*'[1]ETC Data'!$H$5*'[1]ETC Data'!$J$5,0)</f>
        <v>0</v>
      </c>
      <c r="AN69" s="58">
        <f>AM69-(AM69*((VLOOKUP(A69,[1]Plan!A$1:BA$804,53,FALSE)/100)))</f>
        <v>0</v>
      </c>
      <c r="AO69" s="61">
        <f>IF(AJ69,O69*'[1]ETC Data'!$H$5*'[1]ETC Data'!$K$5,0)</f>
        <v>0</v>
      </c>
      <c r="AP69" s="58">
        <f>AO69-(AO69*((VLOOKUP(A69,[1]Plan!A$1:BB$804,54,FALSE)/100)))</f>
        <v>0</v>
      </c>
      <c r="AQ69" s="58">
        <f>IF(AJ69,O69*'[1]ETC Data'!$H$5*'[1]ETC Data'!$L$5,0)</f>
        <v>0</v>
      </c>
      <c r="AR69" s="58">
        <f>AQ69-(AQ69*((VLOOKUP(A69,[1]Plan!A$1:BD$804,56,FALSE)/100)))</f>
        <v>0</v>
      </c>
      <c r="AS69" s="20">
        <f>VLOOKUP(A69,'[1]PR Matrix'!A:B,2,FALSE)</f>
        <v>0</v>
      </c>
      <c r="AT69" s="21">
        <f>R69+T69+V69+X69+AB69+AD69+AF69+AH69+AL69+AN69+AP69+AR69</f>
        <v>0</v>
      </c>
      <c r="AU69" s="21">
        <f>Q69+S69+U69+W69+AA69+AC69+AE69+AG69+AK69+AM69+AO69+AQ69</f>
        <v>0</v>
      </c>
      <c r="AV69" s="21">
        <f>R69+AB69+AL69</f>
        <v>0</v>
      </c>
      <c r="AW69" s="21">
        <f>T69+AD69+AN69</f>
        <v>0</v>
      </c>
      <c r="AX69" s="21">
        <f>V69+AF69+AP69</f>
        <v>0</v>
      </c>
      <c r="AY69" s="21">
        <f>X69+AH69+AR69</f>
        <v>0</v>
      </c>
    </row>
    <row r="70" spans="1:51" hidden="1" x14ac:dyDescent="0.2">
      <c r="A70" s="50" t="s">
        <v>277</v>
      </c>
      <c r="B70" s="51" t="s">
        <v>208</v>
      </c>
      <c r="C70" s="51"/>
      <c r="D70" s="51"/>
      <c r="E70" s="52">
        <f>IF(G70="Y",VLOOKUP(B70&amp;"|"&amp;C70,'[1]ETC Data'!$C$2:$D$16,2,FALSE),0)</f>
        <v>0</v>
      </c>
      <c r="F70" s="52">
        <f>IF(D70="",0,IF(G70="Y",VLOOKUP(B70&amp;"|"&amp;D70,'[1]ETC Data'!$C$2:$D$16,2,FALSE),0))</f>
        <v>0</v>
      </c>
      <c r="G70" s="53" t="str">
        <f>IF(VLOOKUP(A70,[1]Plan!A$1:H$804,8,FALSE)&lt;&gt;"",VLOOKUP(A70,[1]Plan!A$1:H$804,8,FALSE),"")</f>
        <v>N</v>
      </c>
      <c r="H70" s="54" t="str">
        <f>IF(VLOOKUP(A70,[1]Plan!A$1:L$804,12,FALSE)&lt;&gt;"",VLOOKUP(A70,[1]Plan!A$1:L$804,12,FALSE),"")</f>
        <v/>
      </c>
      <c r="I70" s="55" t="str">
        <f>IF(VLOOKUP(A70,[1]Plan!A$1:M$804,13,FALSE)&lt;&gt;"",VLOOKUP(A70,[1]Plan!A$1:M$804,13,FALSE),"")</f>
        <v/>
      </c>
      <c r="J70" s="55" t="str">
        <f>IF(VLOOKUP(A70,[1]Plan!A$1:N$804,14,FALSE)&lt;&gt;"",VLOOKUP(A70,[1]Plan!A$1:N$804,14,FALSE),IF(VLOOKUP(A70,[1]Plan!A$1:O$804,15,FALSE)&lt;&gt;"",VLOOKUP(A70,[1]Plan!A$1:O$804,15,FALSE),""))</f>
        <v/>
      </c>
      <c r="K70" s="56" t="str">
        <f>IF(VLOOKUP(A70,[1]Plan!A$1:P$804,16,FALSE)&lt;&gt;"",VLOOKUP(A70,[1]Plan!A$1:P$804,16,FALSE),"")</f>
        <v/>
      </c>
      <c r="L70" s="55"/>
      <c r="M70" s="55"/>
      <c r="N70" s="55"/>
      <c r="O70" s="57">
        <f>IF(F70=0,E70,F70)</f>
        <v>0</v>
      </c>
      <c r="P70" s="57" t="b">
        <f>OR(H70="Y",I70="Y")</f>
        <v>0</v>
      </c>
      <c r="Q70" s="58">
        <f>IF(P70,O70*'[1]ETC Data'!$H$3*'[1]ETC Data'!$I$3,0)</f>
        <v>0</v>
      </c>
      <c r="R70" s="58">
        <f>Q70-(Q70*((VLOOKUP(A70,[1]Plan!A$1:Z$804,26,FALSE)/100)))</f>
        <v>0</v>
      </c>
      <c r="S70" s="58">
        <f>IF(P70,O70*'[1]ETC Data'!$H$3*'[1]ETC Data'!$J$3,0)</f>
        <v>0</v>
      </c>
      <c r="T70" s="58">
        <f>S70-(S70*((VLOOKUP(A70,[1]Plan!A$1:AA$804,27,FALSE)/100)))</f>
        <v>0</v>
      </c>
      <c r="U70" s="58">
        <f>IF(P70,O70*'[1]ETC Data'!$H$3*'[1]ETC Data'!$K$3,0)</f>
        <v>0</v>
      </c>
      <c r="V70" s="58">
        <f>U70-(U70*((VLOOKUP(A70,[1]Plan!A$1:AB$804,28,FALSE)/100)))</f>
        <v>0</v>
      </c>
      <c r="W70" s="58">
        <f>IF(P70,O70*'[1]ETC Data'!$H$3*'[1]ETC Data'!$L$3,0)</f>
        <v>0</v>
      </c>
      <c r="X70" s="58">
        <f>W70-(W70*((VLOOKUP(A70,[1]Plan!A$1:AC$804,29,FALSE)/100)))</f>
        <v>0</v>
      </c>
      <c r="Y70" s="59"/>
      <c r="Z70" s="60" t="b">
        <f>OR(H70="Y",J70="Y")</f>
        <v>0</v>
      </c>
      <c r="AA70" s="58">
        <f>IF(Z70,O70*'[1]ETC Data'!$H$4*'[1]ETC Data'!$I$4,0)</f>
        <v>0</v>
      </c>
      <c r="AB70" s="58">
        <f>AA70-(AA70*((VLOOKUP(A70,[1]Plan!A$1:AI$804,35,FALSE)/100)))</f>
        <v>0</v>
      </c>
      <c r="AC70" s="58">
        <f>IF(Z70,O70*'[1]ETC Data'!$H$4*'[1]ETC Data'!$J$4,0)</f>
        <v>0</v>
      </c>
      <c r="AD70" s="58">
        <f>AC70-(AC70*((VLOOKUP(A70,[1]Plan!A$1:AJ$804,36,FALSE)/100)))</f>
        <v>0</v>
      </c>
      <c r="AE70" s="58">
        <f>IF(Z70,O70*'[1]ETC Data'!$H$4*'[1]ETC Data'!$K$4,0)</f>
        <v>0</v>
      </c>
      <c r="AF70" s="58">
        <f>AE70-(AE70*((VLOOKUP(A70,[1]Plan!A$1:AK$804,37,FALSE)/100)))</f>
        <v>0</v>
      </c>
      <c r="AG70" s="58">
        <f>IF(Z70,O70*'[1]ETC Data'!$H$4*'[1]ETC Data'!$L$4,0)</f>
        <v>0</v>
      </c>
      <c r="AH70" s="58">
        <f>AG70-(AG70*((VLOOKUP(A70,[1]Plan!A$1:AP$804,42,FALSE)/100)))</f>
        <v>0</v>
      </c>
      <c r="AI70" s="60"/>
      <c r="AJ70" s="60" t="b">
        <f>OR(H70="Y",K70="Y")</f>
        <v>0</v>
      </c>
      <c r="AK70" s="61">
        <f>IF(AJ70,O70*'[1]ETC Data'!$H$5*'[1]ETC Data'!$I$5,0)</f>
        <v>0</v>
      </c>
      <c r="AL70" s="58">
        <f>AK70-(AK70*((VLOOKUP(A70,[1]Plan!A$1:AY$804,51,FALSE)/100)))</f>
        <v>0</v>
      </c>
      <c r="AM70" s="58">
        <f>IF(AJ70,O70*'[1]ETC Data'!$H$5*'[1]ETC Data'!$J$5,0)</f>
        <v>0</v>
      </c>
      <c r="AN70" s="58">
        <f>AM70-(AM70*((VLOOKUP(A70,[1]Plan!A$1:BA$804,53,FALSE)/100)))</f>
        <v>0</v>
      </c>
      <c r="AO70" s="61">
        <f>IF(AJ70,O70*'[1]ETC Data'!$H$5*'[1]ETC Data'!$K$5,0)</f>
        <v>0</v>
      </c>
      <c r="AP70" s="58">
        <f>AO70-(AO70*((VLOOKUP(A70,[1]Plan!A$1:BB$804,54,FALSE)/100)))</f>
        <v>0</v>
      </c>
      <c r="AQ70" s="58">
        <f>IF(AJ70,O70*'[1]ETC Data'!$H$5*'[1]ETC Data'!$L$5,0)</f>
        <v>0</v>
      </c>
      <c r="AR70" s="58">
        <f>AQ70-(AQ70*((VLOOKUP(A70,[1]Plan!A$1:BD$804,56,FALSE)/100)))</f>
        <v>0</v>
      </c>
      <c r="AS70" s="20">
        <f>VLOOKUP(A70,'[1]PR Matrix'!A:B,2,FALSE)</f>
        <v>0</v>
      </c>
      <c r="AT70" s="21">
        <f>R70+T70+V70+X70+AB70+AD70+AF70+AH70+AL70+AN70+AP70+AR70</f>
        <v>0</v>
      </c>
      <c r="AU70" s="21">
        <f>Q70+S70+U70+W70+AA70+AC70+AE70+AG70+AK70+AM70+AO70+AQ70</f>
        <v>0</v>
      </c>
      <c r="AV70" s="21">
        <f>R70+AB70+AL70</f>
        <v>0</v>
      </c>
      <c r="AW70" s="21">
        <f>T70+AD70+AN70</f>
        <v>0</v>
      </c>
      <c r="AX70" s="21">
        <f>V70+AF70+AP70</f>
        <v>0</v>
      </c>
      <c r="AY70" s="21">
        <f>X70+AH70+AR70</f>
        <v>0</v>
      </c>
    </row>
    <row r="71" spans="1:51" hidden="1" x14ac:dyDescent="0.2">
      <c r="A71" s="50" t="s">
        <v>278</v>
      </c>
      <c r="B71" s="51" t="s">
        <v>258</v>
      </c>
      <c r="C71" s="51"/>
      <c r="D71" s="51"/>
      <c r="E71" s="52">
        <f>IF(G71="Y",VLOOKUP(B71&amp;"|"&amp;C71,'[1]ETC Data'!$C$2:$D$16,2,FALSE),0)</f>
        <v>0</v>
      </c>
      <c r="F71" s="52">
        <f>IF(D71="",0,IF(G71="Y",VLOOKUP(B71&amp;"|"&amp;D71,'[1]ETC Data'!$C$2:$D$16,2,FALSE),0))</f>
        <v>0</v>
      </c>
      <c r="G71" s="53" t="str">
        <f>IF(VLOOKUP(A71,[1]Plan!A$1:H$804,8,FALSE)&lt;&gt;"",VLOOKUP(A71,[1]Plan!A$1:H$804,8,FALSE),"")</f>
        <v>N</v>
      </c>
      <c r="H71" s="54" t="str">
        <f>IF(VLOOKUP(A71,[1]Plan!A$1:L$804,12,FALSE)&lt;&gt;"",VLOOKUP(A71,[1]Plan!A$1:L$804,12,FALSE),"")</f>
        <v/>
      </c>
      <c r="I71" s="55" t="str">
        <f>IF(VLOOKUP(A71,[1]Plan!A$1:M$804,13,FALSE)&lt;&gt;"",VLOOKUP(A71,[1]Plan!A$1:M$804,13,FALSE),"")</f>
        <v/>
      </c>
      <c r="J71" s="55" t="str">
        <f>IF(VLOOKUP(A71,[1]Plan!A$1:N$804,14,FALSE)&lt;&gt;"",VLOOKUP(A71,[1]Plan!A$1:N$804,14,FALSE),IF(VLOOKUP(A71,[1]Plan!A$1:O$804,15,FALSE)&lt;&gt;"",VLOOKUP(A71,[1]Plan!A$1:O$804,15,FALSE),""))</f>
        <v/>
      </c>
      <c r="K71" s="56" t="str">
        <f>IF(VLOOKUP(A71,[1]Plan!A$1:P$804,16,FALSE)&lt;&gt;"",VLOOKUP(A71,[1]Plan!A$1:P$804,16,FALSE),"")</f>
        <v/>
      </c>
      <c r="L71" s="55"/>
      <c r="M71" s="55"/>
      <c r="N71" s="55"/>
      <c r="O71" s="57">
        <f>IF(F71=0,E71,F71)</f>
        <v>0</v>
      </c>
      <c r="P71" s="57" t="b">
        <f>OR(H71="Y",I71="Y")</f>
        <v>0</v>
      </c>
      <c r="Q71" s="58">
        <f>IF(P71,O71*'[1]ETC Data'!$H$3*'[1]ETC Data'!$I$3,0)</f>
        <v>0</v>
      </c>
      <c r="R71" s="58">
        <f>Q71-(Q71*((VLOOKUP(A71,[1]Plan!A$1:Z$804,26,FALSE)/100)))</f>
        <v>0</v>
      </c>
      <c r="S71" s="58">
        <f>IF(P71,O71*'[1]ETC Data'!$H$3*'[1]ETC Data'!$J$3,0)</f>
        <v>0</v>
      </c>
      <c r="T71" s="58">
        <f>S71-(S71*((VLOOKUP(A71,[1]Plan!A$1:AA$804,27,FALSE)/100)))</f>
        <v>0</v>
      </c>
      <c r="U71" s="58">
        <f>IF(P71,O71*'[1]ETC Data'!$H$3*'[1]ETC Data'!$K$3,0)</f>
        <v>0</v>
      </c>
      <c r="V71" s="58">
        <f>U71-(U71*((VLOOKUP(A71,[1]Plan!A$1:AB$804,28,FALSE)/100)))</f>
        <v>0</v>
      </c>
      <c r="W71" s="58">
        <f>IF(P71,O71*'[1]ETC Data'!$H$3*'[1]ETC Data'!$L$3,0)</f>
        <v>0</v>
      </c>
      <c r="X71" s="58">
        <f>W71-(W71*((VLOOKUP(A71,[1]Plan!A$1:AC$804,29,FALSE)/100)))</f>
        <v>0</v>
      </c>
      <c r="Y71" s="59"/>
      <c r="Z71" s="60" t="b">
        <f>OR(H71="Y",J71="Y")</f>
        <v>0</v>
      </c>
      <c r="AA71" s="58">
        <f>IF(Z71,O71*'[1]ETC Data'!$H$4*'[1]ETC Data'!$I$4,0)</f>
        <v>0</v>
      </c>
      <c r="AB71" s="58">
        <f>AA71-(AA71*((VLOOKUP(A71,[1]Plan!A$1:AI$804,35,FALSE)/100)))</f>
        <v>0</v>
      </c>
      <c r="AC71" s="58">
        <f>IF(Z71,O71*'[1]ETC Data'!$H$4*'[1]ETC Data'!$J$4,0)</f>
        <v>0</v>
      </c>
      <c r="AD71" s="58">
        <f>AC71-(AC71*((VLOOKUP(A71,[1]Plan!A$1:AJ$804,36,FALSE)/100)))</f>
        <v>0</v>
      </c>
      <c r="AE71" s="58">
        <f>IF(Z71,O71*'[1]ETC Data'!$H$4*'[1]ETC Data'!$K$4,0)</f>
        <v>0</v>
      </c>
      <c r="AF71" s="58">
        <f>AE71-(AE71*((VLOOKUP(A71,[1]Plan!A$1:AK$804,37,FALSE)/100)))</f>
        <v>0</v>
      </c>
      <c r="AG71" s="58">
        <f>IF(Z71,O71*'[1]ETC Data'!$H$4*'[1]ETC Data'!$L$4,0)</f>
        <v>0</v>
      </c>
      <c r="AH71" s="58">
        <f>AG71-(AG71*((VLOOKUP(A71,[1]Plan!A$1:AP$804,42,FALSE)/100)))</f>
        <v>0</v>
      </c>
      <c r="AI71" s="60"/>
      <c r="AJ71" s="60" t="b">
        <f>OR(H71="Y",K71="Y")</f>
        <v>0</v>
      </c>
      <c r="AK71" s="61">
        <f>IF(AJ71,O71*'[1]ETC Data'!$H$5*'[1]ETC Data'!$I$5,0)</f>
        <v>0</v>
      </c>
      <c r="AL71" s="58">
        <f>AK71-(AK71*((VLOOKUP(A71,[1]Plan!A$1:AY$804,51,FALSE)/100)))</f>
        <v>0</v>
      </c>
      <c r="AM71" s="58">
        <f>IF(AJ71,O71*'[1]ETC Data'!$H$5*'[1]ETC Data'!$J$5,0)</f>
        <v>0</v>
      </c>
      <c r="AN71" s="58">
        <f>AM71-(AM71*((VLOOKUP(A71,[1]Plan!A$1:BA$804,53,FALSE)/100)))</f>
        <v>0</v>
      </c>
      <c r="AO71" s="61">
        <f>IF(AJ71,O71*'[1]ETC Data'!$H$5*'[1]ETC Data'!$K$5,0)</f>
        <v>0</v>
      </c>
      <c r="AP71" s="58">
        <f>AO71-(AO71*((VLOOKUP(A71,[1]Plan!A$1:BB$804,54,FALSE)/100)))</f>
        <v>0</v>
      </c>
      <c r="AQ71" s="58">
        <f>IF(AJ71,O71*'[1]ETC Data'!$H$5*'[1]ETC Data'!$L$5,0)</f>
        <v>0</v>
      </c>
      <c r="AR71" s="58">
        <f>AQ71-(AQ71*((VLOOKUP(A71,[1]Plan!A$1:BD$804,56,FALSE)/100)))</f>
        <v>0</v>
      </c>
      <c r="AS71" s="20">
        <f>VLOOKUP(A71,'[1]PR Matrix'!A:B,2,FALSE)</f>
        <v>0</v>
      </c>
      <c r="AT71" s="21">
        <f>R71+T71+V71+X71+AB71+AD71+AF71+AH71+AL71+AN71+AP71+AR71</f>
        <v>0</v>
      </c>
      <c r="AU71" s="21">
        <f>Q71+S71+U71+W71+AA71+AC71+AE71+AG71+AK71+AM71+AO71+AQ71</f>
        <v>0</v>
      </c>
      <c r="AV71" s="21">
        <f>R71+AB71+AL71</f>
        <v>0</v>
      </c>
      <c r="AW71" s="21">
        <f>T71+AD71+AN71</f>
        <v>0</v>
      </c>
      <c r="AX71" s="21">
        <f>V71+AF71+AP71</f>
        <v>0</v>
      </c>
      <c r="AY71" s="21">
        <f>X71+AH71+AR71</f>
        <v>0</v>
      </c>
    </row>
    <row r="72" spans="1:51" x14ac:dyDescent="0.2">
      <c r="A72" s="50" t="s">
        <v>279</v>
      </c>
      <c r="B72" s="51" t="s">
        <v>208</v>
      </c>
      <c r="C72" s="51" t="s">
        <v>209</v>
      </c>
      <c r="D72" s="51"/>
      <c r="E72" s="63">
        <f>IF(G72="Y",VLOOKUP(B72&amp;"|"&amp;C72,'[1]ETC Data'!$C$2:$D$16,2,FALSE),0)</f>
        <v>48</v>
      </c>
      <c r="F72" s="63">
        <f>IF(D72="",0,IF(G72="Y",VLOOKUP(B72&amp;"|"&amp;D72,'[1]ETC Data'!$C$2:$D$16,2,FALSE),0))</f>
        <v>0</v>
      </c>
      <c r="G72" s="53" t="str">
        <f>IF(VLOOKUP(A72,[1]Plan!A$1:H$804,8,FALSE)&lt;&gt;"",VLOOKUP(A72,[1]Plan!A$1:H$804,8,FALSE),"")</f>
        <v>Y</v>
      </c>
      <c r="H72" s="54" t="str">
        <f>IF(VLOOKUP(A72,[1]Plan!A$1:L$804,12,FALSE)&lt;&gt;"",VLOOKUP(A72,[1]Plan!A$1:L$804,12,FALSE),"")</f>
        <v/>
      </c>
      <c r="I72" s="55" t="str">
        <f>IF(VLOOKUP(A72,[1]Plan!A$1:M$804,13,FALSE)&lt;&gt;"",VLOOKUP(A72,[1]Plan!A$1:M$804,13,FALSE),"")</f>
        <v>Y</v>
      </c>
      <c r="J72" s="55" t="str">
        <f>IF(VLOOKUP(A72,[1]Plan!A$1:N$804,14,FALSE)&lt;&gt;"",VLOOKUP(A72,[1]Plan!A$1:N$804,14,FALSE),IF(VLOOKUP(A72,[1]Plan!A$1:O$804,15,FALSE)&lt;&gt;"",VLOOKUP(A72,[1]Plan!A$1:O$804,15,FALSE),""))</f>
        <v>Y</v>
      </c>
      <c r="K72" s="56" t="str">
        <f>IF(VLOOKUP(A72,[1]Plan!A$1:P$804,16,FALSE)&lt;&gt;"",VLOOKUP(A72,[1]Plan!A$1:P$804,16,FALSE),"")</f>
        <v>Y</v>
      </c>
      <c r="L72" s="55"/>
      <c r="M72" s="55"/>
      <c r="N72" s="55"/>
      <c r="O72" s="57">
        <f>IF(F72=0,E72,F72)</f>
        <v>48</v>
      </c>
      <c r="P72" s="57" t="b">
        <f>OR(H72="Y",I72="Y")</f>
        <v>1</v>
      </c>
      <c r="Q72" s="58">
        <f>IF(P72,O72*'[1]ETC Data'!$H$3*'[1]ETC Data'!$I$3,0)</f>
        <v>9.4634070744240617</v>
      </c>
      <c r="R72" s="58">
        <f>Q72-(Q72*((VLOOKUP(A72,[1]Plan!A$1:Z$804,26,FALSE)/100)))</f>
        <v>0</v>
      </c>
      <c r="S72" s="58">
        <f>IF(P72,O72*'[1]ETC Data'!$H$3*'[1]ETC Data'!$J$3,0)</f>
        <v>2.2712176978617746</v>
      </c>
      <c r="T72" s="58">
        <f>S72-(S72*((VLOOKUP(A72,[1]Plan!A$1:AA$804,27,FALSE)/100)))</f>
        <v>0</v>
      </c>
      <c r="U72" s="58">
        <f>IF(P72,O72*'[1]ETC Data'!$H$3*'[1]ETC Data'!$K$3,0)</f>
        <v>0.63089380496160408</v>
      </c>
      <c r="V72" s="58">
        <f>U72-(U72*((VLOOKUP(A72,[1]Plan!A$1:AB$804,28,FALSE)/100)))</f>
        <v>0</v>
      </c>
      <c r="W72" s="58">
        <f>IF(P72,O72*'[1]ETC Data'!$H$3*'[1]ETC Data'!$L$3,0)</f>
        <v>0.25235752198464162</v>
      </c>
      <c r="X72" s="58">
        <f>W72-(W72*((VLOOKUP(A72,[1]Plan!A$1:AC$804,29,FALSE)/100)))</f>
        <v>0</v>
      </c>
      <c r="Y72" s="59"/>
      <c r="Z72" s="60" t="b">
        <f>OR(H72="Y",J72="Y")</f>
        <v>1</v>
      </c>
      <c r="AA72" s="58">
        <f>IF(Z72,O72*'[1]ETC Data'!$H$4*'[1]ETC Data'!$I$4,0)</f>
        <v>11.712596294967767</v>
      </c>
      <c r="AB72" s="58">
        <f>AA72-(AA72*((VLOOKUP(A72,[1]Plan!A$1:AI$804,35,FALSE)/100)))</f>
        <v>0</v>
      </c>
      <c r="AC72" s="58">
        <f>IF(Z72,O72*'[1]ETC Data'!$H$4*'[1]ETC Data'!$J$4,0)</f>
        <v>5.8562981474838836</v>
      </c>
      <c r="AD72" s="58">
        <f>AC72-(AC72*((VLOOKUP(A72,[1]Plan!A$1:AJ$804,36,FALSE)/100)))</f>
        <v>0</v>
      </c>
      <c r="AE72" s="58">
        <f>IF(Z72,O72*'[1]ETC Data'!$H$4*'[1]ETC Data'!$K$4,0)</f>
        <v>4.2165346661883962</v>
      </c>
      <c r="AF72" s="58">
        <f>AE72-(AE72*((VLOOKUP(A72,[1]Plan!A$1:AK$804,37,FALSE)/100)))</f>
        <v>0</v>
      </c>
      <c r="AG72" s="58">
        <f>IF(Z72,O72*'[1]ETC Data'!$H$4*'[1]ETC Data'!$L$4,0)</f>
        <v>1.6397634812954875</v>
      </c>
      <c r="AH72" s="58">
        <f>AG72-(AG72*((VLOOKUP(A72,[1]Plan!A$1:AP$804,42,FALSE)/100)))</f>
        <v>0</v>
      </c>
      <c r="AI72" s="60"/>
      <c r="AJ72" s="60" t="b">
        <f>OR(H72="Y",K72="Y")</f>
        <v>1</v>
      </c>
      <c r="AK72" s="61">
        <f>IF(AJ72,O72*'[1]ETC Data'!$H$5*'[1]ETC Data'!$I$5,0)</f>
        <v>5.9784656554161915</v>
      </c>
      <c r="AL72" s="58">
        <v>10</v>
      </c>
      <c r="AM72" s="58">
        <f>IF(AJ72,O72*'[1]ETC Data'!$H$5*'[1]ETC Data'!$J$5,0)</f>
        <v>2.9892328277080957</v>
      </c>
      <c r="AN72" s="58">
        <v>6</v>
      </c>
      <c r="AO72" s="61">
        <f>IF(AJ72,O72*'[1]ETC Data'!$H$5*'[1]ETC Data'!$K$5,0)</f>
        <v>2.1522476359498288</v>
      </c>
      <c r="AP72" s="58">
        <f>AO72-(AO72*((VLOOKUP(A72,[1]Plan!A$1:BB$804,54,FALSE)/100)))</f>
        <v>0</v>
      </c>
      <c r="AQ72" s="58">
        <f>IF(AJ72,O72*'[1]ETC Data'!$H$5*'[1]ETC Data'!$L$5,0)</f>
        <v>0.83698519175826691</v>
      </c>
      <c r="AR72" s="58">
        <f>AQ72-(AQ72*((VLOOKUP(A72,[1]Plan!A$1:BD$804,56,FALSE)/100)))</f>
        <v>0</v>
      </c>
      <c r="AS72" s="20">
        <f>VLOOKUP(A72,'[1]PR Matrix'!A:B,2,FALSE)</f>
        <v>6216</v>
      </c>
      <c r="AT72" s="21">
        <f>R72+T72+V72+X72+AB72+AD72+AF72+AH72+AL72+AN72+AP72+AR72</f>
        <v>16</v>
      </c>
      <c r="AU72" s="21">
        <f>Q72+S72+U72+W72+AA72+AC72+AE72+AG72+AK72+AM72+AO72+AQ72</f>
        <v>48</v>
      </c>
      <c r="AV72" s="21">
        <f>R72+AB72+AL72</f>
        <v>10</v>
      </c>
      <c r="AW72" s="21">
        <f>T72+AD72+AN72</f>
        <v>6</v>
      </c>
      <c r="AX72" s="21">
        <f>V72+AF72+AP72</f>
        <v>0</v>
      </c>
      <c r="AY72" s="21">
        <f>X72+AH72+AR72</f>
        <v>0</v>
      </c>
    </row>
    <row r="73" spans="1:51" hidden="1" x14ac:dyDescent="0.2">
      <c r="A73" s="50" t="s">
        <v>280</v>
      </c>
      <c r="B73" s="51" t="s">
        <v>258</v>
      </c>
      <c r="C73" s="51"/>
      <c r="D73" s="51"/>
      <c r="E73" s="52">
        <f>IF(G73="Y",VLOOKUP(B73&amp;"|"&amp;C73,'[1]ETC Data'!$C$2:$D$16,2,FALSE),0)</f>
        <v>0</v>
      </c>
      <c r="F73" s="52">
        <f>IF(D73="",0,IF(G73="Y",VLOOKUP(B73&amp;"|"&amp;D73,'[1]ETC Data'!$C$2:$D$16,2,FALSE),0))</f>
        <v>0</v>
      </c>
      <c r="G73" s="53" t="str">
        <f>IF(VLOOKUP(A73,[1]Plan!A$1:H$804,8,FALSE)&lt;&gt;"",VLOOKUP(A73,[1]Plan!A$1:H$804,8,FALSE),"")</f>
        <v>N</v>
      </c>
      <c r="H73" s="54" t="str">
        <f>IF(VLOOKUP(A73,[1]Plan!A$1:L$804,12,FALSE)&lt;&gt;"",VLOOKUP(A73,[1]Plan!A$1:L$804,12,FALSE),"")</f>
        <v/>
      </c>
      <c r="I73" s="55" t="str">
        <f>IF(VLOOKUP(A73,[1]Plan!A$1:M$804,13,FALSE)&lt;&gt;"",VLOOKUP(A73,[1]Plan!A$1:M$804,13,FALSE),"")</f>
        <v/>
      </c>
      <c r="J73" s="55" t="str">
        <f>IF(VLOOKUP(A73,[1]Plan!A$1:N$804,14,FALSE)&lt;&gt;"",VLOOKUP(A73,[1]Plan!A$1:N$804,14,FALSE),IF(VLOOKUP(A73,[1]Plan!A$1:O$804,15,FALSE)&lt;&gt;"",VLOOKUP(A73,[1]Plan!A$1:O$804,15,FALSE),""))</f>
        <v/>
      </c>
      <c r="K73" s="56" t="str">
        <f>IF(VLOOKUP(A73,[1]Plan!A$1:P$804,16,FALSE)&lt;&gt;"",VLOOKUP(A73,[1]Plan!A$1:P$804,16,FALSE),"")</f>
        <v/>
      </c>
      <c r="L73" s="55"/>
      <c r="M73" s="55"/>
      <c r="N73" s="55"/>
      <c r="O73" s="57">
        <f>IF(F73=0,E73,F73)</f>
        <v>0</v>
      </c>
      <c r="P73" s="57" t="b">
        <f>OR(H73="Y",I73="Y")</f>
        <v>0</v>
      </c>
      <c r="Q73" s="58">
        <f>IF(P73,O73*'[1]ETC Data'!$H$3*'[1]ETC Data'!$I$3,0)</f>
        <v>0</v>
      </c>
      <c r="R73" s="58">
        <f>Q73-(Q73*((VLOOKUP(A73,[1]Plan!A$1:Z$804,26,FALSE)/100)))</f>
        <v>0</v>
      </c>
      <c r="S73" s="58">
        <f>IF(P73,O73*'[1]ETC Data'!$H$3*'[1]ETC Data'!$J$3,0)</f>
        <v>0</v>
      </c>
      <c r="T73" s="58">
        <f>S73-(S73*((VLOOKUP(A73,[1]Plan!A$1:AA$804,27,FALSE)/100)))</f>
        <v>0</v>
      </c>
      <c r="U73" s="58">
        <f>IF(P73,O73*'[1]ETC Data'!$H$3*'[1]ETC Data'!$K$3,0)</f>
        <v>0</v>
      </c>
      <c r="V73" s="58">
        <f>U73-(U73*((VLOOKUP(A73,[1]Plan!A$1:AB$804,28,FALSE)/100)))</f>
        <v>0</v>
      </c>
      <c r="W73" s="58">
        <f>IF(P73,O73*'[1]ETC Data'!$H$3*'[1]ETC Data'!$L$3,0)</f>
        <v>0</v>
      </c>
      <c r="X73" s="58">
        <f>W73-(W73*((VLOOKUP(A73,[1]Plan!A$1:AC$804,29,FALSE)/100)))</f>
        <v>0</v>
      </c>
      <c r="Y73" s="59"/>
      <c r="Z73" s="60" t="b">
        <f>OR(H73="Y",J73="Y")</f>
        <v>0</v>
      </c>
      <c r="AA73" s="58">
        <f>IF(Z73,O73*'[1]ETC Data'!$H$4*'[1]ETC Data'!$I$4,0)</f>
        <v>0</v>
      </c>
      <c r="AB73" s="58">
        <f>AA73-(AA73*((VLOOKUP(A73,[1]Plan!A$1:AI$804,35,FALSE)/100)))</f>
        <v>0</v>
      </c>
      <c r="AC73" s="58">
        <f>IF(Z73,O73*'[1]ETC Data'!$H$4*'[1]ETC Data'!$J$4,0)</f>
        <v>0</v>
      </c>
      <c r="AD73" s="58">
        <f>AC73-(AC73*((VLOOKUP(A73,[1]Plan!A$1:AJ$804,36,FALSE)/100)))</f>
        <v>0</v>
      </c>
      <c r="AE73" s="58">
        <f>IF(Z73,O73*'[1]ETC Data'!$H$4*'[1]ETC Data'!$K$4,0)</f>
        <v>0</v>
      </c>
      <c r="AF73" s="58">
        <f>AE73-(AE73*((VLOOKUP(A73,[1]Plan!A$1:AK$804,37,FALSE)/100)))</f>
        <v>0</v>
      </c>
      <c r="AG73" s="58">
        <f>IF(Z73,O73*'[1]ETC Data'!$H$4*'[1]ETC Data'!$L$4,0)</f>
        <v>0</v>
      </c>
      <c r="AH73" s="58">
        <f>AG73-(AG73*((VLOOKUP(A73,[1]Plan!A$1:AP$804,42,FALSE)/100)))</f>
        <v>0</v>
      </c>
      <c r="AI73" s="60"/>
      <c r="AJ73" s="60" t="b">
        <f>OR(H73="Y",K73="Y")</f>
        <v>0</v>
      </c>
      <c r="AK73" s="61">
        <f>IF(AJ73,O73*'[1]ETC Data'!$H$5*'[1]ETC Data'!$I$5,0)</f>
        <v>0</v>
      </c>
      <c r="AL73" s="58">
        <f>AK73-(AK73*((VLOOKUP(A73,[1]Plan!A$1:AY$804,51,FALSE)/100)))</f>
        <v>0</v>
      </c>
      <c r="AM73" s="58">
        <f>IF(AJ73,O73*'[1]ETC Data'!$H$5*'[1]ETC Data'!$J$5,0)</f>
        <v>0</v>
      </c>
      <c r="AN73" s="58">
        <f>AM73-(AM73*((VLOOKUP(A73,[1]Plan!A$1:BA$804,53,FALSE)/100)))</f>
        <v>0</v>
      </c>
      <c r="AO73" s="61">
        <f>IF(AJ73,O73*'[1]ETC Data'!$H$5*'[1]ETC Data'!$K$5,0)</f>
        <v>0</v>
      </c>
      <c r="AP73" s="58">
        <f>AO73-(AO73*((VLOOKUP(A73,[1]Plan!A$1:BB$804,54,FALSE)/100)))</f>
        <v>0</v>
      </c>
      <c r="AQ73" s="58">
        <f>IF(AJ73,O73*'[1]ETC Data'!$H$5*'[1]ETC Data'!$L$5,0)</f>
        <v>0</v>
      </c>
      <c r="AR73" s="58">
        <f>AQ73-(AQ73*((VLOOKUP(A73,[1]Plan!A$1:BD$804,56,FALSE)/100)))</f>
        <v>0</v>
      </c>
      <c r="AS73" s="20">
        <f>VLOOKUP(A73,'[1]PR Matrix'!A:B,2,FALSE)</f>
        <v>0</v>
      </c>
      <c r="AT73" s="21">
        <f>R73+T73+V73+X73+AB73+AD73+AF73+AH73+AL73+AN73+AP73+AR73</f>
        <v>0</v>
      </c>
      <c r="AU73" s="21">
        <f>Q73+S73+U73+W73+AA73+AC73+AE73+AG73+AK73+AM73+AO73+AQ73</f>
        <v>0</v>
      </c>
      <c r="AV73" s="21">
        <f>R73+AB73+AL73</f>
        <v>0</v>
      </c>
      <c r="AW73" s="21">
        <f>T73+AD73+AN73</f>
        <v>0</v>
      </c>
      <c r="AX73" s="21">
        <f>V73+AF73+AP73</f>
        <v>0</v>
      </c>
      <c r="AY73" s="21">
        <f>X73+AH73+AR73</f>
        <v>0</v>
      </c>
    </row>
    <row r="74" spans="1:51" hidden="1" x14ac:dyDescent="0.2">
      <c r="A74" s="50" t="s">
        <v>281</v>
      </c>
      <c r="B74" s="51" t="s">
        <v>258</v>
      </c>
      <c r="C74" s="51"/>
      <c r="D74" s="51"/>
      <c r="E74" s="52">
        <f>IF(G74="Y",VLOOKUP(B74&amp;"|"&amp;C74,'[1]ETC Data'!$C$2:$D$16,2,FALSE),0)</f>
        <v>0</v>
      </c>
      <c r="F74" s="52">
        <f>IF(D74="",0,IF(G74="Y",VLOOKUP(B74&amp;"|"&amp;D74,'[1]ETC Data'!$C$2:$D$16,2,FALSE),0))</f>
        <v>0</v>
      </c>
      <c r="G74" s="53" t="str">
        <f>IF(VLOOKUP(A74,[1]Plan!A$1:H$804,8,FALSE)&lt;&gt;"",VLOOKUP(A74,[1]Plan!A$1:H$804,8,FALSE),"")</f>
        <v>N</v>
      </c>
      <c r="H74" s="54" t="str">
        <f>IF(VLOOKUP(A74,[1]Plan!A$1:L$804,12,FALSE)&lt;&gt;"",VLOOKUP(A74,[1]Plan!A$1:L$804,12,FALSE),"")</f>
        <v/>
      </c>
      <c r="I74" s="55" t="str">
        <f>IF(VLOOKUP(A74,[1]Plan!A$1:M$804,13,FALSE)&lt;&gt;"",VLOOKUP(A74,[1]Plan!A$1:M$804,13,FALSE),"")</f>
        <v/>
      </c>
      <c r="J74" s="55" t="str">
        <f>IF(VLOOKUP(A74,[1]Plan!A$1:N$804,14,FALSE)&lt;&gt;"",VLOOKUP(A74,[1]Plan!A$1:N$804,14,FALSE),IF(VLOOKUP(A74,[1]Plan!A$1:O$804,15,FALSE)&lt;&gt;"",VLOOKUP(A74,[1]Plan!A$1:O$804,15,FALSE),""))</f>
        <v/>
      </c>
      <c r="K74" s="56" t="str">
        <f>IF(VLOOKUP(A74,[1]Plan!A$1:P$804,16,FALSE)&lt;&gt;"",VLOOKUP(A74,[1]Plan!A$1:P$804,16,FALSE),"")</f>
        <v/>
      </c>
      <c r="L74" s="55"/>
      <c r="M74" s="55"/>
      <c r="N74" s="55"/>
      <c r="O74" s="57">
        <f>IF(F74=0,E74,F74)</f>
        <v>0</v>
      </c>
      <c r="P74" s="57" t="b">
        <f>OR(H74="Y",I74="Y")</f>
        <v>0</v>
      </c>
      <c r="Q74" s="58">
        <f>IF(P74,O74*'[1]ETC Data'!$H$3*'[1]ETC Data'!$I$3,0)</f>
        <v>0</v>
      </c>
      <c r="R74" s="58">
        <f>Q74-(Q74*((VLOOKUP(A74,[1]Plan!A$1:Z$804,26,FALSE)/100)))</f>
        <v>0</v>
      </c>
      <c r="S74" s="58">
        <f>IF(P74,O74*'[1]ETC Data'!$H$3*'[1]ETC Data'!$J$3,0)</f>
        <v>0</v>
      </c>
      <c r="T74" s="58">
        <f>S74-(S74*((VLOOKUP(A74,[1]Plan!A$1:AA$804,27,FALSE)/100)))</f>
        <v>0</v>
      </c>
      <c r="U74" s="58">
        <f>IF(P74,O74*'[1]ETC Data'!$H$3*'[1]ETC Data'!$K$3,0)</f>
        <v>0</v>
      </c>
      <c r="V74" s="58">
        <f>U74-(U74*((VLOOKUP(A74,[1]Plan!A$1:AB$804,28,FALSE)/100)))</f>
        <v>0</v>
      </c>
      <c r="W74" s="58">
        <f>IF(P74,O74*'[1]ETC Data'!$H$3*'[1]ETC Data'!$L$3,0)</f>
        <v>0</v>
      </c>
      <c r="X74" s="58">
        <f>W74-(W74*((VLOOKUP(A74,[1]Plan!A$1:AC$804,29,FALSE)/100)))</f>
        <v>0</v>
      </c>
      <c r="Y74" s="59"/>
      <c r="Z74" s="60" t="b">
        <f>OR(H74="Y",J74="Y")</f>
        <v>0</v>
      </c>
      <c r="AA74" s="58">
        <f>IF(Z74,O74*'[1]ETC Data'!$H$4*'[1]ETC Data'!$I$4,0)</f>
        <v>0</v>
      </c>
      <c r="AB74" s="58">
        <f>AA74-(AA74*((VLOOKUP(A74,[1]Plan!A$1:AI$804,35,FALSE)/100)))</f>
        <v>0</v>
      </c>
      <c r="AC74" s="58">
        <f>IF(Z74,O74*'[1]ETC Data'!$H$4*'[1]ETC Data'!$J$4,0)</f>
        <v>0</v>
      </c>
      <c r="AD74" s="58">
        <f>AC74-(AC74*((VLOOKUP(A74,[1]Plan!A$1:AJ$804,36,FALSE)/100)))</f>
        <v>0</v>
      </c>
      <c r="AE74" s="58">
        <f>IF(Z74,O74*'[1]ETC Data'!$H$4*'[1]ETC Data'!$K$4,0)</f>
        <v>0</v>
      </c>
      <c r="AF74" s="58">
        <f>AE74-(AE74*((VLOOKUP(A74,[1]Plan!A$1:AK$804,37,FALSE)/100)))</f>
        <v>0</v>
      </c>
      <c r="AG74" s="58">
        <f>IF(Z74,O74*'[1]ETC Data'!$H$4*'[1]ETC Data'!$L$4,0)</f>
        <v>0</v>
      </c>
      <c r="AH74" s="58">
        <f>AG74-(AG74*((VLOOKUP(A74,[1]Plan!A$1:AP$804,42,FALSE)/100)))</f>
        <v>0</v>
      </c>
      <c r="AI74" s="60"/>
      <c r="AJ74" s="60" t="b">
        <f>OR(H74="Y",K74="Y")</f>
        <v>0</v>
      </c>
      <c r="AK74" s="61">
        <f>IF(AJ74,O74*'[1]ETC Data'!$H$5*'[1]ETC Data'!$I$5,0)</f>
        <v>0</v>
      </c>
      <c r="AL74" s="58">
        <f>AK74-(AK74*((VLOOKUP(A74,[1]Plan!A$1:AY$804,51,FALSE)/100)))</f>
        <v>0</v>
      </c>
      <c r="AM74" s="58">
        <f>IF(AJ74,O74*'[1]ETC Data'!$H$5*'[1]ETC Data'!$J$5,0)</f>
        <v>0</v>
      </c>
      <c r="AN74" s="58">
        <f>AM74-(AM74*((VLOOKUP(A74,[1]Plan!A$1:BA$804,53,FALSE)/100)))</f>
        <v>0</v>
      </c>
      <c r="AO74" s="61">
        <f>IF(AJ74,O74*'[1]ETC Data'!$H$5*'[1]ETC Data'!$K$5,0)</f>
        <v>0</v>
      </c>
      <c r="AP74" s="58">
        <f>AO74-(AO74*((VLOOKUP(A74,[1]Plan!A$1:BB$804,54,FALSE)/100)))</f>
        <v>0</v>
      </c>
      <c r="AQ74" s="58">
        <f>IF(AJ74,O74*'[1]ETC Data'!$H$5*'[1]ETC Data'!$L$5,0)</f>
        <v>0</v>
      </c>
      <c r="AR74" s="58">
        <f>AQ74-(AQ74*((VLOOKUP(A74,[1]Plan!A$1:BD$804,56,FALSE)/100)))</f>
        <v>0</v>
      </c>
      <c r="AS74" s="20">
        <f>VLOOKUP(A74,'[1]PR Matrix'!A:B,2,FALSE)</f>
        <v>0</v>
      </c>
      <c r="AT74" s="21">
        <f>R74+T74+V74+X74+AB74+AD74+AF74+AH74+AL74+AN74+AP74+AR74</f>
        <v>0</v>
      </c>
      <c r="AU74" s="21">
        <f>Q74+S74+U74+W74+AA74+AC74+AE74+AG74+AK74+AM74+AO74+AQ74</f>
        <v>0</v>
      </c>
      <c r="AV74" s="21">
        <f>R74+AB74+AL74</f>
        <v>0</v>
      </c>
      <c r="AW74" s="21">
        <f>T74+AD74+AN74</f>
        <v>0</v>
      </c>
      <c r="AX74" s="21">
        <f>V74+AF74+AP74</f>
        <v>0</v>
      </c>
      <c r="AY74" s="21">
        <f>X74+AH74+AR74</f>
        <v>0</v>
      </c>
    </row>
    <row r="75" spans="1:51" hidden="1" x14ac:dyDescent="0.2">
      <c r="A75" s="50" t="s">
        <v>282</v>
      </c>
      <c r="B75" s="51" t="s">
        <v>208</v>
      </c>
      <c r="C75" s="51"/>
      <c r="D75" s="51"/>
      <c r="E75" s="52">
        <f>IF(G75="Y",VLOOKUP(B75&amp;"|"&amp;C75,'[1]ETC Data'!$C$2:$D$16,2,FALSE),0)</f>
        <v>0</v>
      </c>
      <c r="F75" s="52">
        <f>IF(D75="",0,IF(G75="Y",VLOOKUP(B75&amp;"|"&amp;D75,'[1]ETC Data'!$C$2:$D$16,2,FALSE),0))</f>
        <v>0</v>
      </c>
      <c r="G75" s="53" t="str">
        <f>IF(VLOOKUP(A75,[1]Plan!A$1:H$804,8,FALSE)&lt;&gt;"",VLOOKUP(A75,[1]Plan!A$1:H$804,8,FALSE),"")</f>
        <v>N</v>
      </c>
      <c r="H75" s="54" t="str">
        <f>IF(VLOOKUP(A75,[1]Plan!A$1:L$804,12,FALSE)&lt;&gt;"",VLOOKUP(A75,[1]Plan!A$1:L$804,12,FALSE),"")</f>
        <v/>
      </c>
      <c r="I75" s="55" t="str">
        <f>IF(VLOOKUP(A75,[1]Plan!A$1:M$804,13,FALSE)&lt;&gt;"",VLOOKUP(A75,[1]Plan!A$1:M$804,13,FALSE),"")</f>
        <v/>
      </c>
      <c r="J75" s="55" t="str">
        <f>IF(VLOOKUP(A75,[1]Plan!A$1:N$804,14,FALSE)&lt;&gt;"",VLOOKUP(A75,[1]Plan!A$1:N$804,14,FALSE),IF(VLOOKUP(A75,[1]Plan!A$1:O$804,15,FALSE)&lt;&gt;"",VLOOKUP(A75,[1]Plan!A$1:O$804,15,FALSE),""))</f>
        <v/>
      </c>
      <c r="K75" s="56" t="str">
        <f>IF(VLOOKUP(A75,[1]Plan!A$1:P$804,16,FALSE)&lt;&gt;"",VLOOKUP(A75,[1]Plan!A$1:P$804,16,FALSE),"")</f>
        <v/>
      </c>
      <c r="L75" s="55"/>
      <c r="M75" s="55"/>
      <c r="N75" s="55"/>
      <c r="O75" s="57">
        <f>IF(F75=0,E75,F75)</f>
        <v>0</v>
      </c>
      <c r="P75" s="57" t="b">
        <f>OR(H75="Y",I75="Y")</f>
        <v>0</v>
      </c>
      <c r="Q75" s="58">
        <f>IF(P75,O75*'[1]ETC Data'!$H$3*'[1]ETC Data'!$I$3,0)</f>
        <v>0</v>
      </c>
      <c r="R75" s="58">
        <f>Q75-(Q75*((VLOOKUP(A75,[1]Plan!A$1:Z$804,26,FALSE)/100)))</f>
        <v>0</v>
      </c>
      <c r="S75" s="58">
        <f>IF(P75,O75*'[1]ETC Data'!$H$3*'[1]ETC Data'!$J$3,0)</f>
        <v>0</v>
      </c>
      <c r="T75" s="58">
        <f>S75-(S75*((VLOOKUP(A75,[1]Plan!A$1:AA$804,27,FALSE)/100)))</f>
        <v>0</v>
      </c>
      <c r="U75" s="58">
        <f>IF(P75,O75*'[1]ETC Data'!$H$3*'[1]ETC Data'!$K$3,0)</f>
        <v>0</v>
      </c>
      <c r="V75" s="58">
        <f>U75-(U75*((VLOOKUP(A75,[1]Plan!A$1:AB$804,28,FALSE)/100)))</f>
        <v>0</v>
      </c>
      <c r="W75" s="58">
        <f>IF(P75,O75*'[1]ETC Data'!$H$3*'[1]ETC Data'!$L$3,0)</f>
        <v>0</v>
      </c>
      <c r="X75" s="58">
        <f>W75-(W75*((VLOOKUP(A75,[1]Plan!A$1:AC$804,29,FALSE)/100)))</f>
        <v>0</v>
      </c>
      <c r="Y75" s="59"/>
      <c r="Z75" s="60" t="b">
        <f>OR(H75="Y",J75="Y")</f>
        <v>0</v>
      </c>
      <c r="AA75" s="58">
        <f>IF(Z75,O75*'[1]ETC Data'!$H$4*'[1]ETC Data'!$I$4,0)</f>
        <v>0</v>
      </c>
      <c r="AB75" s="58">
        <f>AA75-(AA75*((VLOOKUP(A75,[1]Plan!A$1:AI$804,35,FALSE)/100)))</f>
        <v>0</v>
      </c>
      <c r="AC75" s="58">
        <f>IF(Z75,O75*'[1]ETC Data'!$H$4*'[1]ETC Data'!$J$4,0)</f>
        <v>0</v>
      </c>
      <c r="AD75" s="58">
        <f>AC75-(AC75*((VLOOKUP(A75,[1]Plan!A$1:AJ$804,36,FALSE)/100)))</f>
        <v>0</v>
      </c>
      <c r="AE75" s="58">
        <f>IF(Z75,O75*'[1]ETC Data'!$H$4*'[1]ETC Data'!$K$4,0)</f>
        <v>0</v>
      </c>
      <c r="AF75" s="58">
        <f>AE75-(AE75*((VLOOKUP(A75,[1]Plan!A$1:AK$804,37,FALSE)/100)))</f>
        <v>0</v>
      </c>
      <c r="AG75" s="58">
        <f>IF(Z75,O75*'[1]ETC Data'!$H$4*'[1]ETC Data'!$L$4,0)</f>
        <v>0</v>
      </c>
      <c r="AH75" s="58">
        <f>AG75-(AG75*((VLOOKUP(A75,[1]Plan!A$1:AP$804,42,FALSE)/100)))</f>
        <v>0</v>
      </c>
      <c r="AI75" s="60"/>
      <c r="AJ75" s="60" t="b">
        <f>OR(H75="Y",K75="Y")</f>
        <v>0</v>
      </c>
      <c r="AK75" s="61">
        <f>IF(AJ75,O75*'[1]ETC Data'!$H$5*'[1]ETC Data'!$I$5,0)</f>
        <v>0</v>
      </c>
      <c r="AL75" s="58">
        <f>AK75-(AK75*((VLOOKUP(A75,[1]Plan!A$1:AY$804,51,FALSE)/100)))</f>
        <v>0</v>
      </c>
      <c r="AM75" s="58">
        <f>IF(AJ75,O75*'[1]ETC Data'!$H$5*'[1]ETC Data'!$J$5,0)</f>
        <v>0</v>
      </c>
      <c r="AN75" s="58">
        <f>AM75-(AM75*((VLOOKUP(A75,[1]Plan!A$1:BA$804,53,FALSE)/100)))</f>
        <v>0</v>
      </c>
      <c r="AO75" s="61">
        <f>IF(AJ75,O75*'[1]ETC Data'!$H$5*'[1]ETC Data'!$K$5,0)</f>
        <v>0</v>
      </c>
      <c r="AP75" s="58">
        <f>AO75-(AO75*((VLOOKUP(A75,[1]Plan!A$1:BB$804,54,FALSE)/100)))</f>
        <v>0</v>
      </c>
      <c r="AQ75" s="58">
        <f>IF(AJ75,O75*'[1]ETC Data'!$H$5*'[1]ETC Data'!$L$5,0)</f>
        <v>0</v>
      </c>
      <c r="AR75" s="58">
        <f>AQ75-(AQ75*((VLOOKUP(A75,[1]Plan!A$1:BD$804,56,FALSE)/100)))</f>
        <v>0</v>
      </c>
      <c r="AS75" s="20">
        <f>VLOOKUP(A75,'[1]PR Matrix'!A:B,2,FALSE)</f>
        <v>0</v>
      </c>
      <c r="AT75" s="21">
        <f>R75+T75+V75+X75+AB75+AD75+AF75+AH75+AL75+AN75+AP75+AR75</f>
        <v>0</v>
      </c>
      <c r="AU75" s="21">
        <f>Q75+S75+U75+W75+AA75+AC75+AE75+AG75+AK75+AM75+AO75+AQ75</f>
        <v>0</v>
      </c>
      <c r="AV75" s="21">
        <f>R75+AB75+AL75</f>
        <v>0</v>
      </c>
      <c r="AW75" s="21">
        <f>T75+AD75+AN75</f>
        <v>0</v>
      </c>
      <c r="AX75" s="21">
        <f>V75+AF75+AP75</f>
        <v>0</v>
      </c>
      <c r="AY75" s="21">
        <f>X75+AH75+AR75</f>
        <v>0</v>
      </c>
    </row>
    <row r="76" spans="1:51" hidden="1" x14ac:dyDescent="0.2">
      <c r="A76" s="50" t="s">
        <v>283</v>
      </c>
      <c r="B76" s="51" t="s">
        <v>208</v>
      </c>
      <c r="C76" s="51"/>
      <c r="D76" s="51"/>
      <c r="E76" s="52">
        <f>IF(G76="Y",VLOOKUP(B76&amp;"|"&amp;C76,'[1]ETC Data'!$C$2:$D$16,2,FALSE),0)</f>
        <v>0</v>
      </c>
      <c r="F76" s="52">
        <f>IF(D76="",0,IF(G76="Y",VLOOKUP(B76&amp;"|"&amp;D76,'[1]ETC Data'!$C$2:$D$16,2,FALSE),0))</f>
        <v>0</v>
      </c>
      <c r="G76" s="53" t="str">
        <f>IF(VLOOKUP(A76,[1]Plan!A$1:H$804,8,FALSE)&lt;&gt;"",VLOOKUP(A76,[1]Plan!A$1:H$804,8,FALSE),"")</f>
        <v>N</v>
      </c>
      <c r="H76" s="54" t="str">
        <f>IF(VLOOKUP(A76,[1]Plan!A$1:L$804,12,FALSE)&lt;&gt;"",VLOOKUP(A76,[1]Plan!A$1:L$804,12,FALSE),"")</f>
        <v/>
      </c>
      <c r="I76" s="55" t="str">
        <f>IF(VLOOKUP(A76,[1]Plan!A$1:M$804,13,FALSE)&lt;&gt;"",VLOOKUP(A76,[1]Plan!A$1:M$804,13,FALSE),"")</f>
        <v/>
      </c>
      <c r="J76" s="55" t="str">
        <f>IF(VLOOKUP(A76,[1]Plan!A$1:N$804,14,FALSE)&lt;&gt;"",VLOOKUP(A76,[1]Plan!A$1:N$804,14,FALSE),IF(VLOOKUP(A76,[1]Plan!A$1:O$804,15,FALSE)&lt;&gt;"",VLOOKUP(A76,[1]Plan!A$1:O$804,15,FALSE),""))</f>
        <v/>
      </c>
      <c r="K76" s="56" t="str">
        <f>IF(VLOOKUP(A76,[1]Plan!A$1:P$804,16,FALSE)&lt;&gt;"",VLOOKUP(A76,[1]Plan!A$1:P$804,16,FALSE),"")</f>
        <v/>
      </c>
      <c r="L76" s="55"/>
      <c r="M76" s="55"/>
      <c r="N76" s="55"/>
      <c r="O76" s="57">
        <f>IF(F76=0,E76,F76)</f>
        <v>0</v>
      </c>
      <c r="P76" s="57" t="b">
        <f>OR(H76="Y",I76="Y")</f>
        <v>0</v>
      </c>
      <c r="Q76" s="58">
        <f>IF(P76,O76*'[1]ETC Data'!$H$3*'[1]ETC Data'!$I$3,0)</f>
        <v>0</v>
      </c>
      <c r="R76" s="58">
        <f>Q76-(Q76*((VLOOKUP(A76,[1]Plan!A$1:Z$804,26,FALSE)/100)))</f>
        <v>0</v>
      </c>
      <c r="S76" s="58">
        <f>IF(P76,O76*'[1]ETC Data'!$H$3*'[1]ETC Data'!$J$3,0)</f>
        <v>0</v>
      </c>
      <c r="T76" s="58">
        <f>S76-(S76*((VLOOKUP(A76,[1]Plan!A$1:AA$804,27,FALSE)/100)))</f>
        <v>0</v>
      </c>
      <c r="U76" s="58">
        <f>IF(P76,O76*'[1]ETC Data'!$H$3*'[1]ETC Data'!$K$3,0)</f>
        <v>0</v>
      </c>
      <c r="V76" s="58">
        <f>U76-(U76*((VLOOKUP(A76,[1]Plan!A$1:AB$804,28,FALSE)/100)))</f>
        <v>0</v>
      </c>
      <c r="W76" s="58">
        <f>IF(P76,O76*'[1]ETC Data'!$H$3*'[1]ETC Data'!$L$3,0)</f>
        <v>0</v>
      </c>
      <c r="X76" s="58">
        <f>W76-(W76*((VLOOKUP(A76,[1]Plan!A$1:AC$804,29,FALSE)/100)))</f>
        <v>0</v>
      </c>
      <c r="Y76" s="59"/>
      <c r="Z76" s="60" t="b">
        <f>OR(H76="Y",J76="Y")</f>
        <v>0</v>
      </c>
      <c r="AA76" s="58">
        <f>IF(Z76,O76*'[1]ETC Data'!$H$4*'[1]ETC Data'!$I$4,0)</f>
        <v>0</v>
      </c>
      <c r="AB76" s="58">
        <f>AA76-(AA76*((VLOOKUP(A76,[1]Plan!A$1:AI$804,35,FALSE)/100)))</f>
        <v>0</v>
      </c>
      <c r="AC76" s="58">
        <f>IF(Z76,O76*'[1]ETC Data'!$H$4*'[1]ETC Data'!$J$4,0)</f>
        <v>0</v>
      </c>
      <c r="AD76" s="58">
        <f>AC76-(AC76*((VLOOKUP(A76,[1]Plan!A$1:AJ$804,36,FALSE)/100)))</f>
        <v>0</v>
      </c>
      <c r="AE76" s="58">
        <f>IF(Z76,O76*'[1]ETC Data'!$H$4*'[1]ETC Data'!$K$4,0)</f>
        <v>0</v>
      </c>
      <c r="AF76" s="58">
        <f>AE76-(AE76*((VLOOKUP(A76,[1]Plan!A$1:AK$804,37,FALSE)/100)))</f>
        <v>0</v>
      </c>
      <c r="AG76" s="58">
        <f>IF(Z76,O76*'[1]ETC Data'!$H$4*'[1]ETC Data'!$L$4,0)</f>
        <v>0</v>
      </c>
      <c r="AH76" s="58">
        <f>AG76-(AG76*((VLOOKUP(A76,[1]Plan!A$1:AP$804,42,FALSE)/100)))</f>
        <v>0</v>
      </c>
      <c r="AI76" s="60"/>
      <c r="AJ76" s="60" t="b">
        <f>OR(H76="Y",K76="Y")</f>
        <v>0</v>
      </c>
      <c r="AK76" s="61">
        <f>IF(AJ76,O76*'[1]ETC Data'!$H$5*'[1]ETC Data'!$I$5,0)</f>
        <v>0</v>
      </c>
      <c r="AL76" s="58">
        <f>AK76-(AK76*((VLOOKUP(A76,[1]Plan!A$1:AY$804,51,FALSE)/100)))</f>
        <v>0</v>
      </c>
      <c r="AM76" s="58">
        <f>IF(AJ76,O76*'[1]ETC Data'!$H$5*'[1]ETC Data'!$J$5,0)</f>
        <v>0</v>
      </c>
      <c r="AN76" s="58">
        <f>AM76-(AM76*((VLOOKUP(A76,[1]Plan!A$1:BA$804,53,FALSE)/100)))</f>
        <v>0</v>
      </c>
      <c r="AO76" s="61">
        <f>IF(AJ76,O76*'[1]ETC Data'!$H$5*'[1]ETC Data'!$K$5,0)</f>
        <v>0</v>
      </c>
      <c r="AP76" s="58">
        <f>AO76-(AO76*((VLOOKUP(A76,[1]Plan!A$1:BB$804,54,FALSE)/100)))</f>
        <v>0</v>
      </c>
      <c r="AQ76" s="58">
        <f>IF(AJ76,O76*'[1]ETC Data'!$H$5*'[1]ETC Data'!$L$5,0)</f>
        <v>0</v>
      </c>
      <c r="AR76" s="58">
        <f>AQ76-(AQ76*((VLOOKUP(A76,[1]Plan!A$1:BD$804,56,FALSE)/100)))</f>
        <v>0</v>
      </c>
      <c r="AS76" s="20">
        <f>VLOOKUP(A76,'[1]PR Matrix'!A:B,2,FALSE)</f>
        <v>0</v>
      </c>
      <c r="AT76" s="21">
        <f>R76+T76+V76+X76+AB76+AD76+AF76+AH76+AL76+AN76+AP76+AR76</f>
        <v>0</v>
      </c>
      <c r="AU76" s="21">
        <f>Q76+S76+U76+W76+AA76+AC76+AE76+AG76+AK76+AM76+AO76+AQ76</f>
        <v>0</v>
      </c>
      <c r="AV76" s="21">
        <f>R76+AB76+AL76</f>
        <v>0</v>
      </c>
      <c r="AW76" s="21">
        <f>T76+AD76+AN76</f>
        <v>0</v>
      </c>
      <c r="AX76" s="21">
        <f>V76+AF76+AP76</f>
        <v>0</v>
      </c>
      <c r="AY76" s="21">
        <f>X76+AH76+AR76</f>
        <v>0</v>
      </c>
    </row>
    <row r="77" spans="1:51" hidden="1" x14ac:dyDescent="0.2">
      <c r="A77" s="50" t="s">
        <v>284</v>
      </c>
      <c r="B77" s="51" t="s">
        <v>208</v>
      </c>
      <c r="C77" s="51"/>
      <c r="D77" s="51"/>
      <c r="E77" s="52">
        <f>IF(G77="Y",VLOOKUP(B77&amp;"|"&amp;C77,'[1]ETC Data'!$C$2:$D$16,2,FALSE),0)</f>
        <v>0</v>
      </c>
      <c r="F77" s="52">
        <f>IF(D77="",0,IF(G77="Y",VLOOKUP(B77&amp;"|"&amp;D77,'[1]ETC Data'!$C$2:$D$16,2,FALSE),0))</f>
        <v>0</v>
      </c>
      <c r="G77" s="53" t="str">
        <f>IF(VLOOKUP(A77,[1]Plan!A$1:H$804,8,FALSE)&lt;&gt;"",VLOOKUP(A77,[1]Plan!A$1:H$804,8,FALSE),"")</f>
        <v>N</v>
      </c>
      <c r="H77" s="54" t="str">
        <f>IF(VLOOKUP(A77,[1]Plan!A$1:L$804,12,FALSE)&lt;&gt;"",VLOOKUP(A77,[1]Plan!A$1:L$804,12,FALSE),"")</f>
        <v/>
      </c>
      <c r="I77" s="55" t="str">
        <f>IF(VLOOKUP(A77,[1]Plan!A$1:M$804,13,FALSE)&lt;&gt;"",VLOOKUP(A77,[1]Plan!A$1:M$804,13,FALSE),"")</f>
        <v/>
      </c>
      <c r="J77" s="55" t="str">
        <f>IF(VLOOKUP(A77,[1]Plan!A$1:N$804,14,FALSE)&lt;&gt;"",VLOOKUP(A77,[1]Plan!A$1:N$804,14,FALSE),IF(VLOOKUP(A77,[1]Plan!A$1:O$804,15,FALSE)&lt;&gt;"",VLOOKUP(A77,[1]Plan!A$1:O$804,15,FALSE),""))</f>
        <v/>
      </c>
      <c r="K77" s="56" t="str">
        <f>IF(VLOOKUP(A77,[1]Plan!A$1:P$804,16,FALSE)&lt;&gt;"",VLOOKUP(A77,[1]Plan!A$1:P$804,16,FALSE),"")</f>
        <v/>
      </c>
      <c r="L77" s="55"/>
      <c r="M77" s="55"/>
      <c r="N77" s="55"/>
      <c r="O77" s="57">
        <f>IF(F77=0,E77,F77)</f>
        <v>0</v>
      </c>
      <c r="P77" s="57" t="b">
        <f>OR(H77="Y",I77="Y")</f>
        <v>0</v>
      </c>
      <c r="Q77" s="58">
        <f>IF(P77,O77*'[1]ETC Data'!$H$3*'[1]ETC Data'!$I$3,0)</f>
        <v>0</v>
      </c>
      <c r="R77" s="58">
        <f>Q77-(Q77*((VLOOKUP(A77,[1]Plan!A$1:Z$804,26,FALSE)/100)))</f>
        <v>0</v>
      </c>
      <c r="S77" s="58">
        <f>IF(P77,O77*'[1]ETC Data'!$H$3*'[1]ETC Data'!$J$3,0)</f>
        <v>0</v>
      </c>
      <c r="T77" s="58">
        <f>S77-(S77*((VLOOKUP(A77,[1]Plan!A$1:AA$804,27,FALSE)/100)))</f>
        <v>0</v>
      </c>
      <c r="U77" s="58">
        <f>IF(P77,O77*'[1]ETC Data'!$H$3*'[1]ETC Data'!$K$3,0)</f>
        <v>0</v>
      </c>
      <c r="V77" s="58">
        <f>U77-(U77*((VLOOKUP(A77,[1]Plan!A$1:AB$804,28,FALSE)/100)))</f>
        <v>0</v>
      </c>
      <c r="W77" s="58">
        <f>IF(P77,O77*'[1]ETC Data'!$H$3*'[1]ETC Data'!$L$3,0)</f>
        <v>0</v>
      </c>
      <c r="X77" s="58">
        <f>W77-(W77*((VLOOKUP(A77,[1]Plan!A$1:AC$804,29,FALSE)/100)))</f>
        <v>0</v>
      </c>
      <c r="Y77" s="59"/>
      <c r="Z77" s="60" t="b">
        <f>OR(H77="Y",J77="Y")</f>
        <v>0</v>
      </c>
      <c r="AA77" s="58">
        <f>IF(Z77,O77*'[1]ETC Data'!$H$4*'[1]ETC Data'!$I$4,0)</f>
        <v>0</v>
      </c>
      <c r="AB77" s="58">
        <f>AA77-(AA77*((VLOOKUP(A77,[1]Plan!A$1:AI$804,35,FALSE)/100)))</f>
        <v>0</v>
      </c>
      <c r="AC77" s="58">
        <f>IF(Z77,O77*'[1]ETC Data'!$H$4*'[1]ETC Data'!$J$4,0)</f>
        <v>0</v>
      </c>
      <c r="AD77" s="58">
        <f>AC77-(AC77*((VLOOKUP(A77,[1]Plan!A$1:AJ$804,36,FALSE)/100)))</f>
        <v>0</v>
      </c>
      <c r="AE77" s="58">
        <f>IF(Z77,O77*'[1]ETC Data'!$H$4*'[1]ETC Data'!$K$4,0)</f>
        <v>0</v>
      </c>
      <c r="AF77" s="58">
        <f>AE77-(AE77*((VLOOKUP(A77,[1]Plan!A$1:AK$804,37,FALSE)/100)))</f>
        <v>0</v>
      </c>
      <c r="AG77" s="58">
        <f>IF(Z77,O77*'[1]ETC Data'!$H$4*'[1]ETC Data'!$L$4,0)</f>
        <v>0</v>
      </c>
      <c r="AH77" s="58">
        <f>AG77-(AG77*((VLOOKUP(A77,[1]Plan!A$1:AP$804,42,FALSE)/100)))</f>
        <v>0</v>
      </c>
      <c r="AI77" s="60"/>
      <c r="AJ77" s="60" t="b">
        <f>OR(H77="Y",K77="Y")</f>
        <v>0</v>
      </c>
      <c r="AK77" s="61">
        <f>IF(AJ77,O77*'[1]ETC Data'!$H$5*'[1]ETC Data'!$I$5,0)</f>
        <v>0</v>
      </c>
      <c r="AL77" s="58">
        <f>AK77-(AK77*((VLOOKUP(A77,[1]Plan!A$1:AY$804,51,FALSE)/100)))</f>
        <v>0</v>
      </c>
      <c r="AM77" s="58">
        <f>IF(AJ77,O77*'[1]ETC Data'!$H$5*'[1]ETC Data'!$J$5,0)</f>
        <v>0</v>
      </c>
      <c r="AN77" s="58">
        <f>AM77-(AM77*((VLOOKUP(A77,[1]Plan!A$1:BA$804,53,FALSE)/100)))</f>
        <v>0</v>
      </c>
      <c r="AO77" s="61">
        <f>IF(AJ77,O77*'[1]ETC Data'!$H$5*'[1]ETC Data'!$K$5,0)</f>
        <v>0</v>
      </c>
      <c r="AP77" s="58">
        <f>AO77-(AO77*((VLOOKUP(A77,[1]Plan!A$1:BB$804,54,FALSE)/100)))</f>
        <v>0</v>
      </c>
      <c r="AQ77" s="58">
        <f>IF(AJ77,O77*'[1]ETC Data'!$H$5*'[1]ETC Data'!$L$5,0)</f>
        <v>0</v>
      </c>
      <c r="AR77" s="58">
        <f>AQ77-(AQ77*((VLOOKUP(A77,[1]Plan!A$1:BD$804,56,FALSE)/100)))</f>
        <v>0</v>
      </c>
      <c r="AS77" s="20">
        <f>VLOOKUP(A77,'[1]PR Matrix'!A:B,2,FALSE)</f>
        <v>0</v>
      </c>
      <c r="AT77" s="21">
        <f>R77+T77+V77+X77+AB77+AD77+AF77+AH77+AL77+AN77+AP77+AR77</f>
        <v>0</v>
      </c>
      <c r="AU77" s="21">
        <f>Q77+S77+U77+W77+AA77+AC77+AE77+AG77+AK77+AM77+AO77+AQ77</f>
        <v>0</v>
      </c>
      <c r="AV77" s="21">
        <f>R77+AB77+AL77</f>
        <v>0</v>
      </c>
      <c r="AW77" s="21">
        <f>T77+AD77+AN77</f>
        <v>0</v>
      </c>
      <c r="AX77" s="21">
        <f>V77+AF77+AP77</f>
        <v>0</v>
      </c>
      <c r="AY77" s="21">
        <f>X77+AH77+AR77</f>
        <v>0</v>
      </c>
    </row>
    <row r="78" spans="1:51" hidden="1" x14ac:dyDescent="0.2">
      <c r="A78" s="50" t="s">
        <v>285</v>
      </c>
      <c r="B78" s="51" t="s">
        <v>258</v>
      </c>
      <c r="C78" s="51"/>
      <c r="D78" s="51"/>
      <c r="E78" s="52">
        <f>IF(G78="Y",VLOOKUP(B78&amp;"|"&amp;C78,'[1]ETC Data'!$C$2:$D$16,2,FALSE),0)</f>
        <v>0</v>
      </c>
      <c r="F78" s="52">
        <f>IF(D78="",0,IF(G78="Y",VLOOKUP(B78&amp;"|"&amp;D78,'[1]ETC Data'!$C$2:$D$16,2,FALSE),0))</f>
        <v>0</v>
      </c>
      <c r="G78" s="53" t="str">
        <f>IF(VLOOKUP(A78,[1]Plan!A$1:H$804,8,FALSE)&lt;&gt;"",VLOOKUP(A78,[1]Plan!A$1:H$804,8,FALSE),"")</f>
        <v>N</v>
      </c>
      <c r="H78" s="54" t="str">
        <f>IF(VLOOKUP(A78,[1]Plan!A$1:L$804,12,FALSE)&lt;&gt;"",VLOOKUP(A78,[1]Plan!A$1:L$804,12,FALSE),"")</f>
        <v/>
      </c>
      <c r="I78" s="55" t="str">
        <f>IF(VLOOKUP(A78,[1]Plan!A$1:M$804,13,FALSE)&lt;&gt;"",VLOOKUP(A78,[1]Plan!A$1:M$804,13,FALSE),"")</f>
        <v/>
      </c>
      <c r="J78" s="55" t="str">
        <f>IF(VLOOKUP(A78,[1]Plan!A$1:N$804,14,FALSE)&lt;&gt;"",VLOOKUP(A78,[1]Plan!A$1:N$804,14,FALSE),IF(VLOOKUP(A78,[1]Plan!A$1:O$804,15,FALSE)&lt;&gt;"",VLOOKUP(A78,[1]Plan!A$1:O$804,15,FALSE),""))</f>
        <v/>
      </c>
      <c r="K78" s="56" t="str">
        <f>IF(VLOOKUP(A78,[1]Plan!A$1:P$804,16,FALSE)&lt;&gt;"",VLOOKUP(A78,[1]Plan!A$1:P$804,16,FALSE),"")</f>
        <v/>
      </c>
      <c r="L78" s="55"/>
      <c r="M78" s="55"/>
      <c r="N78" s="55"/>
      <c r="O78" s="57">
        <f>IF(F78=0,E78,F78)</f>
        <v>0</v>
      </c>
      <c r="P78" s="57" t="b">
        <f>OR(H78="Y",I78="Y")</f>
        <v>0</v>
      </c>
      <c r="Q78" s="58">
        <f>IF(P78,O78*'[1]ETC Data'!$H$3*'[1]ETC Data'!$I$3,0)</f>
        <v>0</v>
      </c>
      <c r="R78" s="58">
        <f>Q78-(Q78*((VLOOKUP(A78,[1]Plan!A$1:Z$804,26,FALSE)/100)))</f>
        <v>0</v>
      </c>
      <c r="S78" s="58">
        <f>IF(P78,O78*'[1]ETC Data'!$H$3*'[1]ETC Data'!$J$3,0)</f>
        <v>0</v>
      </c>
      <c r="T78" s="58">
        <f>S78-(S78*((VLOOKUP(A78,[1]Plan!A$1:AA$804,27,FALSE)/100)))</f>
        <v>0</v>
      </c>
      <c r="U78" s="58">
        <f>IF(P78,O78*'[1]ETC Data'!$H$3*'[1]ETC Data'!$K$3,0)</f>
        <v>0</v>
      </c>
      <c r="V78" s="58">
        <f>U78-(U78*((VLOOKUP(A78,[1]Plan!A$1:AB$804,28,FALSE)/100)))</f>
        <v>0</v>
      </c>
      <c r="W78" s="58">
        <f>IF(P78,O78*'[1]ETC Data'!$H$3*'[1]ETC Data'!$L$3,0)</f>
        <v>0</v>
      </c>
      <c r="X78" s="58">
        <f>W78-(W78*((VLOOKUP(A78,[1]Plan!A$1:AC$804,29,FALSE)/100)))</f>
        <v>0</v>
      </c>
      <c r="Y78" s="59"/>
      <c r="Z78" s="60" t="b">
        <f>OR(H78="Y",J78="Y")</f>
        <v>0</v>
      </c>
      <c r="AA78" s="58">
        <f>IF(Z78,O78*'[1]ETC Data'!$H$4*'[1]ETC Data'!$I$4,0)</f>
        <v>0</v>
      </c>
      <c r="AB78" s="58">
        <f>AA78-(AA78*((VLOOKUP(A78,[1]Plan!A$1:AI$804,35,FALSE)/100)))</f>
        <v>0</v>
      </c>
      <c r="AC78" s="58">
        <f>IF(Z78,O78*'[1]ETC Data'!$H$4*'[1]ETC Data'!$J$4,0)</f>
        <v>0</v>
      </c>
      <c r="AD78" s="58">
        <f>AC78-(AC78*((VLOOKUP(A78,[1]Plan!A$1:AJ$804,36,FALSE)/100)))</f>
        <v>0</v>
      </c>
      <c r="AE78" s="58">
        <f>IF(Z78,O78*'[1]ETC Data'!$H$4*'[1]ETC Data'!$K$4,0)</f>
        <v>0</v>
      </c>
      <c r="AF78" s="58">
        <f>AE78-(AE78*((VLOOKUP(A78,[1]Plan!A$1:AK$804,37,FALSE)/100)))</f>
        <v>0</v>
      </c>
      <c r="AG78" s="58">
        <f>IF(Z78,O78*'[1]ETC Data'!$H$4*'[1]ETC Data'!$L$4,0)</f>
        <v>0</v>
      </c>
      <c r="AH78" s="58">
        <f>AG78-(AG78*((VLOOKUP(A78,[1]Plan!A$1:AP$804,42,FALSE)/100)))</f>
        <v>0</v>
      </c>
      <c r="AI78" s="60"/>
      <c r="AJ78" s="60" t="b">
        <f>OR(H78="Y",K78="Y")</f>
        <v>0</v>
      </c>
      <c r="AK78" s="61">
        <f>IF(AJ78,O78*'[1]ETC Data'!$H$5*'[1]ETC Data'!$I$5,0)</f>
        <v>0</v>
      </c>
      <c r="AL78" s="58">
        <f>AK78-(AK78*((VLOOKUP(A78,[1]Plan!A$1:AY$804,51,FALSE)/100)))</f>
        <v>0</v>
      </c>
      <c r="AM78" s="58">
        <f>IF(AJ78,O78*'[1]ETC Data'!$H$5*'[1]ETC Data'!$J$5,0)</f>
        <v>0</v>
      </c>
      <c r="AN78" s="58">
        <f>AM78-(AM78*((VLOOKUP(A78,[1]Plan!A$1:BA$804,53,FALSE)/100)))</f>
        <v>0</v>
      </c>
      <c r="AO78" s="61">
        <f>IF(AJ78,O78*'[1]ETC Data'!$H$5*'[1]ETC Data'!$K$5,0)</f>
        <v>0</v>
      </c>
      <c r="AP78" s="58">
        <f>AO78-(AO78*((VLOOKUP(A78,[1]Plan!A$1:BB$804,54,FALSE)/100)))</f>
        <v>0</v>
      </c>
      <c r="AQ78" s="58">
        <f>IF(AJ78,O78*'[1]ETC Data'!$H$5*'[1]ETC Data'!$L$5,0)</f>
        <v>0</v>
      </c>
      <c r="AR78" s="58">
        <f>AQ78-(AQ78*((VLOOKUP(A78,[1]Plan!A$1:BD$804,56,FALSE)/100)))</f>
        <v>0</v>
      </c>
      <c r="AS78" s="20">
        <f>VLOOKUP(A78,'[1]PR Matrix'!A:B,2,FALSE)</f>
        <v>0</v>
      </c>
      <c r="AT78" s="21">
        <f>R78+T78+V78+X78+AB78+AD78+AF78+AH78+AL78+AN78+AP78+AR78</f>
        <v>0</v>
      </c>
      <c r="AU78" s="21">
        <f>Q78+S78+U78+W78+AA78+AC78+AE78+AG78+AK78+AM78+AO78+AQ78</f>
        <v>0</v>
      </c>
      <c r="AV78" s="21">
        <f>R78+AB78+AL78</f>
        <v>0</v>
      </c>
      <c r="AW78" s="21">
        <f>T78+AD78+AN78</f>
        <v>0</v>
      </c>
      <c r="AX78" s="21">
        <f>V78+AF78+AP78</f>
        <v>0</v>
      </c>
      <c r="AY78" s="21">
        <f>X78+AH78+AR78</f>
        <v>0</v>
      </c>
    </row>
    <row r="79" spans="1:51" hidden="1" x14ac:dyDescent="0.2">
      <c r="A79" s="50" t="s">
        <v>286</v>
      </c>
      <c r="B79" s="51" t="s">
        <v>208</v>
      </c>
      <c r="C79" s="51"/>
      <c r="D79" s="51"/>
      <c r="E79" s="52">
        <f>IF(G79="Y",VLOOKUP(B79&amp;"|"&amp;C79,'[1]ETC Data'!$C$2:$D$16,2,FALSE),0)</f>
        <v>0</v>
      </c>
      <c r="F79" s="52">
        <f>IF(D79="",0,IF(G79="Y",VLOOKUP(B79&amp;"|"&amp;D79,'[1]ETC Data'!$C$2:$D$16,2,FALSE),0))</f>
        <v>0</v>
      </c>
      <c r="G79" s="53" t="str">
        <f>IF(VLOOKUP(A79,[1]Plan!A$1:H$804,8,FALSE)&lt;&gt;"",VLOOKUP(A79,[1]Plan!A$1:H$804,8,FALSE),"")</f>
        <v>N</v>
      </c>
      <c r="H79" s="54" t="str">
        <f>IF(VLOOKUP(A79,[1]Plan!A$1:L$804,12,FALSE)&lt;&gt;"",VLOOKUP(A79,[1]Plan!A$1:L$804,12,FALSE),"")</f>
        <v/>
      </c>
      <c r="I79" s="55" t="str">
        <f>IF(VLOOKUP(A79,[1]Plan!A$1:M$804,13,FALSE)&lt;&gt;"",VLOOKUP(A79,[1]Plan!A$1:M$804,13,FALSE),"")</f>
        <v/>
      </c>
      <c r="J79" s="55" t="str">
        <f>IF(VLOOKUP(A79,[1]Plan!A$1:N$804,14,FALSE)&lt;&gt;"",VLOOKUP(A79,[1]Plan!A$1:N$804,14,FALSE),IF(VLOOKUP(A79,[1]Plan!A$1:O$804,15,FALSE)&lt;&gt;"",VLOOKUP(A79,[1]Plan!A$1:O$804,15,FALSE),""))</f>
        <v/>
      </c>
      <c r="K79" s="56" t="str">
        <f>IF(VLOOKUP(A79,[1]Plan!A$1:P$804,16,FALSE)&lt;&gt;"",VLOOKUP(A79,[1]Plan!A$1:P$804,16,FALSE),"")</f>
        <v/>
      </c>
      <c r="L79" s="55"/>
      <c r="M79" s="55"/>
      <c r="N79" s="55"/>
      <c r="O79" s="57">
        <f>IF(F79=0,E79,F79)</f>
        <v>0</v>
      </c>
      <c r="P79" s="57" t="b">
        <f>OR(H79="Y",I79="Y")</f>
        <v>0</v>
      </c>
      <c r="Q79" s="58">
        <f>IF(P79,O79*'[1]ETC Data'!$H$3*'[1]ETC Data'!$I$3,0)</f>
        <v>0</v>
      </c>
      <c r="R79" s="58">
        <f>Q79-(Q79*((VLOOKUP(A79,[1]Plan!A$1:Z$804,26,FALSE)/100)))</f>
        <v>0</v>
      </c>
      <c r="S79" s="58">
        <f>IF(P79,O79*'[1]ETC Data'!$H$3*'[1]ETC Data'!$J$3,0)</f>
        <v>0</v>
      </c>
      <c r="T79" s="58">
        <f>S79-(S79*((VLOOKUP(A79,[1]Plan!A$1:AA$804,27,FALSE)/100)))</f>
        <v>0</v>
      </c>
      <c r="U79" s="58">
        <f>IF(P79,O79*'[1]ETC Data'!$H$3*'[1]ETC Data'!$K$3,0)</f>
        <v>0</v>
      </c>
      <c r="V79" s="58">
        <f>U79-(U79*((VLOOKUP(A79,[1]Plan!A$1:AB$804,28,FALSE)/100)))</f>
        <v>0</v>
      </c>
      <c r="W79" s="58">
        <f>IF(P79,O79*'[1]ETC Data'!$H$3*'[1]ETC Data'!$L$3,0)</f>
        <v>0</v>
      </c>
      <c r="X79" s="58">
        <f>W79-(W79*((VLOOKUP(A79,[1]Plan!A$1:AC$804,29,FALSE)/100)))</f>
        <v>0</v>
      </c>
      <c r="Y79" s="59"/>
      <c r="Z79" s="60" t="b">
        <f>OR(H79="Y",J79="Y")</f>
        <v>0</v>
      </c>
      <c r="AA79" s="58">
        <f>IF(Z79,O79*'[1]ETC Data'!$H$4*'[1]ETC Data'!$I$4,0)</f>
        <v>0</v>
      </c>
      <c r="AB79" s="58">
        <f>AA79-(AA79*((VLOOKUP(A79,[1]Plan!A$1:AI$804,35,FALSE)/100)))</f>
        <v>0</v>
      </c>
      <c r="AC79" s="58">
        <f>IF(Z79,O79*'[1]ETC Data'!$H$4*'[1]ETC Data'!$J$4,0)</f>
        <v>0</v>
      </c>
      <c r="AD79" s="58">
        <f>AC79-(AC79*((VLOOKUP(A79,[1]Plan!A$1:AJ$804,36,FALSE)/100)))</f>
        <v>0</v>
      </c>
      <c r="AE79" s="58">
        <f>IF(Z79,O79*'[1]ETC Data'!$H$4*'[1]ETC Data'!$K$4,0)</f>
        <v>0</v>
      </c>
      <c r="AF79" s="58">
        <f>AE79-(AE79*((VLOOKUP(A79,[1]Plan!A$1:AK$804,37,FALSE)/100)))</f>
        <v>0</v>
      </c>
      <c r="AG79" s="58">
        <f>IF(Z79,O79*'[1]ETC Data'!$H$4*'[1]ETC Data'!$L$4,0)</f>
        <v>0</v>
      </c>
      <c r="AH79" s="58">
        <f>AG79-(AG79*((VLOOKUP(A79,[1]Plan!A$1:AP$804,42,FALSE)/100)))</f>
        <v>0</v>
      </c>
      <c r="AI79" s="60"/>
      <c r="AJ79" s="60" t="b">
        <f>OR(H79="Y",K79="Y")</f>
        <v>0</v>
      </c>
      <c r="AK79" s="61">
        <f>IF(AJ79,O79*'[1]ETC Data'!$H$5*'[1]ETC Data'!$I$5,0)</f>
        <v>0</v>
      </c>
      <c r="AL79" s="58">
        <f>AK79-(AK79*((VLOOKUP(A79,[1]Plan!A$1:AY$804,51,FALSE)/100)))</f>
        <v>0</v>
      </c>
      <c r="AM79" s="58">
        <f>IF(AJ79,O79*'[1]ETC Data'!$H$5*'[1]ETC Data'!$J$5,0)</f>
        <v>0</v>
      </c>
      <c r="AN79" s="58">
        <f>AM79-(AM79*((VLOOKUP(A79,[1]Plan!A$1:BA$804,53,FALSE)/100)))</f>
        <v>0</v>
      </c>
      <c r="AO79" s="61">
        <f>IF(AJ79,O79*'[1]ETC Data'!$H$5*'[1]ETC Data'!$K$5,0)</f>
        <v>0</v>
      </c>
      <c r="AP79" s="58">
        <f>AO79-(AO79*((VLOOKUP(A79,[1]Plan!A$1:BB$804,54,FALSE)/100)))</f>
        <v>0</v>
      </c>
      <c r="AQ79" s="58">
        <f>IF(AJ79,O79*'[1]ETC Data'!$H$5*'[1]ETC Data'!$L$5,0)</f>
        <v>0</v>
      </c>
      <c r="AR79" s="58">
        <f>AQ79-(AQ79*((VLOOKUP(A79,[1]Plan!A$1:BD$804,56,FALSE)/100)))</f>
        <v>0</v>
      </c>
      <c r="AS79" s="20">
        <f>VLOOKUP(A79,'[1]PR Matrix'!A:B,2,FALSE)</f>
        <v>0</v>
      </c>
      <c r="AT79" s="21">
        <f>R79+T79+V79+X79+AB79+AD79+AF79+AH79+AL79+AN79+AP79+AR79</f>
        <v>0</v>
      </c>
      <c r="AU79" s="21">
        <f>Q79+S79+U79+W79+AA79+AC79+AE79+AG79+AK79+AM79+AO79+AQ79</f>
        <v>0</v>
      </c>
      <c r="AV79" s="21">
        <f>R79+AB79+AL79</f>
        <v>0</v>
      </c>
      <c r="AW79" s="21">
        <f>T79+AD79+AN79</f>
        <v>0</v>
      </c>
      <c r="AX79" s="21">
        <f>V79+AF79+AP79</f>
        <v>0</v>
      </c>
      <c r="AY79" s="21">
        <f>X79+AH79+AR79</f>
        <v>0</v>
      </c>
    </row>
    <row r="80" spans="1:51" hidden="1" x14ac:dyDescent="0.2">
      <c r="A80" s="50" t="s">
        <v>287</v>
      </c>
      <c r="B80" s="51" t="s">
        <v>208</v>
      </c>
      <c r="C80" s="51"/>
      <c r="D80" s="51"/>
      <c r="E80" s="52">
        <f>IF(G80="Y",VLOOKUP(B80&amp;"|"&amp;C80,'[1]ETC Data'!$C$2:$D$16,2,FALSE),0)</f>
        <v>0</v>
      </c>
      <c r="F80" s="52">
        <f>IF(D80="",0,IF(G80="Y",VLOOKUP(B80&amp;"|"&amp;D80,'[1]ETC Data'!$C$2:$D$16,2,FALSE),0))</f>
        <v>0</v>
      </c>
      <c r="G80" s="53" t="str">
        <f>IF(VLOOKUP(A80,[1]Plan!A$1:H$804,8,FALSE)&lt;&gt;"",VLOOKUP(A80,[1]Plan!A$1:H$804,8,FALSE),"")</f>
        <v>N</v>
      </c>
      <c r="H80" s="54" t="str">
        <f>IF(VLOOKUP(A80,[1]Plan!A$1:L$804,12,FALSE)&lt;&gt;"",VLOOKUP(A80,[1]Plan!A$1:L$804,12,FALSE),"")</f>
        <v/>
      </c>
      <c r="I80" s="55" t="str">
        <f>IF(VLOOKUP(A80,[1]Plan!A$1:M$804,13,FALSE)&lt;&gt;"",VLOOKUP(A80,[1]Plan!A$1:M$804,13,FALSE),"")</f>
        <v/>
      </c>
      <c r="J80" s="55" t="str">
        <f>IF(VLOOKUP(A80,[1]Plan!A$1:N$804,14,FALSE)&lt;&gt;"",VLOOKUP(A80,[1]Plan!A$1:N$804,14,FALSE),IF(VLOOKUP(A80,[1]Plan!A$1:O$804,15,FALSE)&lt;&gt;"",VLOOKUP(A80,[1]Plan!A$1:O$804,15,FALSE),""))</f>
        <v/>
      </c>
      <c r="K80" s="56" t="str">
        <f>IF(VLOOKUP(A80,[1]Plan!A$1:P$804,16,FALSE)&lt;&gt;"",VLOOKUP(A80,[1]Plan!A$1:P$804,16,FALSE),"")</f>
        <v/>
      </c>
      <c r="L80" s="55"/>
      <c r="M80" s="55"/>
      <c r="N80" s="55"/>
      <c r="O80" s="57">
        <f>IF(F80=0,E80,F80)</f>
        <v>0</v>
      </c>
      <c r="P80" s="57" t="b">
        <f>OR(H80="Y",I80="Y")</f>
        <v>0</v>
      </c>
      <c r="Q80" s="58">
        <f>IF(P80,O80*'[1]ETC Data'!$H$3*'[1]ETC Data'!$I$3,0)</f>
        <v>0</v>
      </c>
      <c r="R80" s="58">
        <f>Q80-(Q80*((VLOOKUP(A80,[1]Plan!A$1:Z$804,26,FALSE)/100)))</f>
        <v>0</v>
      </c>
      <c r="S80" s="58">
        <f>IF(P80,O80*'[1]ETC Data'!$H$3*'[1]ETC Data'!$J$3,0)</f>
        <v>0</v>
      </c>
      <c r="T80" s="58">
        <f>S80-(S80*((VLOOKUP(A80,[1]Plan!A$1:AA$804,27,FALSE)/100)))</f>
        <v>0</v>
      </c>
      <c r="U80" s="58">
        <f>IF(P80,O80*'[1]ETC Data'!$H$3*'[1]ETC Data'!$K$3,0)</f>
        <v>0</v>
      </c>
      <c r="V80" s="58">
        <f>U80-(U80*((VLOOKUP(A80,[1]Plan!A$1:AB$804,28,FALSE)/100)))</f>
        <v>0</v>
      </c>
      <c r="W80" s="58">
        <f>IF(P80,O80*'[1]ETC Data'!$H$3*'[1]ETC Data'!$L$3,0)</f>
        <v>0</v>
      </c>
      <c r="X80" s="58">
        <f>W80-(W80*((VLOOKUP(A80,[1]Plan!A$1:AC$804,29,FALSE)/100)))</f>
        <v>0</v>
      </c>
      <c r="Y80" s="59"/>
      <c r="Z80" s="60" t="b">
        <f>OR(H80="Y",J80="Y")</f>
        <v>0</v>
      </c>
      <c r="AA80" s="58">
        <f>IF(Z80,O80*'[1]ETC Data'!$H$4*'[1]ETC Data'!$I$4,0)</f>
        <v>0</v>
      </c>
      <c r="AB80" s="58">
        <f>AA80-(AA80*((VLOOKUP(A80,[1]Plan!A$1:AI$804,35,FALSE)/100)))</f>
        <v>0</v>
      </c>
      <c r="AC80" s="58">
        <f>IF(Z80,O80*'[1]ETC Data'!$H$4*'[1]ETC Data'!$J$4,0)</f>
        <v>0</v>
      </c>
      <c r="AD80" s="58">
        <f>AC80-(AC80*((VLOOKUP(A80,[1]Plan!A$1:AJ$804,36,FALSE)/100)))</f>
        <v>0</v>
      </c>
      <c r="AE80" s="58">
        <f>IF(Z80,O80*'[1]ETC Data'!$H$4*'[1]ETC Data'!$K$4,0)</f>
        <v>0</v>
      </c>
      <c r="AF80" s="58">
        <f>AE80-(AE80*((VLOOKUP(A80,[1]Plan!A$1:AK$804,37,FALSE)/100)))</f>
        <v>0</v>
      </c>
      <c r="AG80" s="58">
        <f>IF(Z80,O80*'[1]ETC Data'!$H$4*'[1]ETC Data'!$L$4,0)</f>
        <v>0</v>
      </c>
      <c r="AH80" s="58">
        <f>AG80-(AG80*((VLOOKUP(A80,[1]Plan!A$1:AP$804,42,FALSE)/100)))</f>
        <v>0</v>
      </c>
      <c r="AI80" s="60"/>
      <c r="AJ80" s="60" t="b">
        <f>OR(H80="Y",K80="Y")</f>
        <v>0</v>
      </c>
      <c r="AK80" s="61">
        <f>IF(AJ80,O80*'[1]ETC Data'!$H$5*'[1]ETC Data'!$I$5,0)</f>
        <v>0</v>
      </c>
      <c r="AL80" s="58">
        <f>AK80-(AK80*((VLOOKUP(A80,[1]Plan!A$1:AY$804,51,FALSE)/100)))</f>
        <v>0</v>
      </c>
      <c r="AM80" s="58">
        <f>IF(AJ80,O80*'[1]ETC Data'!$H$5*'[1]ETC Data'!$J$5,0)</f>
        <v>0</v>
      </c>
      <c r="AN80" s="58">
        <f>AM80-(AM80*((VLOOKUP(A80,[1]Plan!A$1:BA$804,53,FALSE)/100)))</f>
        <v>0</v>
      </c>
      <c r="AO80" s="61">
        <f>IF(AJ80,O80*'[1]ETC Data'!$H$5*'[1]ETC Data'!$K$5,0)</f>
        <v>0</v>
      </c>
      <c r="AP80" s="58">
        <f>AO80-(AO80*((VLOOKUP(A80,[1]Plan!A$1:BB$804,54,FALSE)/100)))</f>
        <v>0</v>
      </c>
      <c r="AQ80" s="58">
        <f>IF(AJ80,O80*'[1]ETC Data'!$H$5*'[1]ETC Data'!$L$5,0)</f>
        <v>0</v>
      </c>
      <c r="AR80" s="58">
        <f>AQ80-(AQ80*((VLOOKUP(A80,[1]Plan!A$1:BD$804,56,FALSE)/100)))</f>
        <v>0</v>
      </c>
      <c r="AS80" s="20">
        <f>VLOOKUP(A80,'[1]PR Matrix'!A:B,2,FALSE)</f>
        <v>0</v>
      </c>
      <c r="AT80" s="21">
        <f>R80+T80+V80+X80+AB80+AD80+AF80+AH80+AL80+AN80+AP80+AR80</f>
        <v>0</v>
      </c>
      <c r="AU80" s="21">
        <f>Q80+S80+U80+W80+AA80+AC80+AE80+AG80+AK80+AM80+AO80+AQ80</f>
        <v>0</v>
      </c>
      <c r="AV80" s="21">
        <f>R80+AB80+AL80</f>
        <v>0</v>
      </c>
      <c r="AW80" s="21">
        <f>T80+AD80+AN80</f>
        <v>0</v>
      </c>
      <c r="AX80" s="21">
        <f>V80+AF80+AP80</f>
        <v>0</v>
      </c>
      <c r="AY80" s="21">
        <f>X80+AH80+AR80</f>
        <v>0</v>
      </c>
    </row>
    <row r="81" spans="1:51" hidden="1" x14ac:dyDescent="0.2">
      <c r="A81" s="50" t="s">
        <v>288</v>
      </c>
      <c r="B81" s="51" t="s">
        <v>208</v>
      </c>
      <c r="C81" s="51"/>
      <c r="D81" s="51"/>
      <c r="E81" s="52">
        <f>IF(G81="Y",VLOOKUP(B81&amp;"|"&amp;C81,'[1]ETC Data'!$C$2:$D$16,2,FALSE),0)</f>
        <v>0</v>
      </c>
      <c r="F81" s="52">
        <f>IF(D81="",0,IF(G81="Y",VLOOKUP(B81&amp;"|"&amp;D81,'[1]ETC Data'!$C$2:$D$16,2,FALSE),0))</f>
        <v>0</v>
      </c>
      <c r="G81" s="53" t="str">
        <f>IF(VLOOKUP(A81,[1]Plan!A$1:H$804,8,FALSE)&lt;&gt;"",VLOOKUP(A81,[1]Plan!A$1:H$804,8,FALSE),"")</f>
        <v>N</v>
      </c>
      <c r="H81" s="54" t="str">
        <f>IF(VLOOKUP(A81,[1]Plan!A$1:L$804,12,FALSE)&lt;&gt;"",VLOOKUP(A81,[1]Plan!A$1:L$804,12,FALSE),"")</f>
        <v/>
      </c>
      <c r="I81" s="55" t="str">
        <f>IF(VLOOKUP(A81,[1]Plan!A$1:M$804,13,FALSE)&lt;&gt;"",VLOOKUP(A81,[1]Plan!A$1:M$804,13,FALSE),"")</f>
        <v/>
      </c>
      <c r="J81" s="55" t="str">
        <f>IF(VLOOKUP(A81,[1]Plan!A$1:N$804,14,FALSE)&lt;&gt;"",VLOOKUP(A81,[1]Plan!A$1:N$804,14,FALSE),IF(VLOOKUP(A81,[1]Plan!A$1:O$804,15,FALSE)&lt;&gt;"",VLOOKUP(A81,[1]Plan!A$1:O$804,15,FALSE),""))</f>
        <v/>
      </c>
      <c r="K81" s="56" t="str">
        <f>IF(VLOOKUP(A81,[1]Plan!A$1:P$804,16,FALSE)&lt;&gt;"",VLOOKUP(A81,[1]Plan!A$1:P$804,16,FALSE),"")</f>
        <v/>
      </c>
      <c r="L81" s="55"/>
      <c r="M81" s="55"/>
      <c r="N81" s="55"/>
      <c r="O81" s="57">
        <f>IF(F81=0,E81,F81)</f>
        <v>0</v>
      </c>
      <c r="P81" s="57" t="b">
        <f>OR(H81="Y",I81="Y")</f>
        <v>0</v>
      </c>
      <c r="Q81" s="58">
        <f>IF(P81,O81*'[1]ETC Data'!$H$3*'[1]ETC Data'!$I$3,0)</f>
        <v>0</v>
      </c>
      <c r="R81" s="58">
        <f>Q81-(Q81*((VLOOKUP(A81,[1]Plan!A$1:Z$804,26,FALSE)/100)))</f>
        <v>0</v>
      </c>
      <c r="S81" s="58">
        <f>IF(P81,O81*'[1]ETC Data'!$H$3*'[1]ETC Data'!$J$3,0)</f>
        <v>0</v>
      </c>
      <c r="T81" s="58">
        <f>S81-(S81*((VLOOKUP(A81,[1]Plan!A$1:AA$804,27,FALSE)/100)))</f>
        <v>0</v>
      </c>
      <c r="U81" s="58">
        <f>IF(P81,O81*'[1]ETC Data'!$H$3*'[1]ETC Data'!$K$3,0)</f>
        <v>0</v>
      </c>
      <c r="V81" s="58">
        <f>U81-(U81*((VLOOKUP(A81,[1]Plan!A$1:AB$804,28,FALSE)/100)))</f>
        <v>0</v>
      </c>
      <c r="W81" s="58">
        <f>IF(P81,O81*'[1]ETC Data'!$H$3*'[1]ETC Data'!$L$3,0)</f>
        <v>0</v>
      </c>
      <c r="X81" s="58">
        <f>W81-(W81*((VLOOKUP(A81,[1]Plan!A$1:AC$804,29,FALSE)/100)))</f>
        <v>0</v>
      </c>
      <c r="Y81" s="59"/>
      <c r="Z81" s="60" t="b">
        <f>OR(H81="Y",J81="Y")</f>
        <v>0</v>
      </c>
      <c r="AA81" s="58">
        <f>IF(Z81,O81*'[1]ETC Data'!$H$4*'[1]ETC Data'!$I$4,0)</f>
        <v>0</v>
      </c>
      <c r="AB81" s="58">
        <f>AA81-(AA81*((VLOOKUP(A81,[1]Plan!A$1:AI$804,35,FALSE)/100)))</f>
        <v>0</v>
      </c>
      <c r="AC81" s="58">
        <f>IF(Z81,O81*'[1]ETC Data'!$H$4*'[1]ETC Data'!$J$4,0)</f>
        <v>0</v>
      </c>
      <c r="AD81" s="58">
        <f>AC81-(AC81*((VLOOKUP(A81,[1]Plan!A$1:AJ$804,36,FALSE)/100)))</f>
        <v>0</v>
      </c>
      <c r="AE81" s="58">
        <f>IF(Z81,O81*'[1]ETC Data'!$H$4*'[1]ETC Data'!$K$4,0)</f>
        <v>0</v>
      </c>
      <c r="AF81" s="58">
        <f>AE81-(AE81*((VLOOKUP(A81,[1]Plan!A$1:AK$804,37,FALSE)/100)))</f>
        <v>0</v>
      </c>
      <c r="AG81" s="58">
        <f>IF(Z81,O81*'[1]ETC Data'!$H$4*'[1]ETC Data'!$L$4,0)</f>
        <v>0</v>
      </c>
      <c r="AH81" s="58">
        <f>AG81-(AG81*((VLOOKUP(A81,[1]Plan!A$1:AP$804,42,FALSE)/100)))</f>
        <v>0</v>
      </c>
      <c r="AI81" s="60"/>
      <c r="AJ81" s="60" t="b">
        <f>OR(H81="Y",K81="Y")</f>
        <v>0</v>
      </c>
      <c r="AK81" s="61">
        <f>IF(AJ81,O81*'[1]ETC Data'!$H$5*'[1]ETC Data'!$I$5,0)</f>
        <v>0</v>
      </c>
      <c r="AL81" s="58">
        <f>AK81-(AK81*((VLOOKUP(A81,[1]Plan!A$1:AY$804,51,FALSE)/100)))</f>
        <v>0</v>
      </c>
      <c r="AM81" s="58">
        <f>IF(AJ81,O81*'[1]ETC Data'!$H$5*'[1]ETC Data'!$J$5,0)</f>
        <v>0</v>
      </c>
      <c r="AN81" s="58">
        <f>AM81-(AM81*((VLOOKUP(A81,[1]Plan!A$1:BA$804,53,FALSE)/100)))</f>
        <v>0</v>
      </c>
      <c r="AO81" s="61">
        <f>IF(AJ81,O81*'[1]ETC Data'!$H$5*'[1]ETC Data'!$K$5,0)</f>
        <v>0</v>
      </c>
      <c r="AP81" s="58">
        <f>AO81-(AO81*((VLOOKUP(A81,[1]Plan!A$1:BB$804,54,FALSE)/100)))</f>
        <v>0</v>
      </c>
      <c r="AQ81" s="58">
        <f>IF(AJ81,O81*'[1]ETC Data'!$H$5*'[1]ETC Data'!$L$5,0)</f>
        <v>0</v>
      </c>
      <c r="AR81" s="58">
        <f>AQ81-(AQ81*((VLOOKUP(A81,[1]Plan!A$1:BD$804,56,FALSE)/100)))</f>
        <v>0</v>
      </c>
      <c r="AS81" s="20">
        <f>VLOOKUP(A81,'[1]PR Matrix'!A:B,2,FALSE)</f>
        <v>0</v>
      </c>
      <c r="AT81" s="21">
        <f>R81+T81+V81+X81+AB81+AD81+AF81+AH81+AL81+AN81+AP81+AR81</f>
        <v>0</v>
      </c>
      <c r="AU81" s="21">
        <f>Q81+S81+U81+W81+AA81+AC81+AE81+AG81+AK81+AM81+AO81+AQ81</f>
        <v>0</v>
      </c>
      <c r="AV81" s="21">
        <f>R81+AB81+AL81</f>
        <v>0</v>
      </c>
      <c r="AW81" s="21">
        <f>T81+AD81+AN81</f>
        <v>0</v>
      </c>
      <c r="AX81" s="21">
        <f>V81+AF81+AP81</f>
        <v>0</v>
      </c>
      <c r="AY81" s="21">
        <f>X81+AH81+AR81</f>
        <v>0</v>
      </c>
    </row>
    <row r="82" spans="1:51" hidden="1" x14ac:dyDescent="0.2">
      <c r="A82" s="50" t="s">
        <v>289</v>
      </c>
      <c r="B82" s="51" t="s">
        <v>208</v>
      </c>
      <c r="C82" s="51"/>
      <c r="D82" s="51"/>
      <c r="E82" s="52">
        <f>IF(G82="Y",VLOOKUP(B82&amp;"|"&amp;C82,'[1]ETC Data'!$C$2:$D$16,2,FALSE),0)</f>
        <v>0</v>
      </c>
      <c r="F82" s="52">
        <f>IF(D82="",0,IF(G82="Y",VLOOKUP(B82&amp;"|"&amp;D82,'[1]ETC Data'!$C$2:$D$16,2,FALSE),0))</f>
        <v>0</v>
      </c>
      <c r="G82" s="53" t="str">
        <f>IF(VLOOKUP(A82,[1]Plan!A$1:H$804,8,FALSE)&lt;&gt;"",VLOOKUP(A82,[1]Plan!A$1:H$804,8,FALSE),"")</f>
        <v>N</v>
      </c>
      <c r="H82" s="54" t="str">
        <f>IF(VLOOKUP(A82,[1]Plan!A$1:L$804,12,FALSE)&lt;&gt;"",VLOOKUP(A82,[1]Plan!A$1:L$804,12,FALSE),"")</f>
        <v/>
      </c>
      <c r="I82" s="55" t="str">
        <f>IF(VLOOKUP(A82,[1]Plan!A$1:M$804,13,FALSE)&lt;&gt;"",VLOOKUP(A82,[1]Plan!A$1:M$804,13,FALSE),"")</f>
        <v/>
      </c>
      <c r="J82" s="55" t="str">
        <f>IF(VLOOKUP(A82,[1]Plan!A$1:N$804,14,FALSE)&lt;&gt;"",VLOOKUP(A82,[1]Plan!A$1:N$804,14,FALSE),IF(VLOOKUP(A82,[1]Plan!A$1:O$804,15,FALSE)&lt;&gt;"",VLOOKUP(A82,[1]Plan!A$1:O$804,15,FALSE),""))</f>
        <v/>
      </c>
      <c r="K82" s="56" t="str">
        <f>IF(VLOOKUP(A82,[1]Plan!A$1:P$804,16,FALSE)&lt;&gt;"",VLOOKUP(A82,[1]Plan!A$1:P$804,16,FALSE),"")</f>
        <v/>
      </c>
      <c r="L82" s="55"/>
      <c r="M82" s="55"/>
      <c r="N82" s="55"/>
      <c r="O82" s="57">
        <f>IF(F82=0,E82,F82)</f>
        <v>0</v>
      </c>
      <c r="P82" s="57" t="b">
        <f>OR(H82="Y",I82="Y")</f>
        <v>0</v>
      </c>
      <c r="Q82" s="58">
        <f>IF(P82,O82*'[1]ETC Data'!$H$3*'[1]ETC Data'!$I$3,0)</f>
        <v>0</v>
      </c>
      <c r="R82" s="58">
        <f>Q82-(Q82*((VLOOKUP(A82,[1]Plan!A$1:Z$804,26,FALSE)/100)))</f>
        <v>0</v>
      </c>
      <c r="S82" s="58">
        <f>IF(P82,O82*'[1]ETC Data'!$H$3*'[1]ETC Data'!$J$3,0)</f>
        <v>0</v>
      </c>
      <c r="T82" s="58">
        <f>S82-(S82*((VLOOKUP(A82,[1]Plan!A$1:AA$804,27,FALSE)/100)))</f>
        <v>0</v>
      </c>
      <c r="U82" s="58">
        <f>IF(P82,O82*'[1]ETC Data'!$H$3*'[1]ETC Data'!$K$3,0)</f>
        <v>0</v>
      </c>
      <c r="V82" s="58">
        <f>U82-(U82*((VLOOKUP(A82,[1]Plan!A$1:AB$804,28,FALSE)/100)))</f>
        <v>0</v>
      </c>
      <c r="W82" s="58">
        <f>IF(P82,O82*'[1]ETC Data'!$H$3*'[1]ETC Data'!$L$3,0)</f>
        <v>0</v>
      </c>
      <c r="X82" s="58">
        <f>W82-(W82*((VLOOKUP(A82,[1]Plan!A$1:AC$804,29,FALSE)/100)))</f>
        <v>0</v>
      </c>
      <c r="Y82" s="59"/>
      <c r="Z82" s="60" t="b">
        <f>OR(H82="Y",J82="Y")</f>
        <v>0</v>
      </c>
      <c r="AA82" s="58">
        <f>IF(Z82,O82*'[1]ETC Data'!$H$4*'[1]ETC Data'!$I$4,0)</f>
        <v>0</v>
      </c>
      <c r="AB82" s="58">
        <f>AA82-(AA82*((VLOOKUP(A82,[1]Plan!A$1:AI$804,35,FALSE)/100)))</f>
        <v>0</v>
      </c>
      <c r="AC82" s="58">
        <f>IF(Z82,O82*'[1]ETC Data'!$H$4*'[1]ETC Data'!$J$4,0)</f>
        <v>0</v>
      </c>
      <c r="AD82" s="58">
        <f>AC82-(AC82*((VLOOKUP(A82,[1]Plan!A$1:AJ$804,36,FALSE)/100)))</f>
        <v>0</v>
      </c>
      <c r="AE82" s="58">
        <f>IF(Z82,O82*'[1]ETC Data'!$H$4*'[1]ETC Data'!$K$4,0)</f>
        <v>0</v>
      </c>
      <c r="AF82" s="58">
        <f>AE82-(AE82*((VLOOKUP(A82,[1]Plan!A$1:AK$804,37,FALSE)/100)))</f>
        <v>0</v>
      </c>
      <c r="AG82" s="58">
        <f>IF(Z82,O82*'[1]ETC Data'!$H$4*'[1]ETC Data'!$L$4,0)</f>
        <v>0</v>
      </c>
      <c r="AH82" s="58">
        <f>AG82-(AG82*((VLOOKUP(A82,[1]Plan!A$1:AP$804,42,FALSE)/100)))</f>
        <v>0</v>
      </c>
      <c r="AI82" s="60"/>
      <c r="AJ82" s="60" t="b">
        <f>OR(H82="Y",K82="Y")</f>
        <v>0</v>
      </c>
      <c r="AK82" s="61">
        <f>IF(AJ82,O82*'[1]ETC Data'!$H$5*'[1]ETC Data'!$I$5,0)</f>
        <v>0</v>
      </c>
      <c r="AL82" s="58">
        <f>AK82-(AK82*((VLOOKUP(A82,[1]Plan!A$1:AY$804,51,FALSE)/100)))</f>
        <v>0</v>
      </c>
      <c r="AM82" s="58">
        <f>IF(AJ82,O82*'[1]ETC Data'!$H$5*'[1]ETC Data'!$J$5,0)</f>
        <v>0</v>
      </c>
      <c r="AN82" s="58">
        <f>AM82-(AM82*((VLOOKUP(A82,[1]Plan!A$1:BA$804,53,FALSE)/100)))</f>
        <v>0</v>
      </c>
      <c r="AO82" s="61">
        <f>IF(AJ82,O82*'[1]ETC Data'!$H$5*'[1]ETC Data'!$K$5,0)</f>
        <v>0</v>
      </c>
      <c r="AP82" s="58">
        <f>AO82-(AO82*((VLOOKUP(A82,[1]Plan!A$1:BB$804,54,FALSE)/100)))</f>
        <v>0</v>
      </c>
      <c r="AQ82" s="58">
        <f>IF(AJ82,O82*'[1]ETC Data'!$H$5*'[1]ETC Data'!$L$5,0)</f>
        <v>0</v>
      </c>
      <c r="AR82" s="58">
        <f>AQ82-(AQ82*((VLOOKUP(A82,[1]Plan!A$1:BD$804,56,FALSE)/100)))</f>
        <v>0</v>
      </c>
      <c r="AS82" s="20">
        <f>VLOOKUP(A82,'[1]PR Matrix'!A:B,2,FALSE)</f>
        <v>0</v>
      </c>
      <c r="AT82" s="21">
        <f>R82+T82+V82+X82+AB82+AD82+AF82+AH82+AL82+AN82+AP82+AR82</f>
        <v>0</v>
      </c>
      <c r="AU82" s="21">
        <f>Q82+S82+U82+W82+AA82+AC82+AE82+AG82+AK82+AM82+AO82+AQ82</f>
        <v>0</v>
      </c>
      <c r="AV82" s="21">
        <f>R82+AB82+AL82</f>
        <v>0</v>
      </c>
      <c r="AW82" s="21">
        <f>T82+AD82+AN82</f>
        <v>0</v>
      </c>
      <c r="AX82" s="21">
        <f>V82+AF82+AP82</f>
        <v>0</v>
      </c>
      <c r="AY82" s="21">
        <f>X82+AH82+AR82</f>
        <v>0</v>
      </c>
    </row>
    <row r="83" spans="1:51" hidden="1" x14ac:dyDescent="0.2">
      <c r="A83" s="50" t="s">
        <v>290</v>
      </c>
      <c r="B83" s="51" t="s">
        <v>208</v>
      </c>
      <c r="C83" s="51" t="s">
        <v>208</v>
      </c>
      <c r="D83" s="51"/>
      <c r="E83" s="52">
        <f>IF(G83="Y",VLOOKUP(B83&amp;"|"&amp;C83,'[1]ETC Data'!$C$2:$D$16,2,FALSE),0)</f>
        <v>0</v>
      </c>
      <c r="F83" s="52">
        <f>IF(D83="",0,IF(G83="Y",VLOOKUP(B83&amp;"|"&amp;D83,'[1]ETC Data'!$C$2:$D$16,2,FALSE),0))</f>
        <v>0</v>
      </c>
      <c r="G83" s="53" t="str">
        <f>IF(VLOOKUP(A83,[1]Plan!A$1:H$804,8,FALSE)&lt;&gt;"",VLOOKUP(A83,[1]Plan!A$1:H$804,8,FALSE),"")</f>
        <v>N</v>
      </c>
      <c r="H83" s="54" t="str">
        <f>IF(VLOOKUP(A83,[1]Plan!A$1:L$804,12,FALSE)&lt;&gt;"",VLOOKUP(A83,[1]Plan!A$1:L$804,12,FALSE),"")</f>
        <v/>
      </c>
      <c r="I83" s="55" t="str">
        <f>IF(VLOOKUP(A83,[1]Plan!A$1:M$804,13,FALSE)&lt;&gt;"",VLOOKUP(A83,[1]Plan!A$1:M$804,13,FALSE),"")</f>
        <v/>
      </c>
      <c r="J83" s="55" t="str">
        <f>IF(VLOOKUP(A83,[1]Plan!A$1:N$804,14,FALSE)&lt;&gt;"",VLOOKUP(A83,[1]Plan!A$1:N$804,14,FALSE),IF(VLOOKUP(A83,[1]Plan!A$1:O$804,15,FALSE)&lt;&gt;"",VLOOKUP(A83,[1]Plan!A$1:O$804,15,FALSE),""))</f>
        <v/>
      </c>
      <c r="K83" s="56" t="str">
        <f>IF(VLOOKUP(A83,[1]Plan!A$1:P$804,16,FALSE)&lt;&gt;"",VLOOKUP(A83,[1]Plan!A$1:P$804,16,FALSE),"")</f>
        <v/>
      </c>
      <c r="L83" s="55"/>
      <c r="M83" s="55"/>
      <c r="N83" s="55"/>
      <c r="O83" s="57">
        <f>IF(F83=0,E83,F83)</f>
        <v>0</v>
      </c>
      <c r="P83" s="57" t="b">
        <f>OR(H83="Y",I83="Y")</f>
        <v>0</v>
      </c>
      <c r="Q83" s="58">
        <f>IF(P83,O83*'[1]ETC Data'!$H$3*'[1]ETC Data'!$I$3,0)</f>
        <v>0</v>
      </c>
      <c r="R83" s="58">
        <v>15</v>
      </c>
      <c r="S83" s="58">
        <f>IF(P83,O83*'[1]ETC Data'!$H$3*'[1]ETC Data'!$J$3,0)</f>
        <v>0</v>
      </c>
      <c r="T83" s="58">
        <f>S83-(S83*((VLOOKUP(A83,[1]Plan!A$1:AA$804,27,FALSE)/100)))</f>
        <v>0</v>
      </c>
      <c r="U83" s="58">
        <f>IF(P83,O83*'[1]ETC Data'!$H$3*'[1]ETC Data'!$K$3,0)</f>
        <v>0</v>
      </c>
      <c r="V83" s="58">
        <f>U83-(U83*((VLOOKUP(A83,[1]Plan!A$1:AB$804,28,FALSE)/100)))</f>
        <v>0</v>
      </c>
      <c r="W83" s="58">
        <f>IF(P83,O83*'[1]ETC Data'!$H$3*'[1]ETC Data'!$L$3,0)</f>
        <v>0</v>
      </c>
      <c r="X83" s="58">
        <f>W83-(W83*((VLOOKUP(A83,[1]Plan!A$1:AC$804,29,FALSE)/100)))</f>
        <v>0</v>
      </c>
      <c r="Y83" s="59"/>
      <c r="Z83" s="60" t="b">
        <f>OR(H83="Y",J83="Y")</f>
        <v>0</v>
      </c>
      <c r="AA83" s="58">
        <f>IF(Z83,O83*'[1]ETC Data'!$H$4*'[1]ETC Data'!$I$4,0)</f>
        <v>0</v>
      </c>
      <c r="AB83" s="58">
        <v>15</v>
      </c>
      <c r="AC83" s="58">
        <f>IF(Z83,O83*'[1]ETC Data'!$H$4*'[1]ETC Data'!$J$4,0)</f>
        <v>0</v>
      </c>
      <c r="AD83" s="58">
        <f>AC83-(AC83*((VLOOKUP(A83,[1]Plan!A$1:AJ$804,36,FALSE)/100)))</f>
        <v>0</v>
      </c>
      <c r="AE83" s="58">
        <f>IF(Z83,O83*'[1]ETC Data'!$H$4*'[1]ETC Data'!$K$4,0)</f>
        <v>0</v>
      </c>
      <c r="AF83" s="58">
        <f>AE83-(AE83*((VLOOKUP(A83,[1]Plan!A$1:AK$804,37,FALSE)/100)))</f>
        <v>0</v>
      </c>
      <c r="AG83" s="58">
        <f>IF(Z83,O83*'[1]ETC Data'!$H$4*'[1]ETC Data'!$L$4,0)</f>
        <v>0</v>
      </c>
      <c r="AH83" s="58">
        <f>AG83-(AG83*((VLOOKUP(A83,[1]Plan!A$1:AP$804,42,FALSE)/100)))</f>
        <v>0</v>
      </c>
      <c r="AI83" s="60"/>
      <c r="AJ83" s="60" t="b">
        <f>OR(H83="Y",K83="Y")</f>
        <v>0</v>
      </c>
      <c r="AK83" s="61">
        <f>IF(AJ83,O83*'[1]ETC Data'!$H$5*'[1]ETC Data'!$I$5,0)</f>
        <v>0</v>
      </c>
      <c r="AL83" s="58">
        <v>15</v>
      </c>
      <c r="AM83" s="58">
        <f>IF(AJ83,O83*'[1]ETC Data'!$H$5*'[1]ETC Data'!$J$5,0)</f>
        <v>0</v>
      </c>
      <c r="AN83" s="58">
        <v>6</v>
      </c>
      <c r="AO83" s="61">
        <f>IF(AJ83,O83*'[1]ETC Data'!$H$5*'[1]ETC Data'!$K$5,0)</f>
        <v>0</v>
      </c>
      <c r="AP83" s="58">
        <f>AO83-(AO83*((VLOOKUP(A83,[1]Plan!A$1:BB$804,54,FALSE)/100)))</f>
        <v>0</v>
      </c>
      <c r="AQ83" s="58">
        <f>IF(AJ83,O83*'[1]ETC Data'!$H$5*'[1]ETC Data'!$L$5,0)</f>
        <v>0</v>
      </c>
      <c r="AR83" s="58">
        <f>AQ83-(AQ83*((VLOOKUP(A83,[1]Plan!A$1:BD$804,56,FALSE)/100)))</f>
        <v>0</v>
      </c>
      <c r="AS83" s="20">
        <f>VLOOKUP(A83,'[1]PR Matrix'!A:B,2,FALSE)</f>
        <v>0</v>
      </c>
      <c r="AT83" s="21">
        <f>R83+T83+V83+X83+AB83+AD83+AF83+AH83+AL83+AN83+AP83+AR83</f>
        <v>51</v>
      </c>
      <c r="AU83" s="21">
        <f>Q83+S83+U83+W83+AA83+AC83+AE83+AG83+AK83+AM83+AO83+AQ83</f>
        <v>0</v>
      </c>
      <c r="AV83" s="21">
        <f>R83+AB83+AL83</f>
        <v>45</v>
      </c>
      <c r="AW83" s="21">
        <f>T83+AD83+AN83</f>
        <v>6</v>
      </c>
      <c r="AX83" s="21">
        <f>V83+AF83+AP83</f>
        <v>0</v>
      </c>
      <c r="AY83" s="21">
        <f>X83+AH83+AR83</f>
        <v>0</v>
      </c>
    </row>
    <row r="84" spans="1:51" hidden="1" x14ac:dyDescent="0.2">
      <c r="A84" s="50" t="s">
        <v>291</v>
      </c>
      <c r="B84" s="51" t="s">
        <v>208</v>
      </c>
      <c r="C84" s="51"/>
      <c r="D84" s="51"/>
      <c r="E84" s="52">
        <f>IF(G84="Y",VLOOKUP(B84&amp;"|"&amp;C84,'[1]ETC Data'!$C$2:$D$16,2,FALSE),0)</f>
        <v>0</v>
      </c>
      <c r="F84" s="52">
        <f>IF(D84="",0,IF(G84="Y",VLOOKUP(B84&amp;"|"&amp;D84,'[1]ETC Data'!$C$2:$D$16,2,FALSE),0))</f>
        <v>0</v>
      </c>
      <c r="G84" s="53" t="str">
        <f>IF(VLOOKUP(A84,[1]Plan!A$1:H$804,8,FALSE)&lt;&gt;"",VLOOKUP(A84,[1]Plan!A$1:H$804,8,FALSE),"")</f>
        <v>N</v>
      </c>
      <c r="H84" s="54" t="str">
        <f>IF(VLOOKUP(A84,[1]Plan!A$1:L$804,12,FALSE)&lt;&gt;"",VLOOKUP(A84,[1]Plan!A$1:L$804,12,FALSE),"")</f>
        <v/>
      </c>
      <c r="I84" s="55" t="str">
        <f>IF(VLOOKUP(A84,[1]Plan!A$1:M$804,13,FALSE)&lt;&gt;"",VLOOKUP(A84,[1]Plan!A$1:M$804,13,FALSE),"")</f>
        <v/>
      </c>
      <c r="J84" s="55" t="str">
        <f>IF(VLOOKUP(A84,[1]Plan!A$1:N$804,14,FALSE)&lt;&gt;"",VLOOKUP(A84,[1]Plan!A$1:N$804,14,FALSE),IF(VLOOKUP(A84,[1]Plan!A$1:O$804,15,FALSE)&lt;&gt;"",VLOOKUP(A84,[1]Plan!A$1:O$804,15,FALSE),""))</f>
        <v/>
      </c>
      <c r="K84" s="56" t="str">
        <f>IF(VLOOKUP(A84,[1]Plan!A$1:P$804,16,FALSE)&lt;&gt;"",VLOOKUP(A84,[1]Plan!A$1:P$804,16,FALSE),"")</f>
        <v/>
      </c>
      <c r="L84" s="55"/>
      <c r="M84" s="55"/>
      <c r="N84" s="55"/>
      <c r="O84" s="57">
        <f>IF(F84=0,E84,F84)</f>
        <v>0</v>
      </c>
      <c r="P84" s="57" t="b">
        <f>OR(H84="Y",I84="Y")</f>
        <v>0</v>
      </c>
      <c r="Q84" s="58">
        <f>IF(P84,O84*'[1]ETC Data'!$H$3*'[1]ETC Data'!$I$3,0)</f>
        <v>0</v>
      </c>
      <c r="R84" s="58">
        <f>Q84-(Q84*((VLOOKUP(A84,[1]Plan!A$1:Z$804,26,FALSE)/100)))</f>
        <v>0</v>
      </c>
      <c r="S84" s="58">
        <f>IF(P84,O84*'[1]ETC Data'!$H$3*'[1]ETC Data'!$J$3,0)</f>
        <v>0</v>
      </c>
      <c r="T84" s="58">
        <f>S84-(S84*((VLOOKUP(A84,[1]Plan!A$1:AA$804,27,FALSE)/100)))</f>
        <v>0</v>
      </c>
      <c r="U84" s="58">
        <f>IF(P84,O84*'[1]ETC Data'!$H$3*'[1]ETC Data'!$K$3,0)</f>
        <v>0</v>
      </c>
      <c r="V84" s="58">
        <f>U84-(U84*((VLOOKUP(A84,[1]Plan!A$1:AB$804,28,FALSE)/100)))</f>
        <v>0</v>
      </c>
      <c r="W84" s="58">
        <f>IF(P84,O84*'[1]ETC Data'!$H$3*'[1]ETC Data'!$L$3,0)</f>
        <v>0</v>
      </c>
      <c r="X84" s="58">
        <f>W84-(W84*((VLOOKUP(A84,[1]Plan!A$1:AC$804,29,FALSE)/100)))</f>
        <v>0</v>
      </c>
      <c r="Y84" s="59"/>
      <c r="Z84" s="60" t="b">
        <f>OR(H84="Y",J84="Y")</f>
        <v>0</v>
      </c>
      <c r="AA84" s="58">
        <f>IF(Z84,O84*'[1]ETC Data'!$H$4*'[1]ETC Data'!$I$4,0)</f>
        <v>0</v>
      </c>
      <c r="AB84" s="58">
        <f>AA84-(AA84*((VLOOKUP(A84,[1]Plan!A$1:AI$804,35,FALSE)/100)))</f>
        <v>0</v>
      </c>
      <c r="AC84" s="58">
        <f>IF(Z84,O84*'[1]ETC Data'!$H$4*'[1]ETC Data'!$J$4,0)</f>
        <v>0</v>
      </c>
      <c r="AD84" s="58">
        <f>AC84-(AC84*((VLOOKUP(A84,[1]Plan!A$1:AJ$804,36,FALSE)/100)))</f>
        <v>0</v>
      </c>
      <c r="AE84" s="58">
        <f>IF(Z84,O84*'[1]ETC Data'!$H$4*'[1]ETC Data'!$K$4,0)</f>
        <v>0</v>
      </c>
      <c r="AF84" s="58">
        <f>AE84-(AE84*((VLOOKUP(A84,[1]Plan!A$1:AK$804,37,FALSE)/100)))</f>
        <v>0</v>
      </c>
      <c r="AG84" s="58">
        <f>IF(Z84,O84*'[1]ETC Data'!$H$4*'[1]ETC Data'!$L$4,0)</f>
        <v>0</v>
      </c>
      <c r="AH84" s="58">
        <f>AG84-(AG84*((VLOOKUP(A84,[1]Plan!A$1:AP$804,42,FALSE)/100)))</f>
        <v>0</v>
      </c>
      <c r="AI84" s="60"/>
      <c r="AJ84" s="60" t="b">
        <f>OR(H84="Y",K84="Y")</f>
        <v>0</v>
      </c>
      <c r="AK84" s="61">
        <f>IF(AJ84,O84*'[1]ETC Data'!$H$5*'[1]ETC Data'!$I$5,0)</f>
        <v>0</v>
      </c>
      <c r="AL84" s="58">
        <f>AK84-(AK84*((VLOOKUP(A84,[1]Plan!A$1:AY$804,51,FALSE)/100)))</f>
        <v>0</v>
      </c>
      <c r="AM84" s="58">
        <f>IF(AJ84,O84*'[1]ETC Data'!$H$5*'[1]ETC Data'!$J$5,0)</f>
        <v>0</v>
      </c>
      <c r="AN84" s="58">
        <f>AM84-(AM84*((VLOOKUP(A84,[1]Plan!A$1:BA$804,53,FALSE)/100)))</f>
        <v>0</v>
      </c>
      <c r="AO84" s="61">
        <f>IF(AJ84,O84*'[1]ETC Data'!$H$5*'[1]ETC Data'!$K$5,0)</f>
        <v>0</v>
      </c>
      <c r="AP84" s="58">
        <f>AO84-(AO84*((VLOOKUP(A84,[1]Plan!A$1:BB$804,54,FALSE)/100)))</f>
        <v>0</v>
      </c>
      <c r="AQ84" s="58">
        <f>IF(AJ84,O84*'[1]ETC Data'!$H$5*'[1]ETC Data'!$L$5,0)</f>
        <v>0</v>
      </c>
      <c r="AR84" s="58">
        <f>AQ84-(AQ84*((VLOOKUP(A84,[1]Plan!A$1:BD$804,56,FALSE)/100)))</f>
        <v>0</v>
      </c>
      <c r="AS84" s="20">
        <f>VLOOKUP(A84,'[1]PR Matrix'!A:B,2,FALSE)</f>
        <v>0</v>
      </c>
      <c r="AT84" s="21">
        <f>R84+T84+V84+X84+AB84+AD84+AF84+AH84+AL84+AN84+AP84+AR84</f>
        <v>0</v>
      </c>
      <c r="AU84" s="21">
        <f>Q84+S84+U84+W84+AA84+AC84+AE84+AG84+AK84+AM84+AO84+AQ84</f>
        <v>0</v>
      </c>
      <c r="AV84" s="21">
        <f>R84+AB84+AL84</f>
        <v>0</v>
      </c>
      <c r="AW84" s="21">
        <f>T84+AD84+AN84</f>
        <v>0</v>
      </c>
      <c r="AX84" s="21">
        <f>V84+AF84+AP84</f>
        <v>0</v>
      </c>
      <c r="AY84" s="21">
        <f>X84+AH84+AR84</f>
        <v>0</v>
      </c>
    </row>
    <row r="85" spans="1:51" hidden="1" x14ac:dyDescent="0.2">
      <c r="A85" s="50" t="s">
        <v>292</v>
      </c>
      <c r="B85" s="51" t="s">
        <v>258</v>
      </c>
      <c r="C85" s="51"/>
      <c r="D85" s="51"/>
      <c r="E85" s="52">
        <f>IF(G85="Y",VLOOKUP(B85&amp;"|"&amp;C85,'[1]ETC Data'!$C$2:$D$16,2,FALSE),0)</f>
        <v>0</v>
      </c>
      <c r="F85" s="52">
        <f>IF(D85="",0,IF(G85="Y",VLOOKUP(B85&amp;"|"&amp;D85,'[1]ETC Data'!$C$2:$D$16,2,FALSE),0))</f>
        <v>0</v>
      </c>
      <c r="G85" s="53" t="str">
        <f>IF(VLOOKUP(A85,[1]Plan!A$1:H$804,8,FALSE)&lt;&gt;"",VLOOKUP(A85,[1]Plan!A$1:H$804,8,FALSE),"")</f>
        <v>N</v>
      </c>
      <c r="H85" s="54" t="str">
        <f>IF(VLOOKUP(A85,[1]Plan!A$1:L$804,12,FALSE)&lt;&gt;"",VLOOKUP(A85,[1]Plan!A$1:L$804,12,FALSE),"")</f>
        <v/>
      </c>
      <c r="I85" s="55" t="str">
        <f>IF(VLOOKUP(A85,[1]Plan!A$1:M$804,13,FALSE)&lt;&gt;"",VLOOKUP(A85,[1]Plan!A$1:M$804,13,FALSE),"")</f>
        <v>Y</v>
      </c>
      <c r="J85" s="55" t="str">
        <f>IF(VLOOKUP(A85,[1]Plan!A$1:N$804,14,FALSE)&lt;&gt;"",VLOOKUP(A85,[1]Plan!A$1:N$804,14,FALSE),IF(VLOOKUP(A85,[1]Plan!A$1:O$804,15,FALSE)&lt;&gt;"",VLOOKUP(A85,[1]Plan!A$1:O$804,15,FALSE),""))</f>
        <v>Y</v>
      </c>
      <c r="K85" s="56" t="str">
        <f>IF(VLOOKUP(A85,[1]Plan!A$1:P$804,16,FALSE)&lt;&gt;"",VLOOKUP(A85,[1]Plan!A$1:P$804,16,FALSE),"")</f>
        <v>Y</v>
      </c>
      <c r="L85" s="55"/>
      <c r="M85" s="55"/>
      <c r="N85" s="55"/>
      <c r="O85" s="57">
        <f>IF(F85=0,E85,F85)</f>
        <v>0</v>
      </c>
      <c r="P85" s="57" t="b">
        <f>OR(H85="Y",I85="Y")</f>
        <v>1</v>
      </c>
      <c r="Q85" s="58">
        <f>IF(P85,O85*'[1]ETC Data'!$H$3*'[1]ETC Data'!$I$3,0)</f>
        <v>0</v>
      </c>
      <c r="R85" s="58">
        <f>Q85-(Q85*((VLOOKUP(A85,[1]Plan!A$1:Z$804,26,FALSE)/100)))</f>
        <v>0</v>
      </c>
      <c r="S85" s="58">
        <f>IF(P85,O85*'[1]ETC Data'!$H$3*'[1]ETC Data'!$J$3,0)</f>
        <v>0</v>
      </c>
      <c r="T85" s="58">
        <f>S85-(S85*((VLOOKUP(A85,[1]Plan!A$1:AA$804,27,FALSE)/100)))</f>
        <v>0</v>
      </c>
      <c r="U85" s="58">
        <f>IF(P85,O85*'[1]ETC Data'!$H$3*'[1]ETC Data'!$K$3,0)</f>
        <v>0</v>
      </c>
      <c r="V85" s="58">
        <f>U85-(U85*((VLOOKUP(A85,[1]Plan!A$1:AB$804,28,FALSE)/100)))</f>
        <v>0</v>
      </c>
      <c r="W85" s="58">
        <f>IF(P85,O85*'[1]ETC Data'!$H$3*'[1]ETC Data'!$L$3,0)</f>
        <v>0</v>
      </c>
      <c r="X85" s="58">
        <f>W85-(W85*((VLOOKUP(A85,[1]Plan!A$1:AC$804,29,FALSE)/100)))</f>
        <v>0</v>
      </c>
      <c r="Y85" s="59"/>
      <c r="Z85" s="60" t="b">
        <f>OR(H85="Y",J85="Y")</f>
        <v>1</v>
      </c>
      <c r="AA85" s="58">
        <f>IF(Z85,O85*'[1]ETC Data'!$H$4*'[1]ETC Data'!$I$4,0)</f>
        <v>0</v>
      </c>
      <c r="AB85" s="58">
        <f>AA85-(AA85*((VLOOKUP(A85,[1]Plan!A$1:AI$804,35,FALSE)/100)))</f>
        <v>0</v>
      </c>
      <c r="AC85" s="58">
        <f>IF(Z85,O85*'[1]ETC Data'!$H$4*'[1]ETC Data'!$J$4,0)</f>
        <v>0</v>
      </c>
      <c r="AD85" s="58">
        <f>AC85-(AC85*((VLOOKUP(A85,[1]Plan!A$1:AJ$804,36,FALSE)/100)))</f>
        <v>0</v>
      </c>
      <c r="AE85" s="58">
        <f>IF(Z85,O85*'[1]ETC Data'!$H$4*'[1]ETC Data'!$K$4,0)</f>
        <v>0</v>
      </c>
      <c r="AF85" s="58">
        <f>AE85-(AE85*((VLOOKUP(A85,[1]Plan!A$1:AK$804,37,FALSE)/100)))</f>
        <v>0</v>
      </c>
      <c r="AG85" s="58">
        <f>IF(Z85,O85*'[1]ETC Data'!$H$4*'[1]ETC Data'!$L$4,0)</f>
        <v>0</v>
      </c>
      <c r="AH85" s="58">
        <f>AG85-(AG85*((VLOOKUP(A85,[1]Plan!A$1:AP$804,42,FALSE)/100)))</f>
        <v>0</v>
      </c>
      <c r="AI85" s="60"/>
      <c r="AJ85" s="60" t="b">
        <f>OR(H85="Y",K85="Y")</f>
        <v>1</v>
      </c>
      <c r="AK85" s="61">
        <f>IF(AJ85,O85*'[1]ETC Data'!$H$5*'[1]ETC Data'!$I$5,0)</f>
        <v>0</v>
      </c>
      <c r="AL85" s="58">
        <f>AK85-(AK85*((VLOOKUP(A85,[1]Plan!A$1:AY$804,51,FALSE)/100)))</f>
        <v>0</v>
      </c>
      <c r="AM85" s="58">
        <f>IF(AJ85,O85*'[1]ETC Data'!$H$5*'[1]ETC Data'!$J$5,0)</f>
        <v>0</v>
      </c>
      <c r="AN85" s="58">
        <f>AM85-(AM85*((VLOOKUP(A85,[1]Plan!A$1:BA$804,53,FALSE)/100)))</f>
        <v>0</v>
      </c>
      <c r="AO85" s="61">
        <f>IF(AJ85,O85*'[1]ETC Data'!$H$5*'[1]ETC Data'!$K$5,0)</f>
        <v>0</v>
      </c>
      <c r="AP85" s="58">
        <f>AO85-(AO85*((VLOOKUP(A85,[1]Plan!A$1:BB$804,54,FALSE)/100)))</f>
        <v>0</v>
      </c>
      <c r="AQ85" s="58">
        <f>IF(AJ85,O85*'[1]ETC Data'!$H$5*'[1]ETC Data'!$L$5,0)</f>
        <v>0</v>
      </c>
      <c r="AR85" s="58">
        <f>AQ85-(AQ85*((VLOOKUP(A85,[1]Plan!A$1:BD$804,56,FALSE)/100)))</f>
        <v>0</v>
      </c>
      <c r="AS85" s="20">
        <f>VLOOKUP(A85,'[1]PR Matrix'!A:B,2,FALSE)</f>
        <v>0</v>
      </c>
      <c r="AT85" s="21">
        <f>R85+T85+V85+X85+AB85+AD85+AF85+AH85+AL85+AN85+AP85+AR85</f>
        <v>0</v>
      </c>
      <c r="AU85" s="21">
        <f>Q85+S85+U85+W85+AA85+AC85+AE85+AG85+AK85+AM85+AO85+AQ85</f>
        <v>0</v>
      </c>
      <c r="AV85" s="21">
        <f>R85+AB85+AL85</f>
        <v>0</v>
      </c>
      <c r="AW85" s="21">
        <f>T85+AD85+AN85</f>
        <v>0</v>
      </c>
      <c r="AX85" s="21">
        <f>V85+AF85+AP85</f>
        <v>0</v>
      </c>
      <c r="AY85" s="21">
        <f>X85+AH85+AR85</f>
        <v>0</v>
      </c>
    </row>
    <row r="86" spans="1:51" hidden="1" x14ac:dyDescent="0.2">
      <c r="A86" s="50" t="s">
        <v>293</v>
      </c>
      <c r="B86" s="51" t="s">
        <v>208</v>
      </c>
      <c r="C86" s="51"/>
      <c r="D86" s="51"/>
      <c r="E86" s="52">
        <f>IF(G86="Y",VLOOKUP(B86&amp;"|"&amp;C86,'[1]ETC Data'!$C$2:$D$16,2,FALSE),0)</f>
        <v>0</v>
      </c>
      <c r="F86" s="52">
        <f>IF(D86="",0,IF(G86="Y",VLOOKUP(B86&amp;"|"&amp;D86,'[1]ETC Data'!$C$2:$D$16,2,FALSE),0))</f>
        <v>0</v>
      </c>
      <c r="G86" s="53" t="str">
        <f>IF(VLOOKUP(A86,[1]Plan!A$1:H$804,8,FALSE)&lt;&gt;"",VLOOKUP(A86,[1]Plan!A$1:H$804,8,FALSE),"")</f>
        <v>N</v>
      </c>
      <c r="H86" s="54" t="str">
        <f>IF(VLOOKUP(A86,[1]Plan!A$1:L$804,12,FALSE)&lt;&gt;"",VLOOKUP(A86,[1]Plan!A$1:L$804,12,FALSE),"")</f>
        <v/>
      </c>
      <c r="I86" s="55" t="str">
        <f>IF(VLOOKUP(A86,[1]Plan!A$1:M$804,13,FALSE)&lt;&gt;"",VLOOKUP(A86,[1]Plan!A$1:M$804,13,FALSE),"")</f>
        <v/>
      </c>
      <c r="J86" s="55" t="str">
        <f>IF(VLOOKUP(A86,[1]Plan!A$1:N$804,14,FALSE)&lt;&gt;"",VLOOKUP(A86,[1]Plan!A$1:N$804,14,FALSE),IF(VLOOKUP(A86,[1]Plan!A$1:O$804,15,FALSE)&lt;&gt;"",VLOOKUP(A86,[1]Plan!A$1:O$804,15,FALSE),""))</f>
        <v/>
      </c>
      <c r="K86" s="56" t="str">
        <f>IF(VLOOKUP(A86,[1]Plan!A$1:P$804,16,FALSE)&lt;&gt;"",VLOOKUP(A86,[1]Plan!A$1:P$804,16,FALSE),"")</f>
        <v/>
      </c>
      <c r="L86" s="55"/>
      <c r="M86" s="55"/>
      <c r="N86" s="55"/>
      <c r="O86" s="57">
        <f>IF(F86=0,E86,F86)</f>
        <v>0</v>
      </c>
      <c r="P86" s="57" t="b">
        <f>OR(H86="Y",I86="Y")</f>
        <v>0</v>
      </c>
      <c r="Q86" s="58">
        <f>IF(P86,O86*'[1]ETC Data'!$H$3*'[1]ETC Data'!$I$3,0)</f>
        <v>0</v>
      </c>
      <c r="R86" s="58">
        <f>Q86-(Q86*((VLOOKUP(A86,[1]Plan!A$1:Z$804,26,FALSE)/100)))</f>
        <v>0</v>
      </c>
      <c r="S86" s="58">
        <f>IF(P86,O86*'[1]ETC Data'!$H$3*'[1]ETC Data'!$J$3,0)</f>
        <v>0</v>
      </c>
      <c r="T86" s="58">
        <f>S86-(S86*((VLOOKUP(A86,[1]Plan!A$1:AA$804,27,FALSE)/100)))</f>
        <v>0</v>
      </c>
      <c r="U86" s="58">
        <f>IF(P86,O86*'[1]ETC Data'!$H$3*'[1]ETC Data'!$K$3,0)</f>
        <v>0</v>
      </c>
      <c r="V86" s="58">
        <f>U86-(U86*((VLOOKUP(A86,[1]Plan!A$1:AB$804,28,FALSE)/100)))</f>
        <v>0</v>
      </c>
      <c r="W86" s="58">
        <f>IF(P86,O86*'[1]ETC Data'!$H$3*'[1]ETC Data'!$L$3,0)</f>
        <v>0</v>
      </c>
      <c r="X86" s="58">
        <f>W86-(W86*((VLOOKUP(A86,[1]Plan!A$1:AC$804,29,FALSE)/100)))</f>
        <v>0</v>
      </c>
      <c r="Y86" s="59"/>
      <c r="Z86" s="60" t="b">
        <f>OR(H86="Y",J86="Y")</f>
        <v>0</v>
      </c>
      <c r="AA86" s="58">
        <f>IF(Z86,O86*'[1]ETC Data'!$H$4*'[1]ETC Data'!$I$4,0)</f>
        <v>0</v>
      </c>
      <c r="AB86" s="58">
        <f>AA86-(AA86*((VLOOKUP(A86,[1]Plan!A$1:AI$804,35,FALSE)/100)))</f>
        <v>0</v>
      </c>
      <c r="AC86" s="58">
        <f>IF(Z86,O86*'[1]ETC Data'!$H$4*'[1]ETC Data'!$J$4,0)</f>
        <v>0</v>
      </c>
      <c r="AD86" s="58">
        <f>AC86-(AC86*((VLOOKUP(A86,[1]Plan!A$1:AJ$804,36,FALSE)/100)))</f>
        <v>0</v>
      </c>
      <c r="AE86" s="58">
        <f>IF(Z86,O86*'[1]ETC Data'!$H$4*'[1]ETC Data'!$K$4,0)</f>
        <v>0</v>
      </c>
      <c r="AF86" s="58">
        <f>AE86-(AE86*((VLOOKUP(A86,[1]Plan!A$1:AK$804,37,FALSE)/100)))</f>
        <v>0</v>
      </c>
      <c r="AG86" s="58">
        <f>IF(Z86,O86*'[1]ETC Data'!$H$4*'[1]ETC Data'!$L$4,0)</f>
        <v>0</v>
      </c>
      <c r="AH86" s="58">
        <f>AG86-(AG86*((VLOOKUP(A86,[1]Plan!A$1:AP$804,42,FALSE)/100)))</f>
        <v>0</v>
      </c>
      <c r="AI86" s="60"/>
      <c r="AJ86" s="60" t="b">
        <f>OR(H86="Y",K86="Y")</f>
        <v>0</v>
      </c>
      <c r="AK86" s="61">
        <f>IF(AJ86,O86*'[1]ETC Data'!$H$5*'[1]ETC Data'!$I$5,0)</f>
        <v>0</v>
      </c>
      <c r="AL86" s="58">
        <f>AK86-(AK86*((VLOOKUP(A86,[1]Plan!A$1:AY$804,51,FALSE)/100)))</f>
        <v>0</v>
      </c>
      <c r="AM86" s="58">
        <f>IF(AJ86,O86*'[1]ETC Data'!$H$5*'[1]ETC Data'!$J$5,0)</f>
        <v>0</v>
      </c>
      <c r="AN86" s="58">
        <f>AM86-(AM86*((VLOOKUP(A86,[1]Plan!A$1:BA$804,53,FALSE)/100)))</f>
        <v>0</v>
      </c>
      <c r="AO86" s="61">
        <f>IF(AJ86,O86*'[1]ETC Data'!$H$5*'[1]ETC Data'!$K$5,0)</f>
        <v>0</v>
      </c>
      <c r="AP86" s="58">
        <f>AO86-(AO86*((VLOOKUP(A86,[1]Plan!A$1:BB$804,54,FALSE)/100)))</f>
        <v>0</v>
      </c>
      <c r="AQ86" s="58">
        <f>IF(AJ86,O86*'[1]ETC Data'!$H$5*'[1]ETC Data'!$L$5,0)</f>
        <v>0</v>
      </c>
      <c r="AR86" s="58">
        <f>AQ86-(AQ86*((VLOOKUP(A86,[1]Plan!A$1:BD$804,56,FALSE)/100)))</f>
        <v>0</v>
      </c>
      <c r="AS86" s="20">
        <f>VLOOKUP(A86,'[1]PR Matrix'!A:B,2,FALSE)</f>
        <v>0</v>
      </c>
      <c r="AT86" s="21">
        <f>R86+T86+V86+X86+AB86+AD86+AF86+AH86+AL86+AN86+AP86+AR86</f>
        <v>0</v>
      </c>
      <c r="AU86" s="21">
        <f>Q86+S86+U86+W86+AA86+AC86+AE86+AG86+AK86+AM86+AO86+AQ86</f>
        <v>0</v>
      </c>
      <c r="AV86" s="21">
        <f>R86+AB86+AL86</f>
        <v>0</v>
      </c>
      <c r="AW86" s="21">
        <f>T86+AD86+AN86</f>
        <v>0</v>
      </c>
      <c r="AX86" s="21">
        <f>V86+AF86+AP86</f>
        <v>0</v>
      </c>
      <c r="AY86" s="21">
        <f>X86+AH86+AR86</f>
        <v>0</v>
      </c>
    </row>
    <row r="87" spans="1:51" hidden="1" x14ac:dyDescent="0.2">
      <c r="A87" s="50" t="s">
        <v>294</v>
      </c>
      <c r="B87" s="51" t="s">
        <v>258</v>
      </c>
      <c r="C87" s="51"/>
      <c r="D87" s="51"/>
      <c r="E87" s="52">
        <f>IF(G87="Y",VLOOKUP(B87&amp;"|"&amp;C87,'[1]ETC Data'!$C$2:$D$16,2,FALSE),0)</f>
        <v>0</v>
      </c>
      <c r="F87" s="52">
        <f>IF(D87="",0,IF(G87="Y",VLOOKUP(B87&amp;"|"&amp;D87,'[1]ETC Data'!$C$2:$D$16,2,FALSE),0))</f>
        <v>0</v>
      </c>
      <c r="G87" s="53" t="str">
        <f>IF(VLOOKUP(A87,[1]Plan!A$1:H$804,8,FALSE)&lt;&gt;"",VLOOKUP(A87,[1]Plan!A$1:H$804,8,FALSE),"")</f>
        <v>N</v>
      </c>
      <c r="H87" s="54" t="str">
        <f>IF(VLOOKUP(A87,[1]Plan!A$1:L$804,12,FALSE)&lt;&gt;"",VLOOKUP(A87,[1]Plan!A$1:L$804,12,FALSE),"")</f>
        <v/>
      </c>
      <c r="I87" s="55" t="str">
        <f>IF(VLOOKUP(A87,[1]Plan!A$1:M$804,13,FALSE)&lt;&gt;"",VLOOKUP(A87,[1]Plan!A$1:M$804,13,FALSE),"")</f>
        <v>Y</v>
      </c>
      <c r="J87" s="55" t="str">
        <f>IF(VLOOKUP(A87,[1]Plan!A$1:N$804,14,FALSE)&lt;&gt;"",VLOOKUP(A87,[1]Plan!A$1:N$804,14,FALSE),IF(VLOOKUP(A87,[1]Plan!A$1:O$804,15,FALSE)&lt;&gt;"",VLOOKUP(A87,[1]Plan!A$1:O$804,15,FALSE),""))</f>
        <v>Y</v>
      </c>
      <c r="K87" s="56" t="str">
        <f>IF(VLOOKUP(A87,[1]Plan!A$1:P$804,16,FALSE)&lt;&gt;"",VLOOKUP(A87,[1]Plan!A$1:P$804,16,FALSE),"")</f>
        <v>Y</v>
      </c>
      <c r="L87" s="55"/>
      <c r="M87" s="55"/>
      <c r="N87" s="55"/>
      <c r="O87" s="57">
        <f>IF(F87=0,E87,F87)</f>
        <v>0</v>
      </c>
      <c r="P87" s="57" t="b">
        <f>OR(H87="Y",I87="Y")</f>
        <v>1</v>
      </c>
      <c r="Q87" s="58">
        <f>IF(P87,O87*'[1]ETC Data'!$H$3*'[1]ETC Data'!$I$3,0)</f>
        <v>0</v>
      </c>
      <c r="R87" s="58">
        <f>Q87-(Q87*((VLOOKUP(A87,[1]Plan!A$1:Z$804,26,FALSE)/100)))</f>
        <v>0</v>
      </c>
      <c r="S87" s="58">
        <f>IF(P87,O87*'[1]ETC Data'!$H$3*'[1]ETC Data'!$J$3,0)</f>
        <v>0</v>
      </c>
      <c r="T87" s="58">
        <f>S87-(S87*((VLOOKUP(A87,[1]Plan!A$1:AA$804,27,FALSE)/100)))</f>
        <v>0</v>
      </c>
      <c r="U87" s="58">
        <f>IF(P87,O87*'[1]ETC Data'!$H$3*'[1]ETC Data'!$K$3,0)</f>
        <v>0</v>
      </c>
      <c r="V87" s="58">
        <f>U87-(U87*((VLOOKUP(A87,[1]Plan!A$1:AB$804,28,FALSE)/100)))</f>
        <v>0</v>
      </c>
      <c r="W87" s="58">
        <f>IF(P87,O87*'[1]ETC Data'!$H$3*'[1]ETC Data'!$L$3,0)</f>
        <v>0</v>
      </c>
      <c r="X87" s="58">
        <f>W87-(W87*((VLOOKUP(A87,[1]Plan!A$1:AC$804,29,FALSE)/100)))</f>
        <v>0</v>
      </c>
      <c r="Y87" s="59"/>
      <c r="Z87" s="60" t="b">
        <f>OR(H87="Y",J87="Y")</f>
        <v>1</v>
      </c>
      <c r="AA87" s="58">
        <f>IF(Z87,O87*'[1]ETC Data'!$H$4*'[1]ETC Data'!$I$4,0)</f>
        <v>0</v>
      </c>
      <c r="AB87" s="58">
        <f>AA87-(AA87*((VLOOKUP(A87,[1]Plan!A$1:AI$804,35,FALSE)/100)))</f>
        <v>0</v>
      </c>
      <c r="AC87" s="58">
        <f>IF(Z87,O87*'[1]ETC Data'!$H$4*'[1]ETC Data'!$J$4,0)</f>
        <v>0</v>
      </c>
      <c r="AD87" s="58">
        <f>AC87-(AC87*((VLOOKUP(A87,[1]Plan!A$1:AJ$804,36,FALSE)/100)))</f>
        <v>0</v>
      </c>
      <c r="AE87" s="58">
        <f>IF(Z87,O87*'[1]ETC Data'!$H$4*'[1]ETC Data'!$K$4,0)</f>
        <v>0</v>
      </c>
      <c r="AF87" s="58">
        <f>AE87-(AE87*((VLOOKUP(A87,[1]Plan!A$1:AK$804,37,FALSE)/100)))</f>
        <v>0</v>
      </c>
      <c r="AG87" s="58">
        <f>IF(Z87,O87*'[1]ETC Data'!$H$4*'[1]ETC Data'!$L$4,0)</f>
        <v>0</v>
      </c>
      <c r="AH87" s="58">
        <f>AG87-(AG87*((VLOOKUP(A87,[1]Plan!A$1:AP$804,42,FALSE)/100)))</f>
        <v>0</v>
      </c>
      <c r="AI87" s="60"/>
      <c r="AJ87" s="60" t="b">
        <f>OR(H87="Y",K87="Y")</f>
        <v>1</v>
      </c>
      <c r="AK87" s="61">
        <f>IF(AJ87,O87*'[1]ETC Data'!$H$5*'[1]ETC Data'!$I$5,0)</f>
        <v>0</v>
      </c>
      <c r="AL87" s="58">
        <f>AK87-(AK87*((VLOOKUP(A87,[1]Plan!A$1:AY$804,51,FALSE)/100)))</f>
        <v>0</v>
      </c>
      <c r="AM87" s="58">
        <f>IF(AJ87,O87*'[1]ETC Data'!$H$5*'[1]ETC Data'!$J$5,0)</f>
        <v>0</v>
      </c>
      <c r="AN87" s="58">
        <f>AM87-(AM87*((VLOOKUP(A87,[1]Plan!A$1:BA$804,53,FALSE)/100)))</f>
        <v>0</v>
      </c>
      <c r="AO87" s="61">
        <f>IF(AJ87,O87*'[1]ETC Data'!$H$5*'[1]ETC Data'!$K$5,0)</f>
        <v>0</v>
      </c>
      <c r="AP87" s="58">
        <f>AO87-(AO87*((VLOOKUP(A87,[1]Plan!A$1:BB$804,54,FALSE)/100)))</f>
        <v>0</v>
      </c>
      <c r="AQ87" s="58">
        <f>IF(AJ87,O87*'[1]ETC Data'!$H$5*'[1]ETC Data'!$L$5,0)</f>
        <v>0</v>
      </c>
      <c r="AR87" s="58">
        <f>AQ87-(AQ87*((VLOOKUP(A87,[1]Plan!A$1:BD$804,56,FALSE)/100)))</f>
        <v>0</v>
      </c>
      <c r="AS87" s="20">
        <f>VLOOKUP(A87,'[1]PR Matrix'!A:B,2,FALSE)</f>
        <v>0</v>
      </c>
      <c r="AT87" s="21">
        <f>R87+T87+V87+X87+AB87+AD87+AF87+AH87+AL87+AN87+AP87+AR87</f>
        <v>0</v>
      </c>
      <c r="AU87" s="21">
        <f>Q87+S87+U87+W87+AA87+AC87+AE87+AG87+AK87+AM87+AO87+AQ87</f>
        <v>0</v>
      </c>
      <c r="AV87" s="21">
        <f>R87+AB87+AL87</f>
        <v>0</v>
      </c>
      <c r="AW87" s="21">
        <f>T87+AD87+AN87</f>
        <v>0</v>
      </c>
      <c r="AX87" s="21">
        <f>V87+AF87+AP87</f>
        <v>0</v>
      </c>
      <c r="AY87" s="21">
        <f>X87+AH87+AR87</f>
        <v>0</v>
      </c>
    </row>
    <row r="88" spans="1:51" hidden="1" x14ac:dyDescent="0.2">
      <c r="A88" s="50" t="s">
        <v>295</v>
      </c>
      <c r="B88" s="51" t="s">
        <v>208</v>
      </c>
      <c r="C88" s="51"/>
      <c r="D88" s="51"/>
      <c r="E88" s="52">
        <f>IF(G88="Y",VLOOKUP(B88&amp;"|"&amp;C88,'[1]ETC Data'!$C$2:$D$16,2,FALSE),0)</f>
        <v>0</v>
      </c>
      <c r="F88" s="52">
        <f>IF(D88="",0,IF(G88="Y",VLOOKUP(B88&amp;"|"&amp;D88,'[1]ETC Data'!$C$2:$D$16,2,FALSE),0))</f>
        <v>0</v>
      </c>
      <c r="G88" s="53" t="str">
        <f>IF(VLOOKUP(A88,[1]Plan!A$1:H$804,8,FALSE)&lt;&gt;"",VLOOKUP(A88,[1]Plan!A$1:H$804,8,FALSE),"")</f>
        <v>N</v>
      </c>
      <c r="H88" s="54" t="str">
        <f>IF(VLOOKUP(A88,[1]Plan!A$1:L$804,12,FALSE)&lt;&gt;"",VLOOKUP(A88,[1]Plan!A$1:L$804,12,FALSE),"")</f>
        <v/>
      </c>
      <c r="I88" s="55" t="str">
        <f>IF(VLOOKUP(A88,[1]Plan!A$1:M$804,13,FALSE)&lt;&gt;"",VLOOKUP(A88,[1]Plan!A$1:M$804,13,FALSE),"")</f>
        <v/>
      </c>
      <c r="J88" s="55" t="str">
        <f>IF(VLOOKUP(A88,[1]Plan!A$1:N$804,14,FALSE)&lt;&gt;"",VLOOKUP(A88,[1]Plan!A$1:N$804,14,FALSE),IF(VLOOKUP(A88,[1]Plan!A$1:O$804,15,FALSE)&lt;&gt;"",VLOOKUP(A88,[1]Plan!A$1:O$804,15,FALSE),""))</f>
        <v/>
      </c>
      <c r="K88" s="56" t="str">
        <f>IF(VLOOKUP(A88,[1]Plan!A$1:P$804,16,FALSE)&lt;&gt;"",VLOOKUP(A88,[1]Plan!A$1:P$804,16,FALSE),"")</f>
        <v/>
      </c>
      <c r="L88" s="55"/>
      <c r="M88" s="55"/>
      <c r="N88" s="55"/>
      <c r="O88" s="57">
        <f>IF(F88=0,E88,F88)</f>
        <v>0</v>
      </c>
      <c r="P88" s="57" t="b">
        <f>OR(H88="Y",I88="Y")</f>
        <v>0</v>
      </c>
      <c r="Q88" s="58">
        <f>IF(P88,O88*'[1]ETC Data'!$H$3*'[1]ETC Data'!$I$3,0)</f>
        <v>0</v>
      </c>
      <c r="R88" s="58">
        <f>Q88-(Q88*((VLOOKUP(A88,[1]Plan!A$1:Z$804,26,FALSE)/100)))</f>
        <v>0</v>
      </c>
      <c r="S88" s="58">
        <f>IF(P88,O88*'[1]ETC Data'!$H$3*'[1]ETC Data'!$J$3,0)</f>
        <v>0</v>
      </c>
      <c r="T88" s="58">
        <f>S88-(S88*((VLOOKUP(A88,[1]Plan!A$1:AA$804,27,FALSE)/100)))</f>
        <v>0</v>
      </c>
      <c r="U88" s="58">
        <f>IF(P88,O88*'[1]ETC Data'!$H$3*'[1]ETC Data'!$K$3,0)</f>
        <v>0</v>
      </c>
      <c r="V88" s="58">
        <f>U88-(U88*((VLOOKUP(A88,[1]Plan!A$1:AB$804,28,FALSE)/100)))</f>
        <v>0</v>
      </c>
      <c r="W88" s="58">
        <f>IF(P88,O88*'[1]ETC Data'!$H$3*'[1]ETC Data'!$L$3,0)</f>
        <v>0</v>
      </c>
      <c r="X88" s="58">
        <f>W88-(W88*((VLOOKUP(A88,[1]Plan!A$1:AC$804,29,FALSE)/100)))</f>
        <v>0</v>
      </c>
      <c r="Y88" s="59"/>
      <c r="Z88" s="60" t="b">
        <f>OR(H88="Y",J88="Y")</f>
        <v>0</v>
      </c>
      <c r="AA88" s="58">
        <f>IF(Z88,O88*'[1]ETC Data'!$H$4*'[1]ETC Data'!$I$4,0)</f>
        <v>0</v>
      </c>
      <c r="AB88" s="58">
        <f>AA88-(AA88*((VLOOKUP(A88,[1]Plan!A$1:AI$804,35,FALSE)/100)))</f>
        <v>0</v>
      </c>
      <c r="AC88" s="58">
        <f>IF(Z88,O88*'[1]ETC Data'!$H$4*'[1]ETC Data'!$J$4,0)</f>
        <v>0</v>
      </c>
      <c r="AD88" s="58">
        <f>AC88-(AC88*((VLOOKUP(A88,[1]Plan!A$1:AJ$804,36,FALSE)/100)))</f>
        <v>0</v>
      </c>
      <c r="AE88" s="58">
        <f>IF(Z88,O88*'[1]ETC Data'!$H$4*'[1]ETC Data'!$K$4,0)</f>
        <v>0</v>
      </c>
      <c r="AF88" s="58">
        <f>AE88-(AE88*((VLOOKUP(A88,[1]Plan!A$1:AK$804,37,FALSE)/100)))</f>
        <v>0</v>
      </c>
      <c r="AG88" s="58">
        <f>IF(Z88,O88*'[1]ETC Data'!$H$4*'[1]ETC Data'!$L$4,0)</f>
        <v>0</v>
      </c>
      <c r="AH88" s="58">
        <f>AG88-(AG88*((VLOOKUP(A88,[1]Plan!A$1:AP$804,42,FALSE)/100)))</f>
        <v>0</v>
      </c>
      <c r="AI88" s="60"/>
      <c r="AJ88" s="60" t="b">
        <f>OR(H88="Y",K88="Y")</f>
        <v>0</v>
      </c>
      <c r="AK88" s="61">
        <f>IF(AJ88,O88*'[1]ETC Data'!$H$5*'[1]ETC Data'!$I$5,0)</f>
        <v>0</v>
      </c>
      <c r="AL88" s="58">
        <f>AK88-(AK88*((VLOOKUP(A88,[1]Plan!A$1:AY$804,51,FALSE)/100)))</f>
        <v>0</v>
      </c>
      <c r="AM88" s="58">
        <f>IF(AJ88,O88*'[1]ETC Data'!$H$5*'[1]ETC Data'!$J$5,0)</f>
        <v>0</v>
      </c>
      <c r="AN88" s="58">
        <f>AM88-(AM88*((VLOOKUP(A88,[1]Plan!A$1:BA$804,53,FALSE)/100)))</f>
        <v>0</v>
      </c>
      <c r="AO88" s="61">
        <f>IF(AJ88,O88*'[1]ETC Data'!$H$5*'[1]ETC Data'!$K$5,0)</f>
        <v>0</v>
      </c>
      <c r="AP88" s="58">
        <f>AO88-(AO88*((VLOOKUP(A88,[1]Plan!A$1:BB$804,54,FALSE)/100)))</f>
        <v>0</v>
      </c>
      <c r="AQ88" s="58">
        <f>IF(AJ88,O88*'[1]ETC Data'!$H$5*'[1]ETC Data'!$L$5,0)</f>
        <v>0</v>
      </c>
      <c r="AR88" s="58">
        <f>AQ88-(AQ88*((VLOOKUP(A88,[1]Plan!A$1:BD$804,56,FALSE)/100)))</f>
        <v>0</v>
      </c>
      <c r="AS88" s="20">
        <f>VLOOKUP(A88,'[1]PR Matrix'!A:B,2,FALSE)</f>
        <v>0</v>
      </c>
      <c r="AT88" s="21">
        <f>R88+T88+V88+X88+AB88+AD88+AF88+AH88+AL88+AN88+AP88+AR88</f>
        <v>0</v>
      </c>
      <c r="AU88" s="21">
        <f>Q88+S88+U88+W88+AA88+AC88+AE88+AG88+AK88+AM88+AO88+AQ88</f>
        <v>0</v>
      </c>
      <c r="AV88" s="21">
        <f>R88+AB88+AL88</f>
        <v>0</v>
      </c>
      <c r="AW88" s="21">
        <f>T88+AD88+AN88</f>
        <v>0</v>
      </c>
      <c r="AX88" s="21">
        <f>V88+AF88+AP88</f>
        <v>0</v>
      </c>
      <c r="AY88" s="21">
        <f>X88+AH88+AR88</f>
        <v>0</v>
      </c>
    </row>
    <row r="89" spans="1:51" hidden="1" x14ac:dyDescent="0.2">
      <c r="A89" s="50" t="s">
        <v>296</v>
      </c>
      <c r="B89" s="51" t="s">
        <v>208</v>
      </c>
      <c r="C89" s="51"/>
      <c r="D89" s="51"/>
      <c r="E89" s="52">
        <f>IF(G89="Y",VLOOKUP(B89&amp;"|"&amp;C89,'[1]ETC Data'!$C$2:$D$16,2,FALSE),0)</f>
        <v>0</v>
      </c>
      <c r="F89" s="52">
        <f>IF(D89="",0,IF(G89="Y",VLOOKUP(B89&amp;"|"&amp;D89,'[1]ETC Data'!$C$2:$D$16,2,FALSE),0))</f>
        <v>0</v>
      </c>
      <c r="G89" s="53" t="str">
        <f>IF(VLOOKUP(A89,[1]Plan!A$1:H$804,8,FALSE)&lt;&gt;"",VLOOKUP(A89,[1]Plan!A$1:H$804,8,FALSE),"")</f>
        <v>N</v>
      </c>
      <c r="H89" s="54" t="str">
        <f>IF(VLOOKUP(A89,[1]Plan!A$1:L$804,12,FALSE)&lt;&gt;"",VLOOKUP(A89,[1]Plan!A$1:L$804,12,FALSE),"")</f>
        <v/>
      </c>
      <c r="I89" s="55" t="str">
        <f>IF(VLOOKUP(A89,[1]Plan!A$1:M$804,13,FALSE)&lt;&gt;"",VLOOKUP(A89,[1]Plan!A$1:M$804,13,FALSE),"")</f>
        <v/>
      </c>
      <c r="J89" s="55" t="str">
        <f>IF(VLOOKUP(A89,[1]Plan!A$1:N$804,14,FALSE)&lt;&gt;"",VLOOKUP(A89,[1]Plan!A$1:N$804,14,FALSE),IF(VLOOKUP(A89,[1]Plan!A$1:O$804,15,FALSE)&lt;&gt;"",VLOOKUP(A89,[1]Plan!A$1:O$804,15,FALSE),""))</f>
        <v/>
      </c>
      <c r="K89" s="56" t="str">
        <f>IF(VLOOKUP(A89,[1]Plan!A$1:P$804,16,FALSE)&lt;&gt;"",VLOOKUP(A89,[1]Plan!A$1:P$804,16,FALSE),"")</f>
        <v/>
      </c>
      <c r="L89" s="55"/>
      <c r="M89" s="55"/>
      <c r="N89" s="55"/>
      <c r="O89" s="57">
        <f>IF(F89=0,E89,F89)</f>
        <v>0</v>
      </c>
      <c r="P89" s="57" t="b">
        <f>OR(H89="Y",I89="Y")</f>
        <v>0</v>
      </c>
      <c r="Q89" s="58">
        <f>IF(P89,O89*'[1]ETC Data'!$H$3*'[1]ETC Data'!$I$3,0)</f>
        <v>0</v>
      </c>
      <c r="R89" s="58">
        <f>Q89-(Q89*((VLOOKUP(A89,[1]Plan!A$1:Z$804,26,FALSE)/100)))</f>
        <v>0</v>
      </c>
      <c r="S89" s="58">
        <f>IF(P89,O89*'[1]ETC Data'!$H$3*'[1]ETC Data'!$J$3,0)</f>
        <v>0</v>
      </c>
      <c r="T89" s="58">
        <f>S89-(S89*((VLOOKUP(A89,[1]Plan!A$1:AA$804,27,FALSE)/100)))</f>
        <v>0</v>
      </c>
      <c r="U89" s="58">
        <f>IF(P89,O89*'[1]ETC Data'!$H$3*'[1]ETC Data'!$K$3,0)</f>
        <v>0</v>
      </c>
      <c r="V89" s="58">
        <f>U89-(U89*((VLOOKUP(A89,[1]Plan!A$1:AB$804,28,FALSE)/100)))</f>
        <v>0</v>
      </c>
      <c r="W89" s="58">
        <f>IF(P89,O89*'[1]ETC Data'!$H$3*'[1]ETC Data'!$L$3,0)</f>
        <v>0</v>
      </c>
      <c r="X89" s="58">
        <f>W89-(W89*((VLOOKUP(A89,[1]Plan!A$1:AC$804,29,FALSE)/100)))</f>
        <v>0</v>
      </c>
      <c r="Y89" s="59"/>
      <c r="Z89" s="60" t="b">
        <f>OR(H89="Y",J89="Y")</f>
        <v>0</v>
      </c>
      <c r="AA89" s="58">
        <f>IF(Z89,O89*'[1]ETC Data'!$H$4*'[1]ETC Data'!$I$4,0)</f>
        <v>0</v>
      </c>
      <c r="AB89" s="58">
        <f>AA89-(AA89*((VLOOKUP(A89,[1]Plan!A$1:AI$804,35,FALSE)/100)))</f>
        <v>0</v>
      </c>
      <c r="AC89" s="58">
        <f>IF(Z89,O89*'[1]ETC Data'!$H$4*'[1]ETC Data'!$J$4,0)</f>
        <v>0</v>
      </c>
      <c r="AD89" s="58">
        <f>AC89-(AC89*((VLOOKUP(A89,[1]Plan!A$1:AJ$804,36,FALSE)/100)))</f>
        <v>0</v>
      </c>
      <c r="AE89" s="58">
        <f>IF(Z89,O89*'[1]ETC Data'!$H$4*'[1]ETC Data'!$K$4,0)</f>
        <v>0</v>
      </c>
      <c r="AF89" s="58">
        <f>AE89-(AE89*((VLOOKUP(A89,[1]Plan!A$1:AK$804,37,FALSE)/100)))</f>
        <v>0</v>
      </c>
      <c r="AG89" s="58">
        <f>IF(Z89,O89*'[1]ETC Data'!$H$4*'[1]ETC Data'!$L$4,0)</f>
        <v>0</v>
      </c>
      <c r="AH89" s="58">
        <f>AG89-(AG89*((VLOOKUP(A89,[1]Plan!A$1:AP$804,42,FALSE)/100)))</f>
        <v>0</v>
      </c>
      <c r="AI89" s="60"/>
      <c r="AJ89" s="60" t="b">
        <f>OR(H89="Y",K89="Y")</f>
        <v>0</v>
      </c>
      <c r="AK89" s="61">
        <f>IF(AJ89,O89*'[1]ETC Data'!$H$5*'[1]ETC Data'!$I$5,0)</f>
        <v>0</v>
      </c>
      <c r="AL89" s="58">
        <f>AK89-(AK89*((VLOOKUP(A89,[1]Plan!A$1:AY$804,51,FALSE)/100)))</f>
        <v>0</v>
      </c>
      <c r="AM89" s="58">
        <f>IF(AJ89,O89*'[1]ETC Data'!$H$5*'[1]ETC Data'!$J$5,0)</f>
        <v>0</v>
      </c>
      <c r="AN89" s="58">
        <f>AM89-(AM89*((VLOOKUP(A89,[1]Plan!A$1:BA$804,53,FALSE)/100)))</f>
        <v>0</v>
      </c>
      <c r="AO89" s="61">
        <f>IF(AJ89,O89*'[1]ETC Data'!$H$5*'[1]ETC Data'!$K$5,0)</f>
        <v>0</v>
      </c>
      <c r="AP89" s="58">
        <f>AO89-(AO89*((VLOOKUP(A89,[1]Plan!A$1:BB$804,54,FALSE)/100)))</f>
        <v>0</v>
      </c>
      <c r="AQ89" s="58">
        <f>IF(AJ89,O89*'[1]ETC Data'!$H$5*'[1]ETC Data'!$L$5,0)</f>
        <v>0</v>
      </c>
      <c r="AR89" s="58">
        <f>AQ89-(AQ89*((VLOOKUP(A89,[1]Plan!A$1:BD$804,56,FALSE)/100)))</f>
        <v>0</v>
      </c>
      <c r="AS89" s="20">
        <f>VLOOKUP(A89,'[1]PR Matrix'!A:B,2,FALSE)</f>
        <v>0</v>
      </c>
      <c r="AT89" s="21">
        <f>R89+T89+V89+X89+AB89+AD89+AF89+AH89+AL89+AN89+AP89+AR89</f>
        <v>0</v>
      </c>
      <c r="AU89" s="21">
        <f>Q89+S89+U89+W89+AA89+AC89+AE89+AG89+AK89+AM89+AO89+AQ89</f>
        <v>0</v>
      </c>
      <c r="AV89" s="21">
        <f>R89+AB89+AL89</f>
        <v>0</v>
      </c>
      <c r="AW89" s="21">
        <f>T89+AD89+AN89</f>
        <v>0</v>
      </c>
      <c r="AX89" s="21">
        <f>V89+AF89+AP89</f>
        <v>0</v>
      </c>
      <c r="AY89" s="21">
        <f>X89+AH89+AR89</f>
        <v>0</v>
      </c>
    </row>
    <row r="90" spans="1:51" hidden="1" x14ac:dyDescent="0.2">
      <c r="A90" s="50" t="s">
        <v>297</v>
      </c>
      <c r="B90" s="51" t="s">
        <v>208</v>
      </c>
      <c r="C90" s="51"/>
      <c r="D90" s="51"/>
      <c r="E90" s="52">
        <f>IF(G90="Y",VLOOKUP(B90&amp;"|"&amp;C90,'[1]ETC Data'!$C$2:$D$16,2,FALSE),0)</f>
        <v>0</v>
      </c>
      <c r="F90" s="52">
        <f>IF(D90="",0,IF(G90="Y",VLOOKUP(B90&amp;"|"&amp;D90,'[1]ETC Data'!$C$2:$D$16,2,FALSE),0))</f>
        <v>0</v>
      </c>
      <c r="G90" s="53" t="str">
        <f>IF(VLOOKUP(A90,[1]Plan!A$1:H$804,8,FALSE)&lt;&gt;"",VLOOKUP(A90,[1]Plan!A$1:H$804,8,FALSE),"")</f>
        <v>N</v>
      </c>
      <c r="H90" s="54" t="str">
        <f>IF(VLOOKUP(A90,[1]Plan!A$1:L$804,12,FALSE)&lt;&gt;"",VLOOKUP(A90,[1]Plan!A$1:L$804,12,FALSE),"")</f>
        <v/>
      </c>
      <c r="I90" s="55" t="str">
        <f>IF(VLOOKUP(A90,[1]Plan!A$1:M$804,13,FALSE)&lt;&gt;"",VLOOKUP(A90,[1]Plan!A$1:M$804,13,FALSE),"")</f>
        <v/>
      </c>
      <c r="J90" s="55" t="str">
        <f>IF(VLOOKUP(A90,[1]Plan!A$1:N$804,14,FALSE)&lt;&gt;"",VLOOKUP(A90,[1]Plan!A$1:N$804,14,FALSE),IF(VLOOKUP(A90,[1]Plan!A$1:O$804,15,FALSE)&lt;&gt;"",VLOOKUP(A90,[1]Plan!A$1:O$804,15,FALSE),""))</f>
        <v/>
      </c>
      <c r="K90" s="56" t="str">
        <f>IF(VLOOKUP(A90,[1]Plan!A$1:P$804,16,FALSE)&lt;&gt;"",VLOOKUP(A90,[1]Plan!A$1:P$804,16,FALSE),"")</f>
        <v/>
      </c>
      <c r="L90" s="55"/>
      <c r="M90" s="55"/>
      <c r="N90" s="55"/>
      <c r="O90" s="57">
        <f>IF(F90=0,E90,F90)</f>
        <v>0</v>
      </c>
      <c r="P90" s="57" t="b">
        <f>OR(H90="Y",I90="Y")</f>
        <v>0</v>
      </c>
      <c r="Q90" s="58">
        <f>IF(P90,O90*'[1]ETC Data'!$H$3*'[1]ETC Data'!$I$3,0)</f>
        <v>0</v>
      </c>
      <c r="R90" s="58">
        <f>Q90-(Q90*((VLOOKUP(A90,[1]Plan!A$1:Z$804,26,FALSE)/100)))</f>
        <v>0</v>
      </c>
      <c r="S90" s="58">
        <f>IF(P90,O90*'[1]ETC Data'!$H$3*'[1]ETC Data'!$J$3,0)</f>
        <v>0</v>
      </c>
      <c r="T90" s="58">
        <f>S90-(S90*((VLOOKUP(A90,[1]Plan!A$1:AA$804,27,FALSE)/100)))</f>
        <v>0</v>
      </c>
      <c r="U90" s="58">
        <f>IF(P90,O90*'[1]ETC Data'!$H$3*'[1]ETC Data'!$K$3,0)</f>
        <v>0</v>
      </c>
      <c r="V90" s="58">
        <f>U90-(U90*((VLOOKUP(A90,[1]Plan!A$1:AB$804,28,FALSE)/100)))</f>
        <v>0</v>
      </c>
      <c r="W90" s="58">
        <f>IF(P90,O90*'[1]ETC Data'!$H$3*'[1]ETC Data'!$L$3,0)</f>
        <v>0</v>
      </c>
      <c r="X90" s="58">
        <f>W90-(W90*((VLOOKUP(A90,[1]Plan!A$1:AC$804,29,FALSE)/100)))</f>
        <v>0</v>
      </c>
      <c r="Y90" s="59"/>
      <c r="Z90" s="60" t="b">
        <f>OR(H90="Y",J90="Y")</f>
        <v>0</v>
      </c>
      <c r="AA90" s="58">
        <f>IF(Z90,O90*'[1]ETC Data'!$H$4*'[1]ETC Data'!$I$4,0)</f>
        <v>0</v>
      </c>
      <c r="AB90" s="58">
        <f>AA90-(AA90*((VLOOKUP(A90,[1]Plan!A$1:AI$804,35,FALSE)/100)))</f>
        <v>0</v>
      </c>
      <c r="AC90" s="58">
        <f>IF(Z90,O90*'[1]ETC Data'!$H$4*'[1]ETC Data'!$J$4,0)</f>
        <v>0</v>
      </c>
      <c r="AD90" s="58">
        <f>AC90-(AC90*((VLOOKUP(A90,[1]Plan!A$1:AJ$804,36,FALSE)/100)))</f>
        <v>0</v>
      </c>
      <c r="AE90" s="58">
        <f>IF(Z90,O90*'[1]ETC Data'!$H$4*'[1]ETC Data'!$K$4,0)</f>
        <v>0</v>
      </c>
      <c r="AF90" s="58">
        <f>AE90-(AE90*((VLOOKUP(A90,[1]Plan!A$1:AK$804,37,FALSE)/100)))</f>
        <v>0</v>
      </c>
      <c r="AG90" s="58">
        <f>IF(Z90,O90*'[1]ETC Data'!$H$4*'[1]ETC Data'!$L$4,0)</f>
        <v>0</v>
      </c>
      <c r="AH90" s="58">
        <f>AG90-(AG90*((VLOOKUP(A90,[1]Plan!A$1:AP$804,42,FALSE)/100)))</f>
        <v>0</v>
      </c>
      <c r="AI90" s="60"/>
      <c r="AJ90" s="60" t="b">
        <f>OR(H90="Y",K90="Y")</f>
        <v>0</v>
      </c>
      <c r="AK90" s="61">
        <f>IF(AJ90,O90*'[1]ETC Data'!$H$5*'[1]ETC Data'!$I$5,0)</f>
        <v>0</v>
      </c>
      <c r="AL90" s="58">
        <f>AK90-(AK90*((VLOOKUP(A90,[1]Plan!A$1:AY$804,51,FALSE)/100)))</f>
        <v>0</v>
      </c>
      <c r="AM90" s="58">
        <f>IF(AJ90,O90*'[1]ETC Data'!$H$5*'[1]ETC Data'!$J$5,0)</f>
        <v>0</v>
      </c>
      <c r="AN90" s="58">
        <f>AM90-(AM90*((VLOOKUP(A90,[1]Plan!A$1:BA$804,53,FALSE)/100)))</f>
        <v>0</v>
      </c>
      <c r="AO90" s="61">
        <f>IF(AJ90,O90*'[1]ETC Data'!$H$5*'[1]ETC Data'!$K$5,0)</f>
        <v>0</v>
      </c>
      <c r="AP90" s="58">
        <f>AO90-(AO90*((VLOOKUP(A90,[1]Plan!A$1:BB$804,54,FALSE)/100)))</f>
        <v>0</v>
      </c>
      <c r="AQ90" s="58">
        <f>IF(AJ90,O90*'[1]ETC Data'!$H$5*'[1]ETC Data'!$L$5,0)</f>
        <v>0</v>
      </c>
      <c r="AR90" s="58">
        <f>AQ90-(AQ90*((VLOOKUP(A90,[1]Plan!A$1:BD$804,56,FALSE)/100)))</f>
        <v>0</v>
      </c>
      <c r="AS90" s="20">
        <f>VLOOKUP(A90,'[1]PR Matrix'!A:B,2,FALSE)</f>
        <v>0</v>
      </c>
      <c r="AT90" s="21">
        <f>R90+T90+V90+X90+AB90+AD90+AF90+AH90+AL90+AN90+AP90+AR90</f>
        <v>0</v>
      </c>
      <c r="AU90" s="21">
        <f>Q90+S90+U90+W90+AA90+AC90+AE90+AG90+AK90+AM90+AO90+AQ90</f>
        <v>0</v>
      </c>
      <c r="AV90" s="21">
        <f>R90+AB90+AL90</f>
        <v>0</v>
      </c>
      <c r="AW90" s="21">
        <f>T90+AD90+AN90</f>
        <v>0</v>
      </c>
      <c r="AX90" s="21">
        <f>V90+AF90+AP90</f>
        <v>0</v>
      </c>
      <c r="AY90" s="21">
        <f>X90+AH90+AR90</f>
        <v>0</v>
      </c>
    </row>
    <row r="91" spans="1:51" hidden="1" x14ac:dyDescent="0.2">
      <c r="A91" s="50" t="s">
        <v>298</v>
      </c>
      <c r="B91" s="51" t="s">
        <v>208</v>
      </c>
      <c r="C91" s="51"/>
      <c r="D91" s="51"/>
      <c r="E91" s="52">
        <f>IF(G91="Y",VLOOKUP(B91&amp;"|"&amp;C91,'[1]ETC Data'!$C$2:$D$16,2,FALSE),0)</f>
        <v>0</v>
      </c>
      <c r="F91" s="52">
        <f>IF(D91="",0,IF(G91="Y",VLOOKUP(B91&amp;"|"&amp;D91,'[1]ETC Data'!$C$2:$D$16,2,FALSE),0))</f>
        <v>0</v>
      </c>
      <c r="G91" s="53" t="str">
        <f>IF(VLOOKUP(A91,[1]Plan!A$1:H$804,8,FALSE)&lt;&gt;"",VLOOKUP(A91,[1]Plan!A$1:H$804,8,FALSE),"")</f>
        <v>N</v>
      </c>
      <c r="H91" s="54" t="str">
        <f>IF(VLOOKUP(A91,[1]Plan!A$1:L$804,12,FALSE)&lt;&gt;"",VLOOKUP(A91,[1]Plan!A$1:L$804,12,FALSE),"")</f>
        <v/>
      </c>
      <c r="I91" s="55" t="str">
        <f>IF(VLOOKUP(A91,[1]Plan!A$1:M$804,13,FALSE)&lt;&gt;"",VLOOKUP(A91,[1]Plan!A$1:M$804,13,FALSE),"")</f>
        <v/>
      </c>
      <c r="J91" s="55" t="str">
        <f>IF(VLOOKUP(A91,[1]Plan!A$1:N$804,14,FALSE)&lt;&gt;"",VLOOKUP(A91,[1]Plan!A$1:N$804,14,FALSE),IF(VLOOKUP(A91,[1]Plan!A$1:O$804,15,FALSE)&lt;&gt;"",VLOOKUP(A91,[1]Plan!A$1:O$804,15,FALSE),""))</f>
        <v/>
      </c>
      <c r="K91" s="56" t="str">
        <f>IF(VLOOKUP(A91,[1]Plan!A$1:P$804,16,FALSE)&lt;&gt;"",VLOOKUP(A91,[1]Plan!A$1:P$804,16,FALSE),"")</f>
        <v/>
      </c>
      <c r="L91" s="55"/>
      <c r="M91" s="55"/>
      <c r="N91" s="55"/>
      <c r="O91" s="57">
        <f>IF(F91=0,E91,F91)</f>
        <v>0</v>
      </c>
      <c r="P91" s="57" t="b">
        <f>OR(H91="Y",I91="Y")</f>
        <v>0</v>
      </c>
      <c r="Q91" s="58">
        <f>IF(P91,O91*'[1]ETC Data'!$H$3*'[1]ETC Data'!$I$3,0)</f>
        <v>0</v>
      </c>
      <c r="R91" s="58">
        <f>Q91-(Q91*((VLOOKUP(A91,[1]Plan!A$1:Z$804,26,FALSE)/100)))</f>
        <v>0</v>
      </c>
      <c r="S91" s="58">
        <f>IF(P91,O91*'[1]ETC Data'!$H$3*'[1]ETC Data'!$J$3,0)</f>
        <v>0</v>
      </c>
      <c r="T91" s="58">
        <f>S91-(S91*((VLOOKUP(A91,[1]Plan!A$1:AA$804,27,FALSE)/100)))</f>
        <v>0</v>
      </c>
      <c r="U91" s="58">
        <f>IF(P91,O91*'[1]ETC Data'!$H$3*'[1]ETC Data'!$K$3,0)</f>
        <v>0</v>
      </c>
      <c r="V91" s="58">
        <f>U91-(U91*((VLOOKUP(A91,[1]Plan!A$1:AB$804,28,FALSE)/100)))</f>
        <v>0</v>
      </c>
      <c r="W91" s="58">
        <f>IF(P91,O91*'[1]ETC Data'!$H$3*'[1]ETC Data'!$L$3,0)</f>
        <v>0</v>
      </c>
      <c r="X91" s="58">
        <f>W91-(W91*((VLOOKUP(A91,[1]Plan!A$1:AC$804,29,FALSE)/100)))</f>
        <v>0</v>
      </c>
      <c r="Y91" s="59"/>
      <c r="Z91" s="60" t="b">
        <f>OR(H91="Y",J91="Y")</f>
        <v>0</v>
      </c>
      <c r="AA91" s="58">
        <f>IF(Z91,O91*'[1]ETC Data'!$H$4*'[1]ETC Data'!$I$4,0)</f>
        <v>0</v>
      </c>
      <c r="AB91" s="58">
        <f>AA91-(AA91*((VLOOKUP(A91,[1]Plan!A$1:AI$804,35,FALSE)/100)))</f>
        <v>0</v>
      </c>
      <c r="AC91" s="58">
        <f>IF(Z91,O91*'[1]ETC Data'!$H$4*'[1]ETC Data'!$J$4,0)</f>
        <v>0</v>
      </c>
      <c r="AD91" s="58">
        <f>AC91-(AC91*((VLOOKUP(A91,[1]Plan!A$1:AJ$804,36,FALSE)/100)))</f>
        <v>0</v>
      </c>
      <c r="AE91" s="58">
        <f>IF(Z91,O91*'[1]ETC Data'!$H$4*'[1]ETC Data'!$K$4,0)</f>
        <v>0</v>
      </c>
      <c r="AF91" s="58">
        <f>AE91-(AE91*((VLOOKUP(A91,[1]Plan!A$1:AK$804,37,FALSE)/100)))</f>
        <v>0</v>
      </c>
      <c r="AG91" s="58">
        <f>IF(Z91,O91*'[1]ETC Data'!$H$4*'[1]ETC Data'!$L$4,0)</f>
        <v>0</v>
      </c>
      <c r="AH91" s="58">
        <f>AG91-(AG91*((VLOOKUP(A91,[1]Plan!A$1:AP$804,42,FALSE)/100)))</f>
        <v>0</v>
      </c>
      <c r="AI91" s="60"/>
      <c r="AJ91" s="60" t="b">
        <f>OR(H91="Y",K91="Y")</f>
        <v>0</v>
      </c>
      <c r="AK91" s="61">
        <f>IF(AJ91,O91*'[1]ETC Data'!$H$5*'[1]ETC Data'!$I$5,0)</f>
        <v>0</v>
      </c>
      <c r="AL91" s="58">
        <f>AK91-(AK91*((VLOOKUP(A91,[1]Plan!A$1:AY$804,51,FALSE)/100)))</f>
        <v>0</v>
      </c>
      <c r="AM91" s="58">
        <f>IF(AJ91,O91*'[1]ETC Data'!$H$5*'[1]ETC Data'!$J$5,0)</f>
        <v>0</v>
      </c>
      <c r="AN91" s="58">
        <f>AM91-(AM91*((VLOOKUP(A91,[1]Plan!A$1:BA$804,53,FALSE)/100)))</f>
        <v>0</v>
      </c>
      <c r="AO91" s="61">
        <f>IF(AJ91,O91*'[1]ETC Data'!$H$5*'[1]ETC Data'!$K$5,0)</f>
        <v>0</v>
      </c>
      <c r="AP91" s="58">
        <f>AO91-(AO91*((VLOOKUP(A91,[1]Plan!A$1:BB$804,54,FALSE)/100)))</f>
        <v>0</v>
      </c>
      <c r="AQ91" s="58">
        <f>IF(AJ91,O91*'[1]ETC Data'!$H$5*'[1]ETC Data'!$L$5,0)</f>
        <v>0</v>
      </c>
      <c r="AR91" s="58">
        <f>AQ91-(AQ91*((VLOOKUP(A91,[1]Plan!A$1:BD$804,56,FALSE)/100)))</f>
        <v>0</v>
      </c>
      <c r="AS91" s="20">
        <f>VLOOKUP(A91,'[1]PR Matrix'!A:B,2,FALSE)</f>
        <v>0</v>
      </c>
      <c r="AT91" s="21">
        <f>R91+T91+V91+X91+AB91+AD91+AF91+AH91+AL91+AN91+AP91+AR91</f>
        <v>0</v>
      </c>
      <c r="AU91" s="21">
        <f>Q91+S91+U91+W91+AA91+AC91+AE91+AG91+AK91+AM91+AO91+AQ91</f>
        <v>0</v>
      </c>
      <c r="AV91" s="21">
        <f>R91+AB91+AL91</f>
        <v>0</v>
      </c>
      <c r="AW91" s="21">
        <f>T91+AD91+AN91</f>
        <v>0</v>
      </c>
      <c r="AX91" s="21">
        <f>V91+AF91+AP91</f>
        <v>0</v>
      </c>
      <c r="AY91" s="21">
        <f>X91+AH91+AR91</f>
        <v>0</v>
      </c>
    </row>
    <row r="92" spans="1:51" hidden="1" x14ac:dyDescent="0.2">
      <c r="A92" s="50" t="s">
        <v>299</v>
      </c>
      <c r="B92" s="51" t="s">
        <v>208</v>
      </c>
      <c r="C92" s="51"/>
      <c r="D92" s="51"/>
      <c r="E92" s="52">
        <f>IF(G92="Y",VLOOKUP(B92&amp;"|"&amp;C92,'[1]ETC Data'!$C$2:$D$16,2,FALSE),0)</f>
        <v>0</v>
      </c>
      <c r="F92" s="52">
        <f>IF(D92="",0,IF(G92="Y",VLOOKUP(B92&amp;"|"&amp;D92,'[1]ETC Data'!$C$2:$D$16,2,FALSE),0))</f>
        <v>0</v>
      </c>
      <c r="G92" s="53" t="str">
        <f>IF(VLOOKUP(A92,[1]Plan!A$1:H$804,8,FALSE)&lt;&gt;"",VLOOKUP(A92,[1]Plan!A$1:H$804,8,FALSE),"")</f>
        <v>N</v>
      </c>
      <c r="H92" s="54" t="str">
        <f>IF(VLOOKUP(A92,[1]Plan!A$1:L$804,12,FALSE)&lt;&gt;"",VLOOKUP(A92,[1]Plan!A$1:L$804,12,FALSE),"")</f>
        <v/>
      </c>
      <c r="I92" s="55" t="str">
        <f>IF(VLOOKUP(A92,[1]Plan!A$1:M$804,13,FALSE)&lt;&gt;"",VLOOKUP(A92,[1]Plan!A$1:M$804,13,FALSE),"")</f>
        <v/>
      </c>
      <c r="J92" s="55" t="str">
        <f>IF(VLOOKUP(A92,[1]Plan!A$1:N$804,14,FALSE)&lt;&gt;"",VLOOKUP(A92,[1]Plan!A$1:N$804,14,FALSE),IF(VLOOKUP(A92,[1]Plan!A$1:O$804,15,FALSE)&lt;&gt;"",VLOOKUP(A92,[1]Plan!A$1:O$804,15,FALSE),""))</f>
        <v/>
      </c>
      <c r="K92" s="56" t="str">
        <f>IF(VLOOKUP(A92,[1]Plan!A$1:P$804,16,FALSE)&lt;&gt;"",VLOOKUP(A92,[1]Plan!A$1:P$804,16,FALSE),"")</f>
        <v/>
      </c>
      <c r="L92" s="55"/>
      <c r="M92" s="55"/>
      <c r="N92" s="55"/>
      <c r="O92" s="57">
        <f>IF(F92=0,E92,F92)</f>
        <v>0</v>
      </c>
      <c r="P92" s="57" t="b">
        <f>OR(H92="Y",I92="Y")</f>
        <v>0</v>
      </c>
      <c r="Q92" s="58">
        <f>IF(P92,O92*'[1]ETC Data'!$H$3*'[1]ETC Data'!$I$3,0)</f>
        <v>0</v>
      </c>
      <c r="R92" s="58">
        <f>Q92-(Q92*((VLOOKUP(A92,[1]Plan!A$1:Z$804,26,FALSE)/100)))</f>
        <v>0</v>
      </c>
      <c r="S92" s="58">
        <f>IF(P92,O92*'[1]ETC Data'!$H$3*'[1]ETC Data'!$J$3,0)</f>
        <v>0</v>
      </c>
      <c r="T92" s="58">
        <f>S92-(S92*((VLOOKUP(A92,[1]Plan!A$1:AA$804,27,FALSE)/100)))</f>
        <v>0</v>
      </c>
      <c r="U92" s="58">
        <f>IF(P92,O92*'[1]ETC Data'!$H$3*'[1]ETC Data'!$K$3,0)</f>
        <v>0</v>
      </c>
      <c r="V92" s="58">
        <f>U92-(U92*((VLOOKUP(A92,[1]Plan!A$1:AB$804,28,FALSE)/100)))</f>
        <v>0</v>
      </c>
      <c r="W92" s="58">
        <f>IF(P92,O92*'[1]ETC Data'!$H$3*'[1]ETC Data'!$L$3,0)</f>
        <v>0</v>
      </c>
      <c r="X92" s="58">
        <f>W92-(W92*((VLOOKUP(A92,[1]Plan!A$1:AC$804,29,FALSE)/100)))</f>
        <v>0</v>
      </c>
      <c r="Y92" s="59"/>
      <c r="Z92" s="60" t="b">
        <f>OR(H92="Y",J92="Y")</f>
        <v>0</v>
      </c>
      <c r="AA92" s="58">
        <f>IF(Z92,O92*'[1]ETC Data'!$H$4*'[1]ETC Data'!$I$4,0)</f>
        <v>0</v>
      </c>
      <c r="AB92" s="58">
        <f>AA92-(AA92*((VLOOKUP(A92,[1]Plan!A$1:AI$804,35,FALSE)/100)))</f>
        <v>0</v>
      </c>
      <c r="AC92" s="58">
        <f>IF(Z92,O92*'[1]ETC Data'!$H$4*'[1]ETC Data'!$J$4,0)</f>
        <v>0</v>
      </c>
      <c r="AD92" s="58">
        <f>AC92-(AC92*((VLOOKUP(A92,[1]Plan!A$1:AJ$804,36,FALSE)/100)))</f>
        <v>0</v>
      </c>
      <c r="AE92" s="58">
        <f>IF(Z92,O92*'[1]ETC Data'!$H$4*'[1]ETC Data'!$K$4,0)</f>
        <v>0</v>
      </c>
      <c r="AF92" s="58">
        <f>AE92-(AE92*((VLOOKUP(A92,[1]Plan!A$1:AK$804,37,FALSE)/100)))</f>
        <v>0</v>
      </c>
      <c r="AG92" s="58">
        <f>IF(Z92,O92*'[1]ETC Data'!$H$4*'[1]ETC Data'!$L$4,0)</f>
        <v>0</v>
      </c>
      <c r="AH92" s="58">
        <f>AG92-(AG92*((VLOOKUP(A92,[1]Plan!A$1:AP$804,42,FALSE)/100)))</f>
        <v>0</v>
      </c>
      <c r="AI92" s="60"/>
      <c r="AJ92" s="60" t="b">
        <f>OR(H92="Y",K92="Y")</f>
        <v>0</v>
      </c>
      <c r="AK92" s="61">
        <f>IF(AJ92,O92*'[1]ETC Data'!$H$5*'[1]ETC Data'!$I$5,0)</f>
        <v>0</v>
      </c>
      <c r="AL92" s="58">
        <f>AK92-(AK92*((VLOOKUP(A92,[1]Plan!A$1:AY$804,51,FALSE)/100)))</f>
        <v>0</v>
      </c>
      <c r="AM92" s="58">
        <f>IF(AJ92,O92*'[1]ETC Data'!$H$5*'[1]ETC Data'!$J$5,0)</f>
        <v>0</v>
      </c>
      <c r="AN92" s="58">
        <f>AM92-(AM92*((VLOOKUP(A92,[1]Plan!A$1:BA$804,53,FALSE)/100)))</f>
        <v>0</v>
      </c>
      <c r="AO92" s="61">
        <f>IF(AJ92,O92*'[1]ETC Data'!$H$5*'[1]ETC Data'!$K$5,0)</f>
        <v>0</v>
      </c>
      <c r="AP92" s="58">
        <f>AO92-(AO92*((VLOOKUP(A92,[1]Plan!A$1:BB$804,54,FALSE)/100)))</f>
        <v>0</v>
      </c>
      <c r="AQ92" s="58">
        <f>IF(AJ92,O92*'[1]ETC Data'!$H$5*'[1]ETC Data'!$L$5,0)</f>
        <v>0</v>
      </c>
      <c r="AR92" s="58">
        <f>AQ92-(AQ92*((VLOOKUP(A92,[1]Plan!A$1:BD$804,56,FALSE)/100)))</f>
        <v>0</v>
      </c>
      <c r="AS92" s="20">
        <f>VLOOKUP(A92,'[1]PR Matrix'!A:B,2,FALSE)</f>
        <v>0</v>
      </c>
      <c r="AT92" s="21">
        <f>R92+T92+V92+X92+AB92+AD92+AF92+AH92+AL92+AN92+AP92+AR92</f>
        <v>0</v>
      </c>
      <c r="AU92" s="21">
        <f>Q92+S92+U92+W92+AA92+AC92+AE92+AG92+AK92+AM92+AO92+AQ92</f>
        <v>0</v>
      </c>
      <c r="AV92" s="21">
        <f>R92+AB92+AL92</f>
        <v>0</v>
      </c>
      <c r="AW92" s="21">
        <f>T92+AD92+AN92</f>
        <v>0</v>
      </c>
      <c r="AX92" s="21">
        <f>V92+AF92+AP92</f>
        <v>0</v>
      </c>
      <c r="AY92" s="21">
        <f>X92+AH92+AR92</f>
        <v>0</v>
      </c>
    </row>
    <row r="93" spans="1:51" hidden="1" x14ac:dyDescent="0.2">
      <c r="A93" s="50" t="s">
        <v>300</v>
      </c>
      <c r="B93" s="51" t="s">
        <v>208</v>
      </c>
      <c r="C93" s="51"/>
      <c r="D93" s="51"/>
      <c r="E93" s="52">
        <f>IF(G93="Y",VLOOKUP(B93&amp;"|"&amp;C93,'[1]ETC Data'!$C$2:$D$16,2,FALSE),0)</f>
        <v>0</v>
      </c>
      <c r="F93" s="52">
        <f>IF(D93="",0,IF(G93="Y",VLOOKUP(B93&amp;"|"&amp;D93,'[1]ETC Data'!$C$2:$D$16,2,FALSE),0))</f>
        <v>0</v>
      </c>
      <c r="G93" s="53" t="str">
        <f>IF(VLOOKUP(A93,[1]Plan!A$1:H$804,8,FALSE)&lt;&gt;"",VLOOKUP(A93,[1]Plan!A$1:H$804,8,FALSE),"")</f>
        <v>N</v>
      </c>
      <c r="H93" s="54" t="str">
        <f>IF(VLOOKUP(A93,[1]Plan!A$1:L$804,12,FALSE)&lt;&gt;"",VLOOKUP(A93,[1]Plan!A$1:L$804,12,FALSE),"")</f>
        <v/>
      </c>
      <c r="I93" s="55" t="str">
        <f>IF(VLOOKUP(A93,[1]Plan!A$1:M$804,13,FALSE)&lt;&gt;"",VLOOKUP(A93,[1]Plan!A$1:M$804,13,FALSE),"")</f>
        <v/>
      </c>
      <c r="J93" s="55" t="str">
        <f>IF(VLOOKUP(A93,[1]Plan!A$1:N$804,14,FALSE)&lt;&gt;"",VLOOKUP(A93,[1]Plan!A$1:N$804,14,FALSE),IF(VLOOKUP(A93,[1]Plan!A$1:O$804,15,FALSE)&lt;&gt;"",VLOOKUP(A93,[1]Plan!A$1:O$804,15,FALSE),""))</f>
        <v/>
      </c>
      <c r="K93" s="56" t="str">
        <f>IF(VLOOKUP(A93,[1]Plan!A$1:P$804,16,FALSE)&lt;&gt;"",VLOOKUP(A93,[1]Plan!A$1:P$804,16,FALSE),"")</f>
        <v/>
      </c>
      <c r="L93" s="55"/>
      <c r="M93" s="55"/>
      <c r="N93" s="55"/>
      <c r="O93" s="57">
        <f>IF(F93=0,E93,F93)</f>
        <v>0</v>
      </c>
      <c r="P93" s="57" t="b">
        <f>OR(H93="Y",I93="Y")</f>
        <v>0</v>
      </c>
      <c r="Q93" s="58">
        <f>IF(P93,O93*'[1]ETC Data'!$H$3*'[1]ETC Data'!$I$3,0)</f>
        <v>0</v>
      </c>
      <c r="R93" s="58">
        <f>Q93-(Q93*((VLOOKUP(A93,[1]Plan!A$1:Z$804,26,FALSE)/100)))</f>
        <v>0</v>
      </c>
      <c r="S93" s="58">
        <f>IF(P93,O93*'[1]ETC Data'!$H$3*'[1]ETC Data'!$J$3,0)</f>
        <v>0</v>
      </c>
      <c r="T93" s="58">
        <f>S93-(S93*((VLOOKUP(A93,[1]Plan!A$1:AA$804,27,FALSE)/100)))</f>
        <v>0</v>
      </c>
      <c r="U93" s="58">
        <f>IF(P93,O93*'[1]ETC Data'!$H$3*'[1]ETC Data'!$K$3,0)</f>
        <v>0</v>
      </c>
      <c r="V93" s="58">
        <f>U93-(U93*((VLOOKUP(A93,[1]Plan!A$1:AB$804,28,FALSE)/100)))</f>
        <v>0</v>
      </c>
      <c r="W93" s="58">
        <f>IF(P93,O93*'[1]ETC Data'!$H$3*'[1]ETC Data'!$L$3,0)</f>
        <v>0</v>
      </c>
      <c r="X93" s="58">
        <f>W93-(W93*((VLOOKUP(A93,[1]Plan!A$1:AC$804,29,FALSE)/100)))</f>
        <v>0</v>
      </c>
      <c r="Y93" s="59"/>
      <c r="Z93" s="60" t="b">
        <f>OR(H93="Y",J93="Y")</f>
        <v>0</v>
      </c>
      <c r="AA93" s="58">
        <f>IF(Z93,O93*'[1]ETC Data'!$H$4*'[1]ETC Data'!$I$4,0)</f>
        <v>0</v>
      </c>
      <c r="AB93" s="58">
        <f>AA93-(AA93*((VLOOKUP(A93,[1]Plan!A$1:AI$804,35,FALSE)/100)))</f>
        <v>0</v>
      </c>
      <c r="AC93" s="58">
        <f>IF(Z93,O93*'[1]ETC Data'!$H$4*'[1]ETC Data'!$J$4,0)</f>
        <v>0</v>
      </c>
      <c r="AD93" s="58">
        <f>AC93-(AC93*((VLOOKUP(A93,[1]Plan!A$1:AJ$804,36,FALSE)/100)))</f>
        <v>0</v>
      </c>
      <c r="AE93" s="58">
        <f>IF(Z93,O93*'[1]ETC Data'!$H$4*'[1]ETC Data'!$K$4,0)</f>
        <v>0</v>
      </c>
      <c r="AF93" s="58">
        <f>AE93-(AE93*((VLOOKUP(A93,[1]Plan!A$1:AK$804,37,FALSE)/100)))</f>
        <v>0</v>
      </c>
      <c r="AG93" s="58">
        <f>IF(Z93,O93*'[1]ETC Data'!$H$4*'[1]ETC Data'!$L$4,0)</f>
        <v>0</v>
      </c>
      <c r="AH93" s="58">
        <f>AG93-(AG93*((VLOOKUP(A93,[1]Plan!A$1:AP$804,42,FALSE)/100)))</f>
        <v>0</v>
      </c>
      <c r="AI93" s="60"/>
      <c r="AJ93" s="60" t="b">
        <f>OR(H93="Y",K93="Y")</f>
        <v>0</v>
      </c>
      <c r="AK93" s="61">
        <f>IF(AJ93,O93*'[1]ETC Data'!$H$5*'[1]ETC Data'!$I$5,0)</f>
        <v>0</v>
      </c>
      <c r="AL93" s="58">
        <f>AK93-(AK93*((VLOOKUP(A93,[1]Plan!A$1:AY$804,51,FALSE)/100)))</f>
        <v>0</v>
      </c>
      <c r="AM93" s="58">
        <f>IF(AJ93,O93*'[1]ETC Data'!$H$5*'[1]ETC Data'!$J$5,0)</f>
        <v>0</v>
      </c>
      <c r="AN93" s="58">
        <f>AM93-(AM93*((VLOOKUP(A93,[1]Plan!A$1:BA$804,53,FALSE)/100)))</f>
        <v>0</v>
      </c>
      <c r="AO93" s="61">
        <f>IF(AJ93,O93*'[1]ETC Data'!$H$5*'[1]ETC Data'!$K$5,0)</f>
        <v>0</v>
      </c>
      <c r="AP93" s="58">
        <f>AO93-(AO93*((VLOOKUP(A93,[1]Plan!A$1:BB$804,54,FALSE)/100)))</f>
        <v>0</v>
      </c>
      <c r="AQ93" s="58">
        <f>IF(AJ93,O93*'[1]ETC Data'!$H$5*'[1]ETC Data'!$L$5,0)</f>
        <v>0</v>
      </c>
      <c r="AR93" s="58">
        <f>AQ93-(AQ93*((VLOOKUP(A93,[1]Plan!A$1:BD$804,56,FALSE)/100)))</f>
        <v>0</v>
      </c>
      <c r="AS93" s="20">
        <f>VLOOKUP(A93,'[1]PR Matrix'!A:B,2,FALSE)</f>
        <v>0</v>
      </c>
      <c r="AT93" s="21">
        <f>R93+T93+V93+X93+AB93+AD93+AF93+AH93+AL93+AN93+AP93+AR93</f>
        <v>0</v>
      </c>
      <c r="AU93" s="21">
        <f>Q93+S93+U93+W93+AA93+AC93+AE93+AG93+AK93+AM93+AO93+AQ93</f>
        <v>0</v>
      </c>
      <c r="AV93" s="21">
        <f>R93+AB93+AL93</f>
        <v>0</v>
      </c>
      <c r="AW93" s="21">
        <f>T93+AD93+AN93</f>
        <v>0</v>
      </c>
      <c r="AX93" s="21">
        <f>V93+AF93+AP93</f>
        <v>0</v>
      </c>
      <c r="AY93" s="21">
        <f>X93+AH93+AR93</f>
        <v>0</v>
      </c>
    </row>
    <row r="94" spans="1:51" hidden="1" x14ac:dyDescent="0.2">
      <c r="A94" s="50" t="s">
        <v>301</v>
      </c>
      <c r="B94" s="51" t="s">
        <v>209</v>
      </c>
      <c r="C94" s="51"/>
      <c r="D94" s="51"/>
      <c r="E94" s="52">
        <f>IF(G94="Y",VLOOKUP(B94&amp;"|"&amp;C94,'[1]ETC Data'!$C$2:$D$16,2,FALSE),0)</f>
        <v>0</v>
      </c>
      <c r="F94" s="52">
        <f>IF(D94="",0,IF(G94="Y",VLOOKUP(B94&amp;"|"&amp;D94,'[1]ETC Data'!$C$2:$D$16,2,FALSE),0))</f>
        <v>0</v>
      </c>
      <c r="G94" s="53" t="str">
        <f>IF(VLOOKUP(A94,[1]Plan!A$1:H$804,8,FALSE)&lt;&gt;"",VLOOKUP(A94,[1]Plan!A$1:H$804,8,FALSE),"")</f>
        <v>N</v>
      </c>
      <c r="H94" s="54" t="str">
        <f>IF(VLOOKUP(A94,[1]Plan!A$1:L$804,12,FALSE)&lt;&gt;"",VLOOKUP(A94,[1]Plan!A$1:L$804,12,FALSE),"")</f>
        <v/>
      </c>
      <c r="I94" s="55" t="str">
        <f>IF(VLOOKUP(A94,[1]Plan!A$1:M$804,13,FALSE)&lt;&gt;"",VLOOKUP(A94,[1]Plan!A$1:M$804,13,FALSE),"")</f>
        <v/>
      </c>
      <c r="J94" s="55" t="str">
        <f>IF(VLOOKUP(A94,[1]Plan!A$1:N$804,14,FALSE)&lt;&gt;"",VLOOKUP(A94,[1]Plan!A$1:N$804,14,FALSE),IF(VLOOKUP(A94,[1]Plan!A$1:O$804,15,FALSE)&lt;&gt;"",VLOOKUP(A94,[1]Plan!A$1:O$804,15,FALSE),""))</f>
        <v/>
      </c>
      <c r="K94" s="56" t="str">
        <f>IF(VLOOKUP(A94,[1]Plan!A$1:P$804,16,FALSE)&lt;&gt;"",VLOOKUP(A94,[1]Plan!A$1:P$804,16,FALSE),"")</f>
        <v/>
      </c>
      <c r="L94" s="55"/>
      <c r="M94" s="55"/>
      <c r="N94" s="55"/>
      <c r="O94" s="57">
        <f>IF(F94=0,E94,F94)</f>
        <v>0</v>
      </c>
      <c r="P94" s="57" t="b">
        <f>OR(H94="Y",I94="Y")</f>
        <v>0</v>
      </c>
      <c r="Q94" s="58">
        <f>IF(P94,O94*'[1]ETC Data'!$H$3*'[1]ETC Data'!$I$3,0)</f>
        <v>0</v>
      </c>
      <c r="R94" s="58">
        <f>Q94-(Q94*((VLOOKUP(A94,[1]Plan!A$1:Z$804,26,FALSE)/100)))</f>
        <v>0</v>
      </c>
      <c r="S94" s="58">
        <f>IF(P94,O94*'[1]ETC Data'!$H$3*'[1]ETC Data'!$J$3,0)</f>
        <v>0</v>
      </c>
      <c r="T94" s="58">
        <f>S94-(S94*((VLOOKUP(A94,[1]Plan!A$1:AA$804,27,FALSE)/100)))</f>
        <v>0</v>
      </c>
      <c r="U94" s="58">
        <f>IF(P94,O94*'[1]ETC Data'!$H$3*'[1]ETC Data'!$K$3,0)</f>
        <v>0</v>
      </c>
      <c r="V94" s="58">
        <f>U94-(U94*((VLOOKUP(A94,[1]Plan!A$1:AB$804,28,FALSE)/100)))</f>
        <v>0</v>
      </c>
      <c r="W94" s="58">
        <f>IF(P94,O94*'[1]ETC Data'!$H$3*'[1]ETC Data'!$L$3,0)</f>
        <v>0</v>
      </c>
      <c r="X94" s="58">
        <f>W94-(W94*((VLOOKUP(A94,[1]Plan!A$1:AC$804,29,FALSE)/100)))</f>
        <v>0</v>
      </c>
      <c r="Y94" s="59"/>
      <c r="Z94" s="60" t="b">
        <f>OR(H94="Y",J94="Y")</f>
        <v>0</v>
      </c>
      <c r="AA94" s="58">
        <f>IF(Z94,O94*'[1]ETC Data'!$H$4*'[1]ETC Data'!$I$4,0)</f>
        <v>0</v>
      </c>
      <c r="AB94" s="58">
        <f>AA94-(AA94*((VLOOKUP(A94,[1]Plan!A$1:AI$804,35,FALSE)/100)))</f>
        <v>0</v>
      </c>
      <c r="AC94" s="58">
        <f>IF(Z94,O94*'[1]ETC Data'!$H$4*'[1]ETC Data'!$J$4,0)</f>
        <v>0</v>
      </c>
      <c r="AD94" s="58">
        <f>AC94-(AC94*((VLOOKUP(A94,[1]Plan!A$1:AJ$804,36,FALSE)/100)))</f>
        <v>0</v>
      </c>
      <c r="AE94" s="58">
        <f>IF(Z94,O94*'[1]ETC Data'!$H$4*'[1]ETC Data'!$K$4,0)</f>
        <v>0</v>
      </c>
      <c r="AF94" s="58">
        <f>AE94-(AE94*((VLOOKUP(A94,[1]Plan!A$1:AK$804,37,FALSE)/100)))</f>
        <v>0</v>
      </c>
      <c r="AG94" s="58">
        <f>IF(Z94,O94*'[1]ETC Data'!$H$4*'[1]ETC Data'!$L$4,0)</f>
        <v>0</v>
      </c>
      <c r="AH94" s="58">
        <f>AG94-(AG94*((VLOOKUP(A94,[1]Plan!A$1:AP$804,42,FALSE)/100)))</f>
        <v>0</v>
      </c>
      <c r="AI94" s="60"/>
      <c r="AJ94" s="60" t="b">
        <f>OR(H94="Y",K94="Y")</f>
        <v>0</v>
      </c>
      <c r="AK94" s="61">
        <f>IF(AJ94,O94*'[1]ETC Data'!$H$5*'[1]ETC Data'!$I$5,0)</f>
        <v>0</v>
      </c>
      <c r="AL94" s="58">
        <f>AK94-(AK94*((VLOOKUP(A94,[1]Plan!A$1:AY$804,51,FALSE)/100)))</f>
        <v>0</v>
      </c>
      <c r="AM94" s="58">
        <f>IF(AJ94,O94*'[1]ETC Data'!$H$5*'[1]ETC Data'!$J$5,0)</f>
        <v>0</v>
      </c>
      <c r="AN94" s="58">
        <f>AM94-(AM94*((VLOOKUP(A94,[1]Plan!A$1:BA$804,53,FALSE)/100)))</f>
        <v>0</v>
      </c>
      <c r="AO94" s="61">
        <f>IF(AJ94,O94*'[1]ETC Data'!$H$5*'[1]ETC Data'!$K$5,0)</f>
        <v>0</v>
      </c>
      <c r="AP94" s="58">
        <f>AO94-(AO94*((VLOOKUP(A94,[1]Plan!A$1:BB$804,54,FALSE)/100)))</f>
        <v>0</v>
      </c>
      <c r="AQ94" s="58">
        <f>IF(AJ94,O94*'[1]ETC Data'!$H$5*'[1]ETC Data'!$L$5,0)</f>
        <v>0</v>
      </c>
      <c r="AR94" s="58">
        <f>AQ94-(AQ94*((VLOOKUP(A94,[1]Plan!A$1:BD$804,56,FALSE)/100)))</f>
        <v>0</v>
      </c>
      <c r="AS94" s="20">
        <f>VLOOKUP(A94,'[1]PR Matrix'!A:B,2,FALSE)</f>
        <v>0</v>
      </c>
      <c r="AT94" s="21">
        <f>R94+T94+V94+X94+AB94+AD94+AF94+AH94+AL94+AN94+AP94+AR94</f>
        <v>0</v>
      </c>
      <c r="AU94" s="21">
        <f>Q94+S94+U94+W94+AA94+AC94+AE94+AG94+AK94+AM94+AO94+AQ94</f>
        <v>0</v>
      </c>
      <c r="AV94" s="21">
        <f>R94+AB94+AL94</f>
        <v>0</v>
      </c>
      <c r="AW94" s="21">
        <f>T94+AD94+AN94</f>
        <v>0</v>
      </c>
      <c r="AX94" s="21">
        <f>V94+AF94+AP94</f>
        <v>0</v>
      </c>
      <c r="AY94" s="21">
        <f>X94+AH94+AR94</f>
        <v>0</v>
      </c>
    </row>
    <row r="95" spans="1:51" hidden="1" x14ac:dyDescent="0.2">
      <c r="A95" s="50" t="s">
        <v>302</v>
      </c>
      <c r="B95" s="51" t="s">
        <v>209</v>
      </c>
      <c r="C95" s="51"/>
      <c r="D95" s="51"/>
      <c r="E95" s="52">
        <f>IF(G95="Y",VLOOKUP(B95&amp;"|"&amp;C95,'[1]ETC Data'!$C$2:$D$16,2,FALSE),0)</f>
        <v>0</v>
      </c>
      <c r="F95" s="52">
        <f>IF(D95="",0,IF(G95="Y",VLOOKUP(B95&amp;"|"&amp;D95,'[1]ETC Data'!$C$2:$D$16,2,FALSE),0))</f>
        <v>0</v>
      </c>
      <c r="G95" s="53" t="str">
        <f>IF(VLOOKUP(A95,[1]Plan!A$1:H$804,8,FALSE)&lt;&gt;"",VLOOKUP(A95,[1]Plan!A$1:H$804,8,FALSE),"")</f>
        <v>N</v>
      </c>
      <c r="H95" s="54" t="str">
        <f>IF(VLOOKUP(A95,[1]Plan!A$1:L$804,12,FALSE)&lt;&gt;"",VLOOKUP(A95,[1]Plan!A$1:L$804,12,FALSE),"")</f>
        <v/>
      </c>
      <c r="I95" s="55" t="str">
        <f>IF(VLOOKUP(A95,[1]Plan!A$1:M$804,13,FALSE)&lt;&gt;"",VLOOKUP(A95,[1]Plan!A$1:M$804,13,FALSE),"")</f>
        <v/>
      </c>
      <c r="J95" s="55" t="str">
        <f>IF(VLOOKUP(A95,[1]Plan!A$1:N$804,14,FALSE)&lt;&gt;"",VLOOKUP(A95,[1]Plan!A$1:N$804,14,FALSE),IF(VLOOKUP(A95,[1]Plan!A$1:O$804,15,FALSE)&lt;&gt;"",VLOOKUP(A95,[1]Plan!A$1:O$804,15,FALSE),""))</f>
        <v/>
      </c>
      <c r="K95" s="56" t="str">
        <f>IF(VLOOKUP(A95,[1]Plan!A$1:P$804,16,FALSE)&lt;&gt;"",VLOOKUP(A95,[1]Plan!A$1:P$804,16,FALSE),"")</f>
        <v/>
      </c>
      <c r="L95" s="55"/>
      <c r="M95" s="55"/>
      <c r="N95" s="55"/>
      <c r="O95" s="57">
        <f>IF(F95=0,E95,F95)</f>
        <v>0</v>
      </c>
      <c r="P95" s="57" t="b">
        <f>OR(H95="Y",I95="Y")</f>
        <v>0</v>
      </c>
      <c r="Q95" s="58">
        <f>IF(P95,O95*'[1]ETC Data'!$H$3*'[1]ETC Data'!$I$3,0)</f>
        <v>0</v>
      </c>
      <c r="R95" s="58">
        <f>Q95-(Q95*((VLOOKUP(A95,[1]Plan!A$1:Z$804,26,FALSE)/100)))</f>
        <v>0</v>
      </c>
      <c r="S95" s="58">
        <f>IF(P95,O95*'[1]ETC Data'!$H$3*'[1]ETC Data'!$J$3,0)</f>
        <v>0</v>
      </c>
      <c r="T95" s="58">
        <f>S95-(S95*((VLOOKUP(A95,[1]Plan!A$1:AA$804,27,FALSE)/100)))</f>
        <v>0</v>
      </c>
      <c r="U95" s="58">
        <f>IF(P95,O95*'[1]ETC Data'!$H$3*'[1]ETC Data'!$K$3,0)</f>
        <v>0</v>
      </c>
      <c r="V95" s="58">
        <f>U95-(U95*((VLOOKUP(A95,[1]Plan!A$1:AB$804,28,FALSE)/100)))</f>
        <v>0</v>
      </c>
      <c r="W95" s="58">
        <f>IF(P95,O95*'[1]ETC Data'!$H$3*'[1]ETC Data'!$L$3,0)</f>
        <v>0</v>
      </c>
      <c r="X95" s="58">
        <f>W95-(W95*((VLOOKUP(A95,[1]Plan!A$1:AC$804,29,FALSE)/100)))</f>
        <v>0</v>
      </c>
      <c r="Y95" s="59"/>
      <c r="Z95" s="60" t="b">
        <f>OR(H95="Y",J95="Y")</f>
        <v>0</v>
      </c>
      <c r="AA95" s="58">
        <f>IF(Z95,O95*'[1]ETC Data'!$H$4*'[1]ETC Data'!$I$4,0)</f>
        <v>0</v>
      </c>
      <c r="AB95" s="58">
        <f>AA95-(AA95*((VLOOKUP(A95,[1]Plan!A$1:AI$804,35,FALSE)/100)))</f>
        <v>0</v>
      </c>
      <c r="AC95" s="58">
        <f>IF(Z95,O95*'[1]ETC Data'!$H$4*'[1]ETC Data'!$J$4,0)</f>
        <v>0</v>
      </c>
      <c r="AD95" s="58">
        <f>AC95-(AC95*((VLOOKUP(A95,[1]Plan!A$1:AJ$804,36,FALSE)/100)))</f>
        <v>0</v>
      </c>
      <c r="AE95" s="58">
        <f>IF(Z95,O95*'[1]ETC Data'!$H$4*'[1]ETC Data'!$K$4,0)</f>
        <v>0</v>
      </c>
      <c r="AF95" s="58">
        <f>AE95-(AE95*((VLOOKUP(A95,[1]Plan!A$1:AK$804,37,FALSE)/100)))</f>
        <v>0</v>
      </c>
      <c r="AG95" s="58">
        <f>IF(Z95,O95*'[1]ETC Data'!$H$4*'[1]ETC Data'!$L$4,0)</f>
        <v>0</v>
      </c>
      <c r="AH95" s="58">
        <f>AG95-(AG95*((VLOOKUP(A95,[1]Plan!A$1:AP$804,42,FALSE)/100)))</f>
        <v>0</v>
      </c>
      <c r="AI95" s="60"/>
      <c r="AJ95" s="60" t="b">
        <f>OR(H95="Y",K95="Y")</f>
        <v>0</v>
      </c>
      <c r="AK95" s="61">
        <f>IF(AJ95,O95*'[1]ETC Data'!$H$5*'[1]ETC Data'!$I$5,0)</f>
        <v>0</v>
      </c>
      <c r="AL95" s="58">
        <f>AK95-(AK95*((VLOOKUP(A95,[1]Plan!A$1:AY$804,51,FALSE)/100)))</f>
        <v>0</v>
      </c>
      <c r="AM95" s="58">
        <f>IF(AJ95,O95*'[1]ETC Data'!$H$5*'[1]ETC Data'!$J$5,0)</f>
        <v>0</v>
      </c>
      <c r="AN95" s="58">
        <f>AM95-(AM95*((VLOOKUP(A95,[1]Plan!A$1:BA$804,53,FALSE)/100)))</f>
        <v>0</v>
      </c>
      <c r="AO95" s="61">
        <f>IF(AJ95,O95*'[1]ETC Data'!$H$5*'[1]ETC Data'!$K$5,0)</f>
        <v>0</v>
      </c>
      <c r="AP95" s="58">
        <f>AO95-(AO95*((VLOOKUP(A95,[1]Plan!A$1:BB$804,54,FALSE)/100)))</f>
        <v>0</v>
      </c>
      <c r="AQ95" s="58">
        <f>IF(AJ95,O95*'[1]ETC Data'!$H$5*'[1]ETC Data'!$L$5,0)</f>
        <v>0</v>
      </c>
      <c r="AR95" s="58">
        <f>AQ95-(AQ95*((VLOOKUP(A95,[1]Plan!A$1:BD$804,56,FALSE)/100)))</f>
        <v>0</v>
      </c>
      <c r="AS95" s="20">
        <f>VLOOKUP(A95,'[1]PR Matrix'!A:B,2,FALSE)</f>
        <v>0</v>
      </c>
      <c r="AT95" s="21">
        <f>R95+T95+V95+X95+AB95+AD95+AF95+AH95+AL95+AN95+AP95+AR95</f>
        <v>0</v>
      </c>
      <c r="AU95" s="21">
        <f>Q95+S95+U95+W95+AA95+AC95+AE95+AG95+AK95+AM95+AO95+AQ95</f>
        <v>0</v>
      </c>
      <c r="AV95" s="21">
        <f>R95+AB95+AL95</f>
        <v>0</v>
      </c>
      <c r="AW95" s="21">
        <f>T95+AD95+AN95</f>
        <v>0</v>
      </c>
      <c r="AX95" s="21">
        <f>V95+AF95+AP95</f>
        <v>0</v>
      </c>
      <c r="AY95" s="21">
        <f>X95+AH95+AR95</f>
        <v>0</v>
      </c>
    </row>
    <row r="96" spans="1:51" hidden="1" x14ac:dyDescent="0.2">
      <c r="A96" s="50" t="s">
        <v>303</v>
      </c>
      <c r="B96" s="51" t="s">
        <v>208</v>
      </c>
      <c r="C96" s="51"/>
      <c r="D96" s="51"/>
      <c r="E96" s="52">
        <f>IF(G96="Y",VLOOKUP(B96&amp;"|"&amp;C96,'[1]ETC Data'!$C$2:$D$16,2,FALSE),0)</f>
        <v>0</v>
      </c>
      <c r="F96" s="52">
        <f>IF(D96="",0,IF(G96="Y",VLOOKUP(B96&amp;"|"&amp;D96,'[1]ETC Data'!$C$2:$D$16,2,FALSE),0))</f>
        <v>0</v>
      </c>
      <c r="G96" s="53" t="str">
        <f>IF(VLOOKUP(A96,[1]Plan!A$1:H$804,8,FALSE)&lt;&gt;"",VLOOKUP(A96,[1]Plan!A$1:H$804,8,FALSE),"")</f>
        <v>N</v>
      </c>
      <c r="H96" s="54" t="str">
        <f>IF(VLOOKUP(A96,[1]Plan!A$1:L$804,12,FALSE)&lt;&gt;"",VLOOKUP(A96,[1]Plan!A$1:L$804,12,FALSE),"")</f>
        <v/>
      </c>
      <c r="I96" s="55" t="str">
        <f>IF(VLOOKUP(A96,[1]Plan!A$1:M$804,13,FALSE)&lt;&gt;"",VLOOKUP(A96,[1]Plan!A$1:M$804,13,FALSE),"")</f>
        <v/>
      </c>
      <c r="J96" s="55" t="str">
        <f>IF(VLOOKUP(A96,[1]Plan!A$1:N$804,14,FALSE)&lt;&gt;"",VLOOKUP(A96,[1]Plan!A$1:N$804,14,FALSE),IF(VLOOKUP(A96,[1]Plan!A$1:O$804,15,FALSE)&lt;&gt;"",VLOOKUP(A96,[1]Plan!A$1:O$804,15,FALSE),""))</f>
        <v/>
      </c>
      <c r="K96" s="56" t="str">
        <f>IF(VLOOKUP(A96,[1]Plan!A$1:P$804,16,FALSE)&lt;&gt;"",VLOOKUP(A96,[1]Plan!A$1:P$804,16,FALSE),"")</f>
        <v/>
      </c>
      <c r="L96" s="55"/>
      <c r="M96" s="55"/>
      <c r="N96" s="55"/>
      <c r="O96" s="57">
        <f>IF(F96=0,E96,F96)</f>
        <v>0</v>
      </c>
      <c r="P96" s="57" t="b">
        <f>OR(H96="Y",I96="Y")</f>
        <v>0</v>
      </c>
      <c r="Q96" s="58">
        <f>IF(P96,O96*'[1]ETC Data'!$H$3*'[1]ETC Data'!$I$3,0)</f>
        <v>0</v>
      </c>
      <c r="R96" s="58">
        <f>Q96-(Q96*((VLOOKUP(A96,[1]Plan!A$1:Z$804,26,FALSE)/100)))</f>
        <v>0</v>
      </c>
      <c r="S96" s="58">
        <f>IF(P96,O96*'[1]ETC Data'!$H$3*'[1]ETC Data'!$J$3,0)</f>
        <v>0</v>
      </c>
      <c r="T96" s="58">
        <f>S96-(S96*((VLOOKUP(A96,[1]Plan!A$1:AA$804,27,FALSE)/100)))</f>
        <v>0</v>
      </c>
      <c r="U96" s="58">
        <f>IF(P96,O96*'[1]ETC Data'!$H$3*'[1]ETC Data'!$K$3,0)</f>
        <v>0</v>
      </c>
      <c r="V96" s="58">
        <f>U96-(U96*((VLOOKUP(A96,[1]Plan!A$1:AB$804,28,FALSE)/100)))</f>
        <v>0</v>
      </c>
      <c r="W96" s="58">
        <f>IF(P96,O96*'[1]ETC Data'!$H$3*'[1]ETC Data'!$L$3,0)</f>
        <v>0</v>
      </c>
      <c r="X96" s="58">
        <f>W96-(W96*((VLOOKUP(A96,[1]Plan!A$1:AC$804,29,FALSE)/100)))</f>
        <v>0</v>
      </c>
      <c r="Y96" s="59"/>
      <c r="Z96" s="60" t="b">
        <f>OR(H96="Y",J96="Y")</f>
        <v>0</v>
      </c>
      <c r="AA96" s="58">
        <f>IF(Z96,O96*'[1]ETC Data'!$H$4*'[1]ETC Data'!$I$4,0)</f>
        <v>0</v>
      </c>
      <c r="AB96" s="58">
        <f>AA96-(AA96*((VLOOKUP(A96,[1]Plan!A$1:AI$804,35,FALSE)/100)))</f>
        <v>0</v>
      </c>
      <c r="AC96" s="58">
        <f>IF(Z96,O96*'[1]ETC Data'!$H$4*'[1]ETC Data'!$J$4,0)</f>
        <v>0</v>
      </c>
      <c r="AD96" s="58">
        <f>AC96-(AC96*((VLOOKUP(A96,[1]Plan!A$1:AJ$804,36,FALSE)/100)))</f>
        <v>0</v>
      </c>
      <c r="AE96" s="58">
        <f>IF(Z96,O96*'[1]ETC Data'!$H$4*'[1]ETC Data'!$K$4,0)</f>
        <v>0</v>
      </c>
      <c r="AF96" s="58">
        <f>AE96-(AE96*((VLOOKUP(A96,[1]Plan!A$1:AK$804,37,FALSE)/100)))</f>
        <v>0</v>
      </c>
      <c r="AG96" s="58">
        <f>IF(Z96,O96*'[1]ETC Data'!$H$4*'[1]ETC Data'!$L$4,0)</f>
        <v>0</v>
      </c>
      <c r="AH96" s="58">
        <f>AG96-(AG96*((VLOOKUP(A96,[1]Plan!A$1:AP$804,42,FALSE)/100)))</f>
        <v>0</v>
      </c>
      <c r="AI96" s="60"/>
      <c r="AJ96" s="60" t="b">
        <f>OR(H96="Y",K96="Y")</f>
        <v>0</v>
      </c>
      <c r="AK96" s="61">
        <f>IF(AJ96,O96*'[1]ETC Data'!$H$5*'[1]ETC Data'!$I$5,0)</f>
        <v>0</v>
      </c>
      <c r="AL96" s="58">
        <f>AK96-(AK96*((VLOOKUP(A96,[1]Plan!A$1:AY$804,51,FALSE)/100)))</f>
        <v>0</v>
      </c>
      <c r="AM96" s="58">
        <f>IF(AJ96,O96*'[1]ETC Data'!$H$5*'[1]ETC Data'!$J$5,0)</f>
        <v>0</v>
      </c>
      <c r="AN96" s="58">
        <f>AM96-(AM96*((VLOOKUP(A96,[1]Plan!A$1:BA$804,53,FALSE)/100)))</f>
        <v>0</v>
      </c>
      <c r="AO96" s="61">
        <f>IF(AJ96,O96*'[1]ETC Data'!$H$5*'[1]ETC Data'!$K$5,0)</f>
        <v>0</v>
      </c>
      <c r="AP96" s="58">
        <f>AO96-(AO96*((VLOOKUP(A96,[1]Plan!A$1:BB$804,54,FALSE)/100)))</f>
        <v>0</v>
      </c>
      <c r="AQ96" s="58">
        <f>IF(AJ96,O96*'[1]ETC Data'!$H$5*'[1]ETC Data'!$L$5,0)</f>
        <v>0</v>
      </c>
      <c r="AR96" s="58">
        <f>AQ96-(AQ96*((VLOOKUP(A96,[1]Plan!A$1:BD$804,56,FALSE)/100)))</f>
        <v>0</v>
      </c>
      <c r="AS96" s="20">
        <f>VLOOKUP(A96,'[1]PR Matrix'!A:B,2,FALSE)</f>
        <v>0</v>
      </c>
      <c r="AT96" s="21">
        <f>R96+T96+V96+X96+AB96+AD96+AF96+AH96+AL96+AN96+AP96+AR96</f>
        <v>0</v>
      </c>
      <c r="AU96" s="21">
        <f>Q96+S96+U96+W96+AA96+AC96+AE96+AG96+AK96+AM96+AO96+AQ96</f>
        <v>0</v>
      </c>
      <c r="AV96" s="21">
        <f>R96+AB96+AL96</f>
        <v>0</v>
      </c>
      <c r="AW96" s="21">
        <f>T96+AD96+AN96</f>
        <v>0</v>
      </c>
      <c r="AX96" s="21">
        <f>V96+AF96+AP96</f>
        <v>0</v>
      </c>
      <c r="AY96" s="21">
        <f>X96+AH96+AR96</f>
        <v>0</v>
      </c>
    </row>
    <row r="97" spans="1:51" hidden="1" x14ac:dyDescent="0.2">
      <c r="A97" s="50" t="s">
        <v>304</v>
      </c>
      <c r="B97" s="51" t="s">
        <v>208</v>
      </c>
      <c r="C97" s="51"/>
      <c r="D97" s="51"/>
      <c r="E97" s="52">
        <f>IF(G97="Y",VLOOKUP(B97&amp;"|"&amp;C97,'[1]ETC Data'!$C$2:$D$16,2,FALSE),0)</f>
        <v>0</v>
      </c>
      <c r="F97" s="52">
        <f>IF(D97="",0,IF(G97="Y",VLOOKUP(B97&amp;"|"&amp;D97,'[1]ETC Data'!$C$2:$D$16,2,FALSE),0))</f>
        <v>0</v>
      </c>
      <c r="G97" s="53" t="str">
        <f>IF(VLOOKUP(A97,[1]Plan!A$1:H$804,8,FALSE)&lt;&gt;"",VLOOKUP(A97,[1]Plan!A$1:H$804,8,FALSE),"")</f>
        <v>N</v>
      </c>
      <c r="H97" s="54" t="str">
        <f>IF(VLOOKUP(A97,[1]Plan!A$1:L$804,12,FALSE)&lt;&gt;"",VLOOKUP(A97,[1]Plan!A$1:L$804,12,FALSE),"")</f>
        <v/>
      </c>
      <c r="I97" s="55" t="str">
        <f>IF(VLOOKUP(A97,[1]Plan!A$1:M$804,13,FALSE)&lt;&gt;"",VLOOKUP(A97,[1]Plan!A$1:M$804,13,FALSE),"")</f>
        <v/>
      </c>
      <c r="J97" s="55" t="str">
        <f>IF(VLOOKUP(A97,[1]Plan!A$1:N$804,14,FALSE)&lt;&gt;"",VLOOKUP(A97,[1]Plan!A$1:N$804,14,FALSE),IF(VLOOKUP(A97,[1]Plan!A$1:O$804,15,FALSE)&lt;&gt;"",VLOOKUP(A97,[1]Plan!A$1:O$804,15,FALSE),""))</f>
        <v/>
      </c>
      <c r="K97" s="56" t="str">
        <f>IF(VLOOKUP(A97,[1]Plan!A$1:P$804,16,FALSE)&lt;&gt;"",VLOOKUP(A97,[1]Plan!A$1:P$804,16,FALSE),"")</f>
        <v/>
      </c>
      <c r="L97" s="55"/>
      <c r="M97" s="55"/>
      <c r="N97" s="55"/>
      <c r="O97" s="57">
        <f>IF(F97=0,E97,F97)</f>
        <v>0</v>
      </c>
      <c r="P97" s="57" t="b">
        <f>OR(H97="Y",I97="Y")</f>
        <v>0</v>
      </c>
      <c r="Q97" s="58">
        <f>IF(P97,O97*'[1]ETC Data'!$H$3*'[1]ETC Data'!$I$3,0)</f>
        <v>0</v>
      </c>
      <c r="R97" s="58">
        <f>Q97-(Q97*((VLOOKUP(A97,[1]Plan!A$1:Z$804,26,FALSE)/100)))</f>
        <v>0</v>
      </c>
      <c r="S97" s="58">
        <f>IF(P97,O97*'[1]ETC Data'!$H$3*'[1]ETC Data'!$J$3,0)</f>
        <v>0</v>
      </c>
      <c r="T97" s="58">
        <f>S97-(S97*((VLOOKUP(A97,[1]Plan!A$1:AA$804,27,FALSE)/100)))</f>
        <v>0</v>
      </c>
      <c r="U97" s="58">
        <f>IF(P97,O97*'[1]ETC Data'!$H$3*'[1]ETC Data'!$K$3,0)</f>
        <v>0</v>
      </c>
      <c r="V97" s="58">
        <f>U97-(U97*((VLOOKUP(A97,[1]Plan!A$1:AB$804,28,FALSE)/100)))</f>
        <v>0</v>
      </c>
      <c r="W97" s="58">
        <f>IF(P97,O97*'[1]ETC Data'!$H$3*'[1]ETC Data'!$L$3,0)</f>
        <v>0</v>
      </c>
      <c r="X97" s="58">
        <f>W97-(W97*((VLOOKUP(A97,[1]Plan!A$1:AC$804,29,FALSE)/100)))</f>
        <v>0</v>
      </c>
      <c r="Y97" s="59"/>
      <c r="Z97" s="60" t="b">
        <f>OR(H97="Y",J97="Y")</f>
        <v>0</v>
      </c>
      <c r="AA97" s="58">
        <f>IF(Z97,O97*'[1]ETC Data'!$H$4*'[1]ETC Data'!$I$4,0)</f>
        <v>0</v>
      </c>
      <c r="AB97" s="58">
        <f>AA97-(AA97*((VLOOKUP(A97,[1]Plan!A$1:AI$804,35,FALSE)/100)))</f>
        <v>0</v>
      </c>
      <c r="AC97" s="58">
        <f>IF(Z97,O97*'[1]ETC Data'!$H$4*'[1]ETC Data'!$J$4,0)</f>
        <v>0</v>
      </c>
      <c r="AD97" s="58">
        <f>AC97-(AC97*((VLOOKUP(A97,[1]Plan!A$1:AJ$804,36,FALSE)/100)))</f>
        <v>0</v>
      </c>
      <c r="AE97" s="58">
        <f>IF(Z97,O97*'[1]ETC Data'!$H$4*'[1]ETC Data'!$K$4,0)</f>
        <v>0</v>
      </c>
      <c r="AF97" s="58">
        <f>AE97-(AE97*((VLOOKUP(A97,[1]Plan!A$1:AK$804,37,FALSE)/100)))</f>
        <v>0</v>
      </c>
      <c r="AG97" s="58">
        <f>IF(Z97,O97*'[1]ETC Data'!$H$4*'[1]ETC Data'!$L$4,0)</f>
        <v>0</v>
      </c>
      <c r="AH97" s="58">
        <f>AG97-(AG97*((VLOOKUP(A97,[1]Plan!A$1:AP$804,42,FALSE)/100)))</f>
        <v>0</v>
      </c>
      <c r="AI97" s="60"/>
      <c r="AJ97" s="60" t="b">
        <f>OR(H97="Y",K97="Y")</f>
        <v>0</v>
      </c>
      <c r="AK97" s="61">
        <f>IF(AJ97,O97*'[1]ETC Data'!$H$5*'[1]ETC Data'!$I$5,0)</f>
        <v>0</v>
      </c>
      <c r="AL97" s="58">
        <f>AK97-(AK97*((VLOOKUP(A97,[1]Plan!A$1:AY$804,51,FALSE)/100)))</f>
        <v>0</v>
      </c>
      <c r="AM97" s="58">
        <f>IF(AJ97,O97*'[1]ETC Data'!$H$5*'[1]ETC Data'!$J$5,0)</f>
        <v>0</v>
      </c>
      <c r="AN97" s="58">
        <f>AM97-(AM97*((VLOOKUP(A97,[1]Plan!A$1:BA$804,53,FALSE)/100)))</f>
        <v>0</v>
      </c>
      <c r="AO97" s="61">
        <f>IF(AJ97,O97*'[1]ETC Data'!$H$5*'[1]ETC Data'!$K$5,0)</f>
        <v>0</v>
      </c>
      <c r="AP97" s="58">
        <f>AO97-(AO97*((VLOOKUP(A97,[1]Plan!A$1:BB$804,54,FALSE)/100)))</f>
        <v>0</v>
      </c>
      <c r="AQ97" s="58">
        <f>IF(AJ97,O97*'[1]ETC Data'!$H$5*'[1]ETC Data'!$L$5,0)</f>
        <v>0</v>
      </c>
      <c r="AR97" s="58">
        <f>AQ97-(AQ97*((VLOOKUP(A97,[1]Plan!A$1:BD$804,56,FALSE)/100)))</f>
        <v>0</v>
      </c>
      <c r="AS97" s="20">
        <f>VLOOKUP(A97,'[1]PR Matrix'!A:B,2,FALSE)</f>
        <v>0</v>
      </c>
      <c r="AT97" s="21">
        <f>R97+T97+V97+X97+AB97+AD97+AF97+AH97+AL97+AN97+AP97+AR97</f>
        <v>0</v>
      </c>
      <c r="AU97" s="21">
        <f>Q97+S97+U97+W97+AA97+AC97+AE97+AG97+AK97+AM97+AO97+AQ97</f>
        <v>0</v>
      </c>
      <c r="AV97" s="21">
        <f>R97+AB97+AL97</f>
        <v>0</v>
      </c>
      <c r="AW97" s="21">
        <f>T97+AD97+AN97</f>
        <v>0</v>
      </c>
      <c r="AX97" s="21">
        <f>V97+AF97+AP97</f>
        <v>0</v>
      </c>
      <c r="AY97" s="21">
        <f>X97+AH97+AR97</f>
        <v>0</v>
      </c>
    </row>
    <row r="98" spans="1:51" hidden="1" x14ac:dyDescent="0.2">
      <c r="A98" s="50" t="s">
        <v>305</v>
      </c>
      <c r="B98" s="51" t="s">
        <v>209</v>
      </c>
      <c r="C98" s="51"/>
      <c r="D98" s="51"/>
      <c r="E98" s="52">
        <f>IF(G98="Y",VLOOKUP(B98&amp;"|"&amp;C98,'[1]ETC Data'!$C$2:$D$16,2,FALSE),0)</f>
        <v>0</v>
      </c>
      <c r="F98" s="52">
        <f>IF(D98="",0,IF(G98="Y",VLOOKUP(B98&amp;"|"&amp;D98,'[1]ETC Data'!$C$2:$D$16,2,FALSE),0))</f>
        <v>0</v>
      </c>
      <c r="G98" s="53" t="str">
        <f>IF(VLOOKUP(A98,[1]Plan!A$1:H$804,8,FALSE)&lt;&gt;"",VLOOKUP(A98,[1]Plan!A$1:H$804,8,FALSE),"")</f>
        <v>N</v>
      </c>
      <c r="H98" s="54" t="str">
        <f>IF(VLOOKUP(A98,[1]Plan!A$1:L$804,12,FALSE)&lt;&gt;"",VLOOKUP(A98,[1]Plan!A$1:L$804,12,FALSE),"")</f>
        <v/>
      </c>
      <c r="I98" s="55" t="str">
        <f>IF(VLOOKUP(A98,[1]Plan!A$1:M$804,13,FALSE)&lt;&gt;"",VLOOKUP(A98,[1]Plan!A$1:M$804,13,FALSE),"")</f>
        <v/>
      </c>
      <c r="J98" s="55" t="str">
        <f>IF(VLOOKUP(A98,[1]Plan!A$1:N$804,14,FALSE)&lt;&gt;"",VLOOKUP(A98,[1]Plan!A$1:N$804,14,FALSE),IF(VLOOKUP(A98,[1]Plan!A$1:O$804,15,FALSE)&lt;&gt;"",VLOOKUP(A98,[1]Plan!A$1:O$804,15,FALSE),""))</f>
        <v/>
      </c>
      <c r="K98" s="56" t="str">
        <f>IF(VLOOKUP(A98,[1]Plan!A$1:P$804,16,FALSE)&lt;&gt;"",VLOOKUP(A98,[1]Plan!A$1:P$804,16,FALSE),"")</f>
        <v/>
      </c>
      <c r="L98" s="55"/>
      <c r="M98" s="55"/>
      <c r="N98" s="55"/>
      <c r="O98" s="57">
        <f>IF(F98=0,E98,F98)</f>
        <v>0</v>
      </c>
      <c r="P98" s="57" t="b">
        <f>OR(H98="Y",I98="Y")</f>
        <v>0</v>
      </c>
      <c r="Q98" s="58">
        <f>IF(P98,O98*'[1]ETC Data'!$H$3*'[1]ETC Data'!$I$3,0)</f>
        <v>0</v>
      </c>
      <c r="R98" s="58">
        <f>Q98-(Q98*((VLOOKUP(A98,[1]Plan!A$1:Z$804,26,FALSE)/100)))</f>
        <v>0</v>
      </c>
      <c r="S98" s="58">
        <f>IF(P98,O98*'[1]ETC Data'!$H$3*'[1]ETC Data'!$J$3,0)</f>
        <v>0</v>
      </c>
      <c r="T98" s="58">
        <f>S98-(S98*((VLOOKUP(A98,[1]Plan!A$1:AA$804,27,FALSE)/100)))</f>
        <v>0</v>
      </c>
      <c r="U98" s="58">
        <f>IF(P98,O98*'[1]ETC Data'!$H$3*'[1]ETC Data'!$K$3,0)</f>
        <v>0</v>
      </c>
      <c r="V98" s="58">
        <f>U98-(U98*((VLOOKUP(A98,[1]Plan!A$1:AB$804,28,FALSE)/100)))</f>
        <v>0</v>
      </c>
      <c r="W98" s="58">
        <f>IF(P98,O98*'[1]ETC Data'!$H$3*'[1]ETC Data'!$L$3,0)</f>
        <v>0</v>
      </c>
      <c r="X98" s="58">
        <f>W98-(W98*((VLOOKUP(A98,[1]Plan!A$1:AC$804,29,FALSE)/100)))</f>
        <v>0</v>
      </c>
      <c r="Y98" s="59"/>
      <c r="Z98" s="60" t="b">
        <f>OR(H98="Y",J98="Y")</f>
        <v>0</v>
      </c>
      <c r="AA98" s="58">
        <f>IF(Z98,O98*'[1]ETC Data'!$H$4*'[1]ETC Data'!$I$4,0)</f>
        <v>0</v>
      </c>
      <c r="AB98" s="58">
        <f>AA98-(AA98*((VLOOKUP(A98,[1]Plan!A$1:AI$804,35,FALSE)/100)))</f>
        <v>0</v>
      </c>
      <c r="AC98" s="58">
        <f>IF(Z98,O98*'[1]ETC Data'!$H$4*'[1]ETC Data'!$J$4,0)</f>
        <v>0</v>
      </c>
      <c r="AD98" s="58">
        <f>AC98-(AC98*((VLOOKUP(A98,[1]Plan!A$1:AJ$804,36,FALSE)/100)))</f>
        <v>0</v>
      </c>
      <c r="AE98" s="58">
        <f>IF(Z98,O98*'[1]ETC Data'!$H$4*'[1]ETC Data'!$K$4,0)</f>
        <v>0</v>
      </c>
      <c r="AF98" s="58">
        <f>AE98-(AE98*((VLOOKUP(A98,[1]Plan!A$1:AK$804,37,FALSE)/100)))</f>
        <v>0</v>
      </c>
      <c r="AG98" s="58">
        <f>IF(Z98,O98*'[1]ETC Data'!$H$4*'[1]ETC Data'!$L$4,0)</f>
        <v>0</v>
      </c>
      <c r="AH98" s="58">
        <f>AG98-(AG98*((VLOOKUP(A98,[1]Plan!A$1:AP$804,42,FALSE)/100)))</f>
        <v>0</v>
      </c>
      <c r="AI98" s="60"/>
      <c r="AJ98" s="60" t="b">
        <f>OR(H98="Y",K98="Y")</f>
        <v>0</v>
      </c>
      <c r="AK98" s="61">
        <f>IF(AJ98,O98*'[1]ETC Data'!$H$5*'[1]ETC Data'!$I$5,0)</f>
        <v>0</v>
      </c>
      <c r="AL98" s="58">
        <f>AK98-(AK98*((VLOOKUP(A98,[1]Plan!A$1:AY$804,51,FALSE)/100)))</f>
        <v>0</v>
      </c>
      <c r="AM98" s="58">
        <f>IF(AJ98,O98*'[1]ETC Data'!$H$5*'[1]ETC Data'!$J$5,0)</f>
        <v>0</v>
      </c>
      <c r="AN98" s="58">
        <f>AM98-(AM98*((VLOOKUP(A98,[1]Plan!A$1:BA$804,53,FALSE)/100)))</f>
        <v>0</v>
      </c>
      <c r="AO98" s="61">
        <f>IF(AJ98,O98*'[1]ETC Data'!$H$5*'[1]ETC Data'!$K$5,0)</f>
        <v>0</v>
      </c>
      <c r="AP98" s="58">
        <f>AO98-(AO98*((VLOOKUP(A98,[1]Plan!A$1:BB$804,54,FALSE)/100)))</f>
        <v>0</v>
      </c>
      <c r="AQ98" s="58">
        <f>IF(AJ98,O98*'[1]ETC Data'!$H$5*'[1]ETC Data'!$L$5,0)</f>
        <v>0</v>
      </c>
      <c r="AR98" s="58">
        <f>AQ98-(AQ98*((VLOOKUP(A98,[1]Plan!A$1:BD$804,56,FALSE)/100)))</f>
        <v>0</v>
      </c>
      <c r="AS98" s="20">
        <f>VLOOKUP(A98,'[1]PR Matrix'!A:B,2,FALSE)</f>
        <v>0</v>
      </c>
      <c r="AT98" s="21">
        <f>R98+T98+V98+X98+AB98+AD98+AF98+AH98+AL98+AN98+AP98+AR98</f>
        <v>0</v>
      </c>
      <c r="AU98" s="21">
        <f>Q98+S98+U98+W98+AA98+AC98+AE98+AG98+AK98+AM98+AO98+AQ98</f>
        <v>0</v>
      </c>
      <c r="AV98" s="21">
        <f>R98+AB98+AL98</f>
        <v>0</v>
      </c>
      <c r="AW98" s="21">
        <f>T98+AD98+AN98</f>
        <v>0</v>
      </c>
      <c r="AX98" s="21">
        <f>V98+AF98+AP98</f>
        <v>0</v>
      </c>
      <c r="AY98" s="21">
        <f>X98+AH98+AR98</f>
        <v>0</v>
      </c>
    </row>
    <row r="99" spans="1:51" hidden="1" x14ac:dyDescent="0.2">
      <c r="A99" s="50" t="s">
        <v>306</v>
      </c>
      <c r="B99" s="51" t="s">
        <v>208</v>
      </c>
      <c r="C99" s="51"/>
      <c r="D99" s="51"/>
      <c r="E99" s="52">
        <f>IF(G99="Y",VLOOKUP(B99&amp;"|"&amp;C99,'[1]ETC Data'!$C$2:$D$16,2,FALSE),0)</f>
        <v>0</v>
      </c>
      <c r="F99" s="52">
        <f>IF(D99="",0,IF(G99="Y",VLOOKUP(B99&amp;"|"&amp;D99,'[1]ETC Data'!$C$2:$D$16,2,FALSE),0))</f>
        <v>0</v>
      </c>
      <c r="G99" s="53" t="str">
        <f>IF(VLOOKUP(A99,[1]Plan!A$1:H$804,8,FALSE)&lt;&gt;"",VLOOKUP(A99,[1]Plan!A$1:H$804,8,FALSE),"")</f>
        <v>N</v>
      </c>
      <c r="H99" s="54" t="str">
        <f>IF(VLOOKUP(A99,[1]Plan!A$1:L$804,12,FALSE)&lt;&gt;"",VLOOKUP(A99,[1]Plan!A$1:L$804,12,FALSE),"")</f>
        <v/>
      </c>
      <c r="I99" s="55" t="str">
        <f>IF(VLOOKUP(A99,[1]Plan!A$1:M$804,13,FALSE)&lt;&gt;"",VLOOKUP(A99,[1]Plan!A$1:M$804,13,FALSE),"")</f>
        <v/>
      </c>
      <c r="J99" s="55" t="str">
        <f>IF(VLOOKUP(A99,[1]Plan!A$1:N$804,14,FALSE)&lt;&gt;"",VLOOKUP(A99,[1]Plan!A$1:N$804,14,FALSE),IF(VLOOKUP(A99,[1]Plan!A$1:O$804,15,FALSE)&lt;&gt;"",VLOOKUP(A99,[1]Plan!A$1:O$804,15,FALSE),""))</f>
        <v/>
      </c>
      <c r="K99" s="56" t="str">
        <f>IF(VLOOKUP(A99,[1]Plan!A$1:P$804,16,FALSE)&lt;&gt;"",VLOOKUP(A99,[1]Plan!A$1:P$804,16,FALSE),"")</f>
        <v/>
      </c>
      <c r="L99" s="55"/>
      <c r="M99" s="55"/>
      <c r="N99" s="55"/>
      <c r="O99" s="57">
        <f>IF(F99=0,E99,F99)</f>
        <v>0</v>
      </c>
      <c r="P99" s="57" t="b">
        <f>OR(H99="Y",I99="Y")</f>
        <v>0</v>
      </c>
      <c r="Q99" s="58">
        <f>IF(P99,O99*'[1]ETC Data'!$H$3*'[1]ETC Data'!$I$3,0)</f>
        <v>0</v>
      </c>
      <c r="R99" s="58">
        <f>Q99-(Q99*((VLOOKUP(A99,[1]Plan!A$1:Z$804,26,FALSE)/100)))</f>
        <v>0</v>
      </c>
      <c r="S99" s="58">
        <f>IF(P99,O99*'[1]ETC Data'!$H$3*'[1]ETC Data'!$J$3,0)</f>
        <v>0</v>
      </c>
      <c r="T99" s="58">
        <f>S99-(S99*((VLOOKUP(A99,[1]Plan!A$1:AA$804,27,FALSE)/100)))</f>
        <v>0</v>
      </c>
      <c r="U99" s="58">
        <f>IF(P99,O99*'[1]ETC Data'!$H$3*'[1]ETC Data'!$K$3,0)</f>
        <v>0</v>
      </c>
      <c r="V99" s="58">
        <f>U99-(U99*((VLOOKUP(A99,[1]Plan!A$1:AB$804,28,FALSE)/100)))</f>
        <v>0</v>
      </c>
      <c r="W99" s="58">
        <f>IF(P99,O99*'[1]ETC Data'!$H$3*'[1]ETC Data'!$L$3,0)</f>
        <v>0</v>
      </c>
      <c r="X99" s="58">
        <f>W99-(W99*((VLOOKUP(A99,[1]Plan!A$1:AC$804,29,FALSE)/100)))</f>
        <v>0</v>
      </c>
      <c r="Y99" s="59"/>
      <c r="Z99" s="60" t="b">
        <f>OR(H99="Y",J99="Y")</f>
        <v>0</v>
      </c>
      <c r="AA99" s="58">
        <f>IF(Z99,O99*'[1]ETC Data'!$H$4*'[1]ETC Data'!$I$4,0)</f>
        <v>0</v>
      </c>
      <c r="AB99" s="58">
        <f>AA99-(AA99*((VLOOKUP(A99,[1]Plan!A$1:AI$804,35,FALSE)/100)))</f>
        <v>0</v>
      </c>
      <c r="AC99" s="58">
        <f>IF(Z99,O99*'[1]ETC Data'!$H$4*'[1]ETC Data'!$J$4,0)</f>
        <v>0</v>
      </c>
      <c r="AD99" s="58">
        <f>AC99-(AC99*((VLOOKUP(A99,[1]Plan!A$1:AJ$804,36,FALSE)/100)))</f>
        <v>0</v>
      </c>
      <c r="AE99" s="58">
        <f>IF(Z99,O99*'[1]ETC Data'!$H$4*'[1]ETC Data'!$K$4,0)</f>
        <v>0</v>
      </c>
      <c r="AF99" s="58">
        <f>AE99-(AE99*((VLOOKUP(A99,[1]Plan!A$1:AK$804,37,FALSE)/100)))</f>
        <v>0</v>
      </c>
      <c r="AG99" s="58">
        <f>IF(Z99,O99*'[1]ETC Data'!$H$4*'[1]ETC Data'!$L$4,0)</f>
        <v>0</v>
      </c>
      <c r="AH99" s="58">
        <f>AG99-(AG99*((VLOOKUP(A99,[1]Plan!A$1:AP$804,42,FALSE)/100)))</f>
        <v>0</v>
      </c>
      <c r="AI99" s="60"/>
      <c r="AJ99" s="60" t="b">
        <f>OR(H99="Y",K99="Y")</f>
        <v>0</v>
      </c>
      <c r="AK99" s="61">
        <f>IF(AJ99,O99*'[1]ETC Data'!$H$5*'[1]ETC Data'!$I$5,0)</f>
        <v>0</v>
      </c>
      <c r="AL99" s="58">
        <f>AK99-(AK99*((VLOOKUP(A99,[1]Plan!A$1:AY$804,51,FALSE)/100)))</f>
        <v>0</v>
      </c>
      <c r="AM99" s="58">
        <f>IF(AJ99,O99*'[1]ETC Data'!$H$5*'[1]ETC Data'!$J$5,0)</f>
        <v>0</v>
      </c>
      <c r="AN99" s="58">
        <f>AM99-(AM99*((VLOOKUP(A99,[1]Plan!A$1:BA$804,53,FALSE)/100)))</f>
        <v>0</v>
      </c>
      <c r="AO99" s="61">
        <f>IF(AJ99,O99*'[1]ETC Data'!$H$5*'[1]ETC Data'!$K$5,0)</f>
        <v>0</v>
      </c>
      <c r="AP99" s="58">
        <f>AO99-(AO99*((VLOOKUP(A99,[1]Plan!A$1:BB$804,54,FALSE)/100)))</f>
        <v>0</v>
      </c>
      <c r="AQ99" s="58">
        <f>IF(AJ99,O99*'[1]ETC Data'!$H$5*'[1]ETC Data'!$L$5,0)</f>
        <v>0</v>
      </c>
      <c r="AR99" s="58">
        <f>AQ99-(AQ99*((VLOOKUP(A99,[1]Plan!A$1:BD$804,56,FALSE)/100)))</f>
        <v>0</v>
      </c>
      <c r="AS99" s="20">
        <f>VLOOKUP(A99,'[1]PR Matrix'!A:B,2,FALSE)</f>
        <v>0</v>
      </c>
      <c r="AT99" s="21">
        <f>R99+T99+V99+X99+AB99+AD99+AF99+AH99+AL99+AN99+AP99+AR99</f>
        <v>0</v>
      </c>
      <c r="AU99" s="21">
        <f>Q99+S99+U99+W99+AA99+AC99+AE99+AG99+AK99+AM99+AO99+AQ99</f>
        <v>0</v>
      </c>
      <c r="AV99" s="21">
        <f>R99+AB99+AL99</f>
        <v>0</v>
      </c>
      <c r="AW99" s="21">
        <f>T99+AD99+AN99</f>
        <v>0</v>
      </c>
      <c r="AX99" s="21">
        <f>V99+AF99+AP99</f>
        <v>0</v>
      </c>
      <c r="AY99" s="21">
        <f>X99+AH99+AR99</f>
        <v>0</v>
      </c>
    </row>
    <row r="100" spans="1:51" hidden="1" x14ac:dyDescent="0.2">
      <c r="A100" s="50" t="s">
        <v>307</v>
      </c>
      <c r="B100" s="51" t="s">
        <v>208</v>
      </c>
      <c r="C100" s="51"/>
      <c r="D100" s="51"/>
      <c r="E100" s="52">
        <f>IF(G100="Y",VLOOKUP(B100&amp;"|"&amp;C100,'[1]ETC Data'!$C$2:$D$16,2,FALSE),0)</f>
        <v>0</v>
      </c>
      <c r="F100" s="52">
        <f>IF(D100="",0,IF(G100="Y",VLOOKUP(B100&amp;"|"&amp;D100,'[1]ETC Data'!$C$2:$D$16,2,FALSE),0))</f>
        <v>0</v>
      </c>
      <c r="G100" s="53" t="str">
        <f>IF(VLOOKUP(A100,[1]Plan!A$1:H$804,8,FALSE)&lt;&gt;"",VLOOKUP(A100,[1]Plan!A$1:H$804,8,FALSE),"")</f>
        <v>N</v>
      </c>
      <c r="H100" s="54" t="str">
        <f>IF(VLOOKUP(A100,[1]Plan!A$1:L$804,12,FALSE)&lt;&gt;"",VLOOKUP(A100,[1]Plan!A$1:L$804,12,FALSE),"")</f>
        <v/>
      </c>
      <c r="I100" s="55" t="str">
        <f>IF(VLOOKUP(A100,[1]Plan!A$1:M$804,13,FALSE)&lt;&gt;"",VLOOKUP(A100,[1]Plan!A$1:M$804,13,FALSE),"")</f>
        <v/>
      </c>
      <c r="J100" s="55" t="str">
        <f>IF(VLOOKUP(A100,[1]Plan!A$1:N$804,14,FALSE)&lt;&gt;"",VLOOKUP(A100,[1]Plan!A$1:N$804,14,FALSE),IF(VLOOKUP(A100,[1]Plan!A$1:O$804,15,FALSE)&lt;&gt;"",VLOOKUP(A100,[1]Plan!A$1:O$804,15,FALSE),""))</f>
        <v/>
      </c>
      <c r="K100" s="56" t="str">
        <f>IF(VLOOKUP(A100,[1]Plan!A$1:P$804,16,FALSE)&lt;&gt;"",VLOOKUP(A100,[1]Plan!A$1:P$804,16,FALSE),"")</f>
        <v/>
      </c>
      <c r="L100" s="55"/>
      <c r="M100" s="55"/>
      <c r="N100" s="55"/>
      <c r="O100" s="57">
        <f>IF(F100=0,E100,F100)</f>
        <v>0</v>
      </c>
      <c r="P100" s="57" t="b">
        <f>OR(H100="Y",I100="Y")</f>
        <v>0</v>
      </c>
      <c r="Q100" s="58">
        <f>IF(P100,O100*'[1]ETC Data'!$H$3*'[1]ETC Data'!$I$3,0)</f>
        <v>0</v>
      </c>
      <c r="R100" s="58">
        <f>Q100-(Q100*((VLOOKUP(A100,[1]Plan!A$1:Z$804,26,FALSE)/100)))</f>
        <v>0</v>
      </c>
      <c r="S100" s="58">
        <f>IF(P100,O100*'[1]ETC Data'!$H$3*'[1]ETC Data'!$J$3,0)</f>
        <v>0</v>
      </c>
      <c r="T100" s="58">
        <f>S100-(S100*((VLOOKUP(A100,[1]Plan!A$1:AA$804,27,FALSE)/100)))</f>
        <v>0</v>
      </c>
      <c r="U100" s="58">
        <f>IF(P100,O100*'[1]ETC Data'!$H$3*'[1]ETC Data'!$K$3,0)</f>
        <v>0</v>
      </c>
      <c r="V100" s="58">
        <f>U100-(U100*((VLOOKUP(A100,[1]Plan!A$1:AB$804,28,FALSE)/100)))</f>
        <v>0</v>
      </c>
      <c r="W100" s="58">
        <f>IF(P100,O100*'[1]ETC Data'!$H$3*'[1]ETC Data'!$L$3,0)</f>
        <v>0</v>
      </c>
      <c r="X100" s="58">
        <f>W100-(W100*((VLOOKUP(A100,[1]Plan!A$1:AC$804,29,FALSE)/100)))</f>
        <v>0</v>
      </c>
      <c r="Y100" s="59"/>
      <c r="Z100" s="60" t="b">
        <f>OR(H100="Y",J100="Y")</f>
        <v>0</v>
      </c>
      <c r="AA100" s="58">
        <f>IF(Z100,O100*'[1]ETC Data'!$H$4*'[1]ETC Data'!$I$4,0)</f>
        <v>0</v>
      </c>
      <c r="AB100" s="58">
        <f>AA100-(AA100*((VLOOKUP(A100,[1]Plan!A$1:AI$804,35,FALSE)/100)))</f>
        <v>0</v>
      </c>
      <c r="AC100" s="58">
        <f>IF(Z100,O100*'[1]ETC Data'!$H$4*'[1]ETC Data'!$J$4,0)</f>
        <v>0</v>
      </c>
      <c r="AD100" s="58">
        <f>AC100-(AC100*((VLOOKUP(A100,[1]Plan!A$1:AJ$804,36,FALSE)/100)))</f>
        <v>0</v>
      </c>
      <c r="AE100" s="58">
        <f>IF(Z100,O100*'[1]ETC Data'!$H$4*'[1]ETC Data'!$K$4,0)</f>
        <v>0</v>
      </c>
      <c r="AF100" s="58">
        <f>AE100-(AE100*((VLOOKUP(A100,[1]Plan!A$1:AK$804,37,FALSE)/100)))</f>
        <v>0</v>
      </c>
      <c r="AG100" s="58">
        <f>IF(Z100,O100*'[1]ETC Data'!$H$4*'[1]ETC Data'!$L$4,0)</f>
        <v>0</v>
      </c>
      <c r="AH100" s="58">
        <f>AG100-(AG100*((VLOOKUP(A100,[1]Plan!A$1:AP$804,42,FALSE)/100)))</f>
        <v>0</v>
      </c>
      <c r="AI100" s="60"/>
      <c r="AJ100" s="60" t="b">
        <f>OR(H100="Y",K100="Y")</f>
        <v>0</v>
      </c>
      <c r="AK100" s="61">
        <f>IF(AJ100,O100*'[1]ETC Data'!$H$5*'[1]ETC Data'!$I$5,0)</f>
        <v>0</v>
      </c>
      <c r="AL100" s="58">
        <f>AK100-(AK100*((VLOOKUP(A100,[1]Plan!A$1:AY$804,51,FALSE)/100)))</f>
        <v>0</v>
      </c>
      <c r="AM100" s="58">
        <f>IF(AJ100,O100*'[1]ETC Data'!$H$5*'[1]ETC Data'!$J$5,0)</f>
        <v>0</v>
      </c>
      <c r="AN100" s="58">
        <f>AM100-(AM100*((VLOOKUP(A100,[1]Plan!A$1:BA$804,53,FALSE)/100)))</f>
        <v>0</v>
      </c>
      <c r="AO100" s="61">
        <f>IF(AJ100,O100*'[1]ETC Data'!$H$5*'[1]ETC Data'!$K$5,0)</f>
        <v>0</v>
      </c>
      <c r="AP100" s="58">
        <f>AO100-(AO100*((VLOOKUP(A100,[1]Plan!A$1:BB$804,54,FALSE)/100)))</f>
        <v>0</v>
      </c>
      <c r="AQ100" s="58">
        <f>IF(AJ100,O100*'[1]ETC Data'!$H$5*'[1]ETC Data'!$L$5,0)</f>
        <v>0</v>
      </c>
      <c r="AR100" s="58">
        <f>AQ100-(AQ100*((VLOOKUP(A100,[1]Plan!A$1:BD$804,56,FALSE)/100)))</f>
        <v>0</v>
      </c>
      <c r="AS100" s="20">
        <f>VLOOKUP(A100,'[1]PR Matrix'!A:B,2,FALSE)</f>
        <v>0</v>
      </c>
      <c r="AT100" s="21">
        <f>R100+T100+V100+X100+AB100+AD100+AF100+AH100+AL100+AN100+AP100+AR100</f>
        <v>0</v>
      </c>
      <c r="AU100" s="21">
        <f>Q100+S100+U100+W100+AA100+AC100+AE100+AG100+AK100+AM100+AO100+AQ100</f>
        <v>0</v>
      </c>
      <c r="AV100" s="21">
        <f>R100+AB100+AL100</f>
        <v>0</v>
      </c>
      <c r="AW100" s="21">
        <f>T100+AD100+AN100</f>
        <v>0</v>
      </c>
      <c r="AX100" s="21">
        <f>V100+AF100+AP100</f>
        <v>0</v>
      </c>
      <c r="AY100" s="21">
        <f>X100+AH100+AR100</f>
        <v>0</v>
      </c>
    </row>
    <row r="101" spans="1:51" hidden="1" x14ac:dyDescent="0.2">
      <c r="A101" s="50" t="s">
        <v>308</v>
      </c>
      <c r="B101" s="51" t="s">
        <v>208</v>
      </c>
      <c r="C101" s="51"/>
      <c r="D101" s="51"/>
      <c r="E101" s="52">
        <f>IF(G101="Y",VLOOKUP(B101&amp;"|"&amp;C101,'[1]ETC Data'!$C$2:$D$16,2,FALSE),0)</f>
        <v>0</v>
      </c>
      <c r="F101" s="52">
        <f>IF(D101="",0,IF(G101="Y",VLOOKUP(B101&amp;"|"&amp;D101,'[1]ETC Data'!$C$2:$D$16,2,FALSE),0))</f>
        <v>0</v>
      </c>
      <c r="G101" s="53" t="str">
        <f>IF(VLOOKUP(A101,[1]Plan!A$1:H$804,8,FALSE)&lt;&gt;"",VLOOKUP(A101,[1]Plan!A$1:H$804,8,FALSE),"")</f>
        <v>N</v>
      </c>
      <c r="H101" s="54" t="str">
        <f>IF(VLOOKUP(A101,[1]Plan!A$1:L$804,12,FALSE)&lt;&gt;"",VLOOKUP(A101,[1]Plan!A$1:L$804,12,FALSE),"")</f>
        <v/>
      </c>
      <c r="I101" s="55" t="str">
        <f>IF(VLOOKUP(A101,[1]Plan!A$1:M$804,13,FALSE)&lt;&gt;"",VLOOKUP(A101,[1]Plan!A$1:M$804,13,FALSE),"")</f>
        <v/>
      </c>
      <c r="J101" s="55" t="str">
        <f>IF(VLOOKUP(A101,[1]Plan!A$1:N$804,14,FALSE)&lt;&gt;"",VLOOKUP(A101,[1]Plan!A$1:N$804,14,FALSE),IF(VLOOKUP(A101,[1]Plan!A$1:O$804,15,FALSE)&lt;&gt;"",VLOOKUP(A101,[1]Plan!A$1:O$804,15,FALSE),""))</f>
        <v/>
      </c>
      <c r="K101" s="56" t="str">
        <f>IF(VLOOKUP(A101,[1]Plan!A$1:P$804,16,FALSE)&lt;&gt;"",VLOOKUP(A101,[1]Plan!A$1:P$804,16,FALSE),"")</f>
        <v/>
      </c>
      <c r="L101" s="55"/>
      <c r="M101" s="55"/>
      <c r="N101" s="55"/>
      <c r="O101" s="57">
        <f>IF(F101=0,E101,F101)</f>
        <v>0</v>
      </c>
      <c r="P101" s="57" t="b">
        <f>OR(H101="Y",I101="Y")</f>
        <v>0</v>
      </c>
      <c r="Q101" s="58">
        <f>IF(P101,O101*'[1]ETC Data'!$H$3*'[1]ETC Data'!$I$3,0)</f>
        <v>0</v>
      </c>
      <c r="R101" s="58">
        <f>Q101-(Q101*((VLOOKUP(A101,[1]Plan!A$1:Z$804,26,FALSE)/100)))</f>
        <v>0</v>
      </c>
      <c r="S101" s="58">
        <f>IF(P101,O101*'[1]ETC Data'!$H$3*'[1]ETC Data'!$J$3,0)</f>
        <v>0</v>
      </c>
      <c r="T101" s="58">
        <f>S101-(S101*((VLOOKUP(A101,[1]Plan!A$1:AA$804,27,FALSE)/100)))</f>
        <v>0</v>
      </c>
      <c r="U101" s="58">
        <f>IF(P101,O101*'[1]ETC Data'!$H$3*'[1]ETC Data'!$K$3,0)</f>
        <v>0</v>
      </c>
      <c r="V101" s="58">
        <f>U101-(U101*((VLOOKUP(A101,[1]Plan!A$1:AB$804,28,FALSE)/100)))</f>
        <v>0</v>
      </c>
      <c r="W101" s="58">
        <f>IF(P101,O101*'[1]ETC Data'!$H$3*'[1]ETC Data'!$L$3,0)</f>
        <v>0</v>
      </c>
      <c r="X101" s="58">
        <f>W101-(W101*((VLOOKUP(A101,[1]Plan!A$1:AC$804,29,FALSE)/100)))</f>
        <v>0</v>
      </c>
      <c r="Y101" s="59"/>
      <c r="Z101" s="60" t="b">
        <f>OR(H101="Y",J101="Y")</f>
        <v>0</v>
      </c>
      <c r="AA101" s="58">
        <f>IF(Z101,O101*'[1]ETC Data'!$H$4*'[1]ETC Data'!$I$4,0)</f>
        <v>0</v>
      </c>
      <c r="AB101" s="58">
        <f>AA101-(AA101*((VLOOKUP(A101,[1]Plan!A$1:AI$804,35,FALSE)/100)))</f>
        <v>0</v>
      </c>
      <c r="AC101" s="58">
        <f>IF(Z101,O101*'[1]ETC Data'!$H$4*'[1]ETC Data'!$J$4,0)</f>
        <v>0</v>
      </c>
      <c r="AD101" s="58">
        <f>AC101-(AC101*((VLOOKUP(A101,[1]Plan!A$1:AJ$804,36,FALSE)/100)))</f>
        <v>0</v>
      </c>
      <c r="AE101" s="58">
        <f>IF(Z101,O101*'[1]ETC Data'!$H$4*'[1]ETC Data'!$K$4,0)</f>
        <v>0</v>
      </c>
      <c r="AF101" s="58">
        <f>AE101-(AE101*((VLOOKUP(A101,[1]Plan!A$1:AK$804,37,FALSE)/100)))</f>
        <v>0</v>
      </c>
      <c r="AG101" s="58">
        <f>IF(Z101,O101*'[1]ETC Data'!$H$4*'[1]ETC Data'!$L$4,0)</f>
        <v>0</v>
      </c>
      <c r="AH101" s="58">
        <f>AG101-(AG101*((VLOOKUP(A101,[1]Plan!A$1:AP$804,42,FALSE)/100)))</f>
        <v>0</v>
      </c>
      <c r="AI101" s="60"/>
      <c r="AJ101" s="60" t="b">
        <f>OR(H101="Y",K101="Y")</f>
        <v>0</v>
      </c>
      <c r="AK101" s="61">
        <f>IF(AJ101,O101*'[1]ETC Data'!$H$5*'[1]ETC Data'!$I$5,0)</f>
        <v>0</v>
      </c>
      <c r="AL101" s="58">
        <f>AK101-(AK101*((VLOOKUP(A101,[1]Plan!A$1:AY$804,51,FALSE)/100)))</f>
        <v>0</v>
      </c>
      <c r="AM101" s="58">
        <f>IF(AJ101,O101*'[1]ETC Data'!$H$5*'[1]ETC Data'!$J$5,0)</f>
        <v>0</v>
      </c>
      <c r="AN101" s="58">
        <f>AM101-(AM101*((VLOOKUP(A101,[1]Plan!A$1:BA$804,53,FALSE)/100)))</f>
        <v>0</v>
      </c>
      <c r="AO101" s="61">
        <f>IF(AJ101,O101*'[1]ETC Data'!$H$5*'[1]ETC Data'!$K$5,0)</f>
        <v>0</v>
      </c>
      <c r="AP101" s="58">
        <f>AO101-(AO101*((VLOOKUP(A101,[1]Plan!A$1:BB$804,54,FALSE)/100)))</f>
        <v>0</v>
      </c>
      <c r="AQ101" s="58">
        <f>IF(AJ101,O101*'[1]ETC Data'!$H$5*'[1]ETC Data'!$L$5,0)</f>
        <v>0</v>
      </c>
      <c r="AR101" s="58">
        <f>AQ101-(AQ101*((VLOOKUP(A101,[1]Plan!A$1:BD$804,56,FALSE)/100)))</f>
        <v>0</v>
      </c>
      <c r="AS101" s="20">
        <f>VLOOKUP(A101,'[1]PR Matrix'!A:B,2,FALSE)</f>
        <v>0</v>
      </c>
      <c r="AT101" s="21">
        <f>R101+T101+V101+X101+AB101+AD101+AF101+AH101+AL101+AN101+AP101+AR101</f>
        <v>0</v>
      </c>
      <c r="AU101" s="21">
        <f>Q101+S101+U101+W101+AA101+AC101+AE101+AG101+AK101+AM101+AO101+AQ101</f>
        <v>0</v>
      </c>
      <c r="AV101" s="21">
        <f>R101+AB101+AL101</f>
        <v>0</v>
      </c>
      <c r="AW101" s="21">
        <f>T101+AD101+AN101</f>
        <v>0</v>
      </c>
      <c r="AX101" s="21">
        <f>V101+AF101+AP101</f>
        <v>0</v>
      </c>
      <c r="AY101" s="21">
        <f>X101+AH101+AR101</f>
        <v>0</v>
      </c>
    </row>
    <row r="102" spans="1:51" hidden="1" x14ac:dyDescent="0.2">
      <c r="A102" s="50" t="s">
        <v>309</v>
      </c>
      <c r="B102" s="51" t="s">
        <v>208</v>
      </c>
      <c r="C102" s="51"/>
      <c r="D102" s="51"/>
      <c r="E102" s="52">
        <f>IF(G102="Y",VLOOKUP(B102&amp;"|"&amp;C102,'[1]ETC Data'!$C$2:$D$16,2,FALSE),0)</f>
        <v>0</v>
      </c>
      <c r="F102" s="52">
        <f>IF(D102="",0,IF(G102="Y",VLOOKUP(B102&amp;"|"&amp;D102,'[1]ETC Data'!$C$2:$D$16,2,FALSE),0))</f>
        <v>0</v>
      </c>
      <c r="G102" s="53" t="str">
        <f>IF(VLOOKUP(A102,[1]Plan!A$1:H$804,8,FALSE)&lt;&gt;"",VLOOKUP(A102,[1]Plan!A$1:H$804,8,FALSE),"")</f>
        <v>N</v>
      </c>
      <c r="H102" s="54" t="str">
        <f>IF(VLOOKUP(A102,[1]Plan!A$1:L$804,12,FALSE)&lt;&gt;"",VLOOKUP(A102,[1]Plan!A$1:L$804,12,FALSE),"")</f>
        <v/>
      </c>
      <c r="I102" s="55" t="str">
        <f>IF(VLOOKUP(A102,[1]Plan!A$1:M$804,13,FALSE)&lt;&gt;"",VLOOKUP(A102,[1]Plan!A$1:M$804,13,FALSE),"")</f>
        <v/>
      </c>
      <c r="J102" s="55" t="str">
        <f>IF(VLOOKUP(A102,[1]Plan!A$1:N$804,14,FALSE)&lt;&gt;"",VLOOKUP(A102,[1]Plan!A$1:N$804,14,FALSE),IF(VLOOKUP(A102,[1]Plan!A$1:O$804,15,FALSE)&lt;&gt;"",VLOOKUP(A102,[1]Plan!A$1:O$804,15,FALSE),""))</f>
        <v/>
      </c>
      <c r="K102" s="56" t="str">
        <f>IF(VLOOKUP(A102,[1]Plan!A$1:P$804,16,FALSE)&lt;&gt;"",VLOOKUP(A102,[1]Plan!A$1:P$804,16,FALSE),"")</f>
        <v/>
      </c>
      <c r="L102" s="55"/>
      <c r="M102" s="55"/>
      <c r="N102" s="55"/>
      <c r="O102" s="57">
        <f>IF(F102=0,E102,F102)</f>
        <v>0</v>
      </c>
      <c r="P102" s="57" t="b">
        <f>OR(H102="Y",I102="Y")</f>
        <v>0</v>
      </c>
      <c r="Q102" s="58">
        <f>IF(P102,O102*'[1]ETC Data'!$H$3*'[1]ETC Data'!$I$3,0)</f>
        <v>0</v>
      </c>
      <c r="R102" s="58">
        <f>Q102-(Q102*((VLOOKUP(A102,[1]Plan!A$1:Z$804,26,FALSE)/100)))</f>
        <v>0</v>
      </c>
      <c r="S102" s="58">
        <f>IF(P102,O102*'[1]ETC Data'!$H$3*'[1]ETC Data'!$J$3,0)</f>
        <v>0</v>
      </c>
      <c r="T102" s="58">
        <f>S102-(S102*((VLOOKUP(A102,[1]Plan!A$1:AA$804,27,FALSE)/100)))</f>
        <v>0</v>
      </c>
      <c r="U102" s="58">
        <f>IF(P102,O102*'[1]ETC Data'!$H$3*'[1]ETC Data'!$K$3,0)</f>
        <v>0</v>
      </c>
      <c r="V102" s="58">
        <f>U102-(U102*((VLOOKUP(A102,[1]Plan!A$1:AB$804,28,FALSE)/100)))</f>
        <v>0</v>
      </c>
      <c r="W102" s="58">
        <f>IF(P102,O102*'[1]ETC Data'!$H$3*'[1]ETC Data'!$L$3,0)</f>
        <v>0</v>
      </c>
      <c r="X102" s="58">
        <f>W102-(W102*((VLOOKUP(A102,[1]Plan!A$1:AC$804,29,FALSE)/100)))</f>
        <v>0</v>
      </c>
      <c r="Y102" s="59"/>
      <c r="Z102" s="60" t="b">
        <f>OR(H102="Y",J102="Y")</f>
        <v>0</v>
      </c>
      <c r="AA102" s="58">
        <f>IF(Z102,O102*'[1]ETC Data'!$H$4*'[1]ETC Data'!$I$4,0)</f>
        <v>0</v>
      </c>
      <c r="AB102" s="58">
        <f>AA102-(AA102*((VLOOKUP(A102,[1]Plan!A$1:AI$804,35,FALSE)/100)))</f>
        <v>0</v>
      </c>
      <c r="AC102" s="58">
        <f>IF(Z102,O102*'[1]ETC Data'!$H$4*'[1]ETC Data'!$J$4,0)</f>
        <v>0</v>
      </c>
      <c r="AD102" s="58">
        <f>AC102-(AC102*((VLOOKUP(A102,[1]Plan!A$1:AJ$804,36,FALSE)/100)))</f>
        <v>0</v>
      </c>
      <c r="AE102" s="58">
        <f>IF(Z102,O102*'[1]ETC Data'!$H$4*'[1]ETC Data'!$K$4,0)</f>
        <v>0</v>
      </c>
      <c r="AF102" s="58">
        <f>AE102-(AE102*((VLOOKUP(A102,[1]Plan!A$1:AK$804,37,FALSE)/100)))</f>
        <v>0</v>
      </c>
      <c r="AG102" s="58">
        <f>IF(Z102,O102*'[1]ETC Data'!$H$4*'[1]ETC Data'!$L$4,0)</f>
        <v>0</v>
      </c>
      <c r="AH102" s="58">
        <f>AG102-(AG102*((VLOOKUP(A102,[1]Plan!A$1:AP$804,42,FALSE)/100)))</f>
        <v>0</v>
      </c>
      <c r="AI102" s="60"/>
      <c r="AJ102" s="60" t="b">
        <f>OR(H102="Y",K102="Y")</f>
        <v>0</v>
      </c>
      <c r="AK102" s="61">
        <f>IF(AJ102,O102*'[1]ETC Data'!$H$5*'[1]ETC Data'!$I$5,0)</f>
        <v>0</v>
      </c>
      <c r="AL102" s="58">
        <f>AK102-(AK102*((VLOOKUP(A102,[1]Plan!A$1:AY$804,51,FALSE)/100)))</f>
        <v>0</v>
      </c>
      <c r="AM102" s="58">
        <f>IF(AJ102,O102*'[1]ETC Data'!$H$5*'[1]ETC Data'!$J$5,0)</f>
        <v>0</v>
      </c>
      <c r="AN102" s="58">
        <f>AM102-(AM102*((VLOOKUP(A102,[1]Plan!A$1:BA$804,53,FALSE)/100)))</f>
        <v>0</v>
      </c>
      <c r="AO102" s="61">
        <f>IF(AJ102,O102*'[1]ETC Data'!$H$5*'[1]ETC Data'!$K$5,0)</f>
        <v>0</v>
      </c>
      <c r="AP102" s="58">
        <f>AO102-(AO102*((VLOOKUP(A102,[1]Plan!A$1:BB$804,54,FALSE)/100)))</f>
        <v>0</v>
      </c>
      <c r="AQ102" s="58">
        <f>IF(AJ102,O102*'[1]ETC Data'!$H$5*'[1]ETC Data'!$L$5,0)</f>
        <v>0</v>
      </c>
      <c r="AR102" s="58">
        <f>AQ102-(AQ102*((VLOOKUP(A102,[1]Plan!A$1:BD$804,56,FALSE)/100)))</f>
        <v>0</v>
      </c>
      <c r="AS102" s="20">
        <f>VLOOKUP(A102,'[1]PR Matrix'!A:B,2,FALSE)</f>
        <v>0</v>
      </c>
      <c r="AT102" s="21">
        <f>R102+T102+V102+X102+AB102+AD102+AF102+AH102+AL102+AN102+AP102+AR102</f>
        <v>0</v>
      </c>
      <c r="AU102" s="21">
        <f>Q102+S102+U102+W102+AA102+AC102+AE102+AG102+AK102+AM102+AO102+AQ102</f>
        <v>0</v>
      </c>
      <c r="AV102" s="21">
        <f>R102+AB102+AL102</f>
        <v>0</v>
      </c>
      <c r="AW102" s="21">
        <f>T102+AD102+AN102</f>
        <v>0</v>
      </c>
      <c r="AX102" s="21">
        <f>V102+AF102+AP102</f>
        <v>0</v>
      </c>
      <c r="AY102" s="21">
        <f>X102+AH102+AR102</f>
        <v>0</v>
      </c>
    </row>
    <row r="103" spans="1:51" hidden="1" x14ac:dyDescent="0.2">
      <c r="A103" s="50" t="s">
        <v>310</v>
      </c>
      <c r="B103" s="51" t="s">
        <v>209</v>
      </c>
      <c r="C103" s="51"/>
      <c r="D103" s="51"/>
      <c r="E103" s="52">
        <f>IF(G103="Y",VLOOKUP(B103&amp;"|"&amp;C103,'[1]ETC Data'!$C$2:$D$16,2,FALSE),0)</f>
        <v>0</v>
      </c>
      <c r="F103" s="52">
        <f>IF(D103="",0,IF(G103="Y",VLOOKUP(B103&amp;"|"&amp;D103,'[1]ETC Data'!$C$2:$D$16,2,FALSE),0))</f>
        <v>0</v>
      </c>
      <c r="G103" s="53" t="str">
        <f>IF(VLOOKUP(A103,[1]Plan!A$1:H$804,8,FALSE)&lt;&gt;"",VLOOKUP(A103,[1]Plan!A$1:H$804,8,FALSE),"")</f>
        <v>N</v>
      </c>
      <c r="H103" s="54" t="str">
        <f>IF(VLOOKUP(A103,[1]Plan!A$1:L$804,12,FALSE)&lt;&gt;"",VLOOKUP(A103,[1]Plan!A$1:L$804,12,FALSE),"")</f>
        <v/>
      </c>
      <c r="I103" s="55" t="str">
        <f>IF(VLOOKUP(A103,[1]Plan!A$1:M$804,13,FALSE)&lt;&gt;"",VLOOKUP(A103,[1]Plan!A$1:M$804,13,FALSE),"")</f>
        <v/>
      </c>
      <c r="J103" s="55" t="str">
        <f>IF(VLOOKUP(A103,[1]Plan!A$1:N$804,14,FALSE)&lt;&gt;"",VLOOKUP(A103,[1]Plan!A$1:N$804,14,FALSE),IF(VLOOKUP(A103,[1]Plan!A$1:O$804,15,FALSE)&lt;&gt;"",VLOOKUP(A103,[1]Plan!A$1:O$804,15,FALSE),""))</f>
        <v/>
      </c>
      <c r="K103" s="56" t="str">
        <f>IF(VLOOKUP(A103,[1]Plan!A$1:P$804,16,FALSE)&lt;&gt;"",VLOOKUP(A103,[1]Plan!A$1:P$804,16,FALSE),"")</f>
        <v/>
      </c>
      <c r="L103" s="55"/>
      <c r="M103" s="55"/>
      <c r="N103" s="55"/>
      <c r="O103" s="57">
        <f>IF(F103=0,E103,F103)</f>
        <v>0</v>
      </c>
      <c r="P103" s="57" t="b">
        <f>OR(H103="Y",I103="Y")</f>
        <v>0</v>
      </c>
      <c r="Q103" s="58">
        <f>IF(P103,O103*'[1]ETC Data'!$H$3*'[1]ETC Data'!$I$3,0)</f>
        <v>0</v>
      </c>
      <c r="R103" s="58">
        <f>Q103-(Q103*((VLOOKUP(A103,[1]Plan!A$1:Z$804,26,FALSE)/100)))</f>
        <v>0</v>
      </c>
      <c r="S103" s="58">
        <f>IF(P103,O103*'[1]ETC Data'!$H$3*'[1]ETC Data'!$J$3,0)</f>
        <v>0</v>
      </c>
      <c r="T103" s="58">
        <f>S103-(S103*((VLOOKUP(A103,[1]Plan!A$1:AA$804,27,FALSE)/100)))</f>
        <v>0</v>
      </c>
      <c r="U103" s="58">
        <f>IF(P103,O103*'[1]ETC Data'!$H$3*'[1]ETC Data'!$K$3,0)</f>
        <v>0</v>
      </c>
      <c r="V103" s="58">
        <f>U103-(U103*((VLOOKUP(A103,[1]Plan!A$1:AB$804,28,FALSE)/100)))</f>
        <v>0</v>
      </c>
      <c r="W103" s="58">
        <f>IF(P103,O103*'[1]ETC Data'!$H$3*'[1]ETC Data'!$L$3,0)</f>
        <v>0</v>
      </c>
      <c r="X103" s="58">
        <f>W103-(W103*((VLOOKUP(A103,[1]Plan!A$1:AC$804,29,FALSE)/100)))</f>
        <v>0</v>
      </c>
      <c r="Y103" s="59"/>
      <c r="Z103" s="60" t="b">
        <f>OR(H103="Y",J103="Y")</f>
        <v>0</v>
      </c>
      <c r="AA103" s="58">
        <f>IF(Z103,O103*'[1]ETC Data'!$H$4*'[1]ETC Data'!$I$4,0)</f>
        <v>0</v>
      </c>
      <c r="AB103" s="58">
        <f>AA103-(AA103*((VLOOKUP(A103,[1]Plan!A$1:AI$804,35,FALSE)/100)))</f>
        <v>0</v>
      </c>
      <c r="AC103" s="58">
        <f>IF(Z103,O103*'[1]ETC Data'!$H$4*'[1]ETC Data'!$J$4,0)</f>
        <v>0</v>
      </c>
      <c r="AD103" s="58">
        <f>AC103-(AC103*((VLOOKUP(A103,[1]Plan!A$1:AJ$804,36,FALSE)/100)))</f>
        <v>0</v>
      </c>
      <c r="AE103" s="58">
        <f>IF(Z103,O103*'[1]ETC Data'!$H$4*'[1]ETC Data'!$K$4,0)</f>
        <v>0</v>
      </c>
      <c r="AF103" s="58">
        <f>AE103-(AE103*((VLOOKUP(A103,[1]Plan!A$1:AK$804,37,FALSE)/100)))</f>
        <v>0</v>
      </c>
      <c r="AG103" s="58">
        <f>IF(Z103,O103*'[1]ETC Data'!$H$4*'[1]ETC Data'!$L$4,0)</f>
        <v>0</v>
      </c>
      <c r="AH103" s="58">
        <f>AG103-(AG103*((VLOOKUP(A103,[1]Plan!A$1:AP$804,42,FALSE)/100)))</f>
        <v>0</v>
      </c>
      <c r="AI103" s="60"/>
      <c r="AJ103" s="60" t="b">
        <f>OR(H103="Y",K103="Y")</f>
        <v>0</v>
      </c>
      <c r="AK103" s="61">
        <f>IF(AJ103,O103*'[1]ETC Data'!$H$5*'[1]ETC Data'!$I$5,0)</f>
        <v>0</v>
      </c>
      <c r="AL103" s="58">
        <f>AK103-(AK103*((VLOOKUP(A103,[1]Plan!A$1:AY$804,51,FALSE)/100)))</f>
        <v>0</v>
      </c>
      <c r="AM103" s="58">
        <f>IF(AJ103,O103*'[1]ETC Data'!$H$5*'[1]ETC Data'!$J$5,0)</f>
        <v>0</v>
      </c>
      <c r="AN103" s="58">
        <f>AM103-(AM103*((VLOOKUP(A103,[1]Plan!A$1:BA$804,53,FALSE)/100)))</f>
        <v>0</v>
      </c>
      <c r="AO103" s="61">
        <f>IF(AJ103,O103*'[1]ETC Data'!$H$5*'[1]ETC Data'!$K$5,0)</f>
        <v>0</v>
      </c>
      <c r="AP103" s="58">
        <f>AO103-(AO103*((VLOOKUP(A103,[1]Plan!A$1:BB$804,54,FALSE)/100)))</f>
        <v>0</v>
      </c>
      <c r="AQ103" s="58">
        <f>IF(AJ103,O103*'[1]ETC Data'!$H$5*'[1]ETC Data'!$L$5,0)</f>
        <v>0</v>
      </c>
      <c r="AR103" s="58">
        <f>AQ103-(AQ103*((VLOOKUP(A103,[1]Plan!A$1:BD$804,56,FALSE)/100)))</f>
        <v>0</v>
      </c>
      <c r="AS103" s="20">
        <f>VLOOKUP(A103,'[1]PR Matrix'!A:B,2,FALSE)</f>
        <v>0</v>
      </c>
      <c r="AT103" s="21">
        <f>R103+T103+V103+X103+AB103+AD103+AF103+AH103+AL103+AN103+AP103+AR103</f>
        <v>0</v>
      </c>
      <c r="AU103" s="21">
        <f>Q103+S103+U103+W103+AA103+AC103+AE103+AG103+AK103+AM103+AO103+AQ103</f>
        <v>0</v>
      </c>
      <c r="AV103" s="21">
        <f>R103+AB103+AL103</f>
        <v>0</v>
      </c>
      <c r="AW103" s="21">
        <f>T103+AD103+AN103</f>
        <v>0</v>
      </c>
      <c r="AX103" s="21">
        <f>V103+AF103+AP103</f>
        <v>0</v>
      </c>
      <c r="AY103" s="21">
        <f>X103+AH103+AR103</f>
        <v>0</v>
      </c>
    </row>
    <row r="104" spans="1:51" hidden="1" x14ac:dyDescent="0.2">
      <c r="A104" s="50" t="s">
        <v>311</v>
      </c>
      <c r="B104" s="51" t="s">
        <v>258</v>
      </c>
      <c r="C104" s="51"/>
      <c r="D104" s="51"/>
      <c r="E104" s="52">
        <f>IF(G104="Y",VLOOKUP(B104&amp;"|"&amp;C104,'[1]ETC Data'!$C$2:$D$16,2,FALSE),0)</f>
        <v>0</v>
      </c>
      <c r="F104" s="52">
        <f>IF(D104="",0,IF(G104="Y",VLOOKUP(B104&amp;"|"&amp;D104,'[1]ETC Data'!$C$2:$D$16,2,FALSE),0))</f>
        <v>0</v>
      </c>
      <c r="G104" s="53" t="str">
        <f>IF(VLOOKUP(A104,[1]Plan!A$1:H$804,8,FALSE)&lt;&gt;"",VLOOKUP(A104,[1]Plan!A$1:H$804,8,FALSE),"")</f>
        <v>N</v>
      </c>
      <c r="H104" s="54" t="str">
        <f>IF(VLOOKUP(A104,[1]Plan!A$1:L$804,12,FALSE)&lt;&gt;"",VLOOKUP(A104,[1]Plan!A$1:L$804,12,FALSE),"")</f>
        <v/>
      </c>
      <c r="I104" s="55" t="str">
        <f>IF(VLOOKUP(A104,[1]Plan!A$1:M$804,13,FALSE)&lt;&gt;"",VLOOKUP(A104,[1]Plan!A$1:M$804,13,FALSE),"")</f>
        <v/>
      </c>
      <c r="J104" s="55" t="str">
        <f>IF(VLOOKUP(A104,[1]Plan!A$1:N$804,14,FALSE)&lt;&gt;"",VLOOKUP(A104,[1]Plan!A$1:N$804,14,FALSE),IF(VLOOKUP(A104,[1]Plan!A$1:O$804,15,FALSE)&lt;&gt;"",VLOOKUP(A104,[1]Plan!A$1:O$804,15,FALSE),""))</f>
        <v/>
      </c>
      <c r="K104" s="56" t="str">
        <f>IF(VLOOKUP(A104,[1]Plan!A$1:P$804,16,FALSE)&lt;&gt;"",VLOOKUP(A104,[1]Plan!A$1:P$804,16,FALSE),"")</f>
        <v/>
      </c>
      <c r="L104" s="55"/>
      <c r="M104" s="55"/>
      <c r="N104" s="55"/>
      <c r="O104" s="57">
        <f>IF(F104=0,E104,F104)</f>
        <v>0</v>
      </c>
      <c r="P104" s="57" t="b">
        <f>OR(H104="Y",I104="Y")</f>
        <v>0</v>
      </c>
      <c r="Q104" s="58">
        <f>IF(P104,O104*'[1]ETC Data'!$H$3*'[1]ETC Data'!$I$3,0)</f>
        <v>0</v>
      </c>
      <c r="R104" s="58">
        <f>Q104-(Q104*((VLOOKUP(A104,[1]Plan!A$1:Z$804,26,FALSE)/100)))</f>
        <v>0</v>
      </c>
      <c r="S104" s="58">
        <f>IF(P104,O104*'[1]ETC Data'!$H$3*'[1]ETC Data'!$J$3,0)</f>
        <v>0</v>
      </c>
      <c r="T104" s="58">
        <f>S104-(S104*((VLOOKUP(A104,[1]Plan!A$1:AA$804,27,FALSE)/100)))</f>
        <v>0</v>
      </c>
      <c r="U104" s="58">
        <f>IF(P104,O104*'[1]ETC Data'!$H$3*'[1]ETC Data'!$K$3,0)</f>
        <v>0</v>
      </c>
      <c r="V104" s="58">
        <f>U104-(U104*((VLOOKUP(A104,[1]Plan!A$1:AB$804,28,FALSE)/100)))</f>
        <v>0</v>
      </c>
      <c r="W104" s="58">
        <f>IF(P104,O104*'[1]ETC Data'!$H$3*'[1]ETC Data'!$L$3,0)</f>
        <v>0</v>
      </c>
      <c r="X104" s="58">
        <f>W104-(W104*((VLOOKUP(A104,[1]Plan!A$1:AC$804,29,FALSE)/100)))</f>
        <v>0</v>
      </c>
      <c r="Y104" s="59"/>
      <c r="Z104" s="60" t="b">
        <f>OR(H104="Y",J104="Y")</f>
        <v>0</v>
      </c>
      <c r="AA104" s="58">
        <f>IF(Z104,O104*'[1]ETC Data'!$H$4*'[1]ETC Data'!$I$4,0)</f>
        <v>0</v>
      </c>
      <c r="AB104" s="58">
        <f>AA104-(AA104*((VLOOKUP(A104,[1]Plan!A$1:AI$804,35,FALSE)/100)))</f>
        <v>0</v>
      </c>
      <c r="AC104" s="58">
        <f>IF(Z104,O104*'[1]ETC Data'!$H$4*'[1]ETC Data'!$J$4,0)</f>
        <v>0</v>
      </c>
      <c r="AD104" s="58">
        <f>AC104-(AC104*((VLOOKUP(A104,[1]Plan!A$1:AJ$804,36,FALSE)/100)))</f>
        <v>0</v>
      </c>
      <c r="AE104" s="58">
        <f>IF(Z104,O104*'[1]ETC Data'!$H$4*'[1]ETC Data'!$K$4,0)</f>
        <v>0</v>
      </c>
      <c r="AF104" s="58">
        <f>AE104-(AE104*((VLOOKUP(A104,[1]Plan!A$1:AK$804,37,FALSE)/100)))</f>
        <v>0</v>
      </c>
      <c r="AG104" s="58">
        <f>IF(Z104,O104*'[1]ETC Data'!$H$4*'[1]ETC Data'!$L$4,0)</f>
        <v>0</v>
      </c>
      <c r="AH104" s="58">
        <f>AG104-(AG104*((VLOOKUP(A104,[1]Plan!A$1:AP$804,42,FALSE)/100)))</f>
        <v>0</v>
      </c>
      <c r="AI104" s="60"/>
      <c r="AJ104" s="60" t="b">
        <f>OR(H104="Y",K104="Y")</f>
        <v>0</v>
      </c>
      <c r="AK104" s="61">
        <f>IF(AJ104,O104*'[1]ETC Data'!$H$5*'[1]ETC Data'!$I$5,0)</f>
        <v>0</v>
      </c>
      <c r="AL104" s="58">
        <f>AK104-(AK104*((VLOOKUP(A104,[1]Plan!A$1:AY$804,51,FALSE)/100)))</f>
        <v>0</v>
      </c>
      <c r="AM104" s="58">
        <f>IF(AJ104,O104*'[1]ETC Data'!$H$5*'[1]ETC Data'!$J$5,0)</f>
        <v>0</v>
      </c>
      <c r="AN104" s="58">
        <f>AM104-(AM104*((VLOOKUP(A104,[1]Plan!A$1:BA$804,53,FALSE)/100)))</f>
        <v>0</v>
      </c>
      <c r="AO104" s="61">
        <f>IF(AJ104,O104*'[1]ETC Data'!$H$5*'[1]ETC Data'!$K$5,0)</f>
        <v>0</v>
      </c>
      <c r="AP104" s="58">
        <f>AO104-(AO104*((VLOOKUP(A104,[1]Plan!A$1:BB$804,54,FALSE)/100)))</f>
        <v>0</v>
      </c>
      <c r="AQ104" s="58">
        <f>IF(AJ104,O104*'[1]ETC Data'!$H$5*'[1]ETC Data'!$L$5,0)</f>
        <v>0</v>
      </c>
      <c r="AR104" s="58">
        <f>AQ104-(AQ104*((VLOOKUP(A104,[1]Plan!A$1:BD$804,56,FALSE)/100)))</f>
        <v>0</v>
      </c>
      <c r="AS104" s="20">
        <f>VLOOKUP(A104,'[1]PR Matrix'!A:B,2,FALSE)</f>
        <v>0</v>
      </c>
      <c r="AT104" s="21">
        <f>R104+T104+V104+X104+AB104+AD104+AF104+AH104+AL104+AN104+AP104+AR104</f>
        <v>0</v>
      </c>
      <c r="AU104" s="21">
        <f>Q104+S104+U104+W104+AA104+AC104+AE104+AG104+AK104+AM104+AO104+AQ104</f>
        <v>0</v>
      </c>
      <c r="AV104" s="21">
        <f>R104+AB104+AL104</f>
        <v>0</v>
      </c>
      <c r="AW104" s="21">
        <f>T104+AD104+AN104</f>
        <v>0</v>
      </c>
      <c r="AX104" s="21">
        <f>V104+AF104+AP104</f>
        <v>0</v>
      </c>
      <c r="AY104" s="21">
        <f>X104+AH104+AR104</f>
        <v>0</v>
      </c>
    </row>
    <row r="105" spans="1:51" hidden="1" x14ac:dyDescent="0.2">
      <c r="A105" s="50" t="s">
        <v>312</v>
      </c>
      <c r="B105" s="51" t="s">
        <v>208</v>
      </c>
      <c r="C105" s="51"/>
      <c r="D105" s="51"/>
      <c r="E105" s="52">
        <f>IF(G105="Y",VLOOKUP(B105&amp;"|"&amp;C105,'[1]ETC Data'!$C$2:$D$16,2,FALSE),0)</f>
        <v>0</v>
      </c>
      <c r="F105" s="52">
        <f>IF(D105="",0,IF(G105="Y",VLOOKUP(B105&amp;"|"&amp;D105,'[1]ETC Data'!$C$2:$D$16,2,FALSE),0))</f>
        <v>0</v>
      </c>
      <c r="G105" s="53" t="str">
        <f>IF(VLOOKUP(A105,[1]Plan!A$1:H$804,8,FALSE)&lt;&gt;"",VLOOKUP(A105,[1]Plan!A$1:H$804,8,FALSE),"")</f>
        <v>N</v>
      </c>
      <c r="H105" s="54" t="str">
        <f>IF(VLOOKUP(A105,[1]Plan!A$1:L$804,12,FALSE)&lt;&gt;"",VLOOKUP(A105,[1]Plan!A$1:L$804,12,FALSE),"")</f>
        <v/>
      </c>
      <c r="I105" s="55" t="str">
        <f>IF(VLOOKUP(A105,[1]Plan!A$1:M$804,13,FALSE)&lt;&gt;"",VLOOKUP(A105,[1]Plan!A$1:M$804,13,FALSE),"")</f>
        <v/>
      </c>
      <c r="J105" s="55" t="str">
        <f>IF(VLOOKUP(A105,[1]Plan!A$1:N$804,14,FALSE)&lt;&gt;"",VLOOKUP(A105,[1]Plan!A$1:N$804,14,FALSE),IF(VLOOKUP(A105,[1]Plan!A$1:O$804,15,FALSE)&lt;&gt;"",VLOOKUP(A105,[1]Plan!A$1:O$804,15,FALSE),""))</f>
        <v/>
      </c>
      <c r="K105" s="56" t="str">
        <f>IF(VLOOKUP(A105,[1]Plan!A$1:P$804,16,FALSE)&lt;&gt;"",VLOOKUP(A105,[1]Plan!A$1:P$804,16,FALSE),"")</f>
        <v/>
      </c>
      <c r="L105" s="55"/>
      <c r="M105" s="55"/>
      <c r="N105" s="55"/>
      <c r="O105" s="57">
        <f>IF(F105=0,E105,F105)</f>
        <v>0</v>
      </c>
      <c r="P105" s="57" t="b">
        <f>OR(H105="Y",I105="Y")</f>
        <v>0</v>
      </c>
      <c r="Q105" s="58">
        <f>IF(P105,O105*'[1]ETC Data'!$H$3*'[1]ETC Data'!$I$3,0)</f>
        <v>0</v>
      </c>
      <c r="R105" s="58">
        <f>Q105-(Q105*((VLOOKUP(A105,[1]Plan!A$1:Z$804,26,FALSE)/100)))</f>
        <v>0</v>
      </c>
      <c r="S105" s="58">
        <f>IF(P105,O105*'[1]ETC Data'!$H$3*'[1]ETC Data'!$J$3,0)</f>
        <v>0</v>
      </c>
      <c r="T105" s="58">
        <f>S105-(S105*((VLOOKUP(A105,[1]Plan!A$1:AA$804,27,FALSE)/100)))</f>
        <v>0</v>
      </c>
      <c r="U105" s="58">
        <f>IF(P105,O105*'[1]ETC Data'!$H$3*'[1]ETC Data'!$K$3,0)</f>
        <v>0</v>
      </c>
      <c r="V105" s="58">
        <f>U105-(U105*((VLOOKUP(A105,[1]Plan!A$1:AB$804,28,FALSE)/100)))</f>
        <v>0</v>
      </c>
      <c r="W105" s="58">
        <f>IF(P105,O105*'[1]ETC Data'!$H$3*'[1]ETC Data'!$L$3,0)</f>
        <v>0</v>
      </c>
      <c r="X105" s="58">
        <f>W105-(W105*((VLOOKUP(A105,[1]Plan!A$1:AC$804,29,FALSE)/100)))</f>
        <v>0</v>
      </c>
      <c r="Y105" s="59"/>
      <c r="Z105" s="60" t="b">
        <f>OR(H105="Y",J105="Y")</f>
        <v>0</v>
      </c>
      <c r="AA105" s="58">
        <f>IF(Z105,O105*'[1]ETC Data'!$H$4*'[1]ETC Data'!$I$4,0)</f>
        <v>0</v>
      </c>
      <c r="AB105" s="58">
        <f>AA105-(AA105*((VLOOKUP(A105,[1]Plan!A$1:AI$804,35,FALSE)/100)))</f>
        <v>0</v>
      </c>
      <c r="AC105" s="58">
        <f>IF(Z105,O105*'[1]ETC Data'!$H$4*'[1]ETC Data'!$J$4,0)</f>
        <v>0</v>
      </c>
      <c r="AD105" s="58">
        <f>AC105-(AC105*((VLOOKUP(A105,[1]Plan!A$1:AJ$804,36,FALSE)/100)))</f>
        <v>0</v>
      </c>
      <c r="AE105" s="58">
        <f>IF(Z105,O105*'[1]ETC Data'!$H$4*'[1]ETC Data'!$K$4,0)</f>
        <v>0</v>
      </c>
      <c r="AF105" s="58">
        <f>AE105-(AE105*((VLOOKUP(A105,[1]Plan!A$1:AK$804,37,FALSE)/100)))</f>
        <v>0</v>
      </c>
      <c r="AG105" s="58">
        <f>IF(Z105,O105*'[1]ETC Data'!$H$4*'[1]ETC Data'!$L$4,0)</f>
        <v>0</v>
      </c>
      <c r="AH105" s="58">
        <f>AG105-(AG105*((VLOOKUP(A105,[1]Plan!A$1:AP$804,42,FALSE)/100)))</f>
        <v>0</v>
      </c>
      <c r="AI105" s="60"/>
      <c r="AJ105" s="60" t="b">
        <f>OR(H105="Y",K105="Y")</f>
        <v>0</v>
      </c>
      <c r="AK105" s="61">
        <f>IF(AJ105,O105*'[1]ETC Data'!$H$5*'[1]ETC Data'!$I$5,0)</f>
        <v>0</v>
      </c>
      <c r="AL105" s="58">
        <f>AK105-(AK105*((VLOOKUP(A105,[1]Plan!A$1:AY$804,51,FALSE)/100)))</f>
        <v>0</v>
      </c>
      <c r="AM105" s="58">
        <f>IF(AJ105,O105*'[1]ETC Data'!$H$5*'[1]ETC Data'!$J$5,0)</f>
        <v>0</v>
      </c>
      <c r="AN105" s="58">
        <f>AM105-(AM105*((VLOOKUP(A105,[1]Plan!A$1:BA$804,53,FALSE)/100)))</f>
        <v>0</v>
      </c>
      <c r="AO105" s="61">
        <f>IF(AJ105,O105*'[1]ETC Data'!$H$5*'[1]ETC Data'!$K$5,0)</f>
        <v>0</v>
      </c>
      <c r="AP105" s="58">
        <f>AO105-(AO105*((VLOOKUP(A105,[1]Plan!A$1:BB$804,54,FALSE)/100)))</f>
        <v>0</v>
      </c>
      <c r="AQ105" s="58">
        <f>IF(AJ105,O105*'[1]ETC Data'!$H$5*'[1]ETC Data'!$L$5,0)</f>
        <v>0</v>
      </c>
      <c r="AR105" s="58">
        <f>AQ105-(AQ105*((VLOOKUP(A105,[1]Plan!A$1:BD$804,56,FALSE)/100)))</f>
        <v>0</v>
      </c>
      <c r="AS105" s="20">
        <f>VLOOKUP(A105,'[1]PR Matrix'!A:B,2,FALSE)</f>
        <v>0</v>
      </c>
      <c r="AT105" s="21">
        <f>R105+T105+V105+X105+AB105+AD105+AF105+AH105+AL105+AN105+AP105+AR105</f>
        <v>0</v>
      </c>
      <c r="AU105" s="21">
        <f>Q105+S105+U105+W105+AA105+AC105+AE105+AG105+AK105+AM105+AO105+AQ105</f>
        <v>0</v>
      </c>
      <c r="AV105" s="21">
        <f>R105+AB105+AL105</f>
        <v>0</v>
      </c>
      <c r="AW105" s="21">
        <f>T105+AD105+AN105</f>
        <v>0</v>
      </c>
      <c r="AX105" s="21">
        <f>V105+AF105+AP105</f>
        <v>0</v>
      </c>
      <c r="AY105" s="21">
        <f>X105+AH105+AR105</f>
        <v>0</v>
      </c>
    </row>
    <row r="106" spans="1:51" hidden="1" x14ac:dyDescent="0.2">
      <c r="A106" s="50" t="s">
        <v>313</v>
      </c>
      <c r="B106" s="51" t="s">
        <v>209</v>
      </c>
      <c r="C106" s="51"/>
      <c r="D106" s="51"/>
      <c r="E106" s="52">
        <f>IF(G106="Y",VLOOKUP(B106&amp;"|"&amp;C106,'[1]ETC Data'!$C$2:$D$16,2,FALSE),0)</f>
        <v>0</v>
      </c>
      <c r="F106" s="52">
        <f>IF(D106="",0,IF(G106="Y",VLOOKUP(B106&amp;"|"&amp;D106,'[1]ETC Data'!$C$2:$D$16,2,FALSE),0))</f>
        <v>0</v>
      </c>
      <c r="G106" s="53" t="str">
        <f>IF(VLOOKUP(A106,[1]Plan!A$1:H$804,8,FALSE)&lt;&gt;"",VLOOKUP(A106,[1]Plan!A$1:H$804,8,FALSE),"")</f>
        <v>N</v>
      </c>
      <c r="H106" s="54" t="str">
        <f>IF(VLOOKUP(A106,[1]Plan!A$1:L$804,12,FALSE)&lt;&gt;"",VLOOKUP(A106,[1]Plan!A$1:L$804,12,FALSE),"")</f>
        <v/>
      </c>
      <c r="I106" s="55" t="str">
        <f>IF(VLOOKUP(A106,[1]Plan!A$1:M$804,13,FALSE)&lt;&gt;"",VLOOKUP(A106,[1]Plan!A$1:M$804,13,FALSE),"")</f>
        <v/>
      </c>
      <c r="J106" s="55" t="str">
        <f>IF(VLOOKUP(A106,[1]Plan!A$1:N$804,14,FALSE)&lt;&gt;"",VLOOKUP(A106,[1]Plan!A$1:N$804,14,FALSE),IF(VLOOKUP(A106,[1]Plan!A$1:O$804,15,FALSE)&lt;&gt;"",VLOOKUP(A106,[1]Plan!A$1:O$804,15,FALSE),""))</f>
        <v/>
      </c>
      <c r="K106" s="56" t="str">
        <f>IF(VLOOKUP(A106,[1]Plan!A$1:P$804,16,FALSE)&lt;&gt;"",VLOOKUP(A106,[1]Plan!A$1:P$804,16,FALSE),"")</f>
        <v/>
      </c>
      <c r="L106" s="55"/>
      <c r="M106" s="55"/>
      <c r="N106" s="55"/>
      <c r="O106" s="57">
        <f>IF(F106=0,E106,F106)</f>
        <v>0</v>
      </c>
      <c r="P106" s="57" t="b">
        <f>OR(H106="Y",I106="Y")</f>
        <v>0</v>
      </c>
      <c r="Q106" s="58">
        <f>IF(P106,O106*'[1]ETC Data'!$H$3*'[1]ETC Data'!$I$3,0)</f>
        <v>0</v>
      </c>
      <c r="R106" s="58">
        <f>Q106-(Q106*((VLOOKUP(A106,[1]Plan!A$1:Z$804,26,FALSE)/100)))</f>
        <v>0</v>
      </c>
      <c r="S106" s="58">
        <f>IF(P106,O106*'[1]ETC Data'!$H$3*'[1]ETC Data'!$J$3,0)</f>
        <v>0</v>
      </c>
      <c r="T106" s="58">
        <f>S106-(S106*((VLOOKUP(A106,[1]Plan!A$1:AA$804,27,FALSE)/100)))</f>
        <v>0</v>
      </c>
      <c r="U106" s="58">
        <f>IF(P106,O106*'[1]ETC Data'!$H$3*'[1]ETC Data'!$K$3,0)</f>
        <v>0</v>
      </c>
      <c r="V106" s="58">
        <f>U106-(U106*((VLOOKUP(A106,[1]Plan!A$1:AB$804,28,FALSE)/100)))</f>
        <v>0</v>
      </c>
      <c r="W106" s="58">
        <f>IF(P106,O106*'[1]ETC Data'!$H$3*'[1]ETC Data'!$L$3,0)</f>
        <v>0</v>
      </c>
      <c r="X106" s="58">
        <f>W106-(W106*((VLOOKUP(A106,[1]Plan!A$1:AC$804,29,FALSE)/100)))</f>
        <v>0</v>
      </c>
      <c r="Y106" s="59"/>
      <c r="Z106" s="60" t="b">
        <f>OR(H106="Y",J106="Y")</f>
        <v>0</v>
      </c>
      <c r="AA106" s="58">
        <f>IF(Z106,O106*'[1]ETC Data'!$H$4*'[1]ETC Data'!$I$4,0)</f>
        <v>0</v>
      </c>
      <c r="AB106" s="58">
        <f>AA106-(AA106*((VLOOKUP(A106,[1]Plan!A$1:AI$804,35,FALSE)/100)))</f>
        <v>0</v>
      </c>
      <c r="AC106" s="58">
        <f>IF(Z106,O106*'[1]ETC Data'!$H$4*'[1]ETC Data'!$J$4,0)</f>
        <v>0</v>
      </c>
      <c r="AD106" s="58">
        <f>AC106-(AC106*((VLOOKUP(A106,[1]Plan!A$1:AJ$804,36,FALSE)/100)))</f>
        <v>0</v>
      </c>
      <c r="AE106" s="58">
        <f>IF(Z106,O106*'[1]ETC Data'!$H$4*'[1]ETC Data'!$K$4,0)</f>
        <v>0</v>
      </c>
      <c r="AF106" s="58">
        <f>AE106-(AE106*((VLOOKUP(A106,[1]Plan!A$1:AK$804,37,FALSE)/100)))</f>
        <v>0</v>
      </c>
      <c r="AG106" s="58">
        <f>IF(Z106,O106*'[1]ETC Data'!$H$4*'[1]ETC Data'!$L$4,0)</f>
        <v>0</v>
      </c>
      <c r="AH106" s="58">
        <f>AG106-(AG106*((VLOOKUP(A106,[1]Plan!A$1:AP$804,42,FALSE)/100)))</f>
        <v>0</v>
      </c>
      <c r="AI106" s="60"/>
      <c r="AJ106" s="60" t="b">
        <f>OR(H106="Y",K106="Y")</f>
        <v>0</v>
      </c>
      <c r="AK106" s="61">
        <f>IF(AJ106,O106*'[1]ETC Data'!$H$5*'[1]ETC Data'!$I$5,0)</f>
        <v>0</v>
      </c>
      <c r="AL106" s="58">
        <f>AK106-(AK106*((VLOOKUP(A106,[1]Plan!A$1:AY$804,51,FALSE)/100)))</f>
        <v>0</v>
      </c>
      <c r="AM106" s="58">
        <f>IF(AJ106,O106*'[1]ETC Data'!$H$5*'[1]ETC Data'!$J$5,0)</f>
        <v>0</v>
      </c>
      <c r="AN106" s="58">
        <f>AM106-(AM106*((VLOOKUP(A106,[1]Plan!A$1:BA$804,53,FALSE)/100)))</f>
        <v>0</v>
      </c>
      <c r="AO106" s="61">
        <f>IF(AJ106,O106*'[1]ETC Data'!$H$5*'[1]ETC Data'!$K$5,0)</f>
        <v>0</v>
      </c>
      <c r="AP106" s="58">
        <f>AO106-(AO106*((VLOOKUP(A106,[1]Plan!A$1:BB$804,54,FALSE)/100)))</f>
        <v>0</v>
      </c>
      <c r="AQ106" s="58">
        <f>IF(AJ106,O106*'[1]ETC Data'!$H$5*'[1]ETC Data'!$L$5,0)</f>
        <v>0</v>
      </c>
      <c r="AR106" s="58">
        <f>AQ106-(AQ106*((VLOOKUP(A106,[1]Plan!A$1:BD$804,56,FALSE)/100)))</f>
        <v>0</v>
      </c>
      <c r="AS106" s="20">
        <f>VLOOKUP(A106,'[1]PR Matrix'!A:B,2,FALSE)</f>
        <v>0</v>
      </c>
      <c r="AT106" s="21">
        <f>R106+T106+V106+X106+AB106+AD106+AF106+AH106+AL106+AN106+AP106+AR106</f>
        <v>0</v>
      </c>
      <c r="AU106" s="21">
        <f>Q106+S106+U106+W106+AA106+AC106+AE106+AG106+AK106+AM106+AO106+AQ106</f>
        <v>0</v>
      </c>
      <c r="AV106" s="21">
        <f>R106+AB106+AL106</f>
        <v>0</v>
      </c>
      <c r="AW106" s="21">
        <f>T106+AD106+AN106</f>
        <v>0</v>
      </c>
      <c r="AX106" s="21">
        <f>V106+AF106+AP106</f>
        <v>0</v>
      </c>
      <c r="AY106" s="21">
        <f>X106+AH106+AR106</f>
        <v>0</v>
      </c>
    </row>
    <row r="107" spans="1:51" hidden="1" x14ac:dyDescent="0.2">
      <c r="A107" s="50" t="s">
        <v>314</v>
      </c>
      <c r="B107" s="51" t="s">
        <v>209</v>
      </c>
      <c r="C107" s="51"/>
      <c r="D107" s="51"/>
      <c r="E107" s="52">
        <f>IF(G107="Y",VLOOKUP(B107&amp;"|"&amp;C107,'[1]ETC Data'!$C$2:$D$16,2,FALSE),0)</f>
        <v>0</v>
      </c>
      <c r="F107" s="52">
        <f>IF(D107="",0,IF(G107="Y",VLOOKUP(B107&amp;"|"&amp;D107,'[1]ETC Data'!$C$2:$D$16,2,FALSE),0))</f>
        <v>0</v>
      </c>
      <c r="G107" s="53" t="str">
        <f>IF(VLOOKUP(A107,[1]Plan!A$1:H$804,8,FALSE)&lt;&gt;"",VLOOKUP(A107,[1]Plan!A$1:H$804,8,FALSE),"")</f>
        <v>N</v>
      </c>
      <c r="H107" s="54" t="str">
        <f>IF(VLOOKUP(A107,[1]Plan!A$1:L$804,12,FALSE)&lt;&gt;"",VLOOKUP(A107,[1]Plan!A$1:L$804,12,FALSE),"")</f>
        <v/>
      </c>
      <c r="I107" s="55" t="str">
        <f>IF(VLOOKUP(A107,[1]Plan!A$1:M$804,13,FALSE)&lt;&gt;"",VLOOKUP(A107,[1]Plan!A$1:M$804,13,FALSE),"")</f>
        <v/>
      </c>
      <c r="J107" s="55" t="str">
        <f>IF(VLOOKUP(A107,[1]Plan!A$1:N$804,14,FALSE)&lt;&gt;"",VLOOKUP(A107,[1]Plan!A$1:N$804,14,FALSE),IF(VLOOKUP(A107,[1]Plan!A$1:O$804,15,FALSE)&lt;&gt;"",VLOOKUP(A107,[1]Plan!A$1:O$804,15,FALSE),""))</f>
        <v/>
      </c>
      <c r="K107" s="56" t="str">
        <f>IF(VLOOKUP(A107,[1]Plan!A$1:P$804,16,FALSE)&lt;&gt;"",VLOOKUP(A107,[1]Plan!A$1:P$804,16,FALSE),"")</f>
        <v/>
      </c>
      <c r="L107" s="55"/>
      <c r="M107" s="55"/>
      <c r="N107" s="55"/>
      <c r="O107" s="57">
        <f>IF(F107=0,E107,F107)</f>
        <v>0</v>
      </c>
      <c r="P107" s="57" t="b">
        <f>OR(H107="Y",I107="Y")</f>
        <v>0</v>
      </c>
      <c r="Q107" s="58">
        <f>IF(P107,O107*'[1]ETC Data'!$H$3*'[1]ETC Data'!$I$3,0)</f>
        <v>0</v>
      </c>
      <c r="R107" s="58">
        <f>Q107-(Q107*((VLOOKUP(A107,[1]Plan!A$1:Z$804,26,FALSE)/100)))</f>
        <v>0</v>
      </c>
      <c r="S107" s="58">
        <f>IF(P107,O107*'[1]ETC Data'!$H$3*'[1]ETC Data'!$J$3,0)</f>
        <v>0</v>
      </c>
      <c r="T107" s="58">
        <f>S107-(S107*((VLOOKUP(A107,[1]Plan!A$1:AA$804,27,FALSE)/100)))</f>
        <v>0</v>
      </c>
      <c r="U107" s="58">
        <f>IF(P107,O107*'[1]ETC Data'!$H$3*'[1]ETC Data'!$K$3,0)</f>
        <v>0</v>
      </c>
      <c r="V107" s="58">
        <f>U107-(U107*((VLOOKUP(A107,[1]Plan!A$1:AB$804,28,FALSE)/100)))</f>
        <v>0</v>
      </c>
      <c r="W107" s="58">
        <f>IF(P107,O107*'[1]ETC Data'!$H$3*'[1]ETC Data'!$L$3,0)</f>
        <v>0</v>
      </c>
      <c r="X107" s="58">
        <f>W107-(W107*((VLOOKUP(A107,[1]Plan!A$1:AC$804,29,FALSE)/100)))</f>
        <v>0</v>
      </c>
      <c r="Y107" s="59"/>
      <c r="Z107" s="60" t="b">
        <f>OR(H107="Y",J107="Y")</f>
        <v>0</v>
      </c>
      <c r="AA107" s="58">
        <f>IF(Z107,O107*'[1]ETC Data'!$H$4*'[1]ETC Data'!$I$4,0)</f>
        <v>0</v>
      </c>
      <c r="AB107" s="58">
        <f>AA107-(AA107*((VLOOKUP(A107,[1]Plan!A$1:AI$804,35,FALSE)/100)))</f>
        <v>0</v>
      </c>
      <c r="AC107" s="58">
        <f>IF(Z107,O107*'[1]ETC Data'!$H$4*'[1]ETC Data'!$J$4,0)</f>
        <v>0</v>
      </c>
      <c r="AD107" s="58">
        <f>AC107-(AC107*((VLOOKUP(A107,[1]Plan!A$1:AJ$804,36,FALSE)/100)))</f>
        <v>0</v>
      </c>
      <c r="AE107" s="58">
        <f>IF(Z107,O107*'[1]ETC Data'!$H$4*'[1]ETC Data'!$K$4,0)</f>
        <v>0</v>
      </c>
      <c r="AF107" s="58">
        <f>AE107-(AE107*((VLOOKUP(A107,[1]Plan!A$1:AK$804,37,FALSE)/100)))</f>
        <v>0</v>
      </c>
      <c r="AG107" s="58">
        <f>IF(Z107,O107*'[1]ETC Data'!$H$4*'[1]ETC Data'!$L$4,0)</f>
        <v>0</v>
      </c>
      <c r="AH107" s="58">
        <f>AG107-(AG107*((VLOOKUP(A107,[1]Plan!A$1:AP$804,42,FALSE)/100)))</f>
        <v>0</v>
      </c>
      <c r="AI107" s="60"/>
      <c r="AJ107" s="60" t="b">
        <f>OR(H107="Y",K107="Y")</f>
        <v>0</v>
      </c>
      <c r="AK107" s="61">
        <f>IF(AJ107,O107*'[1]ETC Data'!$H$5*'[1]ETC Data'!$I$5,0)</f>
        <v>0</v>
      </c>
      <c r="AL107" s="58">
        <f>AK107-(AK107*((VLOOKUP(A107,[1]Plan!A$1:AY$804,51,FALSE)/100)))</f>
        <v>0</v>
      </c>
      <c r="AM107" s="58">
        <f>IF(AJ107,O107*'[1]ETC Data'!$H$5*'[1]ETC Data'!$J$5,0)</f>
        <v>0</v>
      </c>
      <c r="AN107" s="58">
        <f>AM107-(AM107*((VLOOKUP(A107,[1]Plan!A$1:BA$804,53,FALSE)/100)))</f>
        <v>0</v>
      </c>
      <c r="AO107" s="61">
        <f>IF(AJ107,O107*'[1]ETC Data'!$H$5*'[1]ETC Data'!$K$5,0)</f>
        <v>0</v>
      </c>
      <c r="AP107" s="58">
        <f>AO107-(AO107*((VLOOKUP(A107,[1]Plan!A$1:BB$804,54,FALSE)/100)))</f>
        <v>0</v>
      </c>
      <c r="AQ107" s="58">
        <f>IF(AJ107,O107*'[1]ETC Data'!$H$5*'[1]ETC Data'!$L$5,0)</f>
        <v>0</v>
      </c>
      <c r="AR107" s="58">
        <f>AQ107-(AQ107*((VLOOKUP(A107,[1]Plan!A$1:BD$804,56,FALSE)/100)))</f>
        <v>0</v>
      </c>
      <c r="AS107" s="20">
        <f>VLOOKUP(A107,'[1]PR Matrix'!A:B,2,FALSE)</f>
        <v>0</v>
      </c>
      <c r="AT107" s="21">
        <f>R107+T107+V107+X107+AB107+AD107+AF107+AH107+AL107+AN107+AP107+AR107</f>
        <v>0</v>
      </c>
      <c r="AU107" s="21">
        <f>Q107+S107+U107+W107+AA107+AC107+AE107+AG107+AK107+AM107+AO107+AQ107</f>
        <v>0</v>
      </c>
      <c r="AV107" s="21">
        <f>R107+AB107+AL107</f>
        <v>0</v>
      </c>
      <c r="AW107" s="21">
        <f>T107+AD107+AN107</f>
        <v>0</v>
      </c>
      <c r="AX107" s="21">
        <f>V107+AF107+AP107</f>
        <v>0</v>
      </c>
      <c r="AY107" s="21">
        <f>X107+AH107+AR107</f>
        <v>0</v>
      </c>
    </row>
    <row r="108" spans="1:51" hidden="1" x14ac:dyDescent="0.2">
      <c r="A108" s="50" t="s">
        <v>315</v>
      </c>
      <c r="B108" s="51" t="s">
        <v>208</v>
      </c>
      <c r="C108" s="51"/>
      <c r="D108" s="51"/>
      <c r="E108" s="52">
        <f>IF(G108="Y",VLOOKUP(B108&amp;"|"&amp;C108,'[1]ETC Data'!$C$2:$D$16,2,FALSE),0)</f>
        <v>0</v>
      </c>
      <c r="F108" s="52">
        <f>IF(D108="",0,IF(G108="Y",VLOOKUP(B108&amp;"|"&amp;D108,'[1]ETC Data'!$C$2:$D$16,2,FALSE),0))</f>
        <v>0</v>
      </c>
      <c r="G108" s="53" t="str">
        <f>IF(VLOOKUP(A108,[1]Plan!A$1:H$804,8,FALSE)&lt;&gt;"",VLOOKUP(A108,[1]Plan!A$1:H$804,8,FALSE),"")</f>
        <v>N</v>
      </c>
      <c r="H108" s="54" t="str">
        <f>IF(VLOOKUP(A108,[1]Plan!A$1:L$804,12,FALSE)&lt;&gt;"",VLOOKUP(A108,[1]Plan!A$1:L$804,12,FALSE),"")</f>
        <v/>
      </c>
      <c r="I108" s="55" t="str">
        <f>IF(VLOOKUP(A108,[1]Plan!A$1:M$804,13,FALSE)&lt;&gt;"",VLOOKUP(A108,[1]Plan!A$1:M$804,13,FALSE),"")</f>
        <v/>
      </c>
      <c r="J108" s="55" t="str">
        <f>IF(VLOOKUP(A108,[1]Plan!A$1:N$804,14,FALSE)&lt;&gt;"",VLOOKUP(A108,[1]Plan!A$1:N$804,14,FALSE),IF(VLOOKUP(A108,[1]Plan!A$1:O$804,15,FALSE)&lt;&gt;"",VLOOKUP(A108,[1]Plan!A$1:O$804,15,FALSE),""))</f>
        <v/>
      </c>
      <c r="K108" s="56" t="str">
        <f>IF(VLOOKUP(A108,[1]Plan!A$1:P$804,16,FALSE)&lt;&gt;"",VLOOKUP(A108,[1]Plan!A$1:P$804,16,FALSE),"")</f>
        <v/>
      </c>
      <c r="L108" s="55"/>
      <c r="M108" s="55"/>
      <c r="N108" s="55"/>
      <c r="O108" s="57">
        <f>IF(F108=0,E108,F108)</f>
        <v>0</v>
      </c>
      <c r="P108" s="57" t="b">
        <f>OR(H108="Y",I108="Y")</f>
        <v>0</v>
      </c>
      <c r="Q108" s="58">
        <f>IF(P108,O108*'[1]ETC Data'!$H$3*'[1]ETC Data'!$I$3,0)</f>
        <v>0</v>
      </c>
      <c r="R108" s="58">
        <f>Q108-(Q108*((VLOOKUP(A108,[1]Plan!A$1:Z$804,26,FALSE)/100)))</f>
        <v>0</v>
      </c>
      <c r="S108" s="58">
        <f>IF(P108,O108*'[1]ETC Data'!$H$3*'[1]ETC Data'!$J$3,0)</f>
        <v>0</v>
      </c>
      <c r="T108" s="58">
        <f>S108-(S108*((VLOOKUP(A108,[1]Plan!A$1:AA$804,27,FALSE)/100)))</f>
        <v>0</v>
      </c>
      <c r="U108" s="58">
        <f>IF(P108,O108*'[1]ETC Data'!$H$3*'[1]ETC Data'!$K$3,0)</f>
        <v>0</v>
      </c>
      <c r="V108" s="58">
        <f>U108-(U108*((VLOOKUP(A108,[1]Plan!A$1:AB$804,28,FALSE)/100)))</f>
        <v>0</v>
      </c>
      <c r="W108" s="58">
        <f>IF(P108,O108*'[1]ETC Data'!$H$3*'[1]ETC Data'!$L$3,0)</f>
        <v>0</v>
      </c>
      <c r="X108" s="58">
        <f>W108-(W108*((VLOOKUP(A108,[1]Plan!A$1:AC$804,29,FALSE)/100)))</f>
        <v>0</v>
      </c>
      <c r="Y108" s="59"/>
      <c r="Z108" s="60" t="b">
        <f>OR(H108="Y",J108="Y")</f>
        <v>0</v>
      </c>
      <c r="AA108" s="58">
        <f>IF(Z108,O108*'[1]ETC Data'!$H$4*'[1]ETC Data'!$I$4,0)</f>
        <v>0</v>
      </c>
      <c r="AB108" s="58">
        <f>AA108-(AA108*((VLOOKUP(A108,[1]Plan!A$1:AI$804,35,FALSE)/100)))</f>
        <v>0</v>
      </c>
      <c r="AC108" s="58">
        <f>IF(Z108,O108*'[1]ETC Data'!$H$4*'[1]ETC Data'!$J$4,0)</f>
        <v>0</v>
      </c>
      <c r="AD108" s="58">
        <f>AC108-(AC108*((VLOOKUP(A108,[1]Plan!A$1:AJ$804,36,FALSE)/100)))</f>
        <v>0</v>
      </c>
      <c r="AE108" s="58">
        <f>IF(Z108,O108*'[1]ETC Data'!$H$4*'[1]ETC Data'!$K$4,0)</f>
        <v>0</v>
      </c>
      <c r="AF108" s="58">
        <f>AE108-(AE108*((VLOOKUP(A108,[1]Plan!A$1:AK$804,37,FALSE)/100)))</f>
        <v>0</v>
      </c>
      <c r="AG108" s="58">
        <f>IF(Z108,O108*'[1]ETC Data'!$H$4*'[1]ETC Data'!$L$4,0)</f>
        <v>0</v>
      </c>
      <c r="AH108" s="58">
        <f>AG108-(AG108*((VLOOKUP(A108,[1]Plan!A$1:AP$804,42,FALSE)/100)))</f>
        <v>0</v>
      </c>
      <c r="AI108" s="60"/>
      <c r="AJ108" s="60" t="b">
        <f>OR(H108="Y",K108="Y")</f>
        <v>0</v>
      </c>
      <c r="AK108" s="61">
        <f>IF(AJ108,O108*'[1]ETC Data'!$H$5*'[1]ETC Data'!$I$5,0)</f>
        <v>0</v>
      </c>
      <c r="AL108" s="58">
        <f>AK108-(AK108*((VLOOKUP(A108,[1]Plan!A$1:AY$804,51,FALSE)/100)))</f>
        <v>0</v>
      </c>
      <c r="AM108" s="58">
        <f>IF(AJ108,O108*'[1]ETC Data'!$H$5*'[1]ETC Data'!$J$5,0)</f>
        <v>0</v>
      </c>
      <c r="AN108" s="58">
        <f>AM108-(AM108*((VLOOKUP(A108,[1]Plan!A$1:BA$804,53,FALSE)/100)))</f>
        <v>0</v>
      </c>
      <c r="AO108" s="61">
        <f>IF(AJ108,O108*'[1]ETC Data'!$H$5*'[1]ETC Data'!$K$5,0)</f>
        <v>0</v>
      </c>
      <c r="AP108" s="58">
        <f>AO108-(AO108*((VLOOKUP(A108,[1]Plan!A$1:BB$804,54,FALSE)/100)))</f>
        <v>0</v>
      </c>
      <c r="AQ108" s="58">
        <f>IF(AJ108,O108*'[1]ETC Data'!$H$5*'[1]ETC Data'!$L$5,0)</f>
        <v>0</v>
      </c>
      <c r="AR108" s="58">
        <f>AQ108-(AQ108*((VLOOKUP(A108,[1]Plan!A$1:BD$804,56,FALSE)/100)))</f>
        <v>0</v>
      </c>
      <c r="AS108" s="20">
        <f>VLOOKUP(A108,'[1]PR Matrix'!A:B,2,FALSE)</f>
        <v>0</v>
      </c>
      <c r="AT108" s="21">
        <f>R108+T108+V108+X108+AB108+AD108+AF108+AH108+AL108+AN108+AP108+AR108</f>
        <v>0</v>
      </c>
      <c r="AU108" s="21">
        <f>Q108+S108+U108+W108+AA108+AC108+AE108+AG108+AK108+AM108+AO108+AQ108</f>
        <v>0</v>
      </c>
      <c r="AV108" s="21">
        <f>R108+AB108+AL108</f>
        <v>0</v>
      </c>
      <c r="AW108" s="21">
        <f>T108+AD108+AN108</f>
        <v>0</v>
      </c>
      <c r="AX108" s="21">
        <f>V108+AF108+AP108</f>
        <v>0</v>
      </c>
      <c r="AY108" s="21">
        <f>X108+AH108+AR108</f>
        <v>0</v>
      </c>
    </row>
    <row r="109" spans="1:51" hidden="1" x14ac:dyDescent="0.2">
      <c r="A109" s="50" t="s">
        <v>316</v>
      </c>
      <c r="B109" s="51" t="s">
        <v>208</v>
      </c>
      <c r="C109" s="51"/>
      <c r="D109" s="51"/>
      <c r="E109" s="52">
        <f>IF(G109="Y",VLOOKUP(B109&amp;"|"&amp;C109,'[1]ETC Data'!$C$2:$D$16,2,FALSE),0)</f>
        <v>0</v>
      </c>
      <c r="F109" s="52">
        <f>IF(D109="",0,IF(G109="Y",VLOOKUP(B109&amp;"|"&amp;D109,'[1]ETC Data'!$C$2:$D$16,2,FALSE),0))</f>
        <v>0</v>
      </c>
      <c r="G109" s="53" t="str">
        <f>IF(VLOOKUP(A109,[1]Plan!A$1:H$804,8,FALSE)&lt;&gt;"",VLOOKUP(A109,[1]Plan!A$1:H$804,8,FALSE),"")</f>
        <v>N</v>
      </c>
      <c r="H109" s="54" t="str">
        <f>IF(VLOOKUP(A109,[1]Plan!A$1:L$804,12,FALSE)&lt;&gt;"",VLOOKUP(A109,[1]Plan!A$1:L$804,12,FALSE),"")</f>
        <v/>
      </c>
      <c r="I109" s="55" t="str">
        <f>IF(VLOOKUP(A109,[1]Plan!A$1:M$804,13,FALSE)&lt;&gt;"",VLOOKUP(A109,[1]Plan!A$1:M$804,13,FALSE),"")</f>
        <v/>
      </c>
      <c r="J109" s="55" t="str">
        <f>IF(VLOOKUP(A109,[1]Plan!A$1:N$804,14,FALSE)&lt;&gt;"",VLOOKUP(A109,[1]Plan!A$1:N$804,14,FALSE),IF(VLOOKUP(A109,[1]Plan!A$1:O$804,15,FALSE)&lt;&gt;"",VLOOKUP(A109,[1]Plan!A$1:O$804,15,FALSE),""))</f>
        <v/>
      </c>
      <c r="K109" s="56" t="str">
        <f>IF(VLOOKUP(A109,[1]Plan!A$1:P$804,16,FALSE)&lt;&gt;"",VLOOKUP(A109,[1]Plan!A$1:P$804,16,FALSE),"")</f>
        <v/>
      </c>
      <c r="L109" s="55"/>
      <c r="M109" s="55"/>
      <c r="N109" s="55"/>
      <c r="O109" s="57">
        <f>IF(F109=0,E109,F109)</f>
        <v>0</v>
      </c>
      <c r="P109" s="57" t="b">
        <f>OR(H109="Y",I109="Y")</f>
        <v>0</v>
      </c>
      <c r="Q109" s="58">
        <f>IF(P109,O109*'[1]ETC Data'!$H$3*'[1]ETC Data'!$I$3,0)</f>
        <v>0</v>
      </c>
      <c r="R109" s="58">
        <f>Q109-(Q109*((VLOOKUP(A109,[1]Plan!A$1:Z$804,26,FALSE)/100)))</f>
        <v>0</v>
      </c>
      <c r="S109" s="58">
        <f>IF(P109,O109*'[1]ETC Data'!$H$3*'[1]ETC Data'!$J$3,0)</f>
        <v>0</v>
      </c>
      <c r="T109" s="58">
        <f>S109-(S109*((VLOOKUP(A109,[1]Plan!A$1:AA$804,27,FALSE)/100)))</f>
        <v>0</v>
      </c>
      <c r="U109" s="58">
        <f>IF(P109,O109*'[1]ETC Data'!$H$3*'[1]ETC Data'!$K$3,0)</f>
        <v>0</v>
      </c>
      <c r="V109" s="58">
        <f>U109-(U109*((VLOOKUP(A109,[1]Plan!A$1:AB$804,28,FALSE)/100)))</f>
        <v>0</v>
      </c>
      <c r="W109" s="58">
        <f>IF(P109,O109*'[1]ETC Data'!$H$3*'[1]ETC Data'!$L$3,0)</f>
        <v>0</v>
      </c>
      <c r="X109" s="58">
        <f>W109-(W109*((VLOOKUP(A109,[1]Plan!A$1:AC$804,29,FALSE)/100)))</f>
        <v>0</v>
      </c>
      <c r="Y109" s="59"/>
      <c r="Z109" s="60" t="b">
        <f>OR(H109="Y",J109="Y")</f>
        <v>0</v>
      </c>
      <c r="AA109" s="58">
        <f>IF(Z109,O109*'[1]ETC Data'!$H$4*'[1]ETC Data'!$I$4,0)</f>
        <v>0</v>
      </c>
      <c r="AB109" s="58">
        <f>AA109-(AA109*((VLOOKUP(A109,[1]Plan!A$1:AI$804,35,FALSE)/100)))</f>
        <v>0</v>
      </c>
      <c r="AC109" s="58">
        <f>IF(Z109,O109*'[1]ETC Data'!$H$4*'[1]ETC Data'!$J$4,0)</f>
        <v>0</v>
      </c>
      <c r="AD109" s="58">
        <f>AC109-(AC109*((VLOOKUP(A109,[1]Plan!A$1:AJ$804,36,FALSE)/100)))</f>
        <v>0</v>
      </c>
      <c r="AE109" s="58">
        <f>IF(Z109,O109*'[1]ETC Data'!$H$4*'[1]ETC Data'!$K$4,0)</f>
        <v>0</v>
      </c>
      <c r="AF109" s="58">
        <f>AE109-(AE109*((VLOOKUP(A109,[1]Plan!A$1:AK$804,37,FALSE)/100)))</f>
        <v>0</v>
      </c>
      <c r="AG109" s="58">
        <f>IF(Z109,O109*'[1]ETC Data'!$H$4*'[1]ETC Data'!$L$4,0)</f>
        <v>0</v>
      </c>
      <c r="AH109" s="58">
        <f>AG109-(AG109*((VLOOKUP(A109,[1]Plan!A$1:AP$804,42,FALSE)/100)))</f>
        <v>0</v>
      </c>
      <c r="AI109" s="60"/>
      <c r="AJ109" s="60" t="b">
        <f>OR(H109="Y",K109="Y")</f>
        <v>0</v>
      </c>
      <c r="AK109" s="61">
        <f>IF(AJ109,O109*'[1]ETC Data'!$H$5*'[1]ETC Data'!$I$5,0)</f>
        <v>0</v>
      </c>
      <c r="AL109" s="58">
        <f>AK109-(AK109*((VLOOKUP(A109,[1]Plan!A$1:AY$804,51,FALSE)/100)))</f>
        <v>0</v>
      </c>
      <c r="AM109" s="58">
        <f>IF(AJ109,O109*'[1]ETC Data'!$H$5*'[1]ETC Data'!$J$5,0)</f>
        <v>0</v>
      </c>
      <c r="AN109" s="58">
        <f>AM109-(AM109*((VLOOKUP(A109,[1]Plan!A$1:BA$804,53,FALSE)/100)))</f>
        <v>0</v>
      </c>
      <c r="AO109" s="61">
        <f>IF(AJ109,O109*'[1]ETC Data'!$H$5*'[1]ETC Data'!$K$5,0)</f>
        <v>0</v>
      </c>
      <c r="AP109" s="58">
        <f>AO109-(AO109*((VLOOKUP(A109,[1]Plan!A$1:BB$804,54,FALSE)/100)))</f>
        <v>0</v>
      </c>
      <c r="AQ109" s="58">
        <f>IF(AJ109,O109*'[1]ETC Data'!$H$5*'[1]ETC Data'!$L$5,0)</f>
        <v>0</v>
      </c>
      <c r="AR109" s="58">
        <f>AQ109-(AQ109*((VLOOKUP(A109,[1]Plan!A$1:BD$804,56,FALSE)/100)))</f>
        <v>0</v>
      </c>
      <c r="AS109" s="20">
        <f>VLOOKUP(A109,'[1]PR Matrix'!A:B,2,FALSE)</f>
        <v>0</v>
      </c>
      <c r="AT109" s="21">
        <f>R109+T109+V109+X109+AB109+AD109+AF109+AH109+AL109+AN109+AP109+AR109</f>
        <v>0</v>
      </c>
      <c r="AU109" s="21">
        <f>Q109+S109+U109+W109+AA109+AC109+AE109+AG109+AK109+AM109+AO109+AQ109</f>
        <v>0</v>
      </c>
      <c r="AV109" s="21">
        <f>R109+AB109+AL109</f>
        <v>0</v>
      </c>
      <c r="AW109" s="21">
        <f>T109+AD109+AN109</f>
        <v>0</v>
      </c>
      <c r="AX109" s="21">
        <f>V109+AF109+AP109</f>
        <v>0</v>
      </c>
      <c r="AY109" s="21">
        <f>X109+AH109+AR109</f>
        <v>0</v>
      </c>
    </row>
    <row r="110" spans="1:51" hidden="1" x14ac:dyDescent="0.2">
      <c r="A110" s="50" t="s">
        <v>317</v>
      </c>
      <c r="B110" s="51" t="s">
        <v>208</v>
      </c>
      <c r="C110" s="51"/>
      <c r="D110" s="51"/>
      <c r="E110" s="52">
        <f>IF(G110="Y",VLOOKUP(B110&amp;"|"&amp;C110,'[1]ETC Data'!$C$2:$D$16,2,FALSE),0)</f>
        <v>0</v>
      </c>
      <c r="F110" s="52">
        <f>IF(D110="",0,IF(G110="Y",VLOOKUP(B110&amp;"|"&amp;D110,'[1]ETC Data'!$C$2:$D$16,2,FALSE),0))</f>
        <v>0</v>
      </c>
      <c r="G110" s="53" t="str">
        <f>IF(VLOOKUP(A110,[1]Plan!A$1:H$804,8,FALSE)&lt;&gt;"",VLOOKUP(A110,[1]Plan!A$1:H$804,8,FALSE),"")</f>
        <v>N</v>
      </c>
      <c r="H110" s="54" t="str">
        <f>IF(VLOOKUP(A110,[1]Plan!A$1:L$804,12,FALSE)&lt;&gt;"",VLOOKUP(A110,[1]Plan!A$1:L$804,12,FALSE),"")</f>
        <v/>
      </c>
      <c r="I110" s="55" t="str">
        <f>IF(VLOOKUP(A110,[1]Plan!A$1:M$804,13,FALSE)&lt;&gt;"",VLOOKUP(A110,[1]Plan!A$1:M$804,13,FALSE),"")</f>
        <v/>
      </c>
      <c r="J110" s="55" t="str">
        <f>IF(VLOOKUP(A110,[1]Plan!A$1:N$804,14,FALSE)&lt;&gt;"",VLOOKUP(A110,[1]Plan!A$1:N$804,14,FALSE),IF(VLOOKUP(A110,[1]Plan!A$1:O$804,15,FALSE)&lt;&gt;"",VLOOKUP(A110,[1]Plan!A$1:O$804,15,FALSE),""))</f>
        <v/>
      </c>
      <c r="K110" s="56" t="str">
        <f>IF(VLOOKUP(A110,[1]Plan!A$1:P$804,16,FALSE)&lt;&gt;"",VLOOKUP(A110,[1]Plan!A$1:P$804,16,FALSE),"")</f>
        <v/>
      </c>
      <c r="L110" s="55"/>
      <c r="M110" s="55"/>
      <c r="N110" s="55"/>
      <c r="O110" s="57">
        <f>IF(F110=0,E110,F110)</f>
        <v>0</v>
      </c>
      <c r="P110" s="57" t="b">
        <f>OR(H110="Y",I110="Y")</f>
        <v>0</v>
      </c>
      <c r="Q110" s="58">
        <f>IF(P110,O110*'[1]ETC Data'!$H$3*'[1]ETC Data'!$I$3,0)</f>
        <v>0</v>
      </c>
      <c r="R110" s="58">
        <f>Q110-(Q110*((VLOOKUP(A110,[1]Plan!A$1:Z$804,26,FALSE)/100)))</f>
        <v>0</v>
      </c>
      <c r="S110" s="58">
        <f>IF(P110,O110*'[1]ETC Data'!$H$3*'[1]ETC Data'!$J$3,0)</f>
        <v>0</v>
      </c>
      <c r="T110" s="58">
        <f>S110-(S110*((VLOOKUP(A110,[1]Plan!A$1:AA$804,27,FALSE)/100)))</f>
        <v>0</v>
      </c>
      <c r="U110" s="58">
        <f>IF(P110,O110*'[1]ETC Data'!$H$3*'[1]ETC Data'!$K$3,0)</f>
        <v>0</v>
      </c>
      <c r="V110" s="58">
        <f>U110-(U110*((VLOOKUP(A110,[1]Plan!A$1:AB$804,28,FALSE)/100)))</f>
        <v>0</v>
      </c>
      <c r="W110" s="58">
        <f>IF(P110,O110*'[1]ETC Data'!$H$3*'[1]ETC Data'!$L$3,0)</f>
        <v>0</v>
      </c>
      <c r="X110" s="58">
        <f>W110-(W110*((VLOOKUP(A110,[1]Plan!A$1:AC$804,29,FALSE)/100)))</f>
        <v>0</v>
      </c>
      <c r="Y110" s="59"/>
      <c r="Z110" s="60" t="b">
        <f>OR(H110="Y",J110="Y")</f>
        <v>0</v>
      </c>
      <c r="AA110" s="58">
        <f>IF(Z110,O110*'[1]ETC Data'!$H$4*'[1]ETC Data'!$I$4,0)</f>
        <v>0</v>
      </c>
      <c r="AB110" s="58">
        <f>AA110-(AA110*((VLOOKUP(A110,[1]Plan!A$1:AI$804,35,FALSE)/100)))</f>
        <v>0</v>
      </c>
      <c r="AC110" s="58">
        <f>IF(Z110,O110*'[1]ETC Data'!$H$4*'[1]ETC Data'!$J$4,0)</f>
        <v>0</v>
      </c>
      <c r="AD110" s="58">
        <f>AC110-(AC110*((VLOOKUP(A110,[1]Plan!A$1:AJ$804,36,FALSE)/100)))</f>
        <v>0</v>
      </c>
      <c r="AE110" s="58">
        <f>IF(Z110,O110*'[1]ETC Data'!$H$4*'[1]ETC Data'!$K$4,0)</f>
        <v>0</v>
      </c>
      <c r="AF110" s="58">
        <f>AE110-(AE110*((VLOOKUP(A110,[1]Plan!A$1:AK$804,37,FALSE)/100)))</f>
        <v>0</v>
      </c>
      <c r="AG110" s="58">
        <f>IF(Z110,O110*'[1]ETC Data'!$H$4*'[1]ETC Data'!$L$4,0)</f>
        <v>0</v>
      </c>
      <c r="AH110" s="58">
        <f>AG110-(AG110*((VLOOKUP(A110,[1]Plan!A$1:AP$804,42,FALSE)/100)))</f>
        <v>0</v>
      </c>
      <c r="AI110" s="60"/>
      <c r="AJ110" s="60" t="b">
        <f>OR(H110="Y",K110="Y")</f>
        <v>0</v>
      </c>
      <c r="AK110" s="61">
        <f>IF(AJ110,O110*'[1]ETC Data'!$H$5*'[1]ETC Data'!$I$5,0)</f>
        <v>0</v>
      </c>
      <c r="AL110" s="58">
        <f>AK110-(AK110*((VLOOKUP(A110,[1]Plan!A$1:AY$804,51,FALSE)/100)))</f>
        <v>0</v>
      </c>
      <c r="AM110" s="58">
        <f>IF(AJ110,O110*'[1]ETC Data'!$H$5*'[1]ETC Data'!$J$5,0)</f>
        <v>0</v>
      </c>
      <c r="AN110" s="58">
        <f>AM110-(AM110*((VLOOKUP(A110,[1]Plan!A$1:BA$804,53,FALSE)/100)))</f>
        <v>0</v>
      </c>
      <c r="AO110" s="61">
        <f>IF(AJ110,O110*'[1]ETC Data'!$H$5*'[1]ETC Data'!$K$5,0)</f>
        <v>0</v>
      </c>
      <c r="AP110" s="58">
        <f>AO110-(AO110*((VLOOKUP(A110,[1]Plan!A$1:BB$804,54,FALSE)/100)))</f>
        <v>0</v>
      </c>
      <c r="AQ110" s="58">
        <f>IF(AJ110,O110*'[1]ETC Data'!$H$5*'[1]ETC Data'!$L$5,0)</f>
        <v>0</v>
      </c>
      <c r="AR110" s="58">
        <f>AQ110-(AQ110*((VLOOKUP(A110,[1]Plan!A$1:BD$804,56,FALSE)/100)))</f>
        <v>0</v>
      </c>
      <c r="AS110" s="20">
        <f>VLOOKUP(A110,'[1]PR Matrix'!A:B,2,FALSE)</f>
        <v>0</v>
      </c>
      <c r="AT110" s="21">
        <f>R110+T110+V110+X110+AB110+AD110+AF110+AH110+AL110+AN110+AP110+AR110</f>
        <v>0</v>
      </c>
      <c r="AU110" s="21">
        <f>Q110+S110+U110+W110+AA110+AC110+AE110+AG110+AK110+AM110+AO110+AQ110</f>
        <v>0</v>
      </c>
      <c r="AV110" s="21">
        <f>R110+AB110+AL110</f>
        <v>0</v>
      </c>
      <c r="AW110" s="21">
        <f>T110+AD110+AN110</f>
        <v>0</v>
      </c>
      <c r="AX110" s="21">
        <f>V110+AF110+AP110</f>
        <v>0</v>
      </c>
      <c r="AY110" s="21">
        <f>X110+AH110+AR110</f>
        <v>0</v>
      </c>
    </row>
    <row r="111" spans="1:51" hidden="1" x14ac:dyDescent="0.2">
      <c r="A111" s="50" t="s">
        <v>318</v>
      </c>
      <c r="B111" s="51" t="s">
        <v>208</v>
      </c>
      <c r="C111" s="51"/>
      <c r="D111" s="51"/>
      <c r="E111" s="52">
        <f>IF(G111="Y",VLOOKUP(B111&amp;"|"&amp;C111,'[1]ETC Data'!$C$2:$D$16,2,FALSE),0)</f>
        <v>0</v>
      </c>
      <c r="F111" s="52">
        <f>IF(D111="",0,IF(G111="Y",VLOOKUP(B111&amp;"|"&amp;D111,'[1]ETC Data'!$C$2:$D$16,2,FALSE),0))</f>
        <v>0</v>
      </c>
      <c r="G111" s="53" t="str">
        <f>IF(VLOOKUP(A111,[1]Plan!A$1:H$804,8,FALSE)&lt;&gt;"",VLOOKUP(A111,[1]Plan!A$1:H$804,8,FALSE),"")</f>
        <v>N</v>
      </c>
      <c r="H111" s="54" t="str">
        <f>IF(VLOOKUP(A111,[1]Plan!A$1:L$804,12,FALSE)&lt;&gt;"",VLOOKUP(A111,[1]Plan!A$1:L$804,12,FALSE),"")</f>
        <v/>
      </c>
      <c r="I111" s="55" t="str">
        <f>IF(VLOOKUP(A111,[1]Plan!A$1:M$804,13,FALSE)&lt;&gt;"",VLOOKUP(A111,[1]Plan!A$1:M$804,13,FALSE),"")</f>
        <v/>
      </c>
      <c r="J111" s="55" t="str">
        <f>IF(VLOOKUP(A111,[1]Plan!A$1:N$804,14,FALSE)&lt;&gt;"",VLOOKUP(A111,[1]Plan!A$1:N$804,14,FALSE),IF(VLOOKUP(A111,[1]Plan!A$1:O$804,15,FALSE)&lt;&gt;"",VLOOKUP(A111,[1]Plan!A$1:O$804,15,FALSE),""))</f>
        <v/>
      </c>
      <c r="K111" s="56" t="str">
        <f>IF(VLOOKUP(A111,[1]Plan!A$1:P$804,16,FALSE)&lt;&gt;"",VLOOKUP(A111,[1]Plan!A$1:P$804,16,FALSE),"")</f>
        <v/>
      </c>
      <c r="L111" s="55"/>
      <c r="M111" s="55"/>
      <c r="N111" s="55"/>
      <c r="O111" s="57">
        <f>IF(F111=0,E111,F111)</f>
        <v>0</v>
      </c>
      <c r="P111" s="57" t="b">
        <f>OR(H111="Y",I111="Y")</f>
        <v>0</v>
      </c>
      <c r="Q111" s="58">
        <f>IF(P111,O111*'[1]ETC Data'!$H$3*'[1]ETC Data'!$I$3,0)</f>
        <v>0</v>
      </c>
      <c r="R111" s="58">
        <f>Q111-(Q111*((VLOOKUP(A111,[1]Plan!A$1:Z$804,26,FALSE)/100)))</f>
        <v>0</v>
      </c>
      <c r="S111" s="58">
        <f>IF(P111,O111*'[1]ETC Data'!$H$3*'[1]ETC Data'!$J$3,0)</f>
        <v>0</v>
      </c>
      <c r="T111" s="58">
        <f>S111-(S111*((VLOOKUP(A111,[1]Plan!A$1:AA$804,27,FALSE)/100)))</f>
        <v>0</v>
      </c>
      <c r="U111" s="58">
        <f>IF(P111,O111*'[1]ETC Data'!$H$3*'[1]ETC Data'!$K$3,0)</f>
        <v>0</v>
      </c>
      <c r="V111" s="58">
        <f>U111-(U111*((VLOOKUP(A111,[1]Plan!A$1:AB$804,28,FALSE)/100)))</f>
        <v>0</v>
      </c>
      <c r="W111" s="58">
        <f>IF(P111,O111*'[1]ETC Data'!$H$3*'[1]ETC Data'!$L$3,0)</f>
        <v>0</v>
      </c>
      <c r="X111" s="58">
        <f>W111-(W111*((VLOOKUP(A111,[1]Plan!A$1:AC$804,29,FALSE)/100)))</f>
        <v>0</v>
      </c>
      <c r="Y111" s="59"/>
      <c r="Z111" s="60" t="b">
        <f>OR(H111="Y",J111="Y")</f>
        <v>0</v>
      </c>
      <c r="AA111" s="58">
        <f>IF(Z111,O111*'[1]ETC Data'!$H$4*'[1]ETC Data'!$I$4,0)</f>
        <v>0</v>
      </c>
      <c r="AB111" s="58">
        <f>AA111-(AA111*((VLOOKUP(A111,[1]Plan!A$1:AI$804,35,FALSE)/100)))</f>
        <v>0</v>
      </c>
      <c r="AC111" s="58">
        <f>IF(Z111,O111*'[1]ETC Data'!$H$4*'[1]ETC Data'!$J$4,0)</f>
        <v>0</v>
      </c>
      <c r="AD111" s="58">
        <f>AC111-(AC111*((VLOOKUP(A111,[1]Plan!A$1:AJ$804,36,FALSE)/100)))</f>
        <v>0</v>
      </c>
      <c r="AE111" s="58">
        <f>IF(Z111,O111*'[1]ETC Data'!$H$4*'[1]ETC Data'!$K$4,0)</f>
        <v>0</v>
      </c>
      <c r="AF111" s="58">
        <f>AE111-(AE111*((VLOOKUP(A111,[1]Plan!A$1:AK$804,37,FALSE)/100)))</f>
        <v>0</v>
      </c>
      <c r="AG111" s="58">
        <f>IF(Z111,O111*'[1]ETC Data'!$H$4*'[1]ETC Data'!$L$4,0)</f>
        <v>0</v>
      </c>
      <c r="AH111" s="58">
        <f>AG111-(AG111*((VLOOKUP(A111,[1]Plan!A$1:AP$804,42,FALSE)/100)))</f>
        <v>0</v>
      </c>
      <c r="AI111" s="60"/>
      <c r="AJ111" s="60" t="b">
        <f>OR(H111="Y",K111="Y")</f>
        <v>0</v>
      </c>
      <c r="AK111" s="61">
        <f>IF(AJ111,O111*'[1]ETC Data'!$H$5*'[1]ETC Data'!$I$5,0)</f>
        <v>0</v>
      </c>
      <c r="AL111" s="58">
        <f>AK111-(AK111*((VLOOKUP(A111,[1]Plan!A$1:AY$804,51,FALSE)/100)))</f>
        <v>0</v>
      </c>
      <c r="AM111" s="58">
        <f>IF(AJ111,O111*'[1]ETC Data'!$H$5*'[1]ETC Data'!$J$5,0)</f>
        <v>0</v>
      </c>
      <c r="AN111" s="58">
        <f>AM111-(AM111*((VLOOKUP(A111,[1]Plan!A$1:BA$804,53,FALSE)/100)))</f>
        <v>0</v>
      </c>
      <c r="AO111" s="61">
        <f>IF(AJ111,O111*'[1]ETC Data'!$H$5*'[1]ETC Data'!$K$5,0)</f>
        <v>0</v>
      </c>
      <c r="AP111" s="58">
        <f>AO111-(AO111*((VLOOKUP(A111,[1]Plan!A$1:BB$804,54,FALSE)/100)))</f>
        <v>0</v>
      </c>
      <c r="AQ111" s="58">
        <f>IF(AJ111,O111*'[1]ETC Data'!$H$5*'[1]ETC Data'!$L$5,0)</f>
        <v>0</v>
      </c>
      <c r="AR111" s="58">
        <f>AQ111-(AQ111*((VLOOKUP(A111,[1]Plan!A$1:BD$804,56,FALSE)/100)))</f>
        <v>0</v>
      </c>
      <c r="AS111" s="20">
        <f>VLOOKUP(A111,'[1]PR Matrix'!A:B,2,FALSE)</f>
        <v>0</v>
      </c>
      <c r="AT111" s="21">
        <f>R111+T111+V111+X111+AB111+AD111+AF111+AH111+AL111+AN111+AP111+AR111</f>
        <v>0</v>
      </c>
      <c r="AU111" s="21">
        <f>Q111+S111+U111+W111+AA111+AC111+AE111+AG111+AK111+AM111+AO111+AQ111</f>
        <v>0</v>
      </c>
      <c r="AV111" s="21">
        <f>R111+AB111+AL111</f>
        <v>0</v>
      </c>
      <c r="AW111" s="21">
        <f>T111+AD111+AN111</f>
        <v>0</v>
      </c>
      <c r="AX111" s="21">
        <f>V111+AF111+AP111</f>
        <v>0</v>
      </c>
      <c r="AY111" s="21">
        <f>X111+AH111+AR111</f>
        <v>0</v>
      </c>
    </row>
    <row r="112" spans="1:51" hidden="1" x14ac:dyDescent="0.2">
      <c r="A112" s="50" t="s">
        <v>319</v>
      </c>
      <c r="B112" s="51" t="s">
        <v>208</v>
      </c>
      <c r="C112" s="51"/>
      <c r="D112" s="51"/>
      <c r="E112" s="52">
        <f>IF(G112="Y",VLOOKUP(B112&amp;"|"&amp;C112,'[1]ETC Data'!$C$2:$D$16,2,FALSE),0)</f>
        <v>0</v>
      </c>
      <c r="F112" s="52">
        <f>IF(D112="",0,IF(G112="Y",VLOOKUP(B112&amp;"|"&amp;D112,'[1]ETC Data'!$C$2:$D$16,2,FALSE),0))</f>
        <v>0</v>
      </c>
      <c r="G112" s="53" t="str">
        <f>IF(VLOOKUP(A112,[1]Plan!A$1:H$804,8,FALSE)&lt;&gt;"",VLOOKUP(A112,[1]Plan!A$1:H$804,8,FALSE),"")</f>
        <v>N</v>
      </c>
      <c r="H112" s="54" t="str">
        <f>IF(VLOOKUP(A112,[1]Plan!A$1:L$804,12,FALSE)&lt;&gt;"",VLOOKUP(A112,[1]Plan!A$1:L$804,12,FALSE),"")</f>
        <v/>
      </c>
      <c r="I112" s="55" t="str">
        <f>IF(VLOOKUP(A112,[1]Plan!A$1:M$804,13,FALSE)&lt;&gt;"",VLOOKUP(A112,[1]Plan!A$1:M$804,13,FALSE),"")</f>
        <v/>
      </c>
      <c r="J112" s="55" t="str">
        <f>IF(VLOOKUP(A112,[1]Plan!A$1:N$804,14,FALSE)&lt;&gt;"",VLOOKUP(A112,[1]Plan!A$1:N$804,14,FALSE),IF(VLOOKUP(A112,[1]Plan!A$1:O$804,15,FALSE)&lt;&gt;"",VLOOKUP(A112,[1]Plan!A$1:O$804,15,FALSE),""))</f>
        <v/>
      </c>
      <c r="K112" s="56" t="str">
        <f>IF(VLOOKUP(A112,[1]Plan!A$1:P$804,16,FALSE)&lt;&gt;"",VLOOKUP(A112,[1]Plan!A$1:P$804,16,FALSE),"")</f>
        <v/>
      </c>
      <c r="L112" s="55"/>
      <c r="M112" s="55"/>
      <c r="N112" s="55"/>
      <c r="O112" s="57">
        <f>IF(F112=0,E112,F112)</f>
        <v>0</v>
      </c>
      <c r="P112" s="57" t="b">
        <f>OR(H112="Y",I112="Y")</f>
        <v>0</v>
      </c>
      <c r="Q112" s="58">
        <f>IF(P112,O112*'[1]ETC Data'!$H$3*'[1]ETC Data'!$I$3,0)</f>
        <v>0</v>
      </c>
      <c r="R112" s="58">
        <f>Q112-(Q112*((VLOOKUP(A112,[1]Plan!A$1:Z$804,26,FALSE)/100)))</f>
        <v>0</v>
      </c>
      <c r="S112" s="58">
        <f>IF(P112,O112*'[1]ETC Data'!$H$3*'[1]ETC Data'!$J$3,0)</f>
        <v>0</v>
      </c>
      <c r="T112" s="58">
        <f>S112-(S112*((VLOOKUP(A112,[1]Plan!A$1:AA$804,27,FALSE)/100)))</f>
        <v>0</v>
      </c>
      <c r="U112" s="58">
        <f>IF(P112,O112*'[1]ETC Data'!$H$3*'[1]ETC Data'!$K$3,0)</f>
        <v>0</v>
      </c>
      <c r="V112" s="58">
        <f>U112-(U112*((VLOOKUP(A112,[1]Plan!A$1:AB$804,28,FALSE)/100)))</f>
        <v>0</v>
      </c>
      <c r="W112" s="58">
        <f>IF(P112,O112*'[1]ETC Data'!$H$3*'[1]ETC Data'!$L$3,0)</f>
        <v>0</v>
      </c>
      <c r="X112" s="58">
        <f>W112-(W112*((VLOOKUP(A112,[1]Plan!A$1:AC$804,29,FALSE)/100)))</f>
        <v>0</v>
      </c>
      <c r="Y112" s="59"/>
      <c r="Z112" s="60" t="b">
        <f>OR(H112="Y",J112="Y")</f>
        <v>0</v>
      </c>
      <c r="AA112" s="58">
        <f>IF(Z112,O112*'[1]ETC Data'!$H$4*'[1]ETC Data'!$I$4,0)</f>
        <v>0</v>
      </c>
      <c r="AB112" s="58">
        <f>AA112-(AA112*((VLOOKUP(A112,[1]Plan!A$1:AI$804,35,FALSE)/100)))</f>
        <v>0</v>
      </c>
      <c r="AC112" s="58">
        <f>IF(Z112,O112*'[1]ETC Data'!$H$4*'[1]ETC Data'!$J$4,0)</f>
        <v>0</v>
      </c>
      <c r="AD112" s="58">
        <f>AC112-(AC112*((VLOOKUP(A112,[1]Plan!A$1:AJ$804,36,FALSE)/100)))</f>
        <v>0</v>
      </c>
      <c r="AE112" s="58">
        <f>IF(Z112,O112*'[1]ETC Data'!$H$4*'[1]ETC Data'!$K$4,0)</f>
        <v>0</v>
      </c>
      <c r="AF112" s="58">
        <f>AE112-(AE112*((VLOOKUP(A112,[1]Plan!A$1:AK$804,37,FALSE)/100)))</f>
        <v>0</v>
      </c>
      <c r="AG112" s="58">
        <f>IF(Z112,O112*'[1]ETC Data'!$H$4*'[1]ETC Data'!$L$4,0)</f>
        <v>0</v>
      </c>
      <c r="AH112" s="58">
        <f>AG112-(AG112*((VLOOKUP(A112,[1]Plan!A$1:AP$804,42,FALSE)/100)))</f>
        <v>0</v>
      </c>
      <c r="AI112" s="60"/>
      <c r="AJ112" s="60" t="b">
        <f>OR(H112="Y",K112="Y")</f>
        <v>0</v>
      </c>
      <c r="AK112" s="61">
        <f>IF(AJ112,O112*'[1]ETC Data'!$H$5*'[1]ETC Data'!$I$5,0)</f>
        <v>0</v>
      </c>
      <c r="AL112" s="58">
        <f>AK112-(AK112*((VLOOKUP(A112,[1]Plan!A$1:AY$804,51,FALSE)/100)))</f>
        <v>0</v>
      </c>
      <c r="AM112" s="58">
        <f>IF(AJ112,O112*'[1]ETC Data'!$H$5*'[1]ETC Data'!$J$5,0)</f>
        <v>0</v>
      </c>
      <c r="AN112" s="58">
        <f>AM112-(AM112*((VLOOKUP(A112,[1]Plan!A$1:BA$804,53,FALSE)/100)))</f>
        <v>0</v>
      </c>
      <c r="AO112" s="61">
        <f>IF(AJ112,O112*'[1]ETC Data'!$H$5*'[1]ETC Data'!$K$5,0)</f>
        <v>0</v>
      </c>
      <c r="AP112" s="58">
        <f>AO112-(AO112*((VLOOKUP(A112,[1]Plan!A$1:BB$804,54,FALSE)/100)))</f>
        <v>0</v>
      </c>
      <c r="AQ112" s="58">
        <f>IF(AJ112,O112*'[1]ETC Data'!$H$5*'[1]ETC Data'!$L$5,0)</f>
        <v>0</v>
      </c>
      <c r="AR112" s="58">
        <f>AQ112-(AQ112*((VLOOKUP(A112,[1]Plan!A$1:BD$804,56,FALSE)/100)))</f>
        <v>0</v>
      </c>
      <c r="AS112" s="20">
        <f>VLOOKUP(A112,'[1]PR Matrix'!A:B,2,FALSE)</f>
        <v>0</v>
      </c>
      <c r="AT112" s="21">
        <f>R112+T112+V112+X112+AB112+AD112+AF112+AH112+AL112+AN112+AP112+AR112</f>
        <v>0</v>
      </c>
      <c r="AU112" s="21">
        <f>Q112+S112+U112+W112+AA112+AC112+AE112+AG112+AK112+AM112+AO112+AQ112</f>
        <v>0</v>
      </c>
      <c r="AV112" s="21">
        <f>R112+AB112+AL112</f>
        <v>0</v>
      </c>
      <c r="AW112" s="21">
        <f>T112+AD112+AN112</f>
        <v>0</v>
      </c>
      <c r="AX112" s="21">
        <f>V112+AF112+AP112</f>
        <v>0</v>
      </c>
      <c r="AY112" s="21">
        <f>X112+AH112+AR112</f>
        <v>0</v>
      </c>
    </row>
    <row r="113" spans="1:51" hidden="1" x14ac:dyDescent="0.2">
      <c r="A113" s="50" t="s">
        <v>320</v>
      </c>
      <c r="B113" s="51" t="s">
        <v>209</v>
      </c>
      <c r="C113" s="51"/>
      <c r="D113" s="51"/>
      <c r="E113" s="52">
        <f>IF(G113="Y",VLOOKUP(B113&amp;"|"&amp;C113,'[1]ETC Data'!$C$2:$D$16,2,FALSE),0)</f>
        <v>0</v>
      </c>
      <c r="F113" s="52">
        <f>IF(D113="",0,IF(G113="Y",VLOOKUP(B113&amp;"|"&amp;D113,'[1]ETC Data'!$C$2:$D$16,2,FALSE),0))</f>
        <v>0</v>
      </c>
      <c r="G113" s="53" t="str">
        <f>IF(VLOOKUP(A113,[1]Plan!A$1:H$804,8,FALSE)&lt;&gt;"",VLOOKUP(A113,[1]Plan!A$1:H$804,8,FALSE),"")</f>
        <v>N</v>
      </c>
      <c r="H113" s="54" t="str">
        <f>IF(VLOOKUP(A113,[1]Plan!A$1:L$804,12,FALSE)&lt;&gt;"",VLOOKUP(A113,[1]Plan!A$1:L$804,12,FALSE),"")</f>
        <v/>
      </c>
      <c r="I113" s="55" t="str">
        <f>IF(VLOOKUP(A113,[1]Plan!A$1:M$804,13,FALSE)&lt;&gt;"",VLOOKUP(A113,[1]Plan!A$1:M$804,13,FALSE),"")</f>
        <v/>
      </c>
      <c r="J113" s="55" t="str">
        <f>IF(VLOOKUP(A113,[1]Plan!A$1:N$804,14,FALSE)&lt;&gt;"",VLOOKUP(A113,[1]Plan!A$1:N$804,14,FALSE),IF(VLOOKUP(A113,[1]Plan!A$1:O$804,15,FALSE)&lt;&gt;"",VLOOKUP(A113,[1]Plan!A$1:O$804,15,FALSE),""))</f>
        <v/>
      </c>
      <c r="K113" s="56" t="str">
        <f>IF(VLOOKUP(A113,[1]Plan!A$1:P$804,16,FALSE)&lt;&gt;"",VLOOKUP(A113,[1]Plan!A$1:P$804,16,FALSE),"")</f>
        <v/>
      </c>
      <c r="L113" s="55"/>
      <c r="M113" s="55"/>
      <c r="N113" s="55"/>
      <c r="O113" s="57">
        <f>IF(F113=0,E113,F113)</f>
        <v>0</v>
      </c>
      <c r="P113" s="57" t="b">
        <f>OR(H113="Y",I113="Y")</f>
        <v>0</v>
      </c>
      <c r="Q113" s="58">
        <f>IF(P113,O113*'[1]ETC Data'!$H$3*'[1]ETC Data'!$I$3,0)</f>
        <v>0</v>
      </c>
      <c r="R113" s="58">
        <f>Q113-(Q113*((VLOOKUP(A113,[1]Plan!A$1:Z$804,26,FALSE)/100)))</f>
        <v>0</v>
      </c>
      <c r="S113" s="58">
        <f>IF(P113,O113*'[1]ETC Data'!$H$3*'[1]ETC Data'!$J$3,0)</f>
        <v>0</v>
      </c>
      <c r="T113" s="58">
        <f>S113-(S113*((VLOOKUP(A113,[1]Plan!A$1:AA$804,27,FALSE)/100)))</f>
        <v>0</v>
      </c>
      <c r="U113" s="58">
        <f>IF(P113,O113*'[1]ETC Data'!$H$3*'[1]ETC Data'!$K$3,0)</f>
        <v>0</v>
      </c>
      <c r="V113" s="58">
        <f>U113-(U113*((VLOOKUP(A113,[1]Plan!A$1:AB$804,28,FALSE)/100)))</f>
        <v>0</v>
      </c>
      <c r="W113" s="58">
        <f>IF(P113,O113*'[1]ETC Data'!$H$3*'[1]ETC Data'!$L$3,0)</f>
        <v>0</v>
      </c>
      <c r="X113" s="58">
        <f>W113-(W113*((VLOOKUP(A113,[1]Plan!A$1:AC$804,29,FALSE)/100)))</f>
        <v>0</v>
      </c>
      <c r="Y113" s="59"/>
      <c r="Z113" s="60" t="b">
        <f>OR(H113="Y",J113="Y")</f>
        <v>0</v>
      </c>
      <c r="AA113" s="58">
        <f>IF(Z113,O113*'[1]ETC Data'!$H$4*'[1]ETC Data'!$I$4,0)</f>
        <v>0</v>
      </c>
      <c r="AB113" s="58">
        <f>AA113-(AA113*((VLOOKUP(A113,[1]Plan!A$1:AI$804,35,FALSE)/100)))</f>
        <v>0</v>
      </c>
      <c r="AC113" s="58">
        <f>IF(Z113,O113*'[1]ETC Data'!$H$4*'[1]ETC Data'!$J$4,0)</f>
        <v>0</v>
      </c>
      <c r="AD113" s="58">
        <f>AC113-(AC113*((VLOOKUP(A113,[1]Plan!A$1:AJ$804,36,FALSE)/100)))</f>
        <v>0</v>
      </c>
      <c r="AE113" s="58">
        <f>IF(Z113,O113*'[1]ETC Data'!$H$4*'[1]ETC Data'!$K$4,0)</f>
        <v>0</v>
      </c>
      <c r="AF113" s="58">
        <f>AE113-(AE113*((VLOOKUP(A113,[1]Plan!A$1:AK$804,37,FALSE)/100)))</f>
        <v>0</v>
      </c>
      <c r="AG113" s="58">
        <f>IF(Z113,O113*'[1]ETC Data'!$H$4*'[1]ETC Data'!$L$4,0)</f>
        <v>0</v>
      </c>
      <c r="AH113" s="58">
        <f>AG113-(AG113*((VLOOKUP(A113,[1]Plan!A$1:AP$804,42,FALSE)/100)))</f>
        <v>0</v>
      </c>
      <c r="AI113" s="60"/>
      <c r="AJ113" s="60" t="b">
        <f>OR(H113="Y",K113="Y")</f>
        <v>0</v>
      </c>
      <c r="AK113" s="61">
        <f>IF(AJ113,O113*'[1]ETC Data'!$H$5*'[1]ETC Data'!$I$5,0)</f>
        <v>0</v>
      </c>
      <c r="AL113" s="58">
        <f>AK113-(AK113*((VLOOKUP(A113,[1]Plan!A$1:AY$804,51,FALSE)/100)))</f>
        <v>0</v>
      </c>
      <c r="AM113" s="58">
        <f>IF(AJ113,O113*'[1]ETC Data'!$H$5*'[1]ETC Data'!$J$5,0)</f>
        <v>0</v>
      </c>
      <c r="AN113" s="58">
        <f>AM113-(AM113*((VLOOKUP(A113,[1]Plan!A$1:BA$804,53,FALSE)/100)))</f>
        <v>0</v>
      </c>
      <c r="AO113" s="61">
        <f>IF(AJ113,O113*'[1]ETC Data'!$H$5*'[1]ETC Data'!$K$5,0)</f>
        <v>0</v>
      </c>
      <c r="AP113" s="58">
        <f>AO113-(AO113*((VLOOKUP(A113,[1]Plan!A$1:BB$804,54,FALSE)/100)))</f>
        <v>0</v>
      </c>
      <c r="AQ113" s="58">
        <f>IF(AJ113,O113*'[1]ETC Data'!$H$5*'[1]ETC Data'!$L$5,0)</f>
        <v>0</v>
      </c>
      <c r="AR113" s="58">
        <f>AQ113-(AQ113*((VLOOKUP(A113,[1]Plan!A$1:BD$804,56,FALSE)/100)))</f>
        <v>0</v>
      </c>
      <c r="AS113" s="20">
        <f>VLOOKUP(A113,'[1]PR Matrix'!A:B,2,FALSE)</f>
        <v>0</v>
      </c>
      <c r="AT113" s="21">
        <f>R113+T113+V113+X113+AB113+AD113+AF113+AH113+AL113+AN113+AP113+AR113</f>
        <v>0</v>
      </c>
      <c r="AU113" s="21">
        <f>Q113+S113+U113+W113+AA113+AC113+AE113+AG113+AK113+AM113+AO113+AQ113</f>
        <v>0</v>
      </c>
      <c r="AV113" s="21">
        <f>R113+AB113+AL113</f>
        <v>0</v>
      </c>
      <c r="AW113" s="21">
        <f>T113+AD113+AN113</f>
        <v>0</v>
      </c>
      <c r="AX113" s="21">
        <f>V113+AF113+AP113</f>
        <v>0</v>
      </c>
      <c r="AY113" s="21">
        <f>X113+AH113+AR113</f>
        <v>0</v>
      </c>
    </row>
    <row r="114" spans="1:51" hidden="1" x14ac:dyDescent="0.2">
      <c r="A114" s="50" t="s">
        <v>321</v>
      </c>
      <c r="B114" s="51" t="s">
        <v>208</v>
      </c>
      <c r="C114" s="51"/>
      <c r="D114" s="51"/>
      <c r="E114" s="52">
        <f>IF(G114="Y",VLOOKUP(B114&amp;"|"&amp;C114,'[1]ETC Data'!$C$2:$D$16,2,FALSE),0)</f>
        <v>0</v>
      </c>
      <c r="F114" s="52">
        <f>IF(D114="",0,IF(G114="Y",VLOOKUP(B114&amp;"|"&amp;D114,'[1]ETC Data'!$C$2:$D$16,2,FALSE),0))</f>
        <v>0</v>
      </c>
      <c r="G114" s="53" t="str">
        <f>IF(VLOOKUP(A114,[1]Plan!A$1:H$804,8,FALSE)&lt;&gt;"",VLOOKUP(A114,[1]Plan!A$1:H$804,8,FALSE),"")</f>
        <v>N</v>
      </c>
      <c r="H114" s="54" t="str">
        <f>IF(VLOOKUP(A114,[1]Plan!A$1:L$804,12,FALSE)&lt;&gt;"",VLOOKUP(A114,[1]Plan!A$1:L$804,12,FALSE),"")</f>
        <v/>
      </c>
      <c r="I114" s="55" t="str">
        <f>IF(VLOOKUP(A114,[1]Plan!A$1:M$804,13,FALSE)&lt;&gt;"",VLOOKUP(A114,[1]Plan!A$1:M$804,13,FALSE),"")</f>
        <v/>
      </c>
      <c r="J114" s="55" t="str">
        <f>IF(VLOOKUP(A114,[1]Plan!A$1:N$804,14,FALSE)&lt;&gt;"",VLOOKUP(A114,[1]Plan!A$1:N$804,14,FALSE),IF(VLOOKUP(A114,[1]Plan!A$1:O$804,15,FALSE)&lt;&gt;"",VLOOKUP(A114,[1]Plan!A$1:O$804,15,FALSE),""))</f>
        <v/>
      </c>
      <c r="K114" s="56" t="str">
        <f>IF(VLOOKUP(A114,[1]Plan!A$1:P$804,16,FALSE)&lt;&gt;"",VLOOKUP(A114,[1]Plan!A$1:P$804,16,FALSE),"")</f>
        <v/>
      </c>
      <c r="L114" s="55"/>
      <c r="M114" s="55"/>
      <c r="N114" s="55"/>
      <c r="O114" s="57">
        <f>IF(F114=0,E114,F114)</f>
        <v>0</v>
      </c>
      <c r="P114" s="57" t="b">
        <f>OR(H114="Y",I114="Y")</f>
        <v>0</v>
      </c>
      <c r="Q114" s="58">
        <f>IF(P114,O114*'[1]ETC Data'!$H$3*'[1]ETC Data'!$I$3,0)</f>
        <v>0</v>
      </c>
      <c r="R114" s="58">
        <f>Q114-(Q114*((VLOOKUP(A114,[1]Plan!A$1:Z$804,26,FALSE)/100)))</f>
        <v>0</v>
      </c>
      <c r="S114" s="58">
        <f>IF(P114,O114*'[1]ETC Data'!$H$3*'[1]ETC Data'!$J$3,0)</f>
        <v>0</v>
      </c>
      <c r="T114" s="58">
        <f>S114-(S114*((VLOOKUP(A114,[1]Plan!A$1:AA$804,27,FALSE)/100)))</f>
        <v>0</v>
      </c>
      <c r="U114" s="58">
        <f>IF(P114,O114*'[1]ETC Data'!$H$3*'[1]ETC Data'!$K$3,0)</f>
        <v>0</v>
      </c>
      <c r="V114" s="58">
        <f>U114-(U114*((VLOOKUP(A114,[1]Plan!A$1:AB$804,28,FALSE)/100)))</f>
        <v>0</v>
      </c>
      <c r="W114" s="58">
        <f>IF(P114,O114*'[1]ETC Data'!$H$3*'[1]ETC Data'!$L$3,0)</f>
        <v>0</v>
      </c>
      <c r="X114" s="58">
        <f>W114-(W114*((VLOOKUP(A114,[1]Plan!A$1:AC$804,29,FALSE)/100)))</f>
        <v>0</v>
      </c>
      <c r="Y114" s="59"/>
      <c r="Z114" s="60" t="b">
        <f>OR(H114="Y",J114="Y")</f>
        <v>0</v>
      </c>
      <c r="AA114" s="58">
        <f>IF(Z114,O114*'[1]ETC Data'!$H$4*'[1]ETC Data'!$I$4,0)</f>
        <v>0</v>
      </c>
      <c r="AB114" s="58">
        <f>AA114-(AA114*((VLOOKUP(A114,[1]Plan!A$1:AI$804,35,FALSE)/100)))</f>
        <v>0</v>
      </c>
      <c r="AC114" s="58">
        <f>IF(Z114,O114*'[1]ETC Data'!$H$4*'[1]ETC Data'!$J$4,0)</f>
        <v>0</v>
      </c>
      <c r="AD114" s="58">
        <f>AC114-(AC114*((VLOOKUP(A114,[1]Plan!A$1:AJ$804,36,FALSE)/100)))</f>
        <v>0</v>
      </c>
      <c r="AE114" s="58">
        <f>IF(Z114,O114*'[1]ETC Data'!$H$4*'[1]ETC Data'!$K$4,0)</f>
        <v>0</v>
      </c>
      <c r="AF114" s="58">
        <f>AE114-(AE114*((VLOOKUP(A114,[1]Plan!A$1:AK$804,37,FALSE)/100)))</f>
        <v>0</v>
      </c>
      <c r="AG114" s="58">
        <f>IF(Z114,O114*'[1]ETC Data'!$H$4*'[1]ETC Data'!$L$4,0)</f>
        <v>0</v>
      </c>
      <c r="AH114" s="58">
        <f>AG114-(AG114*((VLOOKUP(A114,[1]Plan!A$1:AP$804,42,FALSE)/100)))</f>
        <v>0</v>
      </c>
      <c r="AI114" s="60"/>
      <c r="AJ114" s="60" t="b">
        <f>OR(H114="Y",K114="Y")</f>
        <v>0</v>
      </c>
      <c r="AK114" s="61">
        <f>IF(AJ114,O114*'[1]ETC Data'!$H$5*'[1]ETC Data'!$I$5,0)</f>
        <v>0</v>
      </c>
      <c r="AL114" s="58">
        <f>AK114-(AK114*((VLOOKUP(A114,[1]Plan!A$1:AY$804,51,FALSE)/100)))</f>
        <v>0</v>
      </c>
      <c r="AM114" s="58">
        <f>IF(AJ114,O114*'[1]ETC Data'!$H$5*'[1]ETC Data'!$J$5,0)</f>
        <v>0</v>
      </c>
      <c r="AN114" s="58">
        <f>AM114-(AM114*((VLOOKUP(A114,[1]Plan!A$1:BA$804,53,FALSE)/100)))</f>
        <v>0</v>
      </c>
      <c r="AO114" s="61">
        <f>IF(AJ114,O114*'[1]ETC Data'!$H$5*'[1]ETC Data'!$K$5,0)</f>
        <v>0</v>
      </c>
      <c r="AP114" s="58">
        <f>AO114-(AO114*((VLOOKUP(A114,[1]Plan!A$1:BB$804,54,FALSE)/100)))</f>
        <v>0</v>
      </c>
      <c r="AQ114" s="58">
        <f>IF(AJ114,O114*'[1]ETC Data'!$H$5*'[1]ETC Data'!$L$5,0)</f>
        <v>0</v>
      </c>
      <c r="AR114" s="58">
        <f>AQ114-(AQ114*((VLOOKUP(A114,[1]Plan!A$1:BD$804,56,FALSE)/100)))</f>
        <v>0</v>
      </c>
      <c r="AS114" s="20">
        <f>VLOOKUP(A114,'[1]PR Matrix'!A:B,2,FALSE)</f>
        <v>0</v>
      </c>
      <c r="AT114" s="21">
        <f>R114+T114+V114+X114+AB114+AD114+AF114+AH114+AL114+AN114+AP114+AR114</f>
        <v>0</v>
      </c>
      <c r="AU114" s="21">
        <f>Q114+S114+U114+W114+AA114+AC114+AE114+AG114+AK114+AM114+AO114+AQ114</f>
        <v>0</v>
      </c>
      <c r="AV114" s="21">
        <f>R114+AB114+AL114</f>
        <v>0</v>
      </c>
      <c r="AW114" s="21">
        <f>T114+AD114+AN114</f>
        <v>0</v>
      </c>
      <c r="AX114" s="21">
        <f>V114+AF114+AP114</f>
        <v>0</v>
      </c>
      <c r="AY114" s="21">
        <f>X114+AH114+AR114</f>
        <v>0</v>
      </c>
    </row>
    <row r="115" spans="1:51" hidden="1" x14ac:dyDescent="0.2">
      <c r="A115" s="50" t="s">
        <v>322</v>
      </c>
      <c r="B115" s="51" t="s">
        <v>258</v>
      </c>
      <c r="C115" s="51"/>
      <c r="D115" s="51"/>
      <c r="E115" s="52">
        <f>IF(G115="Y",VLOOKUP(B115&amp;"|"&amp;C115,'[1]ETC Data'!$C$2:$D$16,2,FALSE),0)</f>
        <v>0</v>
      </c>
      <c r="F115" s="52">
        <f>IF(D115="",0,IF(G115="Y",VLOOKUP(B115&amp;"|"&amp;D115,'[1]ETC Data'!$C$2:$D$16,2,FALSE),0))</f>
        <v>0</v>
      </c>
      <c r="G115" s="53" t="str">
        <f>IF(VLOOKUP(A115,[1]Plan!A$1:H$804,8,FALSE)&lt;&gt;"",VLOOKUP(A115,[1]Plan!A$1:H$804,8,FALSE),"")</f>
        <v>N</v>
      </c>
      <c r="H115" s="54" t="str">
        <f>IF(VLOOKUP(A115,[1]Plan!A$1:L$804,12,FALSE)&lt;&gt;"",VLOOKUP(A115,[1]Plan!A$1:L$804,12,FALSE),"")</f>
        <v/>
      </c>
      <c r="I115" s="55" t="str">
        <f>IF(VLOOKUP(A115,[1]Plan!A$1:M$804,13,FALSE)&lt;&gt;"",VLOOKUP(A115,[1]Plan!A$1:M$804,13,FALSE),"")</f>
        <v/>
      </c>
      <c r="J115" s="55" t="str">
        <f>IF(VLOOKUP(A115,[1]Plan!A$1:N$804,14,FALSE)&lt;&gt;"",VLOOKUP(A115,[1]Plan!A$1:N$804,14,FALSE),IF(VLOOKUP(A115,[1]Plan!A$1:O$804,15,FALSE)&lt;&gt;"",VLOOKUP(A115,[1]Plan!A$1:O$804,15,FALSE),""))</f>
        <v/>
      </c>
      <c r="K115" s="56" t="str">
        <f>IF(VLOOKUP(A115,[1]Plan!A$1:P$804,16,FALSE)&lt;&gt;"",VLOOKUP(A115,[1]Plan!A$1:P$804,16,FALSE),"")</f>
        <v/>
      </c>
      <c r="L115" s="55"/>
      <c r="M115" s="55"/>
      <c r="N115" s="55"/>
      <c r="O115" s="57">
        <f>IF(F115=0,E115,F115)</f>
        <v>0</v>
      </c>
      <c r="P115" s="57" t="b">
        <f>OR(H115="Y",I115="Y")</f>
        <v>0</v>
      </c>
      <c r="Q115" s="58">
        <f>IF(P115,O115*'[1]ETC Data'!$H$3*'[1]ETC Data'!$I$3,0)</f>
        <v>0</v>
      </c>
      <c r="R115" s="58">
        <f>Q115-(Q115*((VLOOKUP(A115,[1]Plan!A$1:Z$804,26,FALSE)/100)))</f>
        <v>0</v>
      </c>
      <c r="S115" s="58">
        <f>IF(P115,O115*'[1]ETC Data'!$H$3*'[1]ETC Data'!$J$3,0)</f>
        <v>0</v>
      </c>
      <c r="T115" s="58">
        <f>S115-(S115*((VLOOKUP(A115,[1]Plan!A$1:AA$804,27,FALSE)/100)))</f>
        <v>0</v>
      </c>
      <c r="U115" s="58">
        <f>IF(P115,O115*'[1]ETC Data'!$H$3*'[1]ETC Data'!$K$3,0)</f>
        <v>0</v>
      </c>
      <c r="V115" s="58">
        <f>U115-(U115*((VLOOKUP(A115,[1]Plan!A$1:AB$804,28,FALSE)/100)))</f>
        <v>0</v>
      </c>
      <c r="W115" s="58">
        <f>IF(P115,O115*'[1]ETC Data'!$H$3*'[1]ETC Data'!$L$3,0)</f>
        <v>0</v>
      </c>
      <c r="X115" s="58">
        <f>W115-(W115*((VLOOKUP(A115,[1]Plan!A$1:AC$804,29,FALSE)/100)))</f>
        <v>0</v>
      </c>
      <c r="Y115" s="59"/>
      <c r="Z115" s="60" t="b">
        <f>OR(H115="Y",J115="Y")</f>
        <v>0</v>
      </c>
      <c r="AA115" s="58">
        <f>IF(Z115,O115*'[1]ETC Data'!$H$4*'[1]ETC Data'!$I$4,0)</f>
        <v>0</v>
      </c>
      <c r="AB115" s="58">
        <f>AA115-(AA115*((VLOOKUP(A115,[1]Plan!A$1:AI$804,35,FALSE)/100)))</f>
        <v>0</v>
      </c>
      <c r="AC115" s="58">
        <f>IF(Z115,O115*'[1]ETC Data'!$H$4*'[1]ETC Data'!$J$4,0)</f>
        <v>0</v>
      </c>
      <c r="AD115" s="58">
        <f>AC115-(AC115*((VLOOKUP(A115,[1]Plan!A$1:AJ$804,36,FALSE)/100)))</f>
        <v>0</v>
      </c>
      <c r="AE115" s="58">
        <f>IF(Z115,O115*'[1]ETC Data'!$H$4*'[1]ETC Data'!$K$4,0)</f>
        <v>0</v>
      </c>
      <c r="AF115" s="58">
        <f>AE115-(AE115*((VLOOKUP(A115,[1]Plan!A$1:AK$804,37,FALSE)/100)))</f>
        <v>0</v>
      </c>
      <c r="AG115" s="58">
        <f>IF(Z115,O115*'[1]ETC Data'!$H$4*'[1]ETC Data'!$L$4,0)</f>
        <v>0</v>
      </c>
      <c r="AH115" s="58">
        <f>AG115-(AG115*((VLOOKUP(A115,[1]Plan!A$1:AP$804,42,FALSE)/100)))</f>
        <v>0</v>
      </c>
      <c r="AI115" s="60"/>
      <c r="AJ115" s="60" t="b">
        <f>OR(H115="Y",K115="Y")</f>
        <v>0</v>
      </c>
      <c r="AK115" s="61">
        <f>IF(AJ115,O115*'[1]ETC Data'!$H$5*'[1]ETC Data'!$I$5,0)</f>
        <v>0</v>
      </c>
      <c r="AL115" s="58">
        <f>AK115-(AK115*((VLOOKUP(A115,[1]Plan!A$1:AY$804,51,FALSE)/100)))</f>
        <v>0</v>
      </c>
      <c r="AM115" s="58">
        <f>IF(AJ115,O115*'[1]ETC Data'!$H$5*'[1]ETC Data'!$J$5,0)</f>
        <v>0</v>
      </c>
      <c r="AN115" s="58">
        <f>AM115-(AM115*((VLOOKUP(A115,[1]Plan!A$1:BA$804,53,FALSE)/100)))</f>
        <v>0</v>
      </c>
      <c r="AO115" s="61">
        <f>IF(AJ115,O115*'[1]ETC Data'!$H$5*'[1]ETC Data'!$K$5,0)</f>
        <v>0</v>
      </c>
      <c r="AP115" s="58">
        <f>AO115-(AO115*((VLOOKUP(A115,[1]Plan!A$1:BB$804,54,FALSE)/100)))</f>
        <v>0</v>
      </c>
      <c r="AQ115" s="58">
        <f>IF(AJ115,O115*'[1]ETC Data'!$H$5*'[1]ETC Data'!$L$5,0)</f>
        <v>0</v>
      </c>
      <c r="AR115" s="58">
        <f>AQ115-(AQ115*((VLOOKUP(A115,[1]Plan!A$1:BD$804,56,FALSE)/100)))</f>
        <v>0</v>
      </c>
      <c r="AS115" s="20">
        <f>VLOOKUP(A115,'[1]PR Matrix'!A:B,2,FALSE)</f>
        <v>0</v>
      </c>
      <c r="AT115" s="21">
        <f>R115+T115+V115+X115+AB115+AD115+AF115+AH115+AL115+AN115+AP115+AR115</f>
        <v>0</v>
      </c>
      <c r="AU115" s="21">
        <f>Q115+S115+U115+W115+AA115+AC115+AE115+AG115+AK115+AM115+AO115+AQ115</f>
        <v>0</v>
      </c>
      <c r="AV115" s="21">
        <f>R115+AB115+AL115</f>
        <v>0</v>
      </c>
      <c r="AW115" s="21">
        <f>T115+AD115+AN115</f>
        <v>0</v>
      </c>
      <c r="AX115" s="21">
        <f>V115+AF115+AP115</f>
        <v>0</v>
      </c>
      <c r="AY115" s="21">
        <f>X115+AH115+AR115</f>
        <v>0</v>
      </c>
    </row>
    <row r="116" spans="1:51" hidden="1" x14ac:dyDescent="0.2">
      <c r="A116" s="50" t="s">
        <v>323</v>
      </c>
      <c r="B116" s="51" t="s">
        <v>208</v>
      </c>
      <c r="C116" s="51"/>
      <c r="D116" s="51"/>
      <c r="E116" s="52">
        <f>IF(G116="Y",VLOOKUP(B116&amp;"|"&amp;C116,'[1]ETC Data'!$C$2:$D$16,2,FALSE),0)</f>
        <v>0</v>
      </c>
      <c r="F116" s="52">
        <f>IF(D116="",0,IF(G116="Y",VLOOKUP(B116&amp;"|"&amp;D116,'[1]ETC Data'!$C$2:$D$16,2,FALSE),0))</f>
        <v>0</v>
      </c>
      <c r="G116" s="53" t="str">
        <f>IF(VLOOKUP(A116,[1]Plan!A$1:H$804,8,FALSE)&lt;&gt;"",VLOOKUP(A116,[1]Plan!A$1:H$804,8,FALSE),"")</f>
        <v>N</v>
      </c>
      <c r="H116" s="54" t="str">
        <f>IF(VLOOKUP(A116,[1]Plan!A$1:L$804,12,FALSE)&lt;&gt;"",VLOOKUP(A116,[1]Plan!A$1:L$804,12,FALSE),"")</f>
        <v/>
      </c>
      <c r="I116" s="55" t="str">
        <f>IF(VLOOKUP(A116,[1]Plan!A$1:M$804,13,FALSE)&lt;&gt;"",VLOOKUP(A116,[1]Plan!A$1:M$804,13,FALSE),"")</f>
        <v/>
      </c>
      <c r="J116" s="55" t="str">
        <f>IF(VLOOKUP(A116,[1]Plan!A$1:N$804,14,FALSE)&lt;&gt;"",VLOOKUP(A116,[1]Plan!A$1:N$804,14,FALSE),IF(VLOOKUP(A116,[1]Plan!A$1:O$804,15,FALSE)&lt;&gt;"",VLOOKUP(A116,[1]Plan!A$1:O$804,15,FALSE),""))</f>
        <v/>
      </c>
      <c r="K116" s="56" t="str">
        <f>IF(VLOOKUP(A116,[1]Plan!A$1:P$804,16,FALSE)&lt;&gt;"",VLOOKUP(A116,[1]Plan!A$1:P$804,16,FALSE),"")</f>
        <v/>
      </c>
      <c r="L116" s="55"/>
      <c r="M116" s="55"/>
      <c r="N116" s="55"/>
      <c r="O116" s="57">
        <f>IF(F116=0,E116,F116)</f>
        <v>0</v>
      </c>
      <c r="P116" s="57" t="b">
        <f>OR(H116="Y",I116="Y")</f>
        <v>0</v>
      </c>
      <c r="Q116" s="58">
        <f>IF(P116,O116*'[1]ETC Data'!$H$3*'[1]ETC Data'!$I$3,0)</f>
        <v>0</v>
      </c>
      <c r="R116" s="58">
        <f>Q116-(Q116*((VLOOKUP(A116,[1]Plan!A$1:Z$804,26,FALSE)/100)))</f>
        <v>0</v>
      </c>
      <c r="S116" s="58">
        <f>IF(P116,O116*'[1]ETC Data'!$H$3*'[1]ETC Data'!$J$3,0)</f>
        <v>0</v>
      </c>
      <c r="T116" s="58">
        <f>S116-(S116*((VLOOKUP(A116,[1]Plan!A$1:AA$804,27,FALSE)/100)))</f>
        <v>0</v>
      </c>
      <c r="U116" s="58">
        <f>IF(P116,O116*'[1]ETC Data'!$H$3*'[1]ETC Data'!$K$3,0)</f>
        <v>0</v>
      </c>
      <c r="V116" s="58">
        <f>U116-(U116*((VLOOKUP(A116,[1]Plan!A$1:AB$804,28,FALSE)/100)))</f>
        <v>0</v>
      </c>
      <c r="W116" s="58">
        <f>IF(P116,O116*'[1]ETC Data'!$H$3*'[1]ETC Data'!$L$3,0)</f>
        <v>0</v>
      </c>
      <c r="X116" s="58">
        <f>W116-(W116*((VLOOKUP(A116,[1]Plan!A$1:AC$804,29,FALSE)/100)))</f>
        <v>0</v>
      </c>
      <c r="Y116" s="59"/>
      <c r="Z116" s="60" t="b">
        <f>OR(H116="Y",J116="Y")</f>
        <v>0</v>
      </c>
      <c r="AA116" s="58">
        <f>IF(Z116,O116*'[1]ETC Data'!$H$4*'[1]ETC Data'!$I$4,0)</f>
        <v>0</v>
      </c>
      <c r="AB116" s="58">
        <f>AA116-(AA116*((VLOOKUP(A116,[1]Plan!A$1:AI$804,35,FALSE)/100)))</f>
        <v>0</v>
      </c>
      <c r="AC116" s="58">
        <f>IF(Z116,O116*'[1]ETC Data'!$H$4*'[1]ETC Data'!$J$4,0)</f>
        <v>0</v>
      </c>
      <c r="AD116" s="58">
        <f>AC116-(AC116*((VLOOKUP(A116,[1]Plan!A$1:AJ$804,36,FALSE)/100)))</f>
        <v>0</v>
      </c>
      <c r="AE116" s="58">
        <f>IF(Z116,O116*'[1]ETC Data'!$H$4*'[1]ETC Data'!$K$4,0)</f>
        <v>0</v>
      </c>
      <c r="AF116" s="58">
        <f>AE116-(AE116*((VLOOKUP(A116,[1]Plan!A$1:AK$804,37,FALSE)/100)))</f>
        <v>0</v>
      </c>
      <c r="AG116" s="58">
        <f>IF(Z116,O116*'[1]ETC Data'!$H$4*'[1]ETC Data'!$L$4,0)</f>
        <v>0</v>
      </c>
      <c r="AH116" s="58">
        <f>AG116-(AG116*((VLOOKUP(A116,[1]Plan!A$1:AP$804,42,FALSE)/100)))</f>
        <v>0</v>
      </c>
      <c r="AI116" s="60"/>
      <c r="AJ116" s="60" t="b">
        <f>OR(H116="Y",K116="Y")</f>
        <v>0</v>
      </c>
      <c r="AK116" s="61">
        <f>IF(AJ116,O116*'[1]ETC Data'!$H$5*'[1]ETC Data'!$I$5,0)</f>
        <v>0</v>
      </c>
      <c r="AL116" s="58">
        <f>AK116-(AK116*((VLOOKUP(A116,[1]Plan!A$1:AY$804,51,FALSE)/100)))</f>
        <v>0</v>
      </c>
      <c r="AM116" s="58">
        <f>IF(AJ116,O116*'[1]ETC Data'!$H$5*'[1]ETC Data'!$J$5,0)</f>
        <v>0</v>
      </c>
      <c r="AN116" s="58">
        <f>AM116-(AM116*((VLOOKUP(A116,[1]Plan!A$1:BA$804,53,FALSE)/100)))</f>
        <v>0</v>
      </c>
      <c r="AO116" s="61">
        <f>IF(AJ116,O116*'[1]ETC Data'!$H$5*'[1]ETC Data'!$K$5,0)</f>
        <v>0</v>
      </c>
      <c r="AP116" s="58">
        <f>AO116-(AO116*((VLOOKUP(A116,[1]Plan!A$1:BB$804,54,FALSE)/100)))</f>
        <v>0</v>
      </c>
      <c r="AQ116" s="58">
        <f>IF(AJ116,O116*'[1]ETC Data'!$H$5*'[1]ETC Data'!$L$5,0)</f>
        <v>0</v>
      </c>
      <c r="AR116" s="58">
        <f>AQ116-(AQ116*((VLOOKUP(A116,[1]Plan!A$1:BD$804,56,FALSE)/100)))</f>
        <v>0</v>
      </c>
      <c r="AS116" s="20">
        <f>VLOOKUP(A116,'[1]PR Matrix'!A:B,2,FALSE)</f>
        <v>0</v>
      </c>
      <c r="AT116" s="21">
        <f>R116+T116+V116+X116+AB116+AD116+AF116+AH116+AL116+AN116+AP116+AR116</f>
        <v>0</v>
      </c>
      <c r="AU116" s="21">
        <f>Q116+S116+U116+W116+AA116+AC116+AE116+AG116+AK116+AM116+AO116+AQ116</f>
        <v>0</v>
      </c>
      <c r="AV116" s="21">
        <f>R116+AB116+AL116</f>
        <v>0</v>
      </c>
      <c r="AW116" s="21">
        <f>T116+AD116+AN116</f>
        <v>0</v>
      </c>
      <c r="AX116" s="21">
        <f>V116+AF116+AP116</f>
        <v>0</v>
      </c>
      <c r="AY116" s="21">
        <f>X116+AH116+AR116</f>
        <v>0</v>
      </c>
    </row>
    <row r="117" spans="1:51" hidden="1" x14ac:dyDescent="0.2">
      <c r="A117" s="50" t="s">
        <v>324</v>
      </c>
      <c r="B117" s="51" t="s">
        <v>209</v>
      </c>
      <c r="C117" s="51"/>
      <c r="D117" s="51"/>
      <c r="E117" s="52">
        <f>IF(G117="Y",VLOOKUP(B117&amp;"|"&amp;C117,'[1]ETC Data'!$C$2:$D$16,2,FALSE),0)</f>
        <v>0</v>
      </c>
      <c r="F117" s="52">
        <f>IF(D117="",0,IF(G117="Y",VLOOKUP(B117&amp;"|"&amp;D117,'[1]ETC Data'!$C$2:$D$16,2,FALSE),0))</f>
        <v>0</v>
      </c>
      <c r="G117" s="53" t="str">
        <f>IF(VLOOKUP(A117,[1]Plan!A$1:H$804,8,FALSE)&lt;&gt;"",VLOOKUP(A117,[1]Plan!A$1:H$804,8,FALSE),"")</f>
        <v>N</v>
      </c>
      <c r="H117" s="54" t="str">
        <f>IF(VLOOKUP(A117,[1]Plan!A$1:L$804,12,FALSE)&lt;&gt;"",VLOOKUP(A117,[1]Plan!A$1:L$804,12,FALSE),"")</f>
        <v/>
      </c>
      <c r="I117" s="55" t="str">
        <f>IF(VLOOKUP(A117,[1]Plan!A$1:M$804,13,FALSE)&lt;&gt;"",VLOOKUP(A117,[1]Plan!A$1:M$804,13,FALSE),"")</f>
        <v/>
      </c>
      <c r="J117" s="55" t="str">
        <f>IF(VLOOKUP(A117,[1]Plan!A$1:N$804,14,FALSE)&lt;&gt;"",VLOOKUP(A117,[1]Plan!A$1:N$804,14,FALSE),IF(VLOOKUP(A117,[1]Plan!A$1:O$804,15,FALSE)&lt;&gt;"",VLOOKUP(A117,[1]Plan!A$1:O$804,15,FALSE),""))</f>
        <v/>
      </c>
      <c r="K117" s="56" t="str">
        <f>IF(VLOOKUP(A117,[1]Plan!A$1:P$804,16,FALSE)&lt;&gt;"",VLOOKUP(A117,[1]Plan!A$1:P$804,16,FALSE),"")</f>
        <v/>
      </c>
      <c r="L117" s="55"/>
      <c r="M117" s="55"/>
      <c r="N117" s="55"/>
      <c r="O117" s="57">
        <f>IF(F117=0,E117,F117)</f>
        <v>0</v>
      </c>
      <c r="P117" s="57" t="b">
        <f>OR(H117="Y",I117="Y")</f>
        <v>0</v>
      </c>
      <c r="Q117" s="58">
        <f>IF(P117,O117*'[1]ETC Data'!$H$3*'[1]ETC Data'!$I$3,0)</f>
        <v>0</v>
      </c>
      <c r="R117" s="58">
        <f>Q117-(Q117*((VLOOKUP(A117,[1]Plan!A$1:Z$804,26,FALSE)/100)))</f>
        <v>0</v>
      </c>
      <c r="S117" s="58">
        <f>IF(P117,O117*'[1]ETC Data'!$H$3*'[1]ETC Data'!$J$3,0)</f>
        <v>0</v>
      </c>
      <c r="T117" s="58">
        <f>S117-(S117*((VLOOKUP(A117,[1]Plan!A$1:AA$804,27,FALSE)/100)))</f>
        <v>0</v>
      </c>
      <c r="U117" s="58">
        <f>IF(P117,O117*'[1]ETC Data'!$H$3*'[1]ETC Data'!$K$3,0)</f>
        <v>0</v>
      </c>
      <c r="V117" s="58">
        <f>U117-(U117*((VLOOKUP(A117,[1]Plan!A$1:AB$804,28,FALSE)/100)))</f>
        <v>0</v>
      </c>
      <c r="W117" s="58">
        <f>IF(P117,O117*'[1]ETC Data'!$H$3*'[1]ETC Data'!$L$3,0)</f>
        <v>0</v>
      </c>
      <c r="X117" s="58">
        <f>W117-(W117*((VLOOKUP(A117,[1]Plan!A$1:AC$804,29,FALSE)/100)))</f>
        <v>0</v>
      </c>
      <c r="Y117" s="59"/>
      <c r="Z117" s="60" t="b">
        <f>OR(H117="Y",J117="Y")</f>
        <v>0</v>
      </c>
      <c r="AA117" s="58">
        <f>IF(Z117,O117*'[1]ETC Data'!$H$4*'[1]ETC Data'!$I$4,0)</f>
        <v>0</v>
      </c>
      <c r="AB117" s="58">
        <f>AA117-(AA117*((VLOOKUP(A117,[1]Plan!A$1:AI$804,35,FALSE)/100)))</f>
        <v>0</v>
      </c>
      <c r="AC117" s="58">
        <f>IF(Z117,O117*'[1]ETC Data'!$H$4*'[1]ETC Data'!$J$4,0)</f>
        <v>0</v>
      </c>
      <c r="AD117" s="58">
        <f>AC117-(AC117*((VLOOKUP(A117,[1]Plan!A$1:AJ$804,36,FALSE)/100)))</f>
        <v>0</v>
      </c>
      <c r="AE117" s="58">
        <f>IF(Z117,O117*'[1]ETC Data'!$H$4*'[1]ETC Data'!$K$4,0)</f>
        <v>0</v>
      </c>
      <c r="AF117" s="58">
        <f>AE117-(AE117*((VLOOKUP(A117,[1]Plan!A$1:AK$804,37,FALSE)/100)))</f>
        <v>0</v>
      </c>
      <c r="AG117" s="58">
        <f>IF(Z117,O117*'[1]ETC Data'!$H$4*'[1]ETC Data'!$L$4,0)</f>
        <v>0</v>
      </c>
      <c r="AH117" s="58">
        <f>AG117-(AG117*((VLOOKUP(A117,[1]Plan!A$1:AP$804,42,FALSE)/100)))</f>
        <v>0</v>
      </c>
      <c r="AI117" s="60"/>
      <c r="AJ117" s="60" t="b">
        <f>OR(H117="Y",K117="Y")</f>
        <v>0</v>
      </c>
      <c r="AK117" s="61">
        <f>IF(AJ117,O117*'[1]ETC Data'!$H$5*'[1]ETC Data'!$I$5,0)</f>
        <v>0</v>
      </c>
      <c r="AL117" s="58">
        <f>AK117-(AK117*((VLOOKUP(A117,[1]Plan!A$1:AY$804,51,FALSE)/100)))</f>
        <v>0</v>
      </c>
      <c r="AM117" s="58">
        <f>IF(AJ117,O117*'[1]ETC Data'!$H$5*'[1]ETC Data'!$J$5,0)</f>
        <v>0</v>
      </c>
      <c r="AN117" s="58">
        <f>AM117-(AM117*((VLOOKUP(A117,[1]Plan!A$1:BA$804,53,FALSE)/100)))</f>
        <v>0</v>
      </c>
      <c r="AO117" s="61">
        <f>IF(AJ117,O117*'[1]ETC Data'!$H$5*'[1]ETC Data'!$K$5,0)</f>
        <v>0</v>
      </c>
      <c r="AP117" s="58">
        <f>AO117-(AO117*((VLOOKUP(A117,[1]Plan!A$1:BB$804,54,FALSE)/100)))</f>
        <v>0</v>
      </c>
      <c r="AQ117" s="58">
        <f>IF(AJ117,O117*'[1]ETC Data'!$H$5*'[1]ETC Data'!$L$5,0)</f>
        <v>0</v>
      </c>
      <c r="AR117" s="58">
        <f>AQ117-(AQ117*((VLOOKUP(A117,[1]Plan!A$1:BD$804,56,FALSE)/100)))</f>
        <v>0</v>
      </c>
      <c r="AS117" s="20">
        <f>VLOOKUP(A117,'[1]PR Matrix'!A:B,2,FALSE)</f>
        <v>0</v>
      </c>
      <c r="AT117" s="21">
        <f>R117+T117+V117+X117+AB117+AD117+AF117+AH117+AL117+AN117+AP117+AR117</f>
        <v>0</v>
      </c>
      <c r="AU117" s="21">
        <f>Q117+S117+U117+W117+AA117+AC117+AE117+AG117+AK117+AM117+AO117+AQ117</f>
        <v>0</v>
      </c>
      <c r="AV117" s="21">
        <f>R117+AB117+AL117</f>
        <v>0</v>
      </c>
      <c r="AW117" s="21">
        <f>T117+AD117+AN117</f>
        <v>0</v>
      </c>
      <c r="AX117" s="21">
        <f>V117+AF117+AP117</f>
        <v>0</v>
      </c>
      <c r="AY117" s="21">
        <f>X117+AH117+AR117</f>
        <v>0</v>
      </c>
    </row>
    <row r="118" spans="1:51" hidden="1" x14ac:dyDescent="0.2">
      <c r="A118" s="50" t="s">
        <v>325</v>
      </c>
      <c r="B118" s="51" t="s">
        <v>209</v>
      </c>
      <c r="C118" s="51"/>
      <c r="D118" s="51"/>
      <c r="E118" s="52">
        <f>IF(G118="Y",VLOOKUP(B118&amp;"|"&amp;C118,'[1]ETC Data'!$C$2:$D$16,2,FALSE),0)</f>
        <v>0</v>
      </c>
      <c r="F118" s="52">
        <f>IF(D118="",0,IF(G118="Y",VLOOKUP(B118&amp;"|"&amp;D118,'[1]ETC Data'!$C$2:$D$16,2,FALSE),0))</f>
        <v>0</v>
      </c>
      <c r="G118" s="53" t="str">
        <f>IF(VLOOKUP(A118,[1]Plan!A$1:H$804,8,FALSE)&lt;&gt;"",VLOOKUP(A118,[1]Plan!A$1:H$804,8,FALSE),"")</f>
        <v>N</v>
      </c>
      <c r="H118" s="54" t="str">
        <f>IF(VLOOKUP(A118,[1]Plan!A$1:L$804,12,FALSE)&lt;&gt;"",VLOOKUP(A118,[1]Plan!A$1:L$804,12,FALSE),"")</f>
        <v/>
      </c>
      <c r="I118" s="55" t="str">
        <f>IF(VLOOKUP(A118,[1]Plan!A$1:M$804,13,FALSE)&lt;&gt;"",VLOOKUP(A118,[1]Plan!A$1:M$804,13,FALSE),"")</f>
        <v/>
      </c>
      <c r="J118" s="55" t="str">
        <f>IF(VLOOKUP(A118,[1]Plan!A$1:N$804,14,FALSE)&lt;&gt;"",VLOOKUP(A118,[1]Plan!A$1:N$804,14,FALSE),IF(VLOOKUP(A118,[1]Plan!A$1:O$804,15,FALSE)&lt;&gt;"",VLOOKUP(A118,[1]Plan!A$1:O$804,15,FALSE),""))</f>
        <v/>
      </c>
      <c r="K118" s="56" t="str">
        <f>IF(VLOOKUP(A118,[1]Plan!A$1:P$804,16,FALSE)&lt;&gt;"",VLOOKUP(A118,[1]Plan!A$1:P$804,16,FALSE),"")</f>
        <v/>
      </c>
      <c r="L118" s="55"/>
      <c r="M118" s="55"/>
      <c r="N118" s="55"/>
      <c r="O118" s="57">
        <f>IF(F118=0,E118,F118)</f>
        <v>0</v>
      </c>
      <c r="P118" s="57" t="b">
        <f>OR(H118="Y",I118="Y")</f>
        <v>0</v>
      </c>
      <c r="Q118" s="58">
        <f>IF(P118,O118*'[1]ETC Data'!$H$3*'[1]ETC Data'!$I$3,0)</f>
        <v>0</v>
      </c>
      <c r="R118" s="58">
        <f>Q118-(Q118*((VLOOKUP(A118,[1]Plan!A$1:Z$804,26,FALSE)/100)))</f>
        <v>0</v>
      </c>
      <c r="S118" s="58">
        <f>IF(P118,O118*'[1]ETC Data'!$H$3*'[1]ETC Data'!$J$3,0)</f>
        <v>0</v>
      </c>
      <c r="T118" s="58">
        <f>S118-(S118*((VLOOKUP(A118,[1]Plan!A$1:AA$804,27,FALSE)/100)))</f>
        <v>0</v>
      </c>
      <c r="U118" s="58">
        <f>IF(P118,O118*'[1]ETC Data'!$H$3*'[1]ETC Data'!$K$3,0)</f>
        <v>0</v>
      </c>
      <c r="V118" s="58">
        <f>U118-(U118*((VLOOKUP(A118,[1]Plan!A$1:AB$804,28,FALSE)/100)))</f>
        <v>0</v>
      </c>
      <c r="W118" s="58">
        <f>IF(P118,O118*'[1]ETC Data'!$H$3*'[1]ETC Data'!$L$3,0)</f>
        <v>0</v>
      </c>
      <c r="X118" s="58">
        <f>W118-(W118*((VLOOKUP(A118,[1]Plan!A$1:AC$804,29,FALSE)/100)))</f>
        <v>0</v>
      </c>
      <c r="Y118" s="59"/>
      <c r="Z118" s="60" t="b">
        <f>OR(H118="Y",J118="Y")</f>
        <v>0</v>
      </c>
      <c r="AA118" s="58">
        <f>IF(Z118,O118*'[1]ETC Data'!$H$4*'[1]ETC Data'!$I$4,0)</f>
        <v>0</v>
      </c>
      <c r="AB118" s="58">
        <f>AA118-(AA118*((VLOOKUP(A118,[1]Plan!A$1:AI$804,35,FALSE)/100)))</f>
        <v>0</v>
      </c>
      <c r="AC118" s="58">
        <f>IF(Z118,O118*'[1]ETC Data'!$H$4*'[1]ETC Data'!$J$4,0)</f>
        <v>0</v>
      </c>
      <c r="AD118" s="58">
        <f>AC118-(AC118*((VLOOKUP(A118,[1]Plan!A$1:AJ$804,36,FALSE)/100)))</f>
        <v>0</v>
      </c>
      <c r="AE118" s="58">
        <f>IF(Z118,O118*'[1]ETC Data'!$H$4*'[1]ETC Data'!$K$4,0)</f>
        <v>0</v>
      </c>
      <c r="AF118" s="58">
        <f>AE118-(AE118*((VLOOKUP(A118,[1]Plan!A$1:AK$804,37,FALSE)/100)))</f>
        <v>0</v>
      </c>
      <c r="AG118" s="58">
        <f>IF(Z118,O118*'[1]ETC Data'!$H$4*'[1]ETC Data'!$L$4,0)</f>
        <v>0</v>
      </c>
      <c r="AH118" s="58">
        <f>AG118-(AG118*((VLOOKUP(A118,[1]Plan!A$1:AP$804,42,FALSE)/100)))</f>
        <v>0</v>
      </c>
      <c r="AI118" s="60"/>
      <c r="AJ118" s="60" t="b">
        <f>OR(H118="Y",K118="Y")</f>
        <v>0</v>
      </c>
      <c r="AK118" s="61">
        <f>IF(AJ118,O118*'[1]ETC Data'!$H$5*'[1]ETC Data'!$I$5,0)</f>
        <v>0</v>
      </c>
      <c r="AL118" s="58">
        <f>AK118-(AK118*((VLOOKUP(A118,[1]Plan!A$1:AY$804,51,FALSE)/100)))</f>
        <v>0</v>
      </c>
      <c r="AM118" s="58">
        <f>IF(AJ118,O118*'[1]ETC Data'!$H$5*'[1]ETC Data'!$J$5,0)</f>
        <v>0</v>
      </c>
      <c r="AN118" s="58">
        <f>AM118-(AM118*((VLOOKUP(A118,[1]Plan!A$1:BA$804,53,FALSE)/100)))</f>
        <v>0</v>
      </c>
      <c r="AO118" s="61">
        <f>IF(AJ118,O118*'[1]ETC Data'!$H$5*'[1]ETC Data'!$K$5,0)</f>
        <v>0</v>
      </c>
      <c r="AP118" s="58">
        <f>AO118-(AO118*((VLOOKUP(A118,[1]Plan!A$1:BB$804,54,FALSE)/100)))</f>
        <v>0</v>
      </c>
      <c r="AQ118" s="58">
        <f>IF(AJ118,O118*'[1]ETC Data'!$H$5*'[1]ETC Data'!$L$5,0)</f>
        <v>0</v>
      </c>
      <c r="AR118" s="58">
        <f>AQ118-(AQ118*((VLOOKUP(A118,[1]Plan!A$1:BD$804,56,FALSE)/100)))</f>
        <v>0</v>
      </c>
      <c r="AS118" s="20">
        <f>VLOOKUP(A118,'[1]PR Matrix'!A:B,2,FALSE)</f>
        <v>0</v>
      </c>
      <c r="AT118" s="21">
        <f>R118+T118+V118+X118+AB118+AD118+AF118+AH118+AL118+AN118+AP118+AR118</f>
        <v>0</v>
      </c>
      <c r="AU118" s="21">
        <f>Q118+S118+U118+W118+AA118+AC118+AE118+AG118+AK118+AM118+AO118+AQ118</f>
        <v>0</v>
      </c>
      <c r="AV118" s="21">
        <f>R118+AB118+AL118</f>
        <v>0</v>
      </c>
      <c r="AW118" s="21">
        <f>T118+AD118+AN118</f>
        <v>0</v>
      </c>
      <c r="AX118" s="21">
        <f>V118+AF118+AP118</f>
        <v>0</v>
      </c>
      <c r="AY118" s="21">
        <f>X118+AH118+AR118</f>
        <v>0</v>
      </c>
    </row>
    <row r="119" spans="1:51" hidden="1" x14ac:dyDescent="0.2">
      <c r="A119" s="50" t="s">
        <v>326</v>
      </c>
      <c r="B119" s="51" t="s">
        <v>208</v>
      </c>
      <c r="C119" s="51"/>
      <c r="D119" s="51"/>
      <c r="E119" s="52">
        <f>IF(G119="Y",VLOOKUP(B119&amp;"|"&amp;C119,'[1]ETC Data'!$C$2:$D$16,2,FALSE),0)</f>
        <v>0</v>
      </c>
      <c r="F119" s="52">
        <f>IF(D119="",0,IF(G119="Y",VLOOKUP(B119&amp;"|"&amp;D119,'[1]ETC Data'!$C$2:$D$16,2,FALSE),0))</f>
        <v>0</v>
      </c>
      <c r="G119" s="53" t="str">
        <f>IF(VLOOKUP(A119,[1]Plan!A$1:H$804,8,FALSE)&lt;&gt;"",VLOOKUP(A119,[1]Plan!A$1:H$804,8,FALSE),"")</f>
        <v>N</v>
      </c>
      <c r="H119" s="54" t="str">
        <f>IF(VLOOKUP(A119,[1]Plan!A$1:L$804,12,FALSE)&lt;&gt;"",VLOOKUP(A119,[1]Plan!A$1:L$804,12,FALSE),"")</f>
        <v/>
      </c>
      <c r="I119" s="55" t="str">
        <f>IF(VLOOKUP(A119,[1]Plan!A$1:M$804,13,FALSE)&lt;&gt;"",VLOOKUP(A119,[1]Plan!A$1:M$804,13,FALSE),"")</f>
        <v/>
      </c>
      <c r="J119" s="55" t="str">
        <f>IF(VLOOKUP(A119,[1]Plan!A$1:N$804,14,FALSE)&lt;&gt;"",VLOOKUP(A119,[1]Plan!A$1:N$804,14,FALSE),IF(VLOOKUP(A119,[1]Plan!A$1:O$804,15,FALSE)&lt;&gt;"",VLOOKUP(A119,[1]Plan!A$1:O$804,15,FALSE),""))</f>
        <v/>
      </c>
      <c r="K119" s="56" t="str">
        <f>IF(VLOOKUP(A119,[1]Plan!A$1:P$804,16,FALSE)&lt;&gt;"",VLOOKUP(A119,[1]Plan!A$1:P$804,16,FALSE),"")</f>
        <v/>
      </c>
      <c r="L119" s="55"/>
      <c r="M119" s="55"/>
      <c r="N119" s="55"/>
      <c r="O119" s="57">
        <f>IF(F119=0,E119,F119)</f>
        <v>0</v>
      </c>
      <c r="P119" s="57" t="b">
        <f>OR(H119="Y",I119="Y")</f>
        <v>0</v>
      </c>
      <c r="Q119" s="58">
        <f>IF(P119,O119*'[1]ETC Data'!$H$3*'[1]ETC Data'!$I$3,0)</f>
        <v>0</v>
      </c>
      <c r="R119" s="58">
        <f>Q119-(Q119*((VLOOKUP(A119,[1]Plan!A$1:Z$804,26,FALSE)/100)))</f>
        <v>0</v>
      </c>
      <c r="S119" s="58">
        <f>IF(P119,O119*'[1]ETC Data'!$H$3*'[1]ETC Data'!$J$3,0)</f>
        <v>0</v>
      </c>
      <c r="T119" s="58">
        <f>S119-(S119*((VLOOKUP(A119,[1]Plan!A$1:AA$804,27,FALSE)/100)))</f>
        <v>0</v>
      </c>
      <c r="U119" s="58">
        <f>IF(P119,O119*'[1]ETC Data'!$H$3*'[1]ETC Data'!$K$3,0)</f>
        <v>0</v>
      </c>
      <c r="V119" s="58">
        <f>U119-(U119*((VLOOKUP(A119,[1]Plan!A$1:AB$804,28,FALSE)/100)))</f>
        <v>0</v>
      </c>
      <c r="W119" s="58">
        <f>IF(P119,O119*'[1]ETC Data'!$H$3*'[1]ETC Data'!$L$3,0)</f>
        <v>0</v>
      </c>
      <c r="X119" s="58">
        <f>W119-(W119*((VLOOKUP(A119,[1]Plan!A$1:AC$804,29,FALSE)/100)))</f>
        <v>0</v>
      </c>
      <c r="Y119" s="59"/>
      <c r="Z119" s="60" t="b">
        <f>OR(H119="Y",J119="Y")</f>
        <v>0</v>
      </c>
      <c r="AA119" s="58">
        <f>IF(Z119,O119*'[1]ETC Data'!$H$4*'[1]ETC Data'!$I$4,0)</f>
        <v>0</v>
      </c>
      <c r="AB119" s="58">
        <f>AA119-(AA119*((VLOOKUP(A119,[1]Plan!A$1:AI$804,35,FALSE)/100)))</f>
        <v>0</v>
      </c>
      <c r="AC119" s="58">
        <f>IF(Z119,O119*'[1]ETC Data'!$H$4*'[1]ETC Data'!$J$4,0)</f>
        <v>0</v>
      </c>
      <c r="AD119" s="58">
        <f>AC119-(AC119*((VLOOKUP(A119,[1]Plan!A$1:AJ$804,36,FALSE)/100)))</f>
        <v>0</v>
      </c>
      <c r="AE119" s="58">
        <f>IF(Z119,O119*'[1]ETC Data'!$H$4*'[1]ETC Data'!$K$4,0)</f>
        <v>0</v>
      </c>
      <c r="AF119" s="58">
        <f>AE119-(AE119*((VLOOKUP(A119,[1]Plan!A$1:AK$804,37,FALSE)/100)))</f>
        <v>0</v>
      </c>
      <c r="AG119" s="58">
        <f>IF(Z119,O119*'[1]ETC Data'!$H$4*'[1]ETC Data'!$L$4,0)</f>
        <v>0</v>
      </c>
      <c r="AH119" s="58">
        <f>AG119-(AG119*((VLOOKUP(A119,[1]Plan!A$1:AP$804,42,FALSE)/100)))</f>
        <v>0</v>
      </c>
      <c r="AI119" s="60"/>
      <c r="AJ119" s="60" t="b">
        <f>OR(H119="Y",K119="Y")</f>
        <v>0</v>
      </c>
      <c r="AK119" s="61">
        <f>IF(AJ119,O119*'[1]ETC Data'!$H$5*'[1]ETC Data'!$I$5,0)</f>
        <v>0</v>
      </c>
      <c r="AL119" s="58">
        <f>AK119-(AK119*((VLOOKUP(A119,[1]Plan!A$1:AY$804,51,FALSE)/100)))</f>
        <v>0</v>
      </c>
      <c r="AM119" s="58">
        <f>IF(AJ119,O119*'[1]ETC Data'!$H$5*'[1]ETC Data'!$J$5,0)</f>
        <v>0</v>
      </c>
      <c r="AN119" s="58">
        <f>AM119-(AM119*((VLOOKUP(A119,[1]Plan!A$1:BA$804,53,FALSE)/100)))</f>
        <v>0</v>
      </c>
      <c r="AO119" s="61">
        <f>IF(AJ119,O119*'[1]ETC Data'!$H$5*'[1]ETC Data'!$K$5,0)</f>
        <v>0</v>
      </c>
      <c r="AP119" s="58">
        <f>AO119-(AO119*((VLOOKUP(A119,[1]Plan!A$1:BB$804,54,FALSE)/100)))</f>
        <v>0</v>
      </c>
      <c r="AQ119" s="58">
        <f>IF(AJ119,O119*'[1]ETC Data'!$H$5*'[1]ETC Data'!$L$5,0)</f>
        <v>0</v>
      </c>
      <c r="AR119" s="58">
        <f>AQ119-(AQ119*((VLOOKUP(A119,[1]Plan!A$1:BD$804,56,FALSE)/100)))</f>
        <v>0</v>
      </c>
      <c r="AS119" s="20">
        <f>VLOOKUP(A119,'[1]PR Matrix'!A:B,2,FALSE)</f>
        <v>0</v>
      </c>
      <c r="AT119" s="21">
        <f>R119+T119+V119+X119+AB119+AD119+AF119+AH119+AL119+AN119+AP119+AR119</f>
        <v>0</v>
      </c>
      <c r="AU119" s="21">
        <f>Q119+S119+U119+W119+AA119+AC119+AE119+AG119+AK119+AM119+AO119+AQ119</f>
        <v>0</v>
      </c>
      <c r="AV119" s="21">
        <f>R119+AB119+AL119</f>
        <v>0</v>
      </c>
      <c r="AW119" s="21">
        <f>T119+AD119+AN119</f>
        <v>0</v>
      </c>
      <c r="AX119" s="21">
        <f>V119+AF119+AP119</f>
        <v>0</v>
      </c>
      <c r="AY119" s="21">
        <f>X119+AH119+AR119</f>
        <v>0</v>
      </c>
    </row>
    <row r="120" spans="1:51" hidden="1" x14ac:dyDescent="0.2">
      <c r="A120" s="50" t="s">
        <v>327</v>
      </c>
      <c r="B120" s="51" t="s">
        <v>258</v>
      </c>
      <c r="C120" s="51"/>
      <c r="D120" s="51"/>
      <c r="E120" s="52">
        <f>IF(G120="Y",VLOOKUP(B120&amp;"|"&amp;C120,'[1]ETC Data'!$C$2:$D$16,2,FALSE),0)</f>
        <v>0</v>
      </c>
      <c r="F120" s="52">
        <f>IF(D120="",0,IF(G120="Y",VLOOKUP(B120&amp;"|"&amp;D120,'[1]ETC Data'!$C$2:$D$16,2,FALSE),0))</f>
        <v>0</v>
      </c>
      <c r="G120" s="53" t="str">
        <f>IF(VLOOKUP(A120,[1]Plan!A$1:H$804,8,FALSE)&lt;&gt;"",VLOOKUP(A120,[1]Plan!A$1:H$804,8,FALSE),"")</f>
        <v>N</v>
      </c>
      <c r="H120" s="54" t="str">
        <f>IF(VLOOKUP(A120,[1]Plan!A$1:L$804,12,FALSE)&lt;&gt;"",VLOOKUP(A120,[1]Plan!A$1:L$804,12,FALSE),"")</f>
        <v/>
      </c>
      <c r="I120" s="55" t="str">
        <f>IF(VLOOKUP(A120,[1]Plan!A$1:M$804,13,FALSE)&lt;&gt;"",VLOOKUP(A120,[1]Plan!A$1:M$804,13,FALSE),"")</f>
        <v/>
      </c>
      <c r="J120" s="55" t="str">
        <f>IF(VLOOKUP(A120,[1]Plan!A$1:N$804,14,FALSE)&lt;&gt;"",VLOOKUP(A120,[1]Plan!A$1:N$804,14,FALSE),IF(VLOOKUP(A120,[1]Plan!A$1:O$804,15,FALSE)&lt;&gt;"",VLOOKUP(A120,[1]Plan!A$1:O$804,15,FALSE),""))</f>
        <v/>
      </c>
      <c r="K120" s="56" t="str">
        <f>IF(VLOOKUP(A120,[1]Plan!A$1:P$804,16,FALSE)&lt;&gt;"",VLOOKUP(A120,[1]Plan!A$1:P$804,16,FALSE),"")</f>
        <v/>
      </c>
      <c r="L120" s="55"/>
      <c r="M120" s="55"/>
      <c r="N120" s="55"/>
      <c r="O120" s="57">
        <f>IF(F120=0,E120,F120)</f>
        <v>0</v>
      </c>
      <c r="P120" s="57" t="b">
        <f>OR(H120="Y",I120="Y")</f>
        <v>0</v>
      </c>
      <c r="Q120" s="58">
        <f>IF(P120,O120*'[1]ETC Data'!$H$3*'[1]ETC Data'!$I$3,0)</f>
        <v>0</v>
      </c>
      <c r="R120" s="58">
        <f>Q120-(Q120*((VLOOKUP(A120,[1]Plan!A$1:Z$804,26,FALSE)/100)))</f>
        <v>0</v>
      </c>
      <c r="S120" s="58">
        <f>IF(P120,O120*'[1]ETC Data'!$H$3*'[1]ETC Data'!$J$3,0)</f>
        <v>0</v>
      </c>
      <c r="T120" s="58">
        <f>S120-(S120*((VLOOKUP(A120,[1]Plan!A$1:AA$804,27,FALSE)/100)))</f>
        <v>0</v>
      </c>
      <c r="U120" s="58">
        <f>IF(P120,O120*'[1]ETC Data'!$H$3*'[1]ETC Data'!$K$3,0)</f>
        <v>0</v>
      </c>
      <c r="V120" s="58">
        <f>U120-(U120*((VLOOKUP(A120,[1]Plan!A$1:AB$804,28,FALSE)/100)))</f>
        <v>0</v>
      </c>
      <c r="W120" s="58">
        <f>IF(P120,O120*'[1]ETC Data'!$H$3*'[1]ETC Data'!$L$3,0)</f>
        <v>0</v>
      </c>
      <c r="X120" s="58">
        <f>W120-(W120*((VLOOKUP(A120,[1]Plan!A$1:AC$804,29,FALSE)/100)))</f>
        <v>0</v>
      </c>
      <c r="Y120" s="59"/>
      <c r="Z120" s="60" t="b">
        <f>OR(H120="Y",J120="Y")</f>
        <v>0</v>
      </c>
      <c r="AA120" s="58">
        <f>IF(Z120,O120*'[1]ETC Data'!$H$4*'[1]ETC Data'!$I$4,0)</f>
        <v>0</v>
      </c>
      <c r="AB120" s="58">
        <f>AA120-(AA120*((VLOOKUP(A120,[1]Plan!A$1:AI$804,35,FALSE)/100)))</f>
        <v>0</v>
      </c>
      <c r="AC120" s="58">
        <f>IF(Z120,O120*'[1]ETC Data'!$H$4*'[1]ETC Data'!$J$4,0)</f>
        <v>0</v>
      </c>
      <c r="AD120" s="58">
        <f>AC120-(AC120*((VLOOKUP(A120,[1]Plan!A$1:AJ$804,36,FALSE)/100)))</f>
        <v>0</v>
      </c>
      <c r="AE120" s="58">
        <f>IF(Z120,O120*'[1]ETC Data'!$H$4*'[1]ETC Data'!$K$4,0)</f>
        <v>0</v>
      </c>
      <c r="AF120" s="58">
        <f>AE120-(AE120*((VLOOKUP(A120,[1]Plan!A$1:AK$804,37,FALSE)/100)))</f>
        <v>0</v>
      </c>
      <c r="AG120" s="58">
        <f>IF(Z120,O120*'[1]ETC Data'!$H$4*'[1]ETC Data'!$L$4,0)</f>
        <v>0</v>
      </c>
      <c r="AH120" s="58">
        <f>AG120-(AG120*((VLOOKUP(A120,[1]Plan!A$1:AP$804,42,FALSE)/100)))</f>
        <v>0</v>
      </c>
      <c r="AI120" s="60"/>
      <c r="AJ120" s="60" t="b">
        <f>OR(H120="Y",K120="Y")</f>
        <v>0</v>
      </c>
      <c r="AK120" s="61">
        <f>IF(AJ120,O120*'[1]ETC Data'!$H$5*'[1]ETC Data'!$I$5,0)</f>
        <v>0</v>
      </c>
      <c r="AL120" s="58">
        <f>AK120-(AK120*((VLOOKUP(A120,[1]Plan!A$1:AY$804,51,FALSE)/100)))</f>
        <v>0</v>
      </c>
      <c r="AM120" s="58">
        <f>IF(AJ120,O120*'[1]ETC Data'!$H$5*'[1]ETC Data'!$J$5,0)</f>
        <v>0</v>
      </c>
      <c r="AN120" s="58">
        <f>AM120-(AM120*((VLOOKUP(A120,[1]Plan!A$1:BA$804,53,FALSE)/100)))</f>
        <v>0</v>
      </c>
      <c r="AO120" s="61">
        <f>IF(AJ120,O120*'[1]ETC Data'!$H$5*'[1]ETC Data'!$K$5,0)</f>
        <v>0</v>
      </c>
      <c r="AP120" s="58">
        <f>AO120-(AO120*((VLOOKUP(A120,[1]Plan!A$1:BB$804,54,FALSE)/100)))</f>
        <v>0</v>
      </c>
      <c r="AQ120" s="58">
        <f>IF(AJ120,O120*'[1]ETC Data'!$H$5*'[1]ETC Data'!$L$5,0)</f>
        <v>0</v>
      </c>
      <c r="AR120" s="58">
        <f>AQ120-(AQ120*((VLOOKUP(A120,[1]Plan!A$1:BD$804,56,FALSE)/100)))</f>
        <v>0</v>
      </c>
      <c r="AS120" s="20">
        <f>VLOOKUP(A120,'[1]PR Matrix'!A:B,2,FALSE)</f>
        <v>0</v>
      </c>
      <c r="AT120" s="21">
        <f>R120+T120+V120+X120+AB120+AD120+AF120+AH120+AL120+AN120+AP120+AR120</f>
        <v>0</v>
      </c>
      <c r="AU120" s="21">
        <f>Q120+S120+U120+W120+AA120+AC120+AE120+AG120+AK120+AM120+AO120+AQ120</f>
        <v>0</v>
      </c>
      <c r="AV120" s="21">
        <f>R120+AB120+AL120</f>
        <v>0</v>
      </c>
      <c r="AW120" s="21">
        <f>T120+AD120+AN120</f>
        <v>0</v>
      </c>
      <c r="AX120" s="21">
        <f>V120+AF120+AP120</f>
        <v>0</v>
      </c>
      <c r="AY120" s="21">
        <f>X120+AH120+AR120</f>
        <v>0</v>
      </c>
    </row>
    <row r="121" spans="1:51" hidden="1" x14ac:dyDescent="0.2">
      <c r="A121" s="66" t="s">
        <v>328</v>
      </c>
      <c r="B121" s="51" t="s">
        <v>209</v>
      </c>
      <c r="C121" s="51"/>
      <c r="D121" s="51"/>
      <c r="E121" s="52">
        <f>IF(G121="Y",VLOOKUP(B121&amp;"|"&amp;C121,'[1]ETC Data'!$C$2:$D$16,2,FALSE),0)</f>
        <v>0</v>
      </c>
      <c r="F121" s="52">
        <f>IF(D121="",0,IF(G121="Y",VLOOKUP(B121&amp;"|"&amp;D121,'[1]ETC Data'!$C$2:$D$16,2,FALSE),0))</f>
        <v>0</v>
      </c>
      <c r="G121" s="53" t="str">
        <f>IF(VLOOKUP(A121,[1]Plan!A$1:H$804,8,FALSE)&lt;&gt;"",VLOOKUP(A121,[1]Plan!A$1:H$804,8,FALSE),"")</f>
        <v>N</v>
      </c>
      <c r="H121" s="54" t="str">
        <f>IF(VLOOKUP(A121,[1]Plan!A$1:L$804,12,FALSE)&lt;&gt;"",VLOOKUP(A121,[1]Plan!A$1:L$804,12,FALSE),"")</f>
        <v/>
      </c>
      <c r="I121" s="55" t="str">
        <f>IF(VLOOKUP(A121,[1]Plan!A$1:M$804,13,FALSE)&lt;&gt;"",VLOOKUP(A121,[1]Plan!A$1:M$804,13,FALSE),"")</f>
        <v/>
      </c>
      <c r="J121" s="55" t="str">
        <f>IF(VLOOKUP(A121,[1]Plan!A$1:N$804,14,FALSE)&lt;&gt;"",VLOOKUP(A121,[1]Plan!A$1:N$804,14,FALSE),IF(VLOOKUP(A121,[1]Plan!A$1:O$804,15,FALSE)&lt;&gt;"",VLOOKUP(A121,[1]Plan!A$1:O$804,15,FALSE),""))</f>
        <v/>
      </c>
      <c r="K121" s="56" t="str">
        <f>IF(VLOOKUP(A121,[1]Plan!A$1:P$804,16,FALSE)&lt;&gt;"",VLOOKUP(A121,[1]Plan!A$1:P$804,16,FALSE),"")</f>
        <v/>
      </c>
      <c r="L121" s="55"/>
      <c r="M121" s="55"/>
      <c r="N121" s="55"/>
      <c r="O121" s="57">
        <f>IF(F121=0,E121,F121)</f>
        <v>0</v>
      </c>
      <c r="P121" s="57" t="b">
        <f>OR(H121="Y",I121="Y")</f>
        <v>0</v>
      </c>
      <c r="Q121" s="58">
        <f>IF(P121,O121*'[1]ETC Data'!$H$3*'[1]ETC Data'!$I$3,0)</f>
        <v>0</v>
      </c>
      <c r="R121" s="58">
        <f>Q121-(Q121*((VLOOKUP(A121,[1]Plan!A$1:Z$804,26,FALSE)/100)))</f>
        <v>0</v>
      </c>
      <c r="S121" s="58">
        <f>IF(P121,O121*'[1]ETC Data'!$H$3*'[1]ETC Data'!$J$3,0)</f>
        <v>0</v>
      </c>
      <c r="T121" s="58">
        <f>S121-(S121*((VLOOKUP(A121,[1]Plan!A$1:AA$804,27,FALSE)/100)))</f>
        <v>0</v>
      </c>
      <c r="U121" s="58">
        <f>IF(P121,O121*'[1]ETC Data'!$H$3*'[1]ETC Data'!$K$3,0)</f>
        <v>0</v>
      </c>
      <c r="V121" s="58">
        <f>U121-(U121*((VLOOKUP(A121,[1]Plan!A$1:AB$804,28,FALSE)/100)))</f>
        <v>0</v>
      </c>
      <c r="W121" s="58">
        <f>IF(P121,O121*'[1]ETC Data'!$H$3*'[1]ETC Data'!$L$3,0)</f>
        <v>0</v>
      </c>
      <c r="X121" s="58">
        <f>W121-(W121*((VLOOKUP(A121,[1]Plan!A$1:AC$804,29,FALSE)/100)))</f>
        <v>0</v>
      </c>
      <c r="Y121" s="59"/>
      <c r="Z121" s="60" t="b">
        <f>OR(H121="Y",J121="Y")</f>
        <v>0</v>
      </c>
      <c r="AA121" s="58">
        <f>IF(Z121,O121*'[1]ETC Data'!$H$4*'[1]ETC Data'!$I$4,0)</f>
        <v>0</v>
      </c>
      <c r="AB121" s="58">
        <f>AA121-(AA121*((VLOOKUP(A121,[1]Plan!A$1:AI$804,35,FALSE)/100)))</f>
        <v>0</v>
      </c>
      <c r="AC121" s="58">
        <f>IF(Z121,O121*'[1]ETC Data'!$H$4*'[1]ETC Data'!$J$4,0)</f>
        <v>0</v>
      </c>
      <c r="AD121" s="58">
        <f>AC121-(AC121*((VLOOKUP(A121,[1]Plan!A$1:AJ$804,36,FALSE)/100)))</f>
        <v>0</v>
      </c>
      <c r="AE121" s="58">
        <f>IF(Z121,O121*'[1]ETC Data'!$H$4*'[1]ETC Data'!$K$4,0)</f>
        <v>0</v>
      </c>
      <c r="AF121" s="58">
        <f>AE121-(AE121*((VLOOKUP(A121,[1]Plan!A$1:AK$804,37,FALSE)/100)))</f>
        <v>0</v>
      </c>
      <c r="AG121" s="58">
        <f>IF(Z121,O121*'[1]ETC Data'!$H$4*'[1]ETC Data'!$L$4,0)</f>
        <v>0</v>
      </c>
      <c r="AH121" s="58">
        <f>AG121-(AG121*((VLOOKUP(A121,[1]Plan!A$1:AP$804,42,FALSE)/100)))</f>
        <v>0</v>
      </c>
      <c r="AI121" s="60"/>
      <c r="AJ121" s="60" t="b">
        <f>OR(H121="Y",K121="Y")</f>
        <v>0</v>
      </c>
      <c r="AK121" s="61">
        <f>IF(AJ121,O121*'[1]ETC Data'!$H$5*'[1]ETC Data'!$I$5,0)</f>
        <v>0</v>
      </c>
      <c r="AL121" s="58">
        <f>AK121-(AK121*((VLOOKUP(A121,[1]Plan!A$1:AY$804,51,FALSE)/100)))</f>
        <v>0</v>
      </c>
      <c r="AM121" s="58">
        <f>IF(AJ121,O121*'[1]ETC Data'!$H$5*'[1]ETC Data'!$J$5,0)</f>
        <v>0</v>
      </c>
      <c r="AN121" s="58">
        <f>AM121-(AM121*((VLOOKUP(A121,[1]Plan!A$1:BA$804,53,FALSE)/100)))</f>
        <v>0</v>
      </c>
      <c r="AO121" s="61">
        <f>IF(AJ121,O121*'[1]ETC Data'!$H$5*'[1]ETC Data'!$K$5,0)</f>
        <v>0</v>
      </c>
      <c r="AP121" s="58">
        <f>AO121-(AO121*((VLOOKUP(A121,[1]Plan!A$1:BB$804,54,FALSE)/100)))</f>
        <v>0</v>
      </c>
      <c r="AQ121" s="58">
        <f>IF(AJ121,O121*'[1]ETC Data'!$H$5*'[1]ETC Data'!$L$5,0)</f>
        <v>0</v>
      </c>
      <c r="AR121" s="58">
        <f>AQ121-(AQ121*((VLOOKUP(A121,[1]Plan!A$1:BD$804,56,FALSE)/100)))</f>
        <v>0</v>
      </c>
      <c r="AS121" s="20">
        <f>VLOOKUP(A121,'[1]PR Matrix'!A:B,2,FALSE)</f>
        <v>0</v>
      </c>
      <c r="AT121" s="21">
        <f>R121+T121+V121+X121+AB121+AD121+AF121+AH121+AL121+AN121+AP121+AR121</f>
        <v>0</v>
      </c>
      <c r="AU121" s="21">
        <f>Q121+S121+U121+W121+AA121+AC121+AE121+AG121+AK121+AM121+AO121+AQ121</f>
        <v>0</v>
      </c>
      <c r="AV121" s="21">
        <f>R121+AB121+AL121</f>
        <v>0</v>
      </c>
      <c r="AW121" s="21">
        <f>T121+AD121+AN121</f>
        <v>0</v>
      </c>
      <c r="AX121" s="21">
        <f>V121+AF121+AP121</f>
        <v>0</v>
      </c>
      <c r="AY121" s="21">
        <f>X121+AH121+AR121</f>
        <v>0</v>
      </c>
    </row>
    <row r="122" spans="1:51" hidden="1" x14ac:dyDescent="0.2">
      <c r="A122" s="50" t="s">
        <v>329</v>
      </c>
      <c r="B122" s="51" t="s">
        <v>208</v>
      </c>
      <c r="C122" s="51"/>
      <c r="D122" s="51"/>
      <c r="E122" s="52">
        <f>IF(G122="Y",VLOOKUP(B122&amp;"|"&amp;C122,'[1]ETC Data'!$C$2:$D$16,2,FALSE),0)</f>
        <v>0</v>
      </c>
      <c r="F122" s="52">
        <f>IF(D122="",0,IF(G122="Y",VLOOKUP(B122&amp;"|"&amp;D122,'[1]ETC Data'!$C$2:$D$16,2,FALSE),0))</f>
        <v>0</v>
      </c>
      <c r="G122" s="53" t="str">
        <f>IF(VLOOKUP(A122,[1]Plan!A$1:H$804,8,FALSE)&lt;&gt;"",VLOOKUP(A122,[1]Plan!A$1:H$804,8,FALSE),"")</f>
        <v>N</v>
      </c>
      <c r="H122" s="54" t="str">
        <f>IF(VLOOKUP(A122,[1]Plan!A$1:L$804,12,FALSE)&lt;&gt;"",VLOOKUP(A122,[1]Plan!A$1:L$804,12,FALSE),"")</f>
        <v/>
      </c>
      <c r="I122" s="55" t="str">
        <f>IF(VLOOKUP(A122,[1]Plan!A$1:M$804,13,FALSE)&lt;&gt;"",VLOOKUP(A122,[1]Plan!A$1:M$804,13,FALSE),"")</f>
        <v/>
      </c>
      <c r="J122" s="55" t="str">
        <f>IF(VLOOKUP(A122,[1]Plan!A$1:N$804,14,FALSE)&lt;&gt;"",VLOOKUP(A122,[1]Plan!A$1:N$804,14,FALSE),IF(VLOOKUP(A122,[1]Plan!A$1:O$804,15,FALSE)&lt;&gt;"",VLOOKUP(A122,[1]Plan!A$1:O$804,15,FALSE),""))</f>
        <v/>
      </c>
      <c r="K122" s="56" t="str">
        <f>IF(VLOOKUP(A122,[1]Plan!A$1:P$804,16,FALSE)&lt;&gt;"",VLOOKUP(A122,[1]Plan!A$1:P$804,16,FALSE),"")</f>
        <v/>
      </c>
      <c r="L122" s="55"/>
      <c r="M122" s="55"/>
      <c r="N122" s="55"/>
      <c r="O122" s="57">
        <f>IF(F122=0,E122,F122)</f>
        <v>0</v>
      </c>
      <c r="P122" s="57" t="b">
        <f>OR(H122="Y",I122="Y")</f>
        <v>0</v>
      </c>
      <c r="Q122" s="58">
        <f>IF(P122,O122*'[1]ETC Data'!$H$3*'[1]ETC Data'!$I$3,0)</f>
        <v>0</v>
      </c>
      <c r="R122" s="58">
        <f>Q122-(Q122*((VLOOKUP(A122,[1]Plan!A$1:Z$804,26,FALSE)/100)))</f>
        <v>0</v>
      </c>
      <c r="S122" s="58">
        <f>IF(P122,O122*'[1]ETC Data'!$H$3*'[1]ETC Data'!$J$3,0)</f>
        <v>0</v>
      </c>
      <c r="T122" s="58">
        <f>S122-(S122*((VLOOKUP(A122,[1]Plan!A$1:AA$804,27,FALSE)/100)))</f>
        <v>0</v>
      </c>
      <c r="U122" s="58">
        <f>IF(P122,O122*'[1]ETC Data'!$H$3*'[1]ETC Data'!$K$3,0)</f>
        <v>0</v>
      </c>
      <c r="V122" s="58">
        <f>U122-(U122*((VLOOKUP(A122,[1]Plan!A$1:AB$804,28,FALSE)/100)))</f>
        <v>0</v>
      </c>
      <c r="W122" s="58">
        <f>IF(P122,O122*'[1]ETC Data'!$H$3*'[1]ETC Data'!$L$3,0)</f>
        <v>0</v>
      </c>
      <c r="X122" s="58">
        <f>W122-(W122*((VLOOKUP(A122,[1]Plan!A$1:AC$804,29,FALSE)/100)))</f>
        <v>0</v>
      </c>
      <c r="Y122" s="59"/>
      <c r="Z122" s="60" t="b">
        <f>OR(H122="Y",J122="Y")</f>
        <v>0</v>
      </c>
      <c r="AA122" s="58">
        <f>IF(Z122,O122*'[1]ETC Data'!$H$4*'[1]ETC Data'!$I$4,0)</f>
        <v>0</v>
      </c>
      <c r="AB122" s="58">
        <f>AA122-(AA122*((VLOOKUP(A122,[1]Plan!A$1:AI$804,35,FALSE)/100)))</f>
        <v>0</v>
      </c>
      <c r="AC122" s="58">
        <f>IF(Z122,O122*'[1]ETC Data'!$H$4*'[1]ETC Data'!$J$4,0)</f>
        <v>0</v>
      </c>
      <c r="AD122" s="58">
        <f>AC122-(AC122*((VLOOKUP(A122,[1]Plan!A$1:AJ$804,36,FALSE)/100)))</f>
        <v>0</v>
      </c>
      <c r="AE122" s="58">
        <f>IF(Z122,O122*'[1]ETC Data'!$H$4*'[1]ETC Data'!$K$4,0)</f>
        <v>0</v>
      </c>
      <c r="AF122" s="58">
        <f>AE122-(AE122*((VLOOKUP(A122,[1]Plan!A$1:AK$804,37,FALSE)/100)))</f>
        <v>0</v>
      </c>
      <c r="AG122" s="58">
        <f>IF(Z122,O122*'[1]ETC Data'!$H$4*'[1]ETC Data'!$L$4,0)</f>
        <v>0</v>
      </c>
      <c r="AH122" s="58">
        <f>AG122-(AG122*((VLOOKUP(A122,[1]Plan!A$1:AP$804,42,FALSE)/100)))</f>
        <v>0</v>
      </c>
      <c r="AI122" s="60"/>
      <c r="AJ122" s="60" t="b">
        <f>OR(H122="Y",K122="Y")</f>
        <v>0</v>
      </c>
      <c r="AK122" s="61">
        <f>IF(AJ122,O122*'[1]ETC Data'!$H$5*'[1]ETC Data'!$I$5,0)</f>
        <v>0</v>
      </c>
      <c r="AL122" s="58">
        <f>AK122-(AK122*((VLOOKUP(A122,[1]Plan!A$1:AY$804,51,FALSE)/100)))</f>
        <v>0</v>
      </c>
      <c r="AM122" s="58">
        <f>IF(AJ122,O122*'[1]ETC Data'!$H$5*'[1]ETC Data'!$J$5,0)</f>
        <v>0</v>
      </c>
      <c r="AN122" s="58">
        <f>AM122-(AM122*((VLOOKUP(A122,[1]Plan!A$1:BA$804,53,FALSE)/100)))</f>
        <v>0</v>
      </c>
      <c r="AO122" s="61">
        <f>IF(AJ122,O122*'[1]ETC Data'!$H$5*'[1]ETC Data'!$K$5,0)</f>
        <v>0</v>
      </c>
      <c r="AP122" s="58">
        <f>AO122-(AO122*((VLOOKUP(A122,[1]Plan!A$1:BB$804,54,FALSE)/100)))</f>
        <v>0</v>
      </c>
      <c r="AQ122" s="58">
        <f>IF(AJ122,O122*'[1]ETC Data'!$H$5*'[1]ETC Data'!$L$5,0)</f>
        <v>0</v>
      </c>
      <c r="AR122" s="58">
        <f>AQ122-(AQ122*((VLOOKUP(A122,[1]Plan!A$1:BD$804,56,FALSE)/100)))</f>
        <v>0</v>
      </c>
      <c r="AS122" s="20">
        <f>VLOOKUP(A122,'[1]PR Matrix'!A:B,2,FALSE)</f>
        <v>0</v>
      </c>
      <c r="AT122" s="21">
        <f>R122+T122+V122+X122+AB122+AD122+AF122+AH122+AL122+AN122+AP122+AR122</f>
        <v>0</v>
      </c>
      <c r="AU122" s="21">
        <f>Q122+S122+U122+W122+AA122+AC122+AE122+AG122+AK122+AM122+AO122+AQ122</f>
        <v>0</v>
      </c>
      <c r="AV122" s="21">
        <f>R122+AB122+AL122</f>
        <v>0</v>
      </c>
      <c r="AW122" s="21">
        <f>T122+AD122+AN122</f>
        <v>0</v>
      </c>
      <c r="AX122" s="21">
        <f>V122+AF122+AP122</f>
        <v>0</v>
      </c>
      <c r="AY122" s="21">
        <f>X122+AH122+AR122</f>
        <v>0</v>
      </c>
    </row>
    <row r="123" spans="1:51" hidden="1" x14ac:dyDescent="0.2">
      <c r="A123" s="50" t="s">
        <v>330</v>
      </c>
      <c r="B123" s="51" t="s">
        <v>209</v>
      </c>
      <c r="C123" s="51"/>
      <c r="D123" s="51"/>
      <c r="E123" s="52">
        <f>IF(G123="Y",VLOOKUP(B123&amp;"|"&amp;C123,'[1]ETC Data'!$C$2:$D$16,2,FALSE),0)</f>
        <v>0</v>
      </c>
      <c r="F123" s="52">
        <f>IF(D123="",0,IF(G123="Y",VLOOKUP(B123&amp;"|"&amp;D123,'[1]ETC Data'!$C$2:$D$16,2,FALSE),0))</f>
        <v>0</v>
      </c>
      <c r="G123" s="53" t="str">
        <f>IF(VLOOKUP(A123,[1]Plan!A$1:H$804,8,FALSE)&lt;&gt;"",VLOOKUP(A123,[1]Plan!A$1:H$804,8,FALSE),"")</f>
        <v>N</v>
      </c>
      <c r="H123" s="54" t="str">
        <f>IF(VLOOKUP(A123,[1]Plan!A$1:L$804,12,FALSE)&lt;&gt;"",VLOOKUP(A123,[1]Plan!A$1:L$804,12,FALSE),"")</f>
        <v/>
      </c>
      <c r="I123" s="55" t="str">
        <f>IF(VLOOKUP(A123,[1]Plan!A$1:M$804,13,FALSE)&lt;&gt;"",VLOOKUP(A123,[1]Plan!A$1:M$804,13,FALSE),"")</f>
        <v/>
      </c>
      <c r="J123" s="55" t="str">
        <f>IF(VLOOKUP(A123,[1]Plan!A$1:N$804,14,FALSE)&lt;&gt;"",VLOOKUP(A123,[1]Plan!A$1:N$804,14,FALSE),IF(VLOOKUP(A123,[1]Plan!A$1:O$804,15,FALSE)&lt;&gt;"",VLOOKUP(A123,[1]Plan!A$1:O$804,15,FALSE),""))</f>
        <v/>
      </c>
      <c r="K123" s="56" t="str">
        <f>IF(VLOOKUP(A123,[1]Plan!A$1:P$804,16,FALSE)&lt;&gt;"",VLOOKUP(A123,[1]Plan!A$1:P$804,16,FALSE),"")</f>
        <v/>
      </c>
      <c r="L123" s="55"/>
      <c r="M123" s="55"/>
      <c r="N123" s="55"/>
      <c r="O123" s="57">
        <f>IF(F123=0,E123,F123)</f>
        <v>0</v>
      </c>
      <c r="P123" s="57" t="b">
        <f>OR(H123="Y",I123="Y")</f>
        <v>0</v>
      </c>
      <c r="Q123" s="58">
        <f>IF(P123,O123*'[1]ETC Data'!$H$3*'[1]ETC Data'!$I$3,0)</f>
        <v>0</v>
      </c>
      <c r="R123" s="58">
        <f>Q123-(Q123*((VLOOKUP(A123,[1]Plan!A$1:Z$804,26,FALSE)/100)))</f>
        <v>0</v>
      </c>
      <c r="S123" s="58">
        <f>IF(P123,O123*'[1]ETC Data'!$H$3*'[1]ETC Data'!$J$3,0)</f>
        <v>0</v>
      </c>
      <c r="T123" s="58">
        <f>S123-(S123*((VLOOKUP(A123,[1]Plan!A$1:AA$804,27,FALSE)/100)))</f>
        <v>0</v>
      </c>
      <c r="U123" s="58">
        <f>IF(P123,O123*'[1]ETC Data'!$H$3*'[1]ETC Data'!$K$3,0)</f>
        <v>0</v>
      </c>
      <c r="V123" s="58">
        <f>U123-(U123*((VLOOKUP(A123,[1]Plan!A$1:AB$804,28,FALSE)/100)))</f>
        <v>0</v>
      </c>
      <c r="W123" s="58">
        <f>IF(P123,O123*'[1]ETC Data'!$H$3*'[1]ETC Data'!$L$3,0)</f>
        <v>0</v>
      </c>
      <c r="X123" s="58">
        <f>W123-(W123*((VLOOKUP(A123,[1]Plan!A$1:AC$804,29,FALSE)/100)))</f>
        <v>0</v>
      </c>
      <c r="Y123" s="59"/>
      <c r="Z123" s="60" t="b">
        <f>OR(H123="Y",J123="Y")</f>
        <v>0</v>
      </c>
      <c r="AA123" s="58">
        <f>IF(Z123,O123*'[1]ETC Data'!$H$4*'[1]ETC Data'!$I$4,0)</f>
        <v>0</v>
      </c>
      <c r="AB123" s="58">
        <f>AA123-(AA123*((VLOOKUP(A123,[1]Plan!A$1:AI$804,35,FALSE)/100)))</f>
        <v>0</v>
      </c>
      <c r="AC123" s="58">
        <f>IF(Z123,O123*'[1]ETC Data'!$H$4*'[1]ETC Data'!$J$4,0)</f>
        <v>0</v>
      </c>
      <c r="AD123" s="58">
        <f>AC123-(AC123*((VLOOKUP(A123,[1]Plan!A$1:AJ$804,36,FALSE)/100)))</f>
        <v>0</v>
      </c>
      <c r="AE123" s="58">
        <f>IF(Z123,O123*'[1]ETC Data'!$H$4*'[1]ETC Data'!$K$4,0)</f>
        <v>0</v>
      </c>
      <c r="AF123" s="58">
        <f>AE123-(AE123*((VLOOKUP(A123,[1]Plan!A$1:AK$804,37,FALSE)/100)))</f>
        <v>0</v>
      </c>
      <c r="AG123" s="58">
        <f>IF(Z123,O123*'[1]ETC Data'!$H$4*'[1]ETC Data'!$L$4,0)</f>
        <v>0</v>
      </c>
      <c r="AH123" s="58">
        <f>AG123-(AG123*((VLOOKUP(A123,[1]Plan!A$1:AP$804,42,FALSE)/100)))</f>
        <v>0</v>
      </c>
      <c r="AI123" s="60"/>
      <c r="AJ123" s="60" t="b">
        <f>OR(H123="Y",K123="Y")</f>
        <v>0</v>
      </c>
      <c r="AK123" s="61">
        <f>IF(AJ123,O123*'[1]ETC Data'!$H$5*'[1]ETC Data'!$I$5,0)</f>
        <v>0</v>
      </c>
      <c r="AL123" s="58">
        <f>AK123-(AK123*((VLOOKUP(A123,[1]Plan!A$1:AY$804,51,FALSE)/100)))</f>
        <v>0</v>
      </c>
      <c r="AM123" s="58">
        <f>IF(AJ123,O123*'[1]ETC Data'!$H$5*'[1]ETC Data'!$J$5,0)</f>
        <v>0</v>
      </c>
      <c r="AN123" s="58">
        <f>AM123-(AM123*((VLOOKUP(A123,[1]Plan!A$1:BA$804,53,FALSE)/100)))</f>
        <v>0</v>
      </c>
      <c r="AO123" s="61">
        <f>IF(AJ123,O123*'[1]ETC Data'!$H$5*'[1]ETC Data'!$K$5,0)</f>
        <v>0</v>
      </c>
      <c r="AP123" s="58">
        <f>AO123-(AO123*((VLOOKUP(A123,[1]Plan!A$1:BB$804,54,FALSE)/100)))</f>
        <v>0</v>
      </c>
      <c r="AQ123" s="58">
        <f>IF(AJ123,O123*'[1]ETC Data'!$H$5*'[1]ETC Data'!$L$5,0)</f>
        <v>0</v>
      </c>
      <c r="AR123" s="58">
        <f>AQ123-(AQ123*((VLOOKUP(A123,[1]Plan!A$1:BD$804,56,FALSE)/100)))</f>
        <v>0</v>
      </c>
      <c r="AS123" s="20">
        <f>VLOOKUP(A123,'[1]PR Matrix'!A:B,2,FALSE)</f>
        <v>0</v>
      </c>
      <c r="AT123" s="21">
        <f>R123+T123+V123+X123+AB123+AD123+AF123+AH123+AL123+AN123+AP123+AR123</f>
        <v>0</v>
      </c>
      <c r="AU123" s="21">
        <f>Q123+S123+U123+W123+AA123+AC123+AE123+AG123+AK123+AM123+AO123+AQ123</f>
        <v>0</v>
      </c>
      <c r="AV123" s="21">
        <f>R123+AB123+AL123</f>
        <v>0</v>
      </c>
      <c r="AW123" s="21">
        <f>T123+AD123+AN123</f>
        <v>0</v>
      </c>
      <c r="AX123" s="21">
        <f>V123+AF123+AP123</f>
        <v>0</v>
      </c>
      <c r="AY123" s="21">
        <f>X123+AH123+AR123</f>
        <v>0</v>
      </c>
    </row>
    <row r="124" spans="1:51" hidden="1" x14ac:dyDescent="0.2">
      <c r="A124" s="50" t="s">
        <v>331</v>
      </c>
      <c r="B124" s="51" t="s">
        <v>209</v>
      </c>
      <c r="C124" s="51"/>
      <c r="D124" s="51"/>
      <c r="E124" s="52">
        <f>IF(G124="Y",VLOOKUP(B124&amp;"|"&amp;C124,'[1]ETC Data'!$C$2:$D$16,2,FALSE),0)</f>
        <v>0</v>
      </c>
      <c r="F124" s="52">
        <f>IF(D124="",0,IF(G124="Y",VLOOKUP(B124&amp;"|"&amp;D124,'[1]ETC Data'!$C$2:$D$16,2,FALSE),0))</f>
        <v>0</v>
      </c>
      <c r="G124" s="53" t="str">
        <f>IF(VLOOKUP(A124,[1]Plan!A$1:H$804,8,FALSE)&lt;&gt;"",VLOOKUP(A124,[1]Plan!A$1:H$804,8,FALSE),"")</f>
        <v>N</v>
      </c>
      <c r="H124" s="54" t="str">
        <f>IF(VLOOKUP(A124,[1]Plan!A$1:L$804,12,FALSE)&lt;&gt;"",VLOOKUP(A124,[1]Plan!A$1:L$804,12,FALSE),"")</f>
        <v/>
      </c>
      <c r="I124" s="55" t="str">
        <f>IF(VLOOKUP(A124,[1]Plan!A$1:M$804,13,FALSE)&lt;&gt;"",VLOOKUP(A124,[1]Plan!A$1:M$804,13,FALSE),"")</f>
        <v/>
      </c>
      <c r="J124" s="55" t="str">
        <f>IF(VLOOKUP(A124,[1]Plan!A$1:N$804,14,FALSE)&lt;&gt;"",VLOOKUP(A124,[1]Plan!A$1:N$804,14,FALSE),IF(VLOOKUP(A124,[1]Plan!A$1:O$804,15,FALSE)&lt;&gt;"",VLOOKUP(A124,[1]Plan!A$1:O$804,15,FALSE),""))</f>
        <v/>
      </c>
      <c r="K124" s="56" t="str">
        <f>IF(VLOOKUP(A124,[1]Plan!A$1:P$804,16,FALSE)&lt;&gt;"",VLOOKUP(A124,[1]Plan!A$1:P$804,16,FALSE),"")</f>
        <v/>
      </c>
      <c r="L124" s="55"/>
      <c r="M124" s="55"/>
      <c r="N124" s="55"/>
      <c r="O124" s="57">
        <f>IF(F124=0,E124,F124)</f>
        <v>0</v>
      </c>
      <c r="P124" s="57" t="b">
        <f>OR(H124="Y",I124="Y")</f>
        <v>0</v>
      </c>
      <c r="Q124" s="58">
        <f>IF(P124,O124*'[1]ETC Data'!$H$3*'[1]ETC Data'!$I$3,0)</f>
        <v>0</v>
      </c>
      <c r="R124" s="58">
        <f>Q124-(Q124*((VLOOKUP(A124,[1]Plan!A$1:Z$804,26,FALSE)/100)))</f>
        <v>0</v>
      </c>
      <c r="S124" s="58">
        <f>IF(P124,O124*'[1]ETC Data'!$H$3*'[1]ETC Data'!$J$3,0)</f>
        <v>0</v>
      </c>
      <c r="T124" s="58">
        <f>S124-(S124*((VLOOKUP(A124,[1]Plan!A$1:AA$804,27,FALSE)/100)))</f>
        <v>0</v>
      </c>
      <c r="U124" s="58">
        <f>IF(P124,O124*'[1]ETC Data'!$H$3*'[1]ETC Data'!$K$3,0)</f>
        <v>0</v>
      </c>
      <c r="V124" s="58">
        <f>U124-(U124*((VLOOKUP(A124,[1]Plan!A$1:AB$804,28,FALSE)/100)))</f>
        <v>0</v>
      </c>
      <c r="W124" s="58">
        <f>IF(P124,O124*'[1]ETC Data'!$H$3*'[1]ETC Data'!$L$3,0)</f>
        <v>0</v>
      </c>
      <c r="X124" s="58">
        <f>W124-(W124*((VLOOKUP(A124,[1]Plan!A$1:AC$804,29,FALSE)/100)))</f>
        <v>0</v>
      </c>
      <c r="Y124" s="59"/>
      <c r="Z124" s="60" t="b">
        <f>OR(H124="Y",J124="Y")</f>
        <v>0</v>
      </c>
      <c r="AA124" s="58">
        <f>IF(Z124,O124*'[1]ETC Data'!$H$4*'[1]ETC Data'!$I$4,0)</f>
        <v>0</v>
      </c>
      <c r="AB124" s="58">
        <f>AA124-(AA124*((VLOOKUP(A124,[1]Plan!A$1:AI$804,35,FALSE)/100)))</f>
        <v>0</v>
      </c>
      <c r="AC124" s="58">
        <f>IF(Z124,O124*'[1]ETC Data'!$H$4*'[1]ETC Data'!$J$4,0)</f>
        <v>0</v>
      </c>
      <c r="AD124" s="58">
        <f>AC124-(AC124*((VLOOKUP(A124,[1]Plan!A$1:AJ$804,36,FALSE)/100)))</f>
        <v>0</v>
      </c>
      <c r="AE124" s="58">
        <f>IF(Z124,O124*'[1]ETC Data'!$H$4*'[1]ETC Data'!$K$4,0)</f>
        <v>0</v>
      </c>
      <c r="AF124" s="58">
        <f>AE124-(AE124*((VLOOKUP(A124,[1]Plan!A$1:AK$804,37,FALSE)/100)))</f>
        <v>0</v>
      </c>
      <c r="AG124" s="58">
        <f>IF(Z124,O124*'[1]ETC Data'!$H$4*'[1]ETC Data'!$L$4,0)</f>
        <v>0</v>
      </c>
      <c r="AH124" s="58">
        <f>AG124-(AG124*((VLOOKUP(A124,[1]Plan!A$1:AP$804,42,FALSE)/100)))</f>
        <v>0</v>
      </c>
      <c r="AI124" s="60"/>
      <c r="AJ124" s="60" t="b">
        <f>OR(H124="Y",K124="Y")</f>
        <v>0</v>
      </c>
      <c r="AK124" s="61">
        <f>IF(AJ124,O124*'[1]ETC Data'!$H$5*'[1]ETC Data'!$I$5,0)</f>
        <v>0</v>
      </c>
      <c r="AL124" s="58">
        <f>AK124-(AK124*((VLOOKUP(A124,[1]Plan!A$1:AY$804,51,FALSE)/100)))</f>
        <v>0</v>
      </c>
      <c r="AM124" s="58">
        <f>IF(AJ124,O124*'[1]ETC Data'!$H$5*'[1]ETC Data'!$J$5,0)</f>
        <v>0</v>
      </c>
      <c r="AN124" s="58">
        <f>AM124-(AM124*((VLOOKUP(A124,[1]Plan!A$1:BA$804,53,FALSE)/100)))</f>
        <v>0</v>
      </c>
      <c r="AO124" s="61">
        <f>IF(AJ124,O124*'[1]ETC Data'!$H$5*'[1]ETC Data'!$K$5,0)</f>
        <v>0</v>
      </c>
      <c r="AP124" s="58">
        <f>AO124-(AO124*((VLOOKUP(A124,[1]Plan!A$1:BB$804,54,FALSE)/100)))</f>
        <v>0</v>
      </c>
      <c r="AQ124" s="58">
        <f>IF(AJ124,O124*'[1]ETC Data'!$H$5*'[1]ETC Data'!$L$5,0)</f>
        <v>0</v>
      </c>
      <c r="AR124" s="58">
        <f>AQ124-(AQ124*((VLOOKUP(A124,[1]Plan!A$1:BD$804,56,FALSE)/100)))</f>
        <v>0</v>
      </c>
      <c r="AS124" s="20">
        <f>VLOOKUP(A124,'[1]PR Matrix'!A:B,2,FALSE)</f>
        <v>0</v>
      </c>
      <c r="AT124" s="21">
        <f>R124+T124+V124+X124+AB124+AD124+AF124+AH124+AL124+AN124+AP124+AR124</f>
        <v>0</v>
      </c>
      <c r="AU124" s="21">
        <f>Q124+S124+U124+W124+AA124+AC124+AE124+AG124+AK124+AM124+AO124+AQ124</f>
        <v>0</v>
      </c>
      <c r="AV124" s="21">
        <f>R124+AB124+AL124</f>
        <v>0</v>
      </c>
      <c r="AW124" s="21">
        <f>T124+AD124+AN124</f>
        <v>0</v>
      </c>
      <c r="AX124" s="21">
        <f>V124+AF124+AP124</f>
        <v>0</v>
      </c>
      <c r="AY124" s="21">
        <f>X124+AH124+AR124</f>
        <v>0</v>
      </c>
    </row>
    <row r="125" spans="1:51" hidden="1" x14ac:dyDescent="0.2">
      <c r="A125" s="50" t="s">
        <v>332</v>
      </c>
      <c r="B125" s="51" t="s">
        <v>208</v>
      </c>
      <c r="C125" s="51"/>
      <c r="D125" s="51"/>
      <c r="E125" s="52">
        <f>IF(G125="Y",VLOOKUP(B125&amp;"|"&amp;C125,'[1]ETC Data'!$C$2:$D$16,2,FALSE),0)</f>
        <v>0</v>
      </c>
      <c r="F125" s="52">
        <f>IF(D125="",0,IF(G125="Y",VLOOKUP(B125&amp;"|"&amp;D125,'[1]ETC Data'!$C$2:$D$16,2,FALSE),0))</f>
        <v>0</v>
      </c>
      <c r="G125" s="53" t="str">
        <f>IF(VLOOKUP(A125,[1]Plan!A$1:H$804,8,FALSE)&lt;&gt;"",VLOOKUP(A125,[1]Plan!A$1:H$804,8,FALSE),"")</f>
        <v>N</v>
      </c>
      <c r="H125" s="54" t="str">
        <f>IF(VLOOKUP(A125,[1]Plan!A$1:L$804,12,FALSE)&lt;&gt;"",VLOOKUP(A125,[1]Plan!A$1:L$804,12,FALSE),"")</f>
        <v/>
      </c>
      <c r="I125" s="55" t="str">
        <f>IF(VLOOKUP(A125,[1]Plan!A$1:M$804,13,FALSE)&lt;&gt;"",VLOOKUP(A125,[1]Plan!A$1:M$804,13,FALSE),"")</f>
        <v/>
      </c>
      <c r="J125" s="55" t="str">
        <f>IF(VLOOKUP(A125,[1]Plan!A$1:N$804,14,FALSE)&lt;&gt;"",VLOOKUP(A125,[1]Plan!A$1:N$804,14,FALSE),IF(VLOOKUP(A125,[1]Plan!A$1:O$804,15,FALSE)&lt;&gt;"",VLOOKUP(A125,[1]Plan!A$1:O$804,15,FALSE),""))</f>
        <v/>
      </c>
      <c r="K125" s="56" t="str">
        <f>IF(VLOOKUP(A125,[1]Plan!A$1:P$804,16,FALSE)&lt;&gt;"",VLOOKUP(A125,[1]Plan!A$1:P$804,16,FALSE),"")</f>
        <v/>
      </c>
      <c r="L125" s="55"/>
      <c r="M125" s="55"/>
      <c r="N125" s="55"/>
      <c r="O125" s="57">
        <f>IF(F125=0,E125,F125)</f>
        <v>0</v>
      </c>
      <c r="P125" s="57" t="b">
        <f>OR(H125="Y",I125="Y")</f>
        <v>0</v>
      </c>
      <c r="Q125" s="58">
        <f>IF(P125,O125*'[1]ETC Data'!$H$3*'[1]ETC Data'!$I$3,0)</f>
        <v>0</v>
      </c>
      <c r="R125" s="58">
        <f>Q125-(Q125*((VLOOKUP(A125,[1]Plan!A$1:Z$804,26,FALSE)/100)))</f>
        <v>0</v>
      </c>
      <c r="S125" s="58">
        <f>IF(P125,O125*'[1]ETC Data'!$H$3*'[1]ETC Data'!$J$3,0)</f>
        <v>0</v>
      </c>
      <c r="T125" s="58">
        <f>S125-(S125*((VLOOKUP(A125,[1]Plan!A$1:AA$804,27,FALSE)/100)))</f>
        <v>0</v>
      </c>
      <c r="U125" s="58">
        <f>IF(P125,O125*'[1]ETC Data'!$H$3*'[1]ETC Data'!$K$3,0)</f>
        <v>0</v>
      </c>
      <c r="V125" s="58">
        <f>U125-(U125*((VLOOKUP(A125,[1]Plan!A$1:AB$804,28,FALSE)/100)))</f>
        <v>0</v>
      </c>
      <c r="W125" s="58">
        <f>IF(P125,O125*'[1]ETC Data'!$H$3*'[1]ETC Data'!$L$3,0)</f>
        <v>0</v>
      </c>
      <c r="X125" s="58">
        <f>W125-(W125*((VLOOKUP(A125,[1]Plan!A$1:AC$804,29,FALSE)/100)))</f>
        <v>0</v>
      </c>
      <c r="Y125" s="59"/>
      <c r="Z125" s="60" t="b">
        <f>OR(H125="Y",J125="Y")</f>
        <v>0</v>
      </c>
      <c r="AA125" s="58">
        <f>IF(Z125,O125*'[1]ETC Data'!$H$4*'[1]ETC Data'!$I$4,0)</f>
        <v>0</v>
      </c>
      <c r="AB125" s="58">
        <f>AA125-(AA125*((VLOOKUP(A125,[1]Plan!A$1:AI$804,35,FALSE)/100)))</f>
        <v>0</v>
      </c>
      <c r="AC125" s="58">
        <f>IF(Z125,O125*'[1]ETC Data'!$H$4*'[1]ETC Data'!$J$4,0)</f>
        <v>0</v>
      </c>
      <c r="AD125" s="58">
        <f>AC125-(AC125*((VLOOKUP(A125,[1]Plan!A$1:AJ$804,36,FALSE)/100)))</f>
        <v>0</v>
      </c>
      <c r="AE125" s="58">
        <f>IF(Z125,O125*'[1]ETC Data'!$H$4*'[1]ETC Data'!$K$4,0)</f>
        <v>0</v>
      </c>
      <c r="AF125" s="58">
        <f>AE125-(AE125*((VLOOKUP(A125,[1]Plan!A$1:AK$804,37,FALSE)/100)))</f>
        <v>0</v>
      </c>
      <c r="AG125" s="58">
        <f>IF(Z125,O125*'[1]ETC Data'!$H$4*'[1]ETC Data'!$L$4,0)</f>
        <v>0</v>
      </c>
      <c r="AH125" s="58">
        <f>AG125-(AG125*((VLOOKUP(A125,[1]Plan!A$1:AP$804,42,FALSE)/100)))</f>
        <v>0</v>
      </c>
      <c r="AI125" s="60"/>
      <c r="AJ125" s="60" t="b">
        <f>OR(H125="Y",K125="Y")</f>
        <v>0</v>
      </c>
      <c r="AK125" s="61">
        <f>IF(AJ125,O125*'[1]ETC Data'!$H$5*'[1]ETC Data'!$I$5,0)</f>
        <v>0</v>
      </c>
      <c r="AL125" s="58">
        <f>AK125-(AK125*((VLOOKUP(A125,[1]Plan!A$1:AY$804,51,FALSE)/100)))</f>
        <v>0</v>
      </c>
      <c r="AM125" s="58">
        <f>IF(AJ125,O125*'[1]ETC Data'!$H$5*'[1]ETC Data'!$J$5,0)</f>
        <v>0</v>
      </c>
      <c r="AN125" s="58">
        <f>AM125-(AM125*((VLOOKUP(A125,[1]Plan!A$1:BA$804,53,FALSE)/100)))</f>
        <v>0</v>
      </c>
      <c r="AO125" s="61">
        <f>IF(AJ125,O125*'[1]ETC Data'!$H$5*'[1]ETC Data'!$K$5,0)</f>
        <v>0</v>
      </c>
      <c r="AP125" s="58">
        <f>AO125-(AO125*((VLOOKUP(A125,[1]Plan!A$1:BB$804,54,FALSE)/100)))</f>
        <v>0</v>
      </c>
      <c r="AQ125" s="58">
        <f>IF(AJ125,O125*'[1]ETC Data'!$H$5*'[1]ETC Data'!$L$5,0)</f>
        <v>0</v>
      </c>
      <c r="AR125" s="58">
        <f>AQ125-(AQ125*((VLOOKUP(A125,[1]Plan!A$1:BD$804,56,FALSE)/100)))</f>
        <v>0</v>
      </c>
      <c r="AS125" s="20">
        <f>VLOOKUP(A125,'[1]PR Matrix'!A:B,2,FALSE)</f>
        <v>0</v>
      </c>
      <c r="AT125" s="21">
        <f>R125+T125+V125+X125+AB125+AD125+AF125+AH125+AL125+AN125+AP125+AR125</f>
        <v>0</v>
      </c>
      <c r="AU125" s="21">
        <f>Q125+S125+U125+W125+AA125+AC125+AE125+AG125+AK125+AM125+AO125+AQ125</f>
        <v>0</v>
      </c>
      <c r="AV125" s="21">
        <f>R125+AB125+AL125</f>
        <v>0</v>
      </c>
      <c r="AW125" s="21">
        <f>T125+AD125+AN125</f>
        <v>0</v>
      </c>
      <c r="AX125" s="21">
        <f>V125+AF125+AP125</f>
        <v>0</v>
      </c>
      <c r="AY125" s="21">
        <f>X125+AH125+AR125</f>
        <v>0</v>
      </c>
    </row>
    <row r="126" spans="1:51" hidden="1" x14ac:dyDescent="0.2">
      <c r="A126" s="50" t="s">
        <v>333</v>
      </c>
      <c r="B126" s="51" t="s">
        <v>208</v>
      </c>
      <c r="C126" s="51"/>
      <c r="D126" s="51"/>
      <c r="E126" s="52">
        <f>IF(G126="Y",VLOOKUP(B126&amp;"|"&amp;C126,'[1]ETC Data'!$C$2:$D$16,2,FALSE),0)</f>
        <v>0</v>
      </c>
      <c r="F126" s="52">
        <f>IF(D126="",0,IF(G126="Y",VLOOKUP(B126&amp;"|"&amp;D126,'[1]ETC Data'!$C$2:$D$16,2,FALSE),0))</f>
        <v>0</v>
      </c>
      <c r="G126" s="53" t="str">
        <f>IF(VLOOKUP(A126,[1]Plan!A$1:H$804,8,FALSE)&lt;&gt;"",VLOOKUP(A126,[1]Plan!A$1:H$804,8,FALSE),"")</f>
        <v>N</v>
      </c>
      <c r="H126" s="54" t="str">
        <f>IF(VLOOKUP(A126,[1]Plan!A$1:L$804,12,FALSE)&lt;&gt;"",VLOOKUP(A126,[1]Plan!A$1:L$804,12,FALSE),"")</f>
        <v/>
      </c>
      <c r="I126" s="55" t="str">
        <f>IF(VLOOKUP(A126,[1]Plan!A$1:M$804,13,FALSE)&lt;&gt;"",VLOOKUP(A126,[1]Plan!A$1:M$804,13,FALSE),"")</f>
        <v/>
      </c>
      <c r="J126" s="55" t="str">
        <f>IF(VLOOKUP(A126,[1]Plan!A$1:N$804,14,FALSE)&lt;&gt;"",VLOOKUP(A126,[1]Plan!A$1:N$804,14,FALSE),IF(VLOOKUP(A126,[1]Plan!A$1:O$804,15,FALSE)&lt;&gt;"",VLOOKUP(A126,[1]Plan!A$1:O$804,15,FALSE),""))</f>
        <v/>
      </c>
      <c r="K126" s="56" t="str">
        <f>IF(VLOOKUP(A126,[1]Plan!A$1:P$804,16,FALSE)&lt;&gt;"",VLOOKUP(A126,[1]Plan!A$1:P$804,16,FALSE),"")</f>
        <v/>
      </c>
      <c r="L126" s="55"/>
      <c r="M126" s="55"/>
      <c r="N126" s="55"/>
      <c r="O126" s="57">
        <f>IF(F126=0,E126,F126)</f>
        <v>0</v>
      </c>
      <c r="P126" s="57" t="b">
        <f>OR(H126="Y",I126="Y")</f>
        <v>0</v>
      </c>
      <c r="Q126" s="58">
        <f>IF(P126,O126*'[1]ETC Data'!$H$3*'[1]ETC Data'!$I$3,0)</f>
        <v>0</v>
      </c>
      <c r="R126" s="58">
        <f>Q126-(Q126*((VLOOKUP(A126,[1]Plan!A$1:Z$804,26,FALSE)/100)))</f>
        <v>0</v>
      </c>
      <c r="S126" s="58">
        <f>IF(P126,O126*'[1]ETC Data'!$H$3*'[1]ETC Data'!$J$3,0)</f>
        <v>0</v>
      </c>
      <c r="T126" s="58">
        <f>S126-(S126*((VLOOKUP(A126,[1]Plan!A$1:AA$804,27,FALSE)/100)))</f>
        <v>0</v>
      </c>
      <c r="U126" s="58">
        <f>IF(P126,O126*'[1]ETC Data'!$H$3*'[1]ETC Data'!$K$3,0)</f>
        <v>0</v>
      </c>
      <c r="V126" s="58">
        <f>U126-(U126*((VLOOKUP(A126,[1]Plan!A$1:AB$804,28,FALSE)/100)))</f>
        <v>0</v>
      </c>
      <c r="W126" s="58">
        <f>IF(P126,O126*'[1]ETC Data'!$H$3*'[1]ETC Data'!$L$3,0)</f>
        <v>0</v>
      </c>
      <c r="X126" s="58">
        <f>W126-(W126*((VLOOKUP(A126,[1]Plan!A$1:AC$804,29,FALSE)/100)))</f>
        <v>0</v>
      </c>
      <c r="Y126" s="59"/>
      <c r="Z126" s="60" t="b">
        <f>OR(H126="Y",J126="Y")</f>
        <v>0</v>
      </c>
      <c r="AA126" s="58">
        <f>IF(Z126,O126*'[1]ETC Data'!$H$4*'[1]ETC Data'!$I$4,0)</f>
        <v>0</v>
      </c>
      <c r="AB126" s="58">
        <f>AA126-(AA126*((VLOOKUP(A126,[1]Plan!A$1:AI$804,35,FALSE)/100)))</f>
        <v>0</v>
      </c>
      <c r="AC126" s="58">
        <f>IF(Z126,O126*'[1]ETC Data'!$H$4*'[1]ETC Data'!$J$4,0)</f>
        <v>0</v>
      </c>
      <c r="AD126" s="58">
        <f>AC126-(AC126*((VLOOKUP(A126,[1]Plan!A$1:AJ$804,36,FALSE)/100)))</f>
        <v>0</v>
      </c>
      <c r="AE126" s="58">
        <f>IF(Z126,O126*'[1]ETC Data'!$H$4*'[1]ETC Data'!$K$4,0)</f>
        <v>0</v>
      </c>
      <c r="AF126" s="58">
        <f>AE126-(AE126*((VLOOKUP(A126,[1]Plan!A$1:AK$804,37,FALSE)/100)))</f>
        <v>0</v>
      </c>
      <c r="AG126" s="58">
        <f>IF(Z126,O126*'[1]ETC Data'!$H$4*'[1]ETC Data'!$L$4,0)</f>
        <v>0</v>
      </c>
      <c r="AH126" s="58">
        <f>AG126-(AG126*((VLOOKUP(A126,[1]Plan!A$1:AP$804,42,FALSE)/100)))</f>
        <v>0</v>
      </c>
      <c r="AI126" s="60"/>
      <c r="AJ126" s="60" t="b">
        <f>OR(H126="Y",K126="Y")</f>
        <v>0</v>
      </c>
      <c r="AK126" s="61">
        <f>IF(AJ126,O126*'[1]ETC Data'!$H$5*'[1]ETC Data'!$I$5,0)</f>
        <v>0</v>
      </c>
      <c r="AL126" s="58">
        <f>AK126-(AK126*((VLOOKUP(A126,[1]Plan!A$1:AY$804,51,FALSE)/100)))</f>
        <v>0</v>
      </c>
      <c r="AM126" s="58">
        <f>IF(AJ126,O126*'[1]ETC Data'!$H$5*'[1]ETC Data'!$J$5,0)</f>
        <v>0</v>
      </c>
      <c r="AN126" s="58">
        <f>AM126-(AM126*((VLOOKUP(A126,[1]Plan!A$1:BA$804,53,FALSE)/100)))</f>
        <v>0</v>
      </c>
      <c r="AO126" s="61">
        <f>IF(AJ126,O126*'[1]ETC Data'!$H$5*'[1]ETC Data'!$K$5,0)</f>
        <v>0</v>
      </c>
      <c r="AP126" s="58">
        <f>AO126-(AO126*((VLOOKUP(A126,[1]Plan!A$1:BB$804,54,FALSE)/100)))</f>
        <v>0</v>
      </c>
      <c r="AQ126" s="58">
        <f>IF(AJ126,O126*'[1]ETC Data'!$H$5*'[1]ETC Data'!$L$5,0)</f>
        <v>0</v>
      </c>
      <c r="AR126" s="58">
        <f>AQ126-(AQ126*((VLOOKUP(A126,[1]Plan!A$1:BD$804,56,FALSE)/100)))</f>
        <v>0</v>
      </c>
      <c r="AS126" s="20">
        <f>VLOOKUP(A126,'[1]PR Matrix'!A:B,2,FALSE)</f>
        <v>0</v>
      </c>
      <c r="AT126" s="21">
        <f>R126+T126+V126+X126+AB126+AD126+AF126+AH126+AL126+AN126+AP126+AR126</f>
        <v>0</v>
      </c>
      <c r="AU126" s="21">
        <f>Q126+S126+U126+W126+AA126+AC126+AE126+AG126+AK126+AM126+AO126+AQ126</f>
        <v>0</v>
      </c>
      <c r="AV126" s="21">
        <f>R126+AB126+AL126</f>
        <v>0</v>
      </c>
      <c r="AW126" s="21">
        <f>T126+AD126+AN126</f>
        <v>0</v>
      </c>
      <c r="AX126" s="21">
        <f>V126+AF126+AP126</f>
        <v>0</v>
      </c>
      <c r="AY126" s="21">
        <f>X126+AH126+AR126</f>
        <v>0</v>
      </c>
    </row>
    <row r="127" spans="1:51" hidden="1" x14ac:dyDescent="0.2">
      <c r="A127" s="50" t="s">
        <v>334</v>
      </c>
      <c r="B127" s="51" t="s">
        <v>208</v>
      </c>
      <c r="C127" s="51"/>
      <c r="D127" s="51"/>
      <c r="E127" s="52">
        <f>IF(G127="Y",VLOOKUP(B127&amp;"|"&amp;C127,'[1]ETC Data'!$C$2:$D$16,2,FALSE),0)</f>
        <v>0</v>
      </c>
      <c r="F127" s="52">
        <f>IF(D127="",0,IF(G127="Y",VLOOKUP(B127&amp;"|"&amp;D127,'[1]ETC Data'!$C$2:$D$16,2,FALSE),0))</f>
        <v>0</v>
      </c>
      <c r="G127" s="53" t="str">
        <f>IF(VLOOKUP(A127,[1]Plan!A$1:H$804,8,FALSE)&lt;&gt;"",VLOOKUP(A127,[1]Plan!A$1:H$804,8,FALSE),"")</f>
        <v>N</v>
      </c>
      <c r="H127" s="54" t="str">
        <f>IF(VLOOKUP(A127,[1]Plan!A$1:L$804,12,FALSE)&lt;&gt;"",VLOOKUP(A127,[1]Plan!A$1:L$804,12,FALSE),"")</f>
        <v/>
      </c>
      <c r="I127" s="55" t="str">
        <f>IF(VLOOKUP(A127,[1]Plan!A$1:M$804,13,FALSE)&lt;&gt;"",VLOOKUP(A127,[1]Plan!A$1:M$804,13,FALSE),"")</f>
        <v/>
      </c>
      <c r="J127" s="55" t="str">
        <f>IF(VLOOKUP(A127,[1]Plan!A$1:N$804,14,FALSE)&lt;&gt;"",VLOOKUP(A127,[1]Plan!A$1:N$804,14,FALSE),IF(VLOOKUP(A127,[1]Plan!A$1:O$804,15,FALSE)&lt;&gt;"",VLOOKUP(A127,[1]Plan!A$1:O$804,15,FALSE),""))</f>
        <v/>
      </c>
      <c r="K127" s="56" t="str">
        <f>IF(VLOOKUP(A127,[1]Plan!A$1:P$804,16,FALSE)&lt;&gt;"",VLOOKUP(A127,[1]Plan!A$1:P$804,16,FALSE),"")</f>
        <v/>
      </c>
      <c r="L127" s="55"/>
      <c r="M127" s="55"/>
      <c r="N127" s="55"/>
      <c r="O127" s="57">
        <f>IF(F127=0,E127,F127)</f>
        <v>0</v>
      </c>
      <c r="P127" s="57" t="b">
        <f>OR(H127="Y",I127="Y")</f>
        <v>0</v>
      </c>
      <c r="Q127" s="58">
        <f>IF(P127,O127*'[1]ETC Data'!$H$3*'[1]ETC Data'!$I$3,0)</f>
        <v>0</v>
      </c>
      <c r="R127" s="58">
        <f>Q127-(Q127*((VLOOKUP(A127,[1]Plan!A$1:Z$804,26,FALSE)/100)))</f>
        <v>0</v>
      </c>
      <c r="S127" s="58">
        <f>IF(P127,O127*'[1]ETC Data'!$H$3*'[1]ETC Data'!$J$3,0)</f>
        <v>0</v>
      </c>
      <c r="T127" s="58">
        <f>S127-(S127*((VLOOKUP(A127,[1]Plan!A$1:AA$804,27,FALSE)/100)))</f>
        <v>0</v>
      </c>
      <c r="U127" s="58">
        <f>IF(P127,O127*'[1]ETC Data'!$H$3*'[1]ETC Data'!$K$3,0)</f>
        <v>0</v>
      </c>
      <c r="V127" s="58">
        <f>U127-(U127*((VLOOKUP(A127,[1]Plan!A$1:AB$804,28,FALSE)/100)))</f>
        <v>0</v>
      </c>
      <c r="W127" s="58">
        <f>IF(P127,O127*'[1]ETC Data'!$H$3*'[1]ETC Data'!$L$3,0)</f>
        <v>0</v>
      </c>
      <c r="X127" s="58">
        <f>W127-(W127*((VLOOKUP(A127,[1]Plan!A$1:AC$804,29,FALSE)/100)))</f>
        <v>0</v>
      </c>
      <c r="Y127" s="59"/>
      <c r="Z127" s="60" t="b">
        <f>OR(H127="Y",J127="Y")</f>
        <v>0</v>
      </c>
      <c r="AA127" s="58">
        <f>IF(Z127,O127*'[1]ETC Data'!$H$4*'[1]ETC Data'!$I$4,0)</f>
        <v>0</v>
      </c>
      <c r="AB127" s="58">
        <f>AA127-(AA127*((VLOOKUP(A127,[1]Plan!A$1:AI$804,35,FALSE)/100)))</f>
        <v>0</v>
      </c>
      <c r="AC127" s="58">
        <f>IF(Z127,O127*'[1]ETC Data'!$H$4*'[1]ETC Data'!$J$4,0)</f>
        <v>0</v>
      </c>
      <c r="AD127" s="58">
        <f>AC127-(AC127*((VLOOKUP(A127,[1]Plan!A$1:AJ$804,36,FALSE)/100)))</f>
        <v>0</v>
      </c>
      <c r="AE127" s="58">
        <f>IF(Z127,O127*'[1]ETC Data'!$H$4*'[1]ETC Data'!$K$4,0)</f>
        <v>0</v>
      </c>
      <c r="AF127" s="58">
        <f>AE127-(AE127*((VLOOKUP(A127,[1]Plan!A$1:AK$804,37,FALSE)/100)))</f>
        <v>0</v>
      </c>
      <c r="AG127" s="58">
        <f>IF(Z127,O127*'[1]ETC Data'!$H$4*'[1]ETC Data'!$L$4,0)</f>
        <v>0</v>
      </c>
      <c r="AH127" s="58">
        <f>AG127-(AG127*((VLOOKUP(A127,[1]Plan!A$1:AP$804,42,FALSE)/100)))</f>
        <v>0</v>
      </c>
      <c r="AI127" s="60"/>
      <c r="AJ127" s="60" t="b">
        <f>OR(H127="Y",K127="Y")</f>
        <v>0</v>
      </c>
      <c r="AK127" s="61">
        <f>IF(AJ127,O127*'[1]ETC Data'!$H$5*'[1]ETC Data'!$I$5,0)</f>
        <v>0</v>
      </c>
      <c r="AL127" s="58">
        <f>AK127-(AK127*((VLOOKUP(A127,[1]Plan!A$1:AY$804,51,FALSE)/100)))</f>
        <v>0</v>
      </c>
      <c r="AM127" s="58">
        <f>IF(AJ127,O127*'[1]ETC Data'!$H$5*'[1]ETC Data'!$J$5,0)</f>
        <v>0</v>
      </c>
      <c r="AN127" s="58">
        <f>AM127-(AM127*((VLOOKUP(A127,[1]Plan!A$1:BA$804,53,FALSE)/100)))</f>
        <v>0</v>
      </c>
      <c r="AO127" s="61">
        <f>IF(AJ127,O127*'[1]ETC Data'!$H$5*'[1]ETC Data'!$K$5,0)</f>
        <v>0</v>
      </c>
      <c r="AP127" s="58">
        <f>AO127-(AO127*((VLOOKUP(A127,[1]Plan!A$1:BB$804,54,FALSE)/100)))</f>
        <v>0</v>
      </c>
      <c r="AQ127" s="58">
        <f>IF(AJ127,O127*'[1]ETC Data'!$H$5*'[1]ETC Data'!$L$5,0)</f>
        <v>0</v>
      </c>
      <c r="AR127" s="58">
        <f>AQ127-(AQ127*((VLOOKUP(A127,[1]Plan!A$1:BD$804,56,FALSE)/100)))</f>
        <v>0</v>
      </c>
      <c r="AS127" s="20">
        <f>VLOOKUP(A127,'[1]PR Matrix'!A:B,2,FALSE)</f>
        <v>0</v>
      </c>
      <c r="AT127" s="21">
        <f>R127+T127+V127+X127+AB127+AD127+AF127+AH127+AL127+AN127+AP127+AR127</f>
        <v>0</v>
      </c>
      <c r="AU127" s="21">
        <f>Q127+S127+U127+W127+AA127+AC127+AE127+AG127+AK127+AM127+AO127+AQ127</f>
        <v>0</v>
      </c>
      <c r="AV127" s="21">
        <f>R127+AB127+AL127</f>
        <v>0</v>
      </c>
      <c r="AW127" s="21">
        <f>T127+AD127+AN127</f>
        <v>0</v>
      </c>
      <c r="AX127" s="21">
        <f>V127+AF127+AP127</f>
        <v>0</v>
      </c>
      <c r="AY127" s="21">
        <f>X127+AH127+AR127</f>
        <v>0</v>
      </c>
    </row>
    <row r="128" spans="1:51" hidden="1" x14ac:dyDescent="0.2">
      <c r="A128" s="50" t="s">
        <v>335</v>
      </c>
      <c r="B128" s="51" t="s">
        <v>208</v>
      </c>
      <c r="C128" s="51"/>
      <c r="D128" s="51"/>
      <c r="E128" s="52">
        <f>IF(G128="Y",VLOOKUP(B128&amp;"|"&amp;C128,'[1]ETC Data'!$C$2:$D$16,2,FALSE),0)</f>
        <v>0</v>
      </c>
      <c r="F128" s="52">
        <f>IF(D128="",0,IF(G128="Y",VLOOKUP(B128&amp;"|"&amp;D128,'[1]ETC Data'!$C$2:$D$16,2,FALSE),0))</f>
        <v>0</v>
      </c>
      <c r="G128" s="53" t="str">
        <f>IF(VLOOKUP(A128,[1]Plan!A$1:H$804,8,FALSE)&lt;&gt;"",VLOOKUP(A128,[1]Plan!A$1:H$804,8,FALSE),"")</f>
        <v>N</v>
      </c>
      <c r="H128" s="54" t="str">
        <f>IF(VLOOKUP(A128,[1]Plan!A$1:L$804,12,FALSE)&lt;&gt;"",VLOOKUP(A128,[1]Plan!A$1:L$804,12,FALSE),"")</f>
        <v/>
      </c>
      <c r="I128" s="55" t="str">
        <f>IF(VLOOKUP(A128,[1]Plan!A$1:M$804,13,FALSE)&lt;&gt;"",VLOOKUP(A128,[1]Plan!A$1:M$804,13,FALSE),"")</f>
        <v/>
      </c>
      <c r="J128" s="55" t="str">
        <f>IF(VLOOKUP(A128,[1]Plan!A$1:N$804,14,FALSE)&lt;&gt;"",VLOOKUP(A128,[1]Plan!A$1:N$804,14,FALSE),IF(VLOOKUP(A128,[1]Plan!A$1:O$804,15,FALSE)&lt;&gt;"",VLOOKUP(A128,[1]Plan!A$1:O$804,15,FALSE),""))</f>
        <v/>
      </c>
      <c r="K128" s="56" t="str">
        <f>IF(VLOOKUP(A128,[1]Plan!A$1:P$804,16,FALSE)&lt;&gt;"",VLOOKUP(A128,[1]Plan!A$1:P$804,16,FALSE),"")</f>
        <v/>
      </c>
      <c r="L128" s="55"/>
      <c r="M128" s="55"/>
      <c r="N128" s="55"/>
      <c r="O128" s="57">
        <f>IF(F128=0,E128,F128)</f>
        <v>0</v>
      </c>
      <c r="P128" s="57" t="b">
        <f>OR(H128="Y",I128="Y")</f>
        <v>0</v>
      </c>
      <c r="Q128" s="58">
        <f>IF(P128,O128*'[1]ETC Data'!$H$3*'[1]ETC Data'!$I$3,0)</f>
        <v>0</v>
      </c>
      <c r="R128" s="58">
        <f>Q128-(Q128*((VLOOKUP(A128,[1]Plan!A$1:Z$804,26,FALSE)/100)))</f>
        <v>0</v>
      </c>
      <c r="S128" s="58">
        <f>IF(P128,O128*'[1]ETC Data'!$H$3*'[1]ETC Data'!$J$3,0)</f>
        <v>0</v>
      </c>
      <c r="T128" s="58">
        <f>S128-(S128*((VLOOKUP(A128,[1]Plan!A$1:AA$804,27,FALSE)/100)))</f>
        <v>0</v>
      </c>
      <c r="U128" s="58">
        <f>IF(P128,O128*'[1]ETC Data'!$H$3*'[1]ETC Data'!$K$3,0)</f>
        <v>0</v>
      </c>
      <c r="V128" s="58">
        <f>U128-(U128*((VLOOKUP(A128,[1]Plan!A$1:AB$804,28,FALSE)/100)))</f>
        <v>0</v>
      </c>
      <c r="W128" s="58">
        <f>IF(P128,O128*'[1]ETC Data'!$H$3*'[1]ETC Data'!$L$3,0)</f>
        <v>0</v>
      </c>
      <c r="X128" s="58">
        <f>W128-(W128*((VLOOKUP(A128,[1]Plan!A$1:AC$804,29,FALSE)/100)))</f>
        <v>0</v>
      </c>
      <c r="Y128" s="59"/>
      <c r="Z128" s="60" t="b">
        <f>OR(H128="Y",J128="Y")</f>
        <v>0</v>
      </c>
      <c r="AA128" s="58">
        <f>IF(Z128,O128*'[1]ETC Data'!$H$4*'[1]ETC Data'!$I$4,0)</f>
        <v>0</v>
      </c>
      <c r="AB128" s="58">
        <f>AA128-(AA128*((VLOOKUP(A128,[1]Plan!A$1:AI$804,35,FALSE)/100)))</f>
        <v>0</v>
      </c>
      <c r="AC128" s="58">
        <f>IF(Z128,O128*'[1]ETC Data'!$H$4*'[1]ETC Data'!$J$4,0)</f>
        <v>0</v>
      </c>
      <c r="AD128" s="58">
        <f>AC128-(AC128*((VLOOKUP(A128,[1]Plan!A$1:AJ$804,36,FALSE)/100)))</f>
        <v>0</v>
      </c>
      <c r="AE128" s="58">
        <f>IF(Z128,O128*'[1]ETC Data'!$H$4*'[1]ETC Data'!$K$4,0)</f>
        <v>0</v>
      </c>
      <c r="AF128" s="58">
        <f>AE128-(AE128*((VLOOKUP(A128,[1]Plan!A$1:AK$804,37,FALSE)/100)))</f>
        <v>0</v>
      </c>
      <c r="AG128" s="58">
        <f>IF(Z128,O128*'[1]ETC Data'!$H$4*'[1]ETC Data'!$L$4,0)</f>
        <v>0</v>
      </c>
      <c r="AH128" s="58">
        <f>AG128-(AG128*((VLOOKUP(A128,[1]Plan!A$1:AP$804,42,FALSE)/100)))</f>
        <v>0</v>
      </c>
      <c r="AI128" s="60"/>
      <c r="AJ128" s="60" t="b">
        <f>OR(H128="Y",K128="Y")</f>
        <v>0</v>
      </c>
      <c r="AK128" s="61">
        <f>IF(AJ128,O128*'[1]ETC Data'!$H$5*'[1]ETC Data'!$I$5,0)</f>
        <v>0</v>
      </c>
      <c r="AL128" s="58">
        <f>AK128-(AK128*((VLOOKUP(A128,[1]Plan!A$1:AY$804,51,FALSE)/100)))</f>
        <v>0</v>
      </c>
      <c r="AM128" s="58">
        <f>IF(AJ128,O128*'[1]ETC Data'!$H$5*'[1]ETC Data'!$J$5,0)</f>
        <v>0</v>
      </c>
      <c r="AN128" s="58">
        <f>AM128-(AM128*((VLOOKUP(A128,[1]Plan!A$1:BA$804,53,FALSE)/100)))</f>
        <v>0</v>
      </c>
      <c r="AO128" s="61">
        <f>IF(AJ128,O128*'[1]ETC Data'!$H$5*'[1]ETC Data'!$K$5,0)</f>
        <v>0</v>
      </c>
      <c r="AP128" s="58">
        <f>AO128-(AO128*((VLOOKUP(A128,[1]Plan!A$1:BB$804,54,FALSE)/100)))</f>
        <v>0</v>
      </c>
      <c r="AQ128" s="58">
        <f>IF(AJ128,O128*'[1]ETC Data'!$H$5*'[1]ETC Data'!$L$5,0)</f>
        <v>0</v>
      </c>
      <c r="AR128" s="58">
        <f>AQ128-(AQ128*((VLOOKUP(A128,[1]Plan!A$1:BD$804,56,FALSE)/100)))</f>
        <v>0</v>
      </c>
      <c r="AS128" s="20">
        <f>VLOOKUP(A128,'[1]PR Matrix'!A:B,2,FALSE)</f>
        <v>0</v>
      </c>
      <c r="AT128" s="21">
        <f>R128+T128+V128+X128+AB128+AD128+AF128+AH128+AL128+AN128+AP128+AR128</f>
        <v>0</v>
      </c>
      <c r="AU128" s="21">
        <f>Q128+S128+U128+W128+AA128+AC128+AE128+AG128+AK128+AM128+AO128+AQ128</f>
        <v>0</v>
      </c>
      <c r="AV128" s="21">
        <f>R128+AB128+AL128</f>
        <v>0</v>
      </c>
      <c r="AW128" s="21">
        <f>T128+AD128+AN128</f>
        <v>0</v>
      </c>
      <c r="AX128" s="21">
        <f>V128+AF128+AP128</f>
        <v>0</v>
      </c>
      <c r="AY128" s="21">
        <f>X128+AH128+AR128</f>
        <v>0</v>
      </c>
    </row>
    <row r="129" spans="1:51" hidden="1" x14ac:dyDescent="0.2">
      <c r="A129" s="50" t="s">
        <v>336</v>
      </c>
      <c r="B129" s="51" t="s">
        <v>208</v>
      </c>
      <c r="C129" s="51"/>
      <c r="D129" s="51"/>
      <c r="E129" s="52">
        <f>IF(G129="Y",VLOOKUP(B129&amp;"|"&amp;C129,'[1]ETC Data'!$C$2:$D$16,2,FALSE),0)</f>
        <v>0</v>
      </c>
      <c r="F129" s="52">
        <f>IF(D129="",0,IF(G129="Y",VLOOKUP(B129&amp;"|"&amp;D129,'[1]ETC Data'!$C$2:$D$16,2,FALSE),0))</f>
        <v>0</v>
      </c>
      <c r="G129" s="53" t="str">
        <f>IF(VLOOKUP(A129,[1]Plan!A$1:H$804,8,FALSE)&lt;&gt;"",VLOOKUP(A129,[1]Plan!A$1:H$804,8,FALSE),"")</f>
        <v>N</v>
      </c>
      <c r="H129" s="54" t="str">
        <f>IF(VLOOKUP(A129,[1]Plan!A$1:L$804,12,FALSE)&lt;&gt;"",VLOOKUP(A129,[1]Plan!A$1:L$804,12,FALSE),"")</f>
        <v/>
      </c>
      <c r="I129" s="55" t="str">
        <f>IF(VLOOKUP(A129,[1]Plan!A$1:M$804,13,FALSE)&lt;&gt;"",VLOOKUP(A129,[1]Plan!A$1:M$804,13,FALSE),"")</f>
        <v/>
      </c>
      <c r="J129" s="55" t="str">
        <f>IF(VLOOKUP(A129,[1]Plan!A$1:N$804,14,FALSE)&lt;&gt;"",VLOOKUP(A129,[1]Plan!A$1:N$804,14,FALSE),IF(VLOOKUP(A129,[1]Plan!A$1:O$804,15,FALSE)&lt;&gt;"",VLOOKUP(A129,[1]Plan!A$1:O$804,15,FALSE),""))</f>
        <v/>
      </c>
      <c r="K129" s="56" t="str">
        <f>IF(VLOOKUP(A129,[1]Plan!A$1:P$804,16,FALSE)&lt;&gt;"",VLOOKUP(A129,[1]Plan!A$1:P$804,16,FALSE),"")</f>
        <v/>
      </c>
      <c r="L129" s="55"/>
      <c r="M129" s="55"/>
      <c r="N129" s="55"/>
      <c r="O129" s="57">
        <f>IF(F129=0,E129,F129)</f>
        <v>0</v>
      </c>
      <c r="P129" s="57" t="b">
        <f>OR(H129="Y",I129="Y")</f>
        <v>0</v>
      </c>
      <c r="Q129" s="58">
        <f>IF(P129,O129*'[1]ETC Data'!$H$3*'[1]ETC Data'!$I$3,0)</f>
        <v>0</v>
      </c>
      <c r="R129" s="58">
        <f>Q129-(Q129*((VLOOKUP(A129,[1]Plan!A$1:Z$804,26,FALSE)/100)))</f>
        <v>0</v>
      </c>
      <c r="S129" s="58">
        <f>IF(P129,O129*'[1]ETC Data'!$H$3*'[1]ETC Data'!$J$3,0)</f>
        <v>0</v>
      </c>
      <c r="T129" s="58">
        <f>S129-(S129*((VLOOKUP(A129,[1]Plan!A$1:AA$804,27,FALSE)/100)))</f>
        <v>0</v>
      </c>
      <c r="U129" s="58">
        <f>IF(P129,O129*'[1]ETC Data'!$H$3*'[1]ETC Data'!$K$3,0)</f>
        <v>0</v>
      </c>
      <c r="V129" s="58">
        <f>U129-(U129*((VLOOKUP(A129,[1]Plan!A$1:AB$804,28,FALSE)/100)))</f>
        <v>0</v>
      </c>
      <c r="W129" s="58">
        <f>IF(P129,O129*'[1]ETC Data'!$H$3*'[1]ETC Data'!$L$3,0)</f>
        <v>0</v>
      </c>
      <c r="X129" s="58">
        <f>W129-(W129*((VLOOKUP(A129,[1]Plan!A$1:AC$804,29,FALSE)/100)))</f>
        <v>0</v>
      </c>
      <c r="Y129" s="59"/>
      <c r="Z129" s="60" t="b">
        <f>OR(H129="Y",J129="Y")</f>
        <v>0</v>
      </c>
      <c r="AA129" s="58">
        <f>IF(Z129,O129*'[1]ETC Data'!$H$4*'[1]ETC Data'!$I$4,0)</f>
        <v>0</v>
      </c>
      <c r="AB129" s="58">
        <f>AA129-(AA129*((VLOOKUP(A129,[1]Plan!A$1:AI$804,35,FALSE)/100)))</f>
        <v>0</v>
      </c>
      <c r="AC129" s="58">
        <f>IF(Z129,O129*'[1]ETC Data'!$H$4*'[1]ETC Data'!$J$4,0)</f>
        <v>0</v>
      </c>
      <c r="AD129" s="58">
        <f>AC129-(AC129*((VLOOKUP(A129,[1]Plan!A$1:AJ$804,36,FALSE)/100)))</f>
        <v>0</v>
      </c>
      <c r="AE129" s="58">
        <f>IF(Z129,O129*'[1]ETC Data'!$H$4*'[1]ETC Data'!$K$4,0)</f>
        <v>0</v>
      </c>
      <c r="AF129" s="58">
        <f>AE129-(AE129*((VLOOKUP(A129,[1]Plan!A$1:AK$804,37,FALSE)/100)))</f>
        <v>0</v>
      </c>
      <c r="AG129" s="58">
        <f>IF(Z129,O129*'[1]ETC Data'!$H$4*'[1]ETC Data'!$L$4,0)</f>
        <v>0</v>
      </c>
      <c r="AH129" s="58">
        <f>AG129-(AG129*((VLOOKUP(A129,[1]Plan!A$1:AP$804,42,FALSE)/100)))</f>
        <v>0</v>
      </c>
      <c r="AI129" s="60"/>
      <c r="AJ129" s="60" t="b">
        <f>OR(H129="Y",K129="Y")</f>
        <v>0</v>
      </c>
      <c r="AK129" s="61">
        <f>IF(AJ129,O129*'[1]ETC Data'!$H$5*'[1]ETC Data'!$I$5,0)</f>
        <v>0</v>
      </c>
      <c r="AL129" s="58">
        <f>AK129-(AK129*((VLOOKUP(A129,[1]Plan!A$1:AY$804,51,FALSE)/100)))</f>
        <v>0</v>
      </c>
      <c r="AM129" s="58">
        <f>IF(AJ129,O129*'[1]ETC Data'!$H$5*'[1]ETC Data'!$J$5,0)</f>
        <v>0</v>
      </c>
      <c r="AN129" s="58">
        <f>AM129-(AM129*((VLOOKUP(A129,[1]Plan!A$1:BA$804,53,FALSE)/100)))</f>
        <v>0</v>
      </c>
      <c r="AO129" s="61">
        <f>IF(AJ129,O129*'[1]ETC Data'!$H$5*'[1]ETC Data'!$K$5,0)</f>
        <v>0</v>
      </c>
      <c r="AP129" s="58">
        <f>AO129-(AO129*((VLOOKUP(A129,[1]Plan!A$1:BB$804,54,FALSE)/100)))</f>
        <v>0</v>
      </c>
      <c r="AQ129" s="58">
        <f>IF(AJ129,O129*'[1]ETC Data'!$H$5*'[1]ETC Data'!$L$5,0)</f>
        <v>0</v>
      </c>
      <c r="AR129" s="58">
        <f>AQ129-(AQ129*((VLOOKUP(A129,[1]Plan!A$1:BD$804,56,FALSE)/100)))</f>
        <v>0</v>
      </c>
      <c r="AS129" s="20">
        <f>VLOOKUP(A129,'[1]PR Matrix'!A:B,2,FALSE)</f>
        <v>0</v>
      </c>
      <c r="AT129" s="21">
        <f>R129+T129+V129+X129+AB129+AD129+AF129+AH129+AL129+AN129+AP129+AR129</f>
        <v>0</v>
      </c>
      <c r="AU129" s="21">
        <f>Q129+S129+U129+W129+AA129+AC129+AE129+AG129+AK129+AM129+AO129+AQ129</f>
        <v>0</v>
      </c>
      <c r="AV129" s="21">
        <f>R129+AB129+AL129</f>
        <v>0</v>
      </c>
      <c r="AW129" s="21">
        <f>T129+AD129+AN129</f>
        <v>0</v>
      </c>
      <c r="AX129" s="21">
        <f>V129+AF129+AP129</f>
        <v>0</v>
      </c>
      <c r="AY129" s="21">
        <f>X129+AH129+AR129</f>
        <v>0</v>
      </c>
    </row>
    <row r="130" spans="1:51" x14ac:dyDescent="0.2">
      <c r="A130" s="67" t="s">
        <v>608</v>
      </c>
      <c r="B130" s="51" t="s">
        <v>208</v>
      </c>
      <c r="C130" s="51"/>
      <c r="D130" s="51"/>
      <c r="E130" s="63" t="e">
        <f>IF(G130="Y",VLOOKUP(B130&amp;"|"&amp;C130,'[1]ETC Data'!$C$2:$D$16,2,FALSE),0)</f>
        <v>#N/A</v>
      </c>
      <c r="F130" s="63">
        <f>IF(D130="",0,IF(G130="Y",VLOOKUP(B130&amp;"|"&amp;D130,'[1]ETC Data'!$C$2:$D$16,2,FALSE),0))</f>
        <v>0</v>
      </c>
      <c r="G130" s="53" t="str">
        <f>IF(VLOOKUP(A130,[1]Plan!A$1:H$804,8,FALSE)&lt;&gt;"",VLOOKUP(A130,[1]Plan!A$1:H$804,8,FALSE),"")</f>
        <v>Y</v>
      </c>
      <c r="H130" s="54" t="str">
        <f>IF(VLOOKUP(A130,[1]Plan!A$1:L$804,12,FALSE)&lt;&gt;"",VLOOKUP(A130,[1]Plan!A$1:L$804,12,FALSE),"")</f>
        <v/>
      </c>
      <c r="I130" s="55" t="str">
        <f>IF(VLOOKUP(A130,[1]Plan!A$1:M$804,13,FALSE)&lt;&gt;"",VLOOKUP(A130,[1]Plan!A$1:M$804,13,FALSE),"")</f>
        <v/>
      </c>
      <c r="J130" s="55" t="str">
        <f>IF(VLOOKUP(A130,[1]Plan!A$1:N$804,14,FALSE)&lt;&gt;"",VLOOKUP(A130,[1]Plan!A$1:N$804,14,FALSE),IF(VLOOKUP(A130,[1]Plan!A$1:O$804,15,FALSE)&lt;&gt;"",VLOOKUP(A130,[1]Plan!A$1:O$804,15,FALSE),""))</f>
        <v>Y</v>
      </c>
      <c r="K130" s="56" t="str">
        <f>IF(VLOOKUP(A130,[1]Plan!A$1:P$804,16,FALSE)&lt;&gt;"",VLOOKUP(A130,[1]Plan!A$1:P$804,16,FALSE),"")</f>
        <v/>
      </c>
      <c r="L130" s="55"/>
      <c r="M130" s="55"/>
      <c r="N130" s="55"/>
      <c r="O130" s="57" t="e">
        <f>IF(F130=0,E130,F130)</f>
        <v>#N/A</v>
      </c>
      <c r="P130" s="57" t="b">
        <f>OR(H130="Y",I130="Y")</f>
        <v>0</v>
      </c>
      <c r="Q130" s="58">
        <f>IF(P130,O130*'[1]ETC Data'!$H$3*'[1]ETC Data'!$I$3,0)</f>
        <v>0</v>
      </c>
      <c r="R130" s="58">
        <f>Q130-(Q130*((VLOOKUP(A130,[1]Plan!A$1:Z$804,26,FALSE)/100)))</f>
        <v>0</v>
      </c>
      <c r="S130" s="58">
        <f>IF(P130,O130*'[1]ETC Data'!$H$3*'[1]ETC Data'!$J$3,0)</f>
        <v>0</v>
      </c>
      <c r="T130" s="58">
        <f>S130-(S130*((VLOOKUP(A130,[1]Plan!A$1:AA$804,27,FALSE)/100)))</f>
        <v>0</v>
      </c>
      <c r="U130" s="58">
        <f>IF(P130,O130*'[1]ETC Data'!$H$3*'[1]ETC Data'!$K$3,0)</f>
        <v>0</v>
      </c>
      <c r="V130" s="58">
        <f>U130-(U130*((VLOOKUP(A130,[1]Plan!A$1:AB$804,28,FALSE)/100)))</f>
        <v>0</v>
      </c>
      <c r="W130" s="58">
        <f>IF(P130,O130*'[1]ETC Data'!$H$3*'[1]ETC Data'!$L$3,0)</f>
        <v>0</v>
      </c>
      <c r="X130" s="58">
        <f>W130-(W130*((VLOOKUP(A130,[1]Plan!A$1:AC$804,29,FALSE)/100)))</f>
        <v>0</v>
      </c>
      <c r="Y130" s="59"/>
      <c r="Z130" s="60" t="b">
        <f>OR(H130="Y",J130="Y")</f>
        <v>1</v>
      </c>
      <c r="AA130" s="58" t="e">
        <f>IF(Z130,O130*'[1]ETC Data'!$H$4*'[1]ETC Data'!$I$4,0)</f>
        <v>#N/A</v>
      </c>
      <c r="AB130" s="58" t="e">
        <f>AA130-(AA130*((VLOOKUP(A130,[1]Plan!A$1:AI$804,35,FALSE)/100)))</f>
        <v>#N/A</v>
      </c>
      <c r="AC130" s="58" t="e">
        <f>IF(Z130,O130*'[1]ETC Data'!$H$4*'[1]ETC Data'!$J$4,0)</f>
        <v>#N/A</v>
      </c>
      <c r="AD130" s="58" t="e">
        <f>AC130-(AC130*((VLOOKUP(A130,[1]Plan!A$1:AJ$804,36,FALSE)/100)))</f>
        <v>#N/A</v>
      </c>
      <c r="AE130" s="58" t="e">
        <f>IF(Z130,O130*'[1]ETC Data'!$H$4*'[1]ETC Data'!$K$4,0)</f>
        <v>#N/A</v>
      </c>
      <c r="AF130" s="58" t="e">
        <f>AE130-(AE130*((VLOOKUP(A130,[1]Plan!A$1:AK$804,37,FALSE)/100)))</f>
        <v>#N/A</v>
      </c>
      <c r="AG130" s="58" t="e">
        <f>IF(Z130,O130*'[1]ETC Data'!$H$4*'[1]ETC Data'!$L$4,0)</f>
        <v>#N/A</v>
      </c>
      <c r="AH130" s="58" t="e">
        <f>AG130-(AG130*((VLOOKUP(A130,[1]Plan!A$1:AP$804,42,FALSE)/100)))</f>
        <v>#N/A</v>
      </c>
      <c r="AI130" s="60"/>
      <c r="AJ130" s="60" t="b">
        <f>OR(H130="Y",K130="Y")</f>
        <v>0</v>
      </c>
      <c r="AK130" s="61">
        <f>IF(AJ130,O130*'[1]ETC Data'!$H$5*'[1]ETC Data'!$I$5,0)</f>
        <v>0</v>
      </c>
      <c r="AL130" s="58">
        <f>AK130-(AK130*((VLOOKUP(A130,[1]Plan!A$1:AY$804,51,FALSE)/100)))</f>
        <v>0</v>
      </c>
      <c r="AM130" s="58">
        <f>IF(AJ130,O130*'[1]ETC Data'!$H$5*'[1]ETC Data'!$J$5,0)</f>
        <v>0</v>
      </c>
      <c r="AN130" s="58">
        <f>AM130-(AM130*((VLOOKUP(A130,[1]Plan!A$1:BA$804,53,FALSE)/100)))</f>
        <v>0</v>
      </c>
      <c r="AO130" s="61">
        <f>IF(AJ130,O130*'[1]ETC Data'!$H$5*'[1]ETC Data'!$K$5,0)</f>
        <v>0</v>
      </c>
      <c r="AP130" s="58">
        <f>AO130-(AO130*((VLOOKUP(A130,[1]Plan!A$1:BB$804,54,FALSE)/100)))</f>
        <v>0</v>
      </c>
      <c r="AQ130" s="58">
        <f>IF(AJ130,O130*'[1]ETC Data'!$H$5*'[1]ETC Data'!$L$5,0)</f>
        <v>0</v>
      </c>
      <c r="AR130" s="58">
        <f>AQ130-(AQ130*((VLOOKUP(A130,[1]Plan!A$1:BD$804,56,FALSE)/100)))</f>
        <v>0</v>
      </c>
      <c r="AS130" s="20">
        <f>VLOOKUP(A130,'[1]PR Matrix'!A:B,2,FALSE)</f>
        <v>6233</v>
      </c>
      <c r="AT130" s="21" t="e">
        <f>R130+T130+V130+X130+AB130+AD130+AF130+AH130+AL130+AN130+AP130+AR130</f>
        <v>#N/A</v>
      </c>
      <c r="AU130" s="21" t="e">
        <f>Q130+S130+U130+W130+AA130+AC130+AE130+AG130+AK130+AM130+AO130+AQ130</f>
        <v>#N/A</v>
      </c>
      <c r="AV130" s="21" t="e">
        <f>R130+AB130+AL130</f>
        <v>#N/A</v>
      </c>
      <c r="AW130" s="72" t="e">
        <f>T130+AD130+AN130</f>
        <v>#N/A</v>
      </c>
      <c r="AX130" s="72" t="e">
        <f>V130+AF130+AP130</f>
        <v>#N/A</v>
      </c>
      <c r="AY130" s="72" t="e">
        <f>X130+AH130+AR130</f>
        <v>#N/A</v>
      </c>
    </row>
    <row r="131" spans="1:51" x14ac:dyDescent="0.2">
      <c r="A131" s="50" t="s">
        <v>611</v>
      </c>
      <c r="B131" s="51" t="s">
        <v>208</v>
      </c>
      <c r="C131" s="51"/>
      <c r="D131" s="51"/>
      <c r="E131" s="63" t="e">
        <f>IF(G131="Y",VLOOKUP(B131&amp;"|"&amp;C131,'[1]ETC Data'!$C$2:$D$16,2,FALSE),0)</f>
        <v>#N/A</v>
      </c>
      <c r="F131" s="63">
        <f>IF(D131="",0,IF(G131="Y",VLOOKUP(B131&amp;"|"&amp;D131,'[1]ETC Data'!$C$2:$D$16,2,FALSE),0))</f>
        <v>0</v>
      </c>
      <c r="G131" s="53" t="str">
        <f>IF(VLOOKUP(A131,[1]Plan!A$1:H$804,8,FALSE)&lt;&gt;"",VLOOKUP(A131,[1]Plan!A$1:H$804,8,FALSE),"")</f>
        <v>Y</v>
      </c>
      <c r="H131" s="54" t="str">
        <f>IF(VLOOKUP(A131,[1]Plan!A$1:L$804,12,FALSE)&lt;&gt;"",VLOOKUP(A131,[1]Plan!A$1:L$804,12,FALSE),"")</f>
        <v/>
      </c>
      <c r="I131" s="55" t="str">
        <f>IF(VLOOKUP(A131,[1]Plan!A$1:M$804,13,FALSE)&lt;&gt;"",VLOOKUP(A131,[1]Plan!A$1:M$804,13,FALSE),"")</f>
        <v/>
      </c>
      <c r="J131" s="55" t="str">
        <f>IF(VLOOKUP(A131,[1]Plan!A$1:N$804,14,FALSE)&lt;&gt;"",VLOOKUP(A131,[1]Plan!A$1:N$804,14,FALSE),IF(VLOOKUP(A131,[1]Plan!A$1:O$804,15,FALSE)&lt;&gt;"",VLOOKUP(A131,[1]Plan!A$1:O$804,15,FALSE),""))</f>
        <v>Y</v>
      </c>
      <c r="K131" s="56" t="str">
        <f>IF(VLOOKUP(A131,[1]Plan!A$1:P$804,16,FALSE)&lt;&gt;"",VLOOKUP(A131,[1]Plan!A$1:P$804,16,FALSE),"")</f>
        <v/>
      </c>
      <c r="L131" s="55"/>
      <c r="M131" s="55"/>
      <c r="N131" s="55"/>
      <c r="O131" s="57" t="e">
        <f>IF(F131=0,E131,F131)</f>
        <v>#N/A</v>
      </c>
      <c r="P131" s="57" t="b">
        <f>OR(H131="Y",I131="Y")</f>
        <v>0</v>
      </c>
      <c r="Q131" s="58">
        <f>IF(P131,O131*'[1]ETC Data'!$H$3*'[1]ETC Data'!$I$3,0)</f>
        <v>0</v>
      </c>
      <c r="R131" s="58">
        <f>Q131-(Q131*((VLOOKUP(A131,[1]Plan!A$1:Z$804,26,FALSE)/100)))</f>
        <v>0</v>
      </c>
      <c r="S131" s="58">
        <f>IF(P131,O131*'[1]ETC Data'!$H$3*'[1]ETC Data'!$J$3,0)</f>
        <v>0</v>
      </c>
      <c r="T131" s="58">
        <f>S131-(S131*((VLOOKUP(A131,[1]Plan!A$1:AA$804,27,FALSE)/100)))</f>
        <v>0</v>
      </c>
      <c r="U131" s="58">
        <f>IF(P131,O131*'[1]ETC Data'!$H$3*'[1]ETC Data'!$K$3,0)</f>
        <v>0</v>
      </c>
      <c r="V131" s="58">
        <f>U131-(U131*((VLOOKUP(A131,[1]Plan!A$1:AB$804,28,FALSE)/100)))</f>
        <v>0</v>
      </c>
      <c r="W131" s="58">
        <f>IF(P131,O131*'[1]ETC Data'!$H$3*'[1]ETC Data'!$L$3,0)</f>
        <v>0</v>
      </c>
      <c r="X131" s="58">
        <f>W131-(W131*((VLOOKUP(A131,[1]Plan!A$1:AC$804,29,FALSE)/100)))</f>
        <v>0</v>
      </c>
      <c r="Y131" s="59"/>
      <c r="Z131" s="60" t="b">
        <f>OR(H131="Y",J131="Y")</f>
        <v>1</v>
      </c>
      <c r="AA131" s="58" t="e">
        <f>IF(Z131,O131*'[1]ETC Data'!$H$4*'[1]ETC Data'!$I$4,0)</f>
        <v>#N/A</v>
      </c>
      <c r="AB131" s="58" t="e">
        <f>AA131-(AA131*((VLOOKUP(A131,[1]Plan!A$1:AI$804,35,FALSE)/100)))</f>
        <v>#N/A</v>
      </c>
      <c r="AC131" s="58" t="e">
        <f>IF(Z131,O131*'[1]ETC Data'!$H$4*'[1]ETC Data'!$J$4,0)</f>
        <v>#N/A</v>
      </c>
      <c r="AD131" s="58" t="e">
        <f>AC131-(AC131*((VLOOKUP(A131,[1]Plan!A$1:AJ$804,36,FALSE)/100)))</f>
        <v>#N/A</v>
      </c>
      <c r="AE131" s="58" t="e">
        <f>IF(Z131,O131*'[1]ETC Data'!$H$4*'[1]ETC Data'!$K$4,0)</f>
        <v>#N/A</v>
      </c>
      <c r="AF131" s="58" t="e">
        <f>AE131-(AE131*((VLOOKUP(A131,[1]Plan!A$1:AK$804,37,FALSE)/100)))</f>
        <v>#N/A</v>
      </c>
      <c r="AG131" s="58" t="e">
        <f>IF(Z131,O131*'[1]ETC Data'!$H$4*'[1]ETC Data'!$L$4,0)</f>
        <v>#N/A</v>
      </c>
      <c r="AH131" s="58" t="e">
        <f>AG131-(AG131*((VLOOKUP(A131,[1]Plan!A$1:AP$804,42,FALSE)/100)))</f>
        <v>#N/A</v>
      </c>
      <c r="AI131" s="60"/>
      <c r="AJ131" s="60" t="b">
        <f>OR(H131="Y",K131="Y")</f>
        <v>0</v>
      </c>
      <c r="AK131" s="61">
        <f>IF(AJ131,O131*'[1]ETC Data'!$H$5*'[1]ETC Data'!$I$5,0)</f>
        <v>0</v>
      </c>
      <c r="AL131" s="58">
        <f>AK131-(AK131*((VLOOKUP(A131,[1]Plan!A$1:AY$804,51,FALSE)/100)))</f>
        <v>0</v>
      </c>
      <c r="AM131" s="58">
        <f>IF(AJ131,O131*'[1]ETC Data'!$H$5*'[1]ETC Data'!$J$5,0)</f>
        <v>0</v>
      </c>
      <c r="AN131" s="58">
        <f>AM131-(AM131*((VLOOKUP(A131,[1]Plan!A$1:BA$804,53,FALSE)/100)))</f>
        <v>0</v>
      </c>
      <c r="AO131" s="61">
        <f>IF(AJ131,O131*'[1]ETC Data'!$H$5*'[1]ETC Data'!$K$5,0)</f>
        <v>0</v>
      </c>
      <c r="AP131" s="58">
        <f>AO131-(AO131*((VLOOKUP(A131,[1]Plan!A$1:BB$804,54,FALSE)/100)))</f>
        <v>0</v>
      </c>
      <c r="AQ131" s="58">
        <f>IF(AJ131,O131*'[1]ETC Data'!$H$5*'[1]ETC Data'!$L$5,0)</f>
        <v>0</v>
      </c>
      <c r="AR131" s="58">
        <f>AQ131-(AQ131*((VLOOKUP(A131,[1]Plan!A$1:BD$804,56,FALSE)/100)))</f>
        <v>0</v>
      </c>
      <c r="AS131" s="20">
        <f>VLOOKUP(A131,'[1]PR Matrix'!A:B,2,FALSE)</f>
        <v>6233</v>
      </c>
      <c r="AT131" s="21" t="e">
        <f>R131+T131+V131+X131+AB131+AD131+AF131+AH131+AL131+AN131+AP131+AR131</f>
        <v>#N/A</v>
      </c>
      <c r="AU131" s="21" t="e">
        <f>Q131+S131+U131+W131+AA131+AC131+AE131+AG131+AK131+AM131+AO131+AQ131</f>
        <v>#N/A</v>
      </c>
      <c r="AV131" s="21" t="e">
        <f>R131+AB131+AL131</f>
        <v>#N/A</v>
      </c>
      <c r="AW131" s="72" t="e">
        <f>T131+AD131+AN131</f>
        <v>#N/A</v>
      </c>
      <c r="AX131" s="72" t="e">
        <f>V131+AF131+AP131</f>
        <v>#N/A</v>
      </c>
      <c r="AY131" s="72" t="e">
        <f>X131+AH131+AR131</f>
        <v>#N/A</v>
      </c>
    </row>
    <row r="132" spans="1:51" hidden="1" x14ac:dyDescent="0.2">
      <c r="A132" s="68" t="s">
        <v>339</v>
      </c>
      <c r="B132" s="51" t="s">
        <v>209</v>
      </c>
      <c r="C132" s="51"/>
      <c r="D132" s="51"/>
      <c r="E132" s="52">
        <f>IF(G132="Y",VLOOKUP(B132&amp;"|"&amp;C132,'[1]ETC Data'!$C$2:$D$16,2,FALSE),0)</f>
        <v>0</v>
      </c>
      <c r="F132" s="52">
        <f>IF(D132="",0,IF(G132="Y",VLOOKUP(B132&amp;"|"&amp;D132,'[1]ETC Data'!$C$2:$D$16,2,FALSE),0))</f>
        <v>0</v>
      </c>
      <c r="G132" s="53" t="str">
        <f>IF(VLOOKUP(A132,[1]Plan!A$1:H$804,8,FALSE)&lt;&gt;"",VLOOKUP(A132,[1]Plan!A$1:H$804,8,FALSE),"")</f>
        <v>N</v>
      </c>
      <c r="H132" s="54" t="str">
        <f>IF(VLOOKUP(A132,[1]Plan!A$1:L$804,12,FALSE)&lt;&gt;"",VLOOKUP(A132,[1]Plan!A$1:L$804,12,FALSE),"")</f>
        <v/>
      </c>
      <c r="I132" s="55" t="str">
        <f>IF(VLOOKUP(A132,[1]Plan!A$1:M$804,13,FALSE)&lt;&gt;"",VLOOKUP(A132,[1]Plan!A$1:M$804,13,FALSE),"")</f>
        <v/>
      </c>
      <c r="J132" s="55" t="str">
        <f>IF(VLOOKUP(A132,[1]Plan!A$1:N$804,14,FALSE)&lt;&gt;"",VLOOKUP(A132,[1]Plan!A$1:N$804,14,FALSE),IF(VLOOKUP(A132,[1]Plan!A$1:O$804,15,FALSE)&lt;&gt;"",VLOOKUP(A132,[1]Plan!A$1:O$804,15,FALSE),""))</f>
        <v/>
      </c>
      <c r="K132" s="56" t="str">
        <f>IF(VLOOKUP(A132,[1]Plan!A$1:P$804,16,FALSE)&lt;&gt;"",VLOOKUP(A132,[1]Plan!A$1:P$804,16,FALSE),"")</f>
        <v/>
      </c>
      <c r="L132" s="55"/>
      <c r="M132" s="55"/>
      <c r="N132" s="55"/>
      <c r="O132" s="57">
        <f>IF(F132=0,E132,F132)</f>
        <v>0</v>
      </c>
      <c r="P132" s="57" t="b">
        <f>OR(H132="Y",I132="Y")</f>
        <v>0</v>
      </c>
      <c r="Q132" s="58">
        <f>IF(P132,O132*'[1]ETC Data'!$H$3*'[1]ETC Data'!$I$3,0)</f>
        <v>0</v>
      </c>
      <c r="R132" s="58">
        <f>Q132-(Q132*((VLOOKUP(A132,[1]Plan!A$1:Z$804,26,FALSE)/100)))</f>
        <v>0</v>
      </c>
      <c r="S132" s="58">
        <f>IF(P132,O132*'[1]ETC Data'!$H$3*'[1]ETC Data'!$J$3,0)</f>
        <v>0</v>
      </c>
      <c r="T132" s="58">
        <f>S132-(S132*((VLOOKUP(A132,[1]Plan!A$1:AA$804,27,FALSE)/100)))</f>
        <v>0</v>
      </c>
      <c r="U132" s="58">
        <f>IF(P132,O132*'[1]ETC Data'!$H$3*'[1]ETC Data'!$K$3,0)</f>
        <v>0</v>
      </c>
      <c r="V132" s="58">
        <f>U132-(U132*((VLOOKUP(A132,[1]Plan!A$1:AB$804,28,FALSE)/100)))</f>
        <v>0</v>
      </c>
      <c r="W132" s="58">
        <f>IF(P132,O132*'[1]ETC Data'!$H$3*'[1]ETC Data'!$L$3,0)</f>
        <v>0</v>
      </c>
      <c r="X132" s="58">
        <f>W132-(W132*((VLOOKUP(A132,[1]Plan!A$1:AC$804,29,FALSE)/100)))</f>
        <v>0</v>
      </c>
      <c r="Y132" s="59"/>
      <c r="Z132" s="60" t="b">
        <f>OR(H132="Y",J132="Y")</f>
        <v>0</v>
      </c>
      <c r="AA132" s="58">
        <f>IF(Z132,O132*'[1]ETC Data'!$H$4*'[1]ETC Data'!$I$4,0)</f>
        <v>0</v>
      </c>
      <c r="AB132" s="58">
        <f>AA132-(AA132*((VLOOKUP(A132,[1]Plan!A$1:AI$804,35,FALSE)/100)))</f>
        <v>0</v>
      </c>
      <c r="AC132" s="58">
        <f>IF(Z132,O132*'[1]ETC Data'!$H$4*'[1]ETC Data'!$J$4,0)</f>
        <v>0</v>
      </c>
      <c r="AD132" s="58">
        <f>AC132-(AC132*((VLOOKUP(A132,[1]Plan!A$1:AJ$804,36,FALSE)/100)))</f>
        <v>0</v>
      </c>
      <c r="AE132" s="58">
        <f>IF(Z132,O132*'[1]ETC Data'!$H$4*'[1]ETC Data'!$K$4,0)</f>
        <v>0</v>
      </c>
      <c r="AF132" s="58">
        <f>AE132-(AE132*((VLOOKUP(A132,[1]Plan!A$1:AK$804,37,FALSE)/100)))</f>
        <v>0</v>
      </c>
      <c r="AG132" s="58">
        <f>IF(Z132,O132*'[1]ETC Data'!$H$4*'[1]ETC Data'!$L$4,0)</f>
        <v>0</v>
      </c>
      <c r="AH132" s="58">
        <f>AG132-(AG132*((VLOOKUP(A132,[1]Plan!A$1:AP$804,42,FALSE)/100)))</f>
        <v>0</v>
      </c>
      <c r="AI132" s="60"/>
      <c r="AJ132" s="60" t="b">
        <f>OR(H132="Y",K132="Y")</f>
        <v>0</v>
      </c>
      <c r="AK132" s="61">
        <f>IF(AJ132,O132*'[1]ETC Data'!$H$5*'[1]ETC Data'!$I$5,0)</f>
        <v>0</v>
      </c>
      <c r="AL132" s="58">
        <f>AK132-(AK132*((VLOOKUP(A132,[1]Plan!A$1:AY$804,51,FALSE)/100)))</f>
        <v>0</v>
      </c>
      <c r="AM132" s="58">
        <f>IF(AJ132,O132*'[1]ETC Data'!$H$5*'[1]ETC Data'!$J$5,0)</f>
        <v>0</v>
      </c>
      <c r="AN132" s="58">
        <f>AM132-(AM132*((VLOOKUP(A132,[1]Plan!A$1:BA$804,53,FALSE)/100)))</f>
        <v>0</v>
      </c>
      <c r="AO132" s="61">
        <f>IF(AJ132,O132*'[1]ETC Data'!$H$5*'[1]ETC Data'!$K$5,0)</f>
        <v>0</v>
      </c>
      <c r="AP132" s="58">
        <f>AO132-(AO132*((VLOOKUP(A132,[1]Plan!A$1:BB$804,54,FALSE)/100)))</f>
        <v>0</v>
      </c>
      <c r="AQ132" s="58">
        <f>IF(AJ132,O132*'[1]ETC Data'!$H$5*'[1]ETC Data'!$L$5,0)</f>
        <v>0</v>
      </c>
      <c r="AR132" s="58">
        <f>AQ132-(AQ132*((VLOOKUP(A132,[1]Plan!A$1:BD$804,56,FALSE)/100)))</f>
        <v>0</v>
      </c>
      <c r="AS132" s="20">
        <f>VLOOKUP(A132,'[1]PR Matrix'!A:B,2,FALSE)</f>
        <v>0</v>
      </c>
      <c r="AT132" s="21">
        <f>R132+T132+V132+X132+AB132+AD132+AF132+AH132+AL132+AN132+AP132+AR132</f>
        <v>0</v>
      </c>
      <c r="AU132" s="21">
        <f>Q132+S132+U132+W132+AA132+AC132+AE132+AG132+AK132+AM132+AO132+AQ132</f>
        <v>0</v>
      </c>
      <c r="AV132" s="21">
        <f>R132+AB132+AL132</f>
        <v>0</v>
      </c>
      <c r="AW132" s="21">
        <f>T132+AD132+AN132</f>
        <v>0</v>
      </c>
      <c r="AX132" s="21">
        <f>V132+AF132+AP132</f>
        <v>0</v>
      </c>
      <c r="AY132" s="21">
        <f>X132+AH132+AR132</f>
        <v>0</v>
      </c>
    </row>
    <row r="133" spans="1:51" hidden="1" x14ac:dyDescent="0.2">
      <c r="A133" s="50" t="s">
        <v>340</v>
      </c>
      <c r="B133" s="51" t="s">
        <v>208</v>
      </c>
      <c r="C133" s="51"/>
      <c r="D133" s="51"/>
      <c r="E133" s="52">
        <f>IF(G133="Y",VLOOKUP(B133&amp;"|"&amp;C133,'[1]ETC Data'!$C$2:$D$16,2,FALSE),0)</f>
        <v>0</v>
      </c>
      <c r="F133" s="52">
        <f>IF(D133="",0,IF(G133="Y",VLOOKUP(B133&amp;"|"&amp;D133,'[1]ETC Data'!$C$2:$D$16,2,FALSE),0))</f>
        <v>0</v>
      </c>
      <c r="G133" s="53" t="str">
        <f>IF(VLOOKUP(A133,[1]Plan!A$1:H$804,8,FALSE)&lt;&gt;"",VLOOKUP(A133,[1]Plan!A$1:H$804,8,FALSE),"")</f>
        <v>N</v>
      </c>
      <c r="H133" s="54" t="str">
        <f>IF(VLOOKUP(A133,[1]Plan!A$1:L$804,12,FALSE)&lt;&gt;"",VLOOKUP(A133,[1]Plan!A$1:L$804,12,FALSE),"")</f>
        <v/>
      </c>
      <c r="I133" s="55" t="str">
        <f>IF(VLOOKUP(A133,[1]Plan!A$1:M$804,13,FALSE)&lt;&gt;"",VLOOKUP(A133,[1]Plan!A$1:M$804,13,FALSE),"")</f>
        <v/>
      </c>
      <c r="J133" s="55" t="str">
        <f>IF(VLOOKUP(A133,[1]Plan!A$1:N$804,14,FALSE)&lt;&gt;"",VLOOKUP(A133,[1]Plan!A$1:N$804,14,FALSE),IF(VLOOKUP(A133,[1]Plan!A$1:O$804,15,FALSE)&lt;&gt;"",VLOOKUP(A133,[1]Plan!A$1:O$804,15,FALSE),""))</f>
        <v/>
      </c>
      <c r="K133" s="56" t="str">
        <f>IF(VLOOKUP(A133,[1]Plan!A$1:P$804,16,FALSE)&lt;&gt;"",VLOOKUP(A133,[1]Plan!A$1:P$804,16,FALSE),"")</f>
        <v/>
      </c>
      <c r="L133" s="55"/>
      <c r="M133" s="55"/>
      <c r="N133" s="55"/>
      <c r="O133" s="57">
        <f>IF(F133=0,E133,F133)</f>
        <v>0</v>
      </c>
      <c r="P133" s="57" t="b">
        <f>OR(H133="Y",I133="Y")</f>
        <v>0</v>
      </c>
      <c r="Q133" s="58">
        <f>IF(P133,O133*'[1]ETC Data'!$H$3*'[1]ETC Data'!$I$3,0)</f>
        <v>0</v>
      </c>
      <c r="R133" s="58">
        <f>Q133-(Q133*((VLOOKUP(A133,[1]Plan!A$1:Z$804,26,FALSE)/100)))</f>
        <v>0</v>
      </c>
      <c r="S133" s="58">
        <f>IF(P133,O133*'[1]ETC Data'!$H$3*'[1]ETC Data'!$J$3,0)</f>
        <v>0</v>
      </c>
      <c r="T133" s="58">
        <f>S133-(S133*((VLOOKUP(A133,[1]Plan!A$1:AA$804,27,FALSE)/100)))</f>
        <v>0</v>
      </c>
      <c r="U133" s="58">
        <f>IF(P133,O133*'[1]ETC Data'!$H$3*'[1]ETC Data'!$K$3,0)</f>
        <v>0</v>
      </c>
      <c r="V133" s="58">
        <f>U133-(U133*((VLOOKUP(A133,[1]Plan!A$1:AB$804,28,FALSE)/100)))</f>
        <v>0</v>
      </c>
      <c r="W133" s="58">
        <f>IF(P133,O133*'[1]ETC Data'!$H$3*'[1]ETC Data'!$L$3,0)</f>
        <v>0</v>
      </c>
      <c r="X133" s="58">
        <f>W133-(W133*((VLOOKUP(A133,[1]Plan!A$1:AC$804,29,FALSE)/100)))</f>
        <v>0</v>
      </c>
      <c r="Y133" s="59"/>
      <c r="Z133" s="60" t="b">
        <f>OR(H133="Y",J133="Y")</f>
        <v>0</v>
      </c>
      <c r="AA133" s="58">
        <f>IF(Z133,O133*'[1]ETC Data'!$H$4*'[1]ETC Data'!$I$4,0)</f>
        <v>0</v>
      </c>
      <c r="AB133" s="58">
        <f>AA133-(AA133*((VLOOKUP(A133,[1]Plan!A$1:AI$804,35,FALSE)/100)))</f>
        <v>0</v>
      </c>
      <c r="AC133" s="58">
        <f>IF(Z133,O133*'[1]ETC Data'!$H$4*'[1]ETC Data'!$J$4,0)</f>
        <v>0</v>
      </c>
      <c r="AD133" s="58">
        <f>AC133-(AC133*((VLOOKUP(A133,[1]Plan!A$1:AJ$804,36,FALSE)/100)))</f>
        <v>0</v>
      </c>
      <c r="AE133" s="58">
        <f>IF(Z133,O133*'[1]ETC Data'!$H$4*'[1]ETC Data'!$K$4,0)</f>
        <v>0</v>
      </c>
      <c r="AF133" s="58">
        <f>AE133-(AE133*((VLOOKUP(A133,[1]Plan!A$1:AK$804,37,FALSE)/100)))</f>
        <v>0</v>
      </c>
      <c r="AG133" s="58">
        <f>IF(Z133,O133*'[1]ETC Data'!$H$4*'[1]ETC Data'!$L$4,0)</f>
        <v>0</v>
      </c>
      <c r="AH133" s="58">
        <f>AG133-(AG133*((VLOOKUP(A133,[1]Plan!A$1:AP$804,42,FALSE)/100)))</f>
        <v>0</v>
      </c>
      <c r="AI133" s="60"/>
      <c r="AJ133" s="60" t="b">
        <f>OR(H133="Y",K133="Y")</f>
        <v>0</v>
      </c>
      <c r="AK133" s="61">
        <f>IF(AJ133,O133*'[1]ETC Data'!$H$5*'[1]ETC Data'!$I$5,0)</f>
        <v>0</v>
      </c>
      <c r="AL133" s="58">
        <f>AK133-(AK133*((VLOOKUP(A133,[1]Plan!A$1:AY$804,51,FALSE)/100)))</f>
        <v>0</v>
      </c>
      <c r="AM133" s="58">
        <f>IF(AJ133,O133*'[1]ETC Data'!$H$5*'[1]ETC Data'!$J$5,0)</f>
        <v>0</v>
      </c>
      <c r="AN133" s="58">
        <f>AM133-(AM133*((VLOOKUP(A133,[1]Plan!A$1:BA$804,53,FALSE)/100)))</f>
        <v>0</v>
      </c>
      <c r="AO133" s="61">
        <f>IF(AJ133,O133*'[1]ETC Data'!$H$5*'[1]ETC Data'!$K$5,0)</f>
        <v>0</v>
      </c>
      <c r="AP133" s="58">
        <f>AO133-(AO133*((VLOOKUP(A133,[1]Plan!A$1:BB$804,54,FALSE)/100)))</f>
        <v>0</v>
      </c>
      <c r="AQ133" s="58">
        <f>IF(AJ133,O133*'[1]ETC Data'!$H$5*'[1]ETC Data'!$L$5,0)</f>
        <v>0</v>
      </c>
      <c r="AR133" s="58">
        <f>AQ133-(AQ133*((VLOOKUP(A133,[1]Plan!A$1:BD$804,56,FALSE)/100)))</f>
        <v>0</v>
      </c>
      <c r="AS133" s="20">
        <f>VLOOKUP(A133,'[1]PR Matrix'!A:B,2,FALSE)</f>
        <v>0</v>
      </c>
      <c r="AT133" s="21">
        <f>R133+T133+V133+X133+AB133+AD133+AF133+AH133+AL133+AN133+AP133+AR133</f>
        <v>0</v>
      </c>
      <c r="AU133" s="21">
        <f>Q133+S133+U133+W133+AA133+AC133+AE133+AG133+AK133+AM133+AO133+AQ133</f>
        <v>0</v>
      </c>
      <c r="AV133" s="21">
        <f>R133+AB133+AL133</f>
        <v>0</v>
      </c>
      <c r="AW133" s="21">
        <f>T133+AD133+AN133</f>
        <v>0</v>
      </c>
      <c r="AX133" s="21">
        <f>V133+AF133+AP133</f>
        <v>0</v>
      </c>
      <c r="AY133" s="21">
        <f>X133+AH133+AR133</f>
        <v>0</v>
      </c>
    </row>
    <row r="134" spans="1:51" hidden="1" x14ac:dyDescent="0.2">
      <c r="A134" s="50" t="s">
        <v>341</v>
      </c>
      <c r="B134" s="51" t="s">
        <v>209</v>
      </c>
      <c r="C134" s="51"/>
      <c r="D134" s="51"/>
      <c r="E134" s="52">
        <f>IF(G134="Y",VLOOKUP(B134&amp;"|"&amp;C134,'[1]ETC Data'!$C$2:$D$16,2,FALSE),0)</f>
        <v>0</v>
      </c>
      <c r="F134" s="52">
        <f>IF(D134="",0,IF(G134="Y",VLOOKUP(B134&amp;"|"&amp;D134,'[1]ETC Data'!$C$2:$D$16,2,FALSE),0))</f>
        <v>0</v>
      </c>
      <c r="G134" s="53" t="str">
        <f>IF(VLOOKUP(A134,[1]Plan!A$1:H$804,8,FALSE)&lt;&gt;"",VLOOKUP(A134,[1]Plan!A$1:H$804,8,FALSE),"")</f>
        <v>N</v>
      </c>
      <c r="H134" s="54" t="str">
        <f>IF(VLOOKUP(A134,[1]Plan!A$1:L$804,12,FALSE)&lt;&gt;"",VLOOKUP(A134,[1]Plan!A$1:L$804,12,FALSE),"")</f>
        <v/>
      </c>
      <c r="I134" s="55" t="str">
        <f>IF(VLOOKUP(A134,[1]Plan!A$1:M$804,13,FALSE)&lt;&gt;"",VLOOKUP(A134,[1]Plan!A$1:M$804,13,FALSE),"")</f>
        <v/>
      </c>
      <c r="J134" s="55" t="str">
        <f>IF(VLOOKUP(A134,[1]Plan!A$1:N$804,14,FALSE)&lt;&gt;"",VLOOKUP(A134,[1]Plan!A$1:N$804,14,FALSE),IF(VLOOKUP(A134,[1]Plan!A$1:O$804,15,FALSE)&lt;&gt;"",VLOOKUP(A134,[1]Plan!A$1:O$804,15,FALSE),""))</f>
        <v/>
      </c>
      <c r="K134" s="56" t="str">
        <f>IF(VLOOKUP(A134,[1]Plan!A$1:P$804,16,FALSE)&lt;&gt;"",VLOOKUP(A134,[1]Plan!A$1:P$804,16,FALSE),"")</f>
        <v/>
      </c>
      <c r="L134" s="55"/>
      <c r="M134" s="55"/>
      <c r="N134" s="55"/>
      <c r="O134" s="57">
        <f>IF(F134=0,E134,F134)</f>
        <v>0</v>
      </c>
      <c r="P134" s="57" t="b">
        <f>OR(H134="Y",I134="Y")</f>
        <v>0</v>
      </c>
      <c r="Q134" s="58">
        <f>IF(P134,O134*'[1]ETC Data'!$H$3*'[1]ETC Data'!$I$3,0)</f>
        <v>0</v>
      </c>
      <c r="R134" s="58">
        <f>Q134-(Q134*((VLOOKUP(A134,[1]Plan!A$1:Z$804,26,FALSE)/100)))</f>
        <v>0</v>
      </c>
      <c r="S134" s="58">
        <f>IF(P134,O134*'[1]ETC Data'!$H$3*'[1]ETC Data'!$J$3,0)</f>
        <v>0</v>
      </c>
      <c r="T134" s="58">
        <f>S134-(S134*((VLOOKUP(A134,[1]Plan!A$1:AA$804,27,FALSE)/100)))</f>
        <v>0</v>
      </c>
      <c r="U134" s="58">
        <f>IF(P134,O134*'[1]ETC Data'!$H$3*'[1]ETC Data'!$K$3,0)</f>
        <v>0</v>
      </c>
      <c r="V134" s="58">
        <f>U134-(U134*((VLOOKUP(A134,[1]Plan!A$1:AB$804,28,FALSE)/100)))</f>
        <v>0</v>
      </c>
      <c r="W134" s="58">
        <f>IF(P134,O134*'[1]ETC Data'!$H$3*'[1]ETC Data'!$L$3,0)</f>
        <v>0</v>
      </c>
      <c r="X134" s="58">
        <f>W134-(W134*((VLOOKUP(A134,[1]Plan!A$1:AC$804,29,FALSE)/100)))</f>
        <v>0</v>
      </c>
      <c r="Y134" s="59"/>
      <c r="Z134" s="60" t="b">
        <f>OR(H134="Y",J134="Y")</f>
        <v>0</v>
      </c>
      <c r="AA134" s="58">
        <f>IF(Z134,O134*'[1]ETC Data'!$H$4*'[1]ETC Data'!$I$4,0)</f>
        <v>0</v>
      </c>
      <c r="AB134" s="58">
        <f>AA134-(AA134*((VLOOKUP(A134,[1]Plan!A$1:AI$804,35,FALSE)/100)))</f>
        <v>0</v>
      </c>
      <c r="AC134" s="58">
        <f>IF(Z134,O134*'[1]ETC Data'!$H$4*'[1]ETC Data'!$J$4,0)</f>
        <v>0</v>
      </c>
      <c r="AD134" s="58">
        <f>AC134-(AC134*((VLOOKUP(A134,[1]Plan!A$1:AJ$804,36,FALSE)/100)))</f>
        <v>0</v>
      </c>
      <c r="AE134" s="58">
        <f>IF(Z134,O134*'[1]ETC Data'!$H$4*'[1]ETC Data'!$K$4,0)</f>
        <v>0</v>
      </c>
      <c r="AF134" s="58">
        <f>AE134-(AE134*((VLOOKUP(A134,[1]Plan!A$1:AK$804,37,FALSE)/100)))</f>
        <v>0</v>
      </c>
      <c r="AG134" s="58">
        <f>IF(Z134,O134*'[1]ETC Data'!$H$4*'[1]ETC Data'!$L$4,0)</f>
        <v>0</v>
      </c>
      <c r="AH134" s="58">
        <f>AG134-(AG134*((VLOOKUP(A134,[1]Plan!A$1:AP$804,42,FALSE)/100)))</f>
        <v>0</v>
      </c>
      <c r="AI134" s="60"/>
      <c r="AJ134" s="60" t="b">
        <f>OR(H134="Y",K134="Y")</f>
        <v>0</v>
      </c>
      <c r="AK134" s="61">
        <f>IF(AJ134,O134*'[1]ETC Data'!$H$5*'[1]ETC Data'!$I$5,0)</f>
        <v>0</v>
      </c>
      <c r="AL134" s="58">
        <f>AK134-(AK134*((VLOOKUP(A134,[1]Plan!A$1:AY$804,51,FALSE)/100)))</f>
        <v>0</v>
      </c>
      <c r="AM134" s="58">
        <f>IF(AJ134,O134*'[1]ETC Data'!$H$5*'[1]ETC Data'!$J$5,0)</f>
        <v>0</v>
      </c>
      <c r="AN134" s="58">
        <f>AM134-(AM134*((VLOOKUP(A134,[1]Plan!A$1:BA$804,53,FALSE)/100)))</f>
        <v>0</v>
      </c>
      <c r="AO134" s="61">
        <f>IF(AJ134,O134*'[1]ETC Data'!$H$5*'[1]ETC Data'!$K$5,0)</f>
        <v>0</v>
      </c>
      <c r="AP134" s="58">
        <f>AO134-(AO134*((VLOOKUP(A134,[1]Plan!A$1:BB$804,54,FALSE)/100)))</f>
        <v>0</v>
      </c>
      <c r="AQ134" s="58">
        <f>IF(AJ134,O134*'[1]ETC Data'!$H$5*'[1]ETC Data'!$L$5,0)</f>
        <v>0</v>
      </c>
      <c r="AR134" s="58">
        <f>AQ134-(AQ134*((VLOOKUP(A134,[1]Plan!A$1:BD$804,56,FALSE)/100)))</f>
        <v>0</v>
      </c>
      <c r="AS134" s="20">
        <f>VLOOKUP(A134,'[1]PR Matrix'!A:B,2,FALSE)</f>
        <v>0</v>
      </c>
      <c r="AT134" s="21">
        <f>R134+T134+V134+X134+AB134+AD134+AF134+AH134+AL134+AN134+AP134+AR134</f>
        <v>0</v>
      </c>
      <c r="AU134" s="21">
        <f>Q134+S134+U134+W134+AA134+AC134+AE134+AG134+AK134+AM134+AO134+AQ134</f>
        <v>0</v>
      </c>
      <c r="AV134" s="21">
        <f>R134+AB134+AL134</f>
        <v>0</v>
      </c>
      <c r="AW134" s="21">
        <f>T134+AD134+AN134</f>
        <v>0</v>
      </c>
      <c r="AX134" s="21">
        <f>V134+AF134+AP134</f>
        <v>0</v>
      </c>
      <c r="AY134" s="21">
        <f>X134+AH134+AR134</f>
        <v>0</v>
      </c>
    </row>
    <row r="135" spans="1:51" hidden="1" x14ac:dyDescent="0.2">
      <c r="A135" s="50" t="s">
        <v>342</v>
      </c>
      <c r="B135" s="51" t="s">
        <v>208</v>
      </c>
      <c r="C135" s="51"/>
      <c r="D135" s="51"/>
      <c r="E135" s="52">
        <f>IF(G135="Y",VLOOKUP(B135&amp;"|"&amp;C135,'[1]ETC Data'!$C$2:$D$16,2,FALSE),0)</f>
        <v>0</v>
      </c>
      <c r="F135" s="52">
        <f>IF(D135="",0,IF(G135="Y",VLOOKUP(B135&amp;"|"&amp;D135,'[1]ETC Data'!$C$2:$D$16,2,FALSE),0))</f>
        <v>0</v>
      </c>
      <c r="G135" s="53" t="str">
        <f>IF(VLOOKUP(A135,[1]Plan!A$1:H$804,8,FALSE)&lt;&gt;"",VLOOKUP(A135,[1]Plan!A$1:H$804,8,FALSE),"")</f>
        <v>N</v>
      </c>
      <c r="H135" s="54" t="str">
        <f>IF(VLOOKUP(A135,[1]Plan!A$1:L$804,12,FALSE)&lt;&gt;"",VLOOKUP(A135,[1]Plan!A$1:L$804,12,FALSE),"")</f>
        <v/>
      </c>
      <c r="I135" s="55" t="str">
        <f>IF(VLOOKUP(A135,[1]Plan!A$1:M$804,13,FALSE)&lt;&gt;"",VLOOKUP(A135,[1]Plan!A$1:M$804,13,FALSE),"")</f>
        <v/>
      </c>
      <c r="J135" s="55" t="str">
        <f>IF(VLOOKUP(A135,[1]Plan!A$1:N$804,14,FALSE)&lt;&gt;"",VLOOKUP(A135,[1]Plan!A$1:N$804,14,FALSE),IF(VLOOKUP(A135,[1]Plan!A$1:O$804,15,FALSE)&lt;&gt;"",VLOOKUP(A135,[1]Plan!A$1:O$804,15,FALSE),""))</f>
        <v/>
      </c>
      <c r="K135" s="56" t="str">
        <f>IF(VLOOKUP(A135,[1]Plan!A$1:P$804,16,FALSE)&lt;&gt;"",VLOOKUP(A135,[1]Plan!A$1:P$804,16,FALSE),"")</f>
        <v/>
      </c>
      <c r="L135" s="55"/>
      <c r="M135" s="55"/>
      <c r="N135" s="55"/>
      <c r="O135" s="57">
        <f>IF(F135=0,E135,F135)</f>
        <v>0</v>
      </c>
      <c r="P135" s="57" t="b">
        <f>OR(H135="Y",I135="Y")</f>
        <v>0</v>
      </c>
      <c r="Q135" s="58">
        <f>IF(P135,O135*'[1]ETC Data'!$H$3*'[1]ETC Data'!$I$3,0)</f>
        <v>0</v>
      </c>
      <c r="R135" s="58">
        <f>Q135-(Q135*((VLOOKUP(A135,[1]Plan!A$1:Z$804,26,FALSE)/100)))</f>
        <v>0</v>
      </c>
      <c r="S135" s="58">
        <f>IF(P135,O135*'[1]ETC Data'!$H$3*'[1]ETC Data'!$J$3,0)</f>
        <v>0</v>
      </c>
      <c r="T135" s="58">
        <f>S135-(S135*((VLOOKUP(A135,[1]Plan!A$1:AA$804,27,FALSE)/100)))</f>
        <v>0</v>
      </c>
      <c r="U135" s="58">
        <f>IF(P135,O135*'[1]ETC Data'!$H$3*'[1]ETC Data'!$K$3,0)</f>
        <v>0</v>
      </c>
      <c r="V135" s="58">
        <f>U135-(U135*((VLOOKUP(A135,[1]Plan!A$1:AB$804,28,FALSE)/100)))</f>
        <v>0</v>
      </c>
      <c r="W135" s="58">
        <f>IF(P135,O135*'[1]ETC Data'!$H$3*'[1]ETC Data'!$L$3,0)</f>
        <v>0</v>
      </c>
      <c r="X135" s="58">
        <f>W135-(W135*((VLOOKUP(A135,[1]Plan!A$1:AC$804,29,FALSE)/100)))</f>
        <v>0</v>
      </c>
      <c r="Y135" s="59"/>
      <c r="Z135" s="60" t="b">
        <f>OR(H135="Y",J135="Y")</f>
        <v>0</v>
      </c>
      <c r="AA135" s="58">
        <f>IF(Z135,O135*'[1]ETC Data'!$H$4*'[1]ETC Data'!$I$4,0)</f>
        <v>0</v>
      </c>
      <c r="AB135" s="58">
        <f>AA135-(AA135*((VLOOKUP(A135,[1]Plan!A$1:AI$804,35,FALSE)/100)))</f>
        <v>0</v>
      </c>
      <c r="AC135" s="58">
        <f>IF(Z135,O135*'[1]ETC Data'!$H$4*'[1]ETC Data'!$J$4,0)</f>
        <v>0</v>
      </c>
      <c r="AD135" s="58">
        <f>AC135-(AC135*((VLOOKUP(A135,[1]Plan!A$1:AJ$804,36,FALSE)/100)))</f>
        <v>0</v>
      </c>
      <c r="AE135" s="58">
        <f>IF(Z135,O135*'[1]ETC Data'!$H$4*'[1]ETC Data'!$K$4,0)</f>
        <v>0</v>
      </c>
      <c r="AF135" s="58">
        <f>AE135-(AE135*((VLOOKUP(A135,[1]Plan!A$1:AK$804,37,FALSE)/100)))</f>
        <v>0</v>
      </c>
      <c r="AG135" s="58">
        <f>IF(Z135,O135*'[1]ETC Data'!$H$4*'[1]ETC Data'!$L$4,0)</f>
        <v>0</v>
      </c>
      <c r="AH135" s="58">
        <f>AG135-(AG135*((VLOOKUP(A135,[1]Plan!A$1:AP$804,42,FALSE)/100)))</f>
        <v>0</v>
      </c>
      <c r="AI135" s="60"/>
      <c r="AJ135" s="60" t="b">
        <f>OR(H135="Y",K135="Y")</f>
        <v>0</v>
      </c>
      <c r="AK135" s="61">
        <f>IF(AJ135,O135*'[1]ETC Data'!$H$5*'[1]ETC Data'!$I$5,0)</f>
        <v>0</v>
      </c>
      <c r="AL135" s="58">
        <f>AK135-(AK135*((VLOOKUP(A135,[1]Plan!A$1:AY$804,51,FALSE)/100)))</f>
        <v>0</v>
      </c>
      <c r="AM135" s="58">
        <f>IF(AJ135,O135*'[1]ETC Data'!$H$5*'[1]ETC Data'!$J$5,0)</f>
        <v>0</v>
      </c>
      <c r="AN135" s="58">
        <f>AM135-(AM135*((VLOOKUP(A135,[1]Plan!A$1:BA$804,53,FALSE)/100)))</f>
        <v>0</v>
      </c>
      <c r="AO135" s="61">
        <f>IF(AJ135,O135*'[1]ETC Data'!$H$5*'[1]ETC Data'!$K$5,0)</f>
        <v>0</v>
      </c>
      <c r="AP135" s="58">
        <f>AO135-(AO135*((VLOOKUP(A135,[1]Plan!A$1:BB$804,54,FALSE)/100)))</f>
        <v>0</v>
      </c>
      <c r="AQ135" s="58">
        <f>IF(AJ135,O135*'[1]ETC Data'!$H$5*'[1]ETC Data'!$L$5,0)</f>
        <v>0</v>
      </c>
      <c r="AR135" s="58">
        <f>AQ135-(AQ135*((VLOOKUP(A135,[1]Plan!A$1:BD$804,56,FALSE)/100)))</f>
        <v>0</v>
      </c>
      <c r="AS135" s="20">
        <f>VLOOKUP(A135,'[1]PR Matrix'!A:B,2,FALSE)</f>
        <v>0</v>
      </c>
      <c r="AT135" s="21">
        <f>R135+T135+V135+X135+AB135+AD135+AF135+AH135+AL135+AN135+AP135+AR135</f>
        <v>0</v>
      </c>
      <c r="AU135" s="21">
        <f>Q135+S135+U135+W135+AA135+AC135+AE135+AG135+AK135+AM135+AO135+AQ135</f>
        <v>0</v>
      </c>
      <c r="AV135" s="21">
        <f>R135+AB135+AL135</f>
        <v>0</v>
      </c>
      <c r="AW135" s="21">
        <f>T135+AD135+AN135</f>
        <v>0</v>
      </c>
      <c r="AX135" s="21">
        <f>V135+AF135+AP135</f>
        <v>0</v>
      </c>
      <c r="AY135" s="21">
        <f>X135+AH135+AR135</f>
        <v>0</v>
      </c>
    </row>
    <row r="136" spans="1:51" hidden="1" x14ac:dyDescent="0.2">
      <c r="A136" s="50" t="s">
        <v>343</v>
      </c>
      <c r="B136" s="51" t="s">
        <v>209</v>
      </c>
      <c r="C136" s="51"/>
      <c r="D136" s="51"/>
      <c r="E136" s="52">
        <f>IF(G136="Y",VLOOKUP(B136&amp;"|"&amp;C136,'[1]ETC Data'!$C$2:$D$16,2,FALSE),0)</f>
        <v>0</v>
      </c>
      <c r="F136" s="52">
        <f>IF(D136="",0,IF(G136="Y",VLOOKUP(B136&amp;"|"&amp;D136,'[1]ETC Data'!$C$2:$D$16,2,FALSE),0))</f>
        <v>0</v>
      </c>
      <c r="G136" s="53" t="str">
        <f>IF(VLOOKUP(A136,[1]Plan!A$1:H$804,8,FALSE)&lt;&gt;"",VLOOKUP(A136,[1]Plan!A$1:H$804,8,FALSE),"")</f>
        <v>N</v>
      </c>
      <c r="H136" s="54" t="str">
        <f>IF(VLOOKUP(A136,[1]Plan!A$1:L$804,12,FALSE)&lt;&gt;"",VLOOKUP(A136,[1]Plan!A$1:L$804,12,FALSE),"")</f>
        <v/>
      </c>
      <c r="I136" s="55" t="str">
        <f>IF(VLOOKUP(A136,[1]Plan!A$1:M$804,13,FALSE)&lt;&gt;"",VLOOKUP(A136,[1]Plan!A$1:M$804,13,FALSE),"")</f>
        <v/>
      </c>
      <c r="J136" s="55" t="str">
        <f>IF(VLOOKUP(A136,[1]Plan!A$1:N$804,14,FALSE)&lt;&gt;"",VLOOKUP(A136,[1]Plan!A$1:N$804,14,FALSE),IF(VLOOKUP(A136,[1]Plan!A$1:O$804,15,FALSE)&lt;&gt;"",VLOOKUP(A136,[1]Plan!A$1:O$804,15,FALSE),""))</f>
        <v/>
      </c>
      <c r="K136" s="56" t="str">
        <f>IF(VLOOKUP(A136,[1]Plan!A$1:P$804,16,FALSE)&lt;&gt;"",VLOOKUP(A136,[1]Plan!A$1:P$804,16,FALSE),"")</f>
        <v/>
      </c>
      <c r="L136" s="55"/>
      <c r="M136" s="55"/>
      <c r="N136" s="55"/>
      <c r="O136" s="57">
        <f>IF(F136=0,E136,F136)</f>
        <v>0</v>
      </c>
      <c r="P136" s="57" t="b">
        <f>OR(H136="Y",I136="Y")</f>
        <v>0</v>
      </c>
      <c r="Q136" s="58">
        <f>IF(P136,O136*'[1]ETC Data'!$H$3*'[1]ETC Data'!$I$3,0)</f>
        <v>0</v>
      </c>
      <c r="R136" s="58">
        <f>Q136-(Q136*((VLOOKUP(A136,[1]Plan!A$1:Z$804,26,FALSE)/100)))</f>
        <v>0</v>
      </c>
      <c r="S136" s="58">
        <f>IF(P136,O136*'[1]ETC Data'!$H$3*'[1]ETC Data'!$J$3,0)</f>
        <v>0</v>
      </c>
      <c r="T136" s="58">
        <f>S136-(S136*((VLOOKUP(A136,[1]Plan!A$1:AA$804,27,FALSE)/100)))</f>
        <v>0</v>
      </c>
      <c r="U136" s="58">
        <f>IF(P136,O136*'[1]ETC Data'!$H$3*'[1]ETC Data'!$K$3,0)</f>
        <v>0</v>
      </c>
      <c r="V136" s="58">
        <f>U136-(U136*((VLOOKUP(A136,[1]Plan!A$1:AB$804,28,FALSE)/100)))</f>
        <v>0</v>
      </c>
      <c r="W136" s="58">
        <f>IF(P136,O136*'[1]ETC Data'!$H$3*'[1]ETC Data'!$L$3,0)</f>
        <v>0</v>
      </c>
      <c r="X136" s="58">
        <f>W136-(W136*((VLOOKUP(A136,[1]Plan!A$1:AC$804,29,FALSE)/100)))</f>
        <v>0</v>
      </c>
      <c r="Y136" s="59"/>
      <c r="Z136" s="60" t="b">
        <f>OR(H136="Y",J136="Y")</f>
        <v>0</v>
      </c>
      <c r="AA136" s="58">
        <f>IF(Z136,O136*'[1]ETC Data'!$H$4*'[1]ETC Data'!$I$4,0)</f>
        <v>0</v>
      </c>
      <c r="AB136" s="58">
        <f>AA136-(AA136*((VLOOKUP(A136,[1]Plan!A$1:AI$804,35,FALSE)/100)))</f>
        <v>0</v>
      </c>
      <c r="AC136" s="58">
        <f>IF(Z136,O136*'[1]ETC Data'!$H$4*'[1]ETC Data'!$J$4,0)</f>
        <v>0</v>
      </c>
      <c r="AD136" s="58">
        <f>AC136-(AC136*((VLOOKUP(A136,[1]Plan!A$1:AJ$804,36,FALSE)/100)))</f>
        <v>0</v>
      </c>
      <c r="AE136" s="58">
        <f>IF(Z136,O136*'[1]ETC Data'!$H$4*'[1]ETC Data'!$K$4,0)</f>
        <v>0</v>
      </c>
      <c r="AF136" s="58">
        <f>AE136-(AE136*((VLOOKUP(A136,[1]Plan!A$1:AK$804,37,FALSE)/100)))</f>
        <v>0</v>
      </c>
      <c r="AG136" s="58">
        <f>IF(Z136,O136*'[1]ETC Data'!$H$4*'[1]ETC Data'!$L$4,0)</f>
        <v>0</v>
      </c>
      <c r="AH136" s="58">
        <f>AG136-(AG136*((VLOOKUP(A136,[1]Plan!A$1:AP$804,42,FALSE)/100)))</f>
        <v>0</v>
      </c>
      <c r="AI136" s="60"/>
      <c r="AJ136" s="60" t="b">
        <f>OR(H136="Y",K136="Y")</f>
        <v>0</v>
      </c>
      <c r="AK136" s="61">
        <f>IF(AJ136,O136*'[1]ETC Data'!$H$5*'[1]ETC Data'!$I$5,0)</f>
        <v>0</v>
      </c>
      <c r="AL136" s="58">
        <f>AK136-(AK136*((VLOOKUP(A136,[1]Plan!A$1:AY$804,51,FALSE)/100)))</f>
        <v>0</v>
      </c>
      <c r="AM136" s="58">
        <f>IF(AJ136,O136*'[1]ETC Data'!$H$5*'[1]ETC Data'!$J$5,0)</f>
        <v>0</v>
      </c>
      <c r="AN136" s="58">
        <f>AM136-(AM136*((VLOOKUP(A136,[1]Plan!A$1:BA$804,53,FALSE)/100)))</f>
        <v>0</v>
      </c>
      <c r="AO136" s="61">
        <f>IF(AJ136,O136*'[1]ETC Data'!$H$5*'[1]ETC Data'!$K$5,0)</f>
        <v>0</v>
      </c>
      <c r="AP136" s="58">
        <f>AO136-(AO136*((VLOOKUP(A136,[1]Plan!A$1:BB$804,54,FALSE)/100)))</f>
        <v>0</v>
      </c>
      <c r="AQ136" s="58">
        <f>IF(AJ136,O136*'[1]ETC Data'!$H$5*'[1]ETC Data'!$L$5,0)</f>
        <v>0</v>
      </c>
      <c r="AR136" s="58">
        <f>AQ136-(AQ136*((VLOOKUP(A136,[1]Plan!A$1:BD$804,56,FALSE)/100)))</f>
        <v>0</v>
      </c>
      <c r="AS136" s="20">
        <f>VLOOKUP(A136,'[1]PR Matrix'!A:B,2,FALSE)</f>
        <v>0</v>
      </c>
      <c r="AT136" s="21">
        <f>R136+T136+V136+X136+AB136+AD136+AF136+AH136+AL136+AN136+AP136+AR136</f>
        <v>0</v>
      </c>
      <c r="AU136" s="21">
        <f>Q136+S136+U136+W136+AA136+AC136+AE136+AG136+AK136+AM136+AO136+AQ136</f>
        <v>0</v>
      </c>
      <c r="AV136" s="21">
        <f>R136+AB136+AL136</f>
        <v>0</v>
      </c>
      <c r="AW136" s="21">
        <f>T136+AD136+AN136</f>
        <v>0</v>
      </c>
      <c r="AX136" s="21">
        <f>V136+AF136+AP136</f>
        <v>0</v>
      </c>
      <c r="AY136" s="21">
        <f>X136+AH136+AR136</f>
        <v>0</v>
      </c>
    </row>
    <row r="137" spans="1:51" hidden="1" x14ac:dyDescent="0.2">
      <c r="A137" s="50" t="s">
        <v>344</v>
      </c>
      <c r="B137" s="51" t="s">
        <v>209</v>
      </c>
      <c r="C137" s="51"/>
      <c r="D137" s="51"/>
      <c r="E137" s="52">
        <f>IF(G137="Y",VLOOKUP(B137&amp;"|"&amp;C137,'[1]ETC Data'!$C$2:$D$16,2,FALSE),0)</f>
        <v>0</v>
      </c>
      <c r="F137" s="52">
        <f>IF(D137="",0,IF(G137="Y",VLOOKUP(B137&amp;"|"&amp;D137,'[1]ETC Data'!$C$2:$D$16,2,FALSE),0))</f>
        <v>0</v>
      </c>
      <c r="G137" s="53" t="str">
        <f>IF(VLOOKUP(A137,[1]Plan!A$1:H$804,8,FALSE)&lt;&gt;"",VLOOKUP(A137,[1]Plan!A$1:H$804,8,FALSE),"")</f>
        <v>N</v>
      </c>
      <c r="H137" s="54" t="str">
        <f>IF(VLOOKUP(A137,[1]Plan!A$1:L$804,12,FALSE)&lt;&gt;"",VLOOKUP(A137,[1]Plan!A$1:L$804,12,FALSE),"")</f>
        <v/>
      </c>
      <c r="I137" s="55" t="str">
        <f>IF(VLOOKUP(A137,[1]Plan!A$1:M$804,13,FALSE)&lt;&gt;"",VLOOKUP(A137,[1]Plan!A$1:M$804,13,FALSE),"")</f>
        <v/>
      </c>
      <c r="J137" s="55" t="str">
        <f>IF(VLOOKUP(A137,[1]Plan!A$1:N$804,14,FALSE)&lt;&gt;"",VLOOKUP(A137,[1]Plan!A$1:N$804,14,FALSE),IF(VLOOKUP(A137,[1]Plan!A$1:O$804,15,FALSE)&lt;&gt;"",VLOOKUP(A137,[1]Plan!A$1:O$804,15,FALSE),""))</f>
        <v/>
      </c>
      <c r="K137" s="56" t="str">
        <f>IF(VLOOKUP(A137,[1]Plan!A$1:P$804,16,FALSE)&lt;&gt;"",VLOOKUP(A137,[1]Plan!A$1:P$804,16,FALSE),"")</f>
        <v/>
      </c>
      <c r="L137" s="55"/>
      <c r="M137" s="55"/>
      <c r="N137" s="55"/>
      <c r="O137" s="57">
        <f>IF(F137=0,E137,F137)</f>
        <v>0</v>
      </c>
      <c r="P137" s="57" t="b">
        <f>OR(H137="Y",I137="Y")</f>
        <v>0</v>
      </c>
      <c r="Q137" s="58">
        <f>IF(P137,O137*'[1]ETC Data'!$H$3*'[1]ETC Data'!$I$3,0)</f>
        <v>0</v>
      </c>
      <c r="R137" s="58">
        <f>Q137-(Q137*((VLOOKUP(A137,[1]Plan!A$1:Z$804,26,FALSE)/100)))</f>
        <v>0</v>
      </c>
      <c r="S137" s="58">
        <f>IF(P137,O137*'[1]ETC Data'!$H$3*'[1]ETC Data'!$J$3,0)</f>
        <v>0</v>
      </c>
      <c r="T137" s="58">
        <f>S137-(S137*((VLOOKUP(A137,[1]Plan!A$1:AA$804,27,FALSE)/100)))</f>
        <v>0</v>
      </c>
      <c r="U137" s="58">
        <f>IF(P137,O137*'[1]ETC Data'!$H$3*'[1]ETC Data'!$K$3,0)</f>
        <v>0</v>
      </c>
      <c r="V137" s="58">
        <f>U137-(U137*((VLOOKUP(A137,[1]Plan!A$1:AB$804,28,FALSE)/100)))</f>
        <v>0</v>
      </c>
      <c r="W137" s="58">
        <f>IF(P137,O137*'[1]ETC Data'!$H$3*'[1]ETC Data'!$L$3,0)</f>
        <v>0</v>
      </c>
      <c r="X137" s="58">
        <f>W137-(W137*((VLOOKUP(A137,[1]Plan!A$1:AC$804,29,FALSE)/100)))</f>
        <v>0</v>
      </c>
      <c r="Y137" s="59"/>
      <c r="Z137" s="60" t="b">
        <f>OR(H137="Y",J137="Y")</f>
        <v>0</v>
      </c>
      <c r="AA137" s="58">
        <f>IF(Z137,O137*'[1]ETC Data'!$H$4*'[1]ETC Data'!$I$4,0)</f>
        <v>0</v>
      </c>
      <c r="AB137" s="58">
        <f>AA137-(AA137*((VLOOKUP(A137,[1]Plan!A$1:AI$804,35,FALSE)/100)))</f>
        <v>0</v>
      </c>
      <c r="AC137" s="58">
        <f>IF(Z137,O137*'[1]ETC Data'!$H$4*'[1]ETC Data'!$J$4,0)</f>
        <v>0</v>
      </c>
      <c r="AD137" s="58">
        <f>AC137-(AC137*((VLOOKUP(A137,[1]Plan!A$1:AJ$804,36,FALSE)/100)))</f>
        <v>0</v>
      </c>
      <c r="AE137" s="58">
        <f>IF(Z137,O137*'[1]ETC Data'!$H$4*'[1]ETC Data'!$K$4,0)</f>
        <v>0</v>
      </c>
      <c r="AF137" s="58">
        <f>AE137-(AE137*((VLOOKUP(A137,[1]Plan!A$1:AK$804,37,FALSE)/100)))</f>
        <v>0</v>
      </c>
      <c r="AG137" s="58">
        <f>IF(Z137,O137*'[1]ETC Data'!$H$4*'[1]ETC Data'!$L$4,0)</f>
        <v>0</v>
      </c>
      <c r="AH137" s="58">
        <f>AG137-(AG137*((VLOOKUP(A137,[1]Plan!A$1:AP$804,42,FALSE)/100)))</f>
        <v>0</v>
      </c>
      <c r="AI137" s="60"/>
      <c r="AJ137" s="60" t="b">
        <f>OR(H137="Y",K137="Y")</f>
        <v>0</v>
      </c>
      <c r="AK137" s="61">
        <f>IF(AJ137,O137*'[1]ETC Data'!$H$5*'[1]ETC Data'!$I$5,0)</f>
        <v>0</v>
      </c>
      <c r="AL137" s="58">
        <f>AK137-(AK137*((VLOOKUP(A137,[1]Plan!A$1:AY$804,51,FALSE)/100)))</f>
        <v>0</v>
      </c>
      <c r="AM137" s="58">
        <f>IF(AJ137,O137*'[1]ETC Data'!$H$5*'[1]ETC Data'!$J$5,0)</f>
        <v>0</v>
      </c>
      <c r="AN137" s="58">
        <f>AM137-(AM137*((VLOOKUP(A137,[1]Plan!A$1:BA$804,53,FALSE)/100)))</f>
        <v>0</v>
      </c>
      <c r="AO137" s="61">
        <f>IF(AJ137,O137*'[1]ETC Data'!$H$5*'[1]ETC Data'!$K$5,0)</f>
        <v>0</v>
      </c>
      <c r="AP137" s="58">
        <f>AO137-(AO137*((VLOOKUP(A137,[1]Plan!A$1:BB$804,54,FALSE)/100)))</f>
        <v>0</v>
      </c>
      <c r="AQ137" s="58">
        <f>IF(AJ137,O137*'[1]ETC Data'!$H$5*'[1]ETC Data'!$L$5,0)</f>
        <v>0</v>
      </c>
      <c r="AR137" s="58">
        <f>AQ137-(AQ137*((VLOOKUP(A137,[1]Plan!A$1:BD$804,56,FALSE)/100)))</f>
        <v>0</v>
      </c>
      <c r="AS137" s="20">
        <f>VLOOKUP(A137,'[1]PR Matrix'!A:B,2,FALSE)</f>
        <v>0</v>
      </c>
      <c r="AT137" s="21">
        <f>R137+T137+V137+X137+AB137+AD137+AF137+AH137+AL137+AN137+AP137+AR137</f>
        <v>0</v>
      </c>
      <c r="AU137" s="21">
        <f>Q137+S137+U137+W137+AA137+AC137+AE137+AG137+AK137+AM137+AO137+AQ137</f>
        <v>0</v>
      </c>
      <c r="AV137" s="21">
        <f>R137+AB137+AL137</f>
        <v>0</v>
      </c>
      <c r="AW137" s="21">
        <f>T137+AD137+AN137</f>
        <v>0</v>
      </c>
      <c r="AX137" s="21">
        <f>V137+AF137+AP137</f>
        <v>0</v>
      </c>
      <c r="AY137" s="21">
        <f>X137+AH137+AR137</f>
        <v>0</v>
      </c>
    </row>
    <row r="138" spans="1:51" hidden="1" x14ac:dyDescent="0.2">
      <c r="A138" s="50" t="s">
        <v>345</v>
      </c>
      <c r="B138" s="51" t="s">
        <v>209</v>
      </c>
      <c r="C138" s="51"/>
      <c r="D138" s="51"/>
      <c r="E138" s="52">
        <f>IF(G138="Y",VLOOKUP(B138&amp;"|"&amp;C138,'[1]ETC Data'!$C$2:$D$16,2,FALSE),0)</f>
        <v>0</v>
      </c>
      <c r="F138" s="52">
        <f>IF(D138="",0,IF(G138="Y",VLOOKUP(B138&amp;"|"&amp;D138,'[1]ETC Data'!$C$2:$D$16,2,FALSE),0))</f>
        <v>0</v>
      </c>
      <c r="G138" s="53" t="str">
        <f>IF(VLOOKUP(A138,[1]Plan!A$1:H$804,8,FALSE)&lt;&gt;"",VLOOKUP(A138,[1]Plan!A$1:H$804,8,FALSE),"")</f>
        <v>N</v>
      </c>
      <c r="H138" s="54" t="str">
        <f>IF(VLOOKUP(A138,[1]Plan!A$1:L$804,12,FALSE)&lt;&gt;"",VLOOKUP(A138,[1]Plan!A$1:L$804,12,FALSE),"")</f>
        <v/>
      </c>
      <c r="I138" s="55" t="str">
        <f>IF(VLOOKUP(A138,[1]Plan!A$1:M$804,13,FALSE)&lt;&gt;"",VLOOKUP(A138,[1]Plan!A$1:M$804,13,FALSE),"")</f>
        <v/>
      </c>
      <c r="J138" s="55" t="str">
        <f>IF(VLOOKUP(A138,[1]Plan!A$1:N$804,14,FALSE)&lt;&gt;"",VLOOKUP(A138,[1]Plan!A$1:N$804,14,FALSE),IF(VLOOKUP(A138,[1]Plan!A$1:O$804,15,FALSE)&lt;&gt;"",VLOOKUP(A138,[1]Plan!A$1:O$804,15,FALSE),""))</f>
        <v/>
      </c>
      <c r="K138" s="56" t="str">
        <f>IF(VLOOKUP(A138,[1]Plan!A$1:P$804,16,FALSE)&lt;&gt;"",VLOOKUP(A138,[1]Plan!A$1:P$804,16,FALSE),"")</f>
        <v/>
      </c>
      <c r="L138" s="55"/>
      <c r="M138" s="55"/>
      <c r="N138" s="55"/>
      <c r="O138" s="57">
        <f>IF(F138=0,E138,F138)</f>
        <v>0</v>
      </c>
      <c r="P138" s="57" t="b">
        <f>OR(H138="Y",I138="Y")</f>
        <v>0</v>
      </c>
      <c r="Q138" s="58">
        <f>IF(P138,O138*'[1]ETC Data'!$H$3*'[1]ETC Data'!$I$3,0)</f>
        <v>0</v>
      </c>
      <c r="R138" s="58">
        <f>Q138-(Q138*((VLOOKUP(A138,[1]Plan!A$1:Z$804,26,FALSE)/100)))</f>
        <v>0</v>
      </c>
      <c r="S138" s="58">
        <f>IF(P138,O138*'[1]ETC Data'!$H$3*'[1]ETC Data'!$J$3,0)</f>
        <v>0</v>
      </c>
      <c r="T138" s="58">
        <f>S138-(S138*((VLOOKUP(A138,[1]Plan!A$1:AA$804,27,FALSE)/100)))</f>
        <v>0</v>
      </c>
      <c r="U138" s="58">
        <f>IF(P138,O138*'[1]ETC Data'!$H$3*'[1]ETC Data'!$K$3,0)</f>
        <v>0</v>
      </c>
      <c r="V138" s="58">
        <f>U138-(U138*((VLOOKUP(A138,[1]Plan!A$1:AB$804,28,FALSE)/100)))</f>
        <v>0</v>
      </c>
      <c r="W138" s="58">
        <f>IF(P138,O138*'[1]ETC Data'!$H$3*'[1]ETC Data'!$L$3,0)</f>
        <v>0</v>
      </c>
      <c r="X138" s="58">
        <f>W138-(W138*((VLOOKUP(A138,[1]Plan!A$1:AC$804,29,FALSE)/100)))</f>
        <v>0</v>
      </c>
      <c r="Y138" s="59"/>
      <c r="Z138" s="60" t="b">
        <f>OR(H138="Y",J138="Y")</f>
        <v>0</v>
      </c>
      <c r="AA138" s="58">
        <f>IF(Z138,O138*'[1]ETC Data'!$H$4*'[1]ETC Data'!$I$4,0)</f>
        <v>0</v>
      </c>
      <c r="AB138" s="58">
        <f>AA138-(AA138*((VLOOKUP(A138,[1]Plan!A$1:AI$804,35,FALSE)/100)))</f>
        <v>0</v>
      </c>
      <c r="AC138" s="58">
        <f>IF(Z138,O138*'[1]ETC Data'!$H$4*'[1]ETC Data'!$J$4,0)</f>
        <v>0</v>
      </c>
      <c r="AD138" s="58">
        <f>AC138-(AC138*((VLOOKUP(A138,[1]Plan!A$1:AJ$804,36,FALSE)/100)))</f>
        <v>0</v>
      </c>
      <c r="AE138" s="58">
        <f>IF(Z138,O138*'[1]ETC Data'!$H$4*'[1]ETC Data'!$K$4,0)</f>
        <v>0</v>
      </c>
      <c r="AF138" s="58">
        <f>AE138-(AE138*((VLOOKUP(A138,[1]Plan!A$1:AK$804,37,FALSE)/100)))</f>
        <v>0</v>
      </c>
      <c r="AG138" s="58">
        <f>IF(Z138,O138*'[1]ETC Data'!$H$4*'[1]ETC Data'!$L$4,0)</f>
        <v>0</v>
      </c>
      <c r="AH138" s="58">
        <f>AG138-(AG138*((VLOOKUP(A138,[1]Plan!A$1:AP$804,42,FALSE)/100)))</f>
        <v>0</v>
      </c>
      <c r="AI138" s="60"/>
      <c r="AJ138" s="60" t="b">
        <f>OR(H138="Y",K138="Y")</f>
        <v>0</v>
      </c>
      <c r="AK138" s="61">
        <f>IF(AJ138,O138*'[1]ETC Data'!$H$5*'[1]ETC Data'!$I$5,0)</f>
        <v>0</v>
      </c>
      <c r="AL138" s="58">
        <f>AK138-(AK138*((VLOOKUP(A138,[1]Plan!A$1:AY$804,51,FALSE)/100)))</f>
        <v>0</v>
      </c>
      <c r="AM138" s="58">
        <f>IF(AJ138,O138*'[1]ETC Data'!$H$5*'[1]ETC Data'!$J$5,0)</f>
        <v>0</v>
      </c>
      <c r="AN138" s="58">
        <f>AM138-(AM138*((VLOOKUP(A138,[1]Plan!A$1:BA$804,53,FALSE)/100)))</f>
        <v>0</v>
      </c>
      <c r="AO138" s="61">
        <f>IF(AJ138,O138*'[1]ETC Data'!$H$5*'[1]ETC Data'!$K$5,0)</f>
        <v>0</v>
      </c>
      <c r="AP138" s="58">
        <f>AO138-(AO138*((VLOOKUP(A138,[1]Plan!A$1:BB$804,54,FALSE)/100)))</f>
        <v>0</v>
      </c>
      <c r="AQ138" s="58">
        <f>IF(AJ138,O138*'[1]ETC Data'!$H$5*'[1]ETC Data'!$L$5,0)</f>
        <v>0</v>
      </c>
      <c r="AR138" s="58">
        <f>AQ138-(AQ138*((VLOOKUP(A138,[1]Plan!A$1:BD$804,56,FALSE)/100)))</f>
        <v>0</v>
      </c>
      <c r="AS138" s="20">
        <f>VLOOKUP(A138,'[1]PR Matrix'!A:B,2,FALSE)</f>
        <v>0</v>
      </c>
      <c r="AT138" s="21">
        <f>R138+T138+V138+X138+AB138+AD138+AF138+AH138+AL138+AN138+AP138+AR138</f>
        <v>0</v>
      </c>
      <c r="AU138" s="21">
        <f>Q138+S138+U138+W138+AA138+AC138+AE138+AG138+AK138+AM138+AO138+AQ138</f>
        <v>0</v>
      </c>
      <c r="AV138" s="21">
        <f>R138+AB138+AL138</f>
        <v>0</v>
      </c>
      <c r="AW138" s="21">
        <f>T138+AD138+AN138</f>
        <v>0</v>
      </c>
      <c r="AX138" s="21">
        <f>V138+AF138+AP138</f>
        <v>0</v>
      </c>
      <c r="AY138" s="21">
        <f>X138+AH138+AR138</f>
        <v>0</v>
      </c>
    </row>
    <row r="139" spans="1:51" hidden="1" x14ac:dyDescent="0.2">
      <c r="A139" s="50" t="s">
        <v>346</v>
      </c>
      <c r="B139" s="51" t="s">
        <v>209</v>
      </c>
      <c r="C139" s="51"/>
      <c r="D139" s="51"/>
      <c r="E139" s="52">
        <f>IF(G139="Y",VLOOKUP(B139&amp;"|"&amp;C139,'[1]ETC Data'!$C$2:$D$16,2,FALSE),0)</f>
        <v>0</v>
      </c>
      <c r="F139" s="52">
        <f>IF(D139="",0,IF(G139="Y",VLOOKUP(B139&amp;"|"&amp;D139,'[1]ETC Data'!$C$2:$D$16,2,FALSE),0))</f>
        <v>0</v>
      </c>
      <c r="G139" s="53" t="str">
        <f>IF(VLOOKUP(A139,[1]Plan!A$1:H$804,8,FALSE)&lt;&gt;"",VLOOKUP(A139,[1]Plan!A$1:H$804,8,FALSE),"")</f>
        <v>N</v>
      </c>
      <c r="H139" s="54" t="str">
        <f>IF(VLOOKUP(A139,[1]Plan!A$1:L$804,12,FALSE)&lt;&gt;"",VLOOKUP(A139,[1]Plan!A$1:L$804,12,FALSE),"")</f>
        <v/>
      </c>
      <c r="I139" s="55" t="str">
        <f>IF(VLOOKUP(A139,[1]Plan!A$1:M$804,13,FALSE)&lt;&gt;"",VLOOKUP(A139,[1]Plan!A$1:M$804,13,FALSE),"")</f>
        <v/>
      </c>
      <c r="J139" s="55" t="str">
        <f>IF(VLOOKUP(A139,[1]Plan!A$1:N$804,14,FALSE)&lt;&gt;"",VLOOKUP(A139,[1]Plan!A$1:N$804,14,FALSE),IF(VLOOKUP(A139,[1]Plan!A$1:O$804,15,FALSE)&lt;&gt;"",VLOOKUP(A139,[1]Plan!A$1:O$804,15,FALSE),""))</f>
        <v/>
      </c>
      <c r="K139" s="56" t="str">
        <f>IF(VLOOKUP(A139,[1]Plan!A$1:P$804,16,FALSE)&lt;&gt;"",VLOOKUP(A139,[1]Plan!A$1:P$804,16,FALSE),"")</f>
        <v/>
      </c>
      <c r="L139" s="55"/>
      <c r="M139" s="55"/>
      <c r="N139" s="55"/>
      <c r="O139" s="57">
        <f>IF(F139=0,E139,F139)</f>
        <v>0</v>
      </c>
      <c r="P139" s="57" t="b">
        <f>OR(H139="Y",I139="Y")</f>
        <v>0</v>
      </c>
      <c r="Q139" s="58">
        <f>IF(P139,O139*'[1]ETC Data'!$H$3*'[1]ETC Data'!$I$3,0)</f>
        <v>0</v>
      </c>
      <c r="R139" s="58">
        <f>Q139-(Q139*((VLOOKUP(A139,[1]Plan!A$1:Z$804,26,FALSE)/100)))</f>
        <v>0</v>
      </c>
      <c r="S139" s="58">
        <f>IF(P139,O139*'[1]ETC Data'!$H$3*'[1]ETC Data'!$J$3,0)</f>
        <v>0</v>
      </c>
      <c r="T139" s="58">
        <f>S139-(S139*((VLOOKUP(A139,[1]Plan!A$1:AA$804,27,FALSE)/100)))</f>
        <v>0</v>
      </c>
      <c r="U139" s="58">
        <f>IF(P139,O139*'[1]ETC Data'!$H$3*'[1]ETC Data'!$K$3,0)</f>
        <v>0</v>
      </c>
      <c r="V139" s="58">
        <f>U139-(U139*((VLOOKUP(A139,[1]Plan!A$1:AB$804,28,FALSE)/100)))</f>
        <v>0</v>
      </c>
      <c r="W139" s="58">
        <f>IF(P139,O139*'[1]ETC Data'!$H$3*'[1]ETC Data'!$L$3,0)</f>
        <v>0</v>
      </c>
      <c r="X139" s="58">
        <f>W139-(W139*((VLOOKUP(A139,[1]Plan!A$1:AC$804,29,FALSE)/100)))</f>
        <v>0</v>
      </c>
      <c r="Y139" s="59"/>
      <c r="Z139" s="60" t="b">
        <f>OR(H139="Y",J139="Y")</f>
        <v>0</v>
      </c>
      <c r="AA139" s="58">
        <f>IF(Z139,O139*'[1]ETC Data'!$H$4*'[1]ETC Data'!$I$4,0)</f>
        <v>0</v>
      </c>
      <c r="AB139" s="58">
        <f>AA139-(AA139*((VLOOKUP(A139,[1]Plan!A$1:AI$804,35,FALSE)/100)))</f>
        <v>0</v>
      </c>
      <c r="AC139" s="58">
        <f>IF(Z139,O139*'[1]ETC Data'!$H$4*'[1]ETC Data'!$J$4,0)</f>
        <v>0</v>
      </c>
      <c r="AD139" s="58">
        <f>AC139-(AC139*((VLOOKUP(A139,[1]Plan!A$1:AJ$804,36,FALSE)/100)))</f>
        <v>0</v>
      </c>
      <c r="AE139" s="58">
        <f>IF(Z139,O139*'[1]ETC Data'!$H$4*'[1]ETC Data'!$K$4,0)</f>
        <v>0</v>
      </c>
      <c r="AF139" s="58">
        <f>AE139-(AE139*((VLOOKUP(A139,[1]Plan!A$1:AK$804,37,FALSE)/100)))</f>
        <v>0</v>
      </c>
      <c r="AG139" s="58">
        <f>IF(Z139,O139*'[1]ETC Data'!$H$4*'[1]ETC Data'!$L$4,0)</f>
        <v>0</v>
      </c>
      <c r="AH139" s="58">
        <f>AG139-(AG139*((VLOOKUP(A139,[1]Plan!A$1:AP$804,42,FALSE)/100)))</f>
        <v>0</v>
      </c>
      <c r="AI139" s="60"/>
      <c r="AJ139" s="60" t="b">
        <f>OR(H139="Y",K139="Y")</f>
        <v>0</v>
      </c>
      <c r="AK139" s="61">
        <f>IF(AJ139,O139*'[1]ETC Data'!$H$5*'[1]ETC Data'!$I$5,0)</f>
        <v>0</v>
      </c>
      <c r="AL139" s="58">
        <f>AK139-(AK139*((VLOOKUP(A139,[1]Plan!A$1:AY$804,51,FALSE)/100)))</f>
        <v>0</v>
      </c>
      <c r="AM139" s="58">
        <f>IF(AJ139,O139*'[1]ETC Data'!$H$5*'[1]ETC Data'!$J$5,0)</f>
        <v>0</v>
      </c>
      <c r="AN139" s="58">
        <f>AM139-(AM139*((VLOOKUP(A139,[1]Plan!A$1:BA$804,53,FALSE)/100)))</f>
        <v>0</v>
      </c>
      <c r="AO139" s="61">
        <f>IF(AJ139,O139*'[1]ETC Data'!$H$5*'[1]ETC Data'!$K$5,0)</f>
        <v>0</v>
      </c>
      <c r="AP139" s="58">
        <f>AO139-(AO139*((VLOOKUP(A139,[1]Plan!A$1:BB$804,54,FALSE)/100)))</f>
        <v>0</v>
      </c>
      <c r="AQ139" s="58">
        <f>IF(AJ139,O139*'[1]ETC Data'!$H$5*'[1]ETC Data'!$L$5,0)</f>
        <v>0</v>
      </c>
      <c r="AR139" s="58">
        <f>AQ139-(AQ139*((VLOOKUP(A139,[1]Plan!A$1:BD$804,56,FALSE)/100)))</f>
        <v>0</v>
      </c>
      <c r="AS139" s="20">
        <f>VLOOKUP(A139,'[1]PR Matrix'!A:B,2,FALSE)</f>
        <v>0</v>
      </c>
      <c r="AT139" s="21">
        <f>R139+T139+V139+X139+AB139+AD139+AF139+AH139+AL139+AN139+AP139+AR139</f>
        <v>0</v>
      </c>
      <c r="AU139" s="21">
        <f>Q139+S139+U139+W139+AA139+AC139+AE139+AG139+AK139+AM139+AO139+AQ139</f>
        <v>0</v>
      </c>
      <c r="AV139" s="21">
        <f>R139+AB139+AL139</f>
        <v>0</v>
      </c>
      <c r="AW139" s="21">
        <f>T139+AD139+AN139</f>
        <v>0</v>
      </c>
      <c r="AX139" s="21">
        <f>V139+AF139+AP139</f>
        <v>0</v>
      </c>
      <c r="AY139" s="21">
        <f>X139+AH139+AR139</f>
        <v>0</v>
      </c>
    </row>
    <row r="140" spans="1:51" hidden="1" x14ac:dyDescent="0.2">
      <c r="A140" s="50" t="s">
        <v>347</v>
      </c>
      <c r="B140" s="51" t="s">
        <v>208</v>
      </c>
      <c r="C140" s="51"/>
      <c r="D140" s="51"/>
      <c r="E140" s="52">
        <f>IF(G140="Y",VLOOKUP(B140&amp;"|"&amp;C140,'[1]ETC Data'!$C$2:$D$16,2,FALSE),0)</f>
        <v>0</v>
      </c>
      <c r="F140" s="52">
        <f>IF(D140="",0,IF(G140="Y",VLOOKUP(B140&amp;"|"&amp;D140,'[1]ETC Data'!$C$2:$D$16,2,FALSE),0))</f>
        <v>0</v>
      </c>
      <c r="G140" s="53" t="str">
        <f>IF(VLOOKUP(A140,[1]Plan!A$1:H$804,8,FALSE)&lt;&gt;"",VLOOKUP(A140,[1]Plan!A$1:H$804,8,FALSE),"")</f>
        <v>N</v>
      </c>
      <c r="H140" s="54" t="str">
        <f>IF(VLOOKUP(A140,[1]Plan!A$1:L$804,12,FALSE)&lt;&gt;"",VLOOKUP(A140,[1]Plan!A$1:L$804,12,FALSE),"")</f>
        <v/>
      </c>
      <c r="I140" s="55" t="str">
        <f>IF(VLOOKUP(A140,[1]Plan!A$1:M$804,13,FALSE)&lt;&gt;"",VLOOKUP(A140,[1]Plan!A$1:M$804,13,FALSE),"")</f>
        <v/>
      </c>
      <c r="J140" s="55" t="str">
        <f>IF(VLOOKUP(A140,[1]Plan!A$1:N$804,14,FALSE)&lt;&gt;"",VLOOKUP(A140,[1]Plan!A$1:N$804,14,FALSE),IF(VLOOKUP(A140,[1]Plan!A$1:O$804,15,FALSE)&lt;&gt;"",VLOOKUP(A140,[1]Plan!A$1:O$804,15,FALSE),""))</f>
        <v/>
      </c>
      <c r="K140" s="56" t="str">
        <f>IF(VLOOKUP(A140,[1]Plan!A$1:P$804,16,FALSE)&lt;&gt;"",VLOOKUP(A140,[1]Plan!A$1:P$804,16,FALSE),"")</f>
        <v/>
      </c>
      <c r="L140" s="55"/>
      <c r="M140" s="55"/>
      <c r="N140" s="55"/>
      <c r="O140" s="57">
        <f>IF(F140=0,E140,F140)</f>
        <v>0</v>
      </c>
      <c r="P140" s="57" t="b">
        <f>OR(H140="Y",I140="Y")</f>
        <v>0</v>
      </c>
      <c r="Q140" s="58">
        <f>IF(P140,O140*'[1]ETC Data'!$H$3*'[1]ETC Data'!$I$3,0)</f>
        <v>0</v>
      </c>
      <c r="R140" s="58">
        <f>Q140-(Q140*((VLOOKUP(A140,[1]Plan!A$1:Z$804,26,FALSE)/100)))</f>
        <v>0</v>
      </c>
      <c r="S140" s="58">
        <f>IF(P140,O140*'[1]ETC Data'!$H$3*'[1]ETC Data'!$J$3,0)</f>
        <v>0</v>
      </c>
      <c r="T140" s="58">
        <f>S140-(S140*((VLOOKUP(A140,[1]Plan!A$1:AA$804,27,FALSE)/100)))</f>
        <v>0</v>
      </c>
      <c r="U140" s="58">
        <f>IF(P140,O140*'[1]ETC Data'!$H$3*'[1]ETC Data'!$K$3,0)</f>
        <v>0</v>
      </c>
      <c r="V140" s="58">
        <f>U140-(U140*((VLOOKUP(A140,[1]Plan!A$1:AB$804,28,FALSE)/100)))</f>
        <v>0</v>
      </c>
      <c r="W140" s="58">
        <f>IF(P140,O140*'[1]ETC Data'!$H$3*'[1]ETC Data'!$L$3,0)</f>
        <v>0</v>
      </c>
      <c r="X140" s="58">
        <f>W140-(W140*((VLOOKUP(A140,[1]Plan!A$1:AC$804,29,FALSE)/100)))</f>
        <v>0</v>
      </c>
      <c r="Y140" s="59"/>
      <c r="Z140" s="60" t="b">
        <f>OR(H140="Y",J140="Y")</f>
        <v>0</v>
      </c>
      <c r="AA140" s="58">
        <f>IF(Z140,O140*'[1]ETC Data'!$H$4*'[1]ETC Data'!$I$4,0)</f>
        <v>0</v>
      </c>
      <c r="AB140" s="58">
        <f>AA140-(AA140*((VLOOKUP(A140,[1]Plan!A$1:AI$804,35,FALSE)/100)))</f>
        <v>0</v>
      </c>
      <c r="AC140" s="58">
        <f>IF(Z140,O140*'[1]ETC Data'!$H$4*'[1]ETC Data'!$J$4,0)</f>
        <v>0</v>
      </c>
      <c r="AD140" s="58">
        <f>AC140-(AC140*((VLOOKUP(A140,[1]Plan!A$1:AJ$804,36,FALSE)/100)))</f>
        <v>0</v>
      </c>
      <c r="AE140" s="58">
        <f>IF(Z140,O140*'[1]ETC Data'!$H$4*'[1]ETC Data'!$K$4,0)</f>
        <v>0</v>
      </c>
      <c r="AF140" s="58">
        <f>AE140-(AE140*((VLOOKUP(A140,[1]Plan!A$1:AK$804,37,FALSE)/100)))</f>
        <v>0</v>
      </c>
      <c r="AG140" s="58">
        <f>IF(Z140,O140*'[1]ETC Data'!$H$4*'[1]ETC Data'!$L$4,0)</f>
        <v>0</v>
      </c>
      <c r="AH140" s="58">
        <f>AG140-(AG140*((VLOOKUP(A140,[1]Plan!A$1:AP$804,42,FALSE)/100)))</f>
        <v>0</v>
      </c>
      <c r="AI140" s="60"/>
      <c r="AJ140" s="60" t="b">
        <f>OR(H140="Y",K140="Y")</f>
        <v>0</v>
      </c>
      <c r="AK140" s="61">
        <f>IF(AJ140,O140*'[1]ETC Data'!$H$5*'[1]ETC Data'!$I$5,0)</f>
        <v>0</v>
      </c>
      <c r="AL140" s="58">
        <f>AK140-(AK140*((VLOOKUP(A140,[1]Plan!A$1:AY$804,51,FALSE)/100)))</f>
        <v>0</v>
      </c>
      <c r="AM140" s="58">
        <f>IF(AJ140,O140*'[1]ETC Data'!$H$5*'[1]ETC Data'!$J$5,0)</f>
        <v>0</v>
      </c>
      <c r="AN140" s="58">
        <f>AM140-(AM140*((VLOOKUP(A140,[1]Plan!A$1:BA$804,53,FALSE)/100)))</f>
        <v>0</v>
      </c>
      <c r="AO140" s="61">
        <f>IF(AJ140,O140*'[1]ETC Data'!$H$5*'[1]ETC Data'!$K$5,0)</f>
        <v>0</v>
      </c>
      <c r="AP140" s="58">
        <f>AO140-(AO140*((VLOOKUP(A140,[1]Plan!A$1:BB$804,54,FALSE)/100)))</f>
        <v>0</v>
      </c>
      <c r="AQ140" s="58">
        <f>IF(AJ140,O140*'[1]ETC Data'!$H$5*'[1]ETC Data'!$L$5,0)</f>
        <v>0</v>
      </c>
      <c r="AR140" s="58">
        <f>AQ140-(AQ140*((VLOOKUP(A140,[1]Plan!A$1:BD$804,56,FALSE)/100)))</f>
        <v>0</v>
      </c>
      <c r="AS140" s="20">
        <f>VLOOKUP(A140,'[1]PR Matrix'!A:B,2,FALSE)</f>
        <v>0</v>
      </c>
      <c r="AT140" s="21">
        <f>R140+T140+V140+X140+AB140+AD140+AF140+AH140+AL140+AN140+AP140+AR140</f>
        <v>0</v>
      </c>
      <c r="AU140" s="21">
        <f>Q140+S140+U140+W140+AA140+AC140+AE140+AG140+AK140+AM140+AO140+AQ140</f>
        <v>0</v>
      </c>
      <c r="AV140" s="21">
        <f>R140+AB140+AL140</f>
        <v>0</v>
      </c>
      <c r="AW140" s="21">
        <f>T140+AD140+AN140</f>
        <v>0</v>
      </c>
      <c r="AX140" s="21">
        <f>V140+AF140+AP140</f>
        <v>0</v>
      </c>
      <c r="AY140" s="21">
        <f>X140+AH140+AR140</f>
        <v>0</v>
      </c>
    </row>
    <row r="141" spans="1:51" hidden="1" x14ac:dyDescent="0.2">
      <c r="A141" s="50" t="s">
        <v>348</v>
      </c>
      <c r="B141" s="51" t="s">
        <v>208</v>
      </c>
      <c r="C141" s="51"/>
      <c r="D141" s="51"/>
      <c r="E141" s="52">
        <f>IF(G141="Y",VLOOKUP(B141&amp;"|"&amp;C141,'[1]ETC Data'!$C$2:$D$16,2,FALSE),0)</f>
        <v>0</v>
      </c>
      <c r="F141" s="52">
        <f>IF(D141="",0,IF(G141="Y",VLOOKUP(B141&amp;"|"&amp;D141,'[1]ETC Data'!$C$2:$D$16,2,FALSE),0))</f>
        <v>0</v>
      </c>
      <c r="G141" s="53" t="str">
        <f>IF(VLOOKUP(A141,[1]Plan!A$1:H$804,8,FALSE)&lt;&gt;"",VLOOKUP(A141,[1]Plan!A$1:H$804,8,FALSE),"")</f>
        <v>N</v>
      </c>
      <c r="H141" s="54" t="str">
        <f>IF(VLOOKUP(A141,[1]Plan!A$1:L$804,12,FALSE)&lt;&gt;"",VLOOKUP(A141,[1]Plan!A$1:L$804,12,FALSE),"")</f>
        <v/>
      </c>
      <c r="I141" s="55" t="str">
        <f>IF(VLOOKUP(A141,[1]Plan!A$1:M$804,13,FALSE)&lt;&gt;"",VLOOKUP(A141,[1]Plan!A$1:M$804,13,FALSE),"")</f>
        <v/>
      </c>
      <c r="J141" s="55" t="str">
        <f>IF(VLOOKUP(A141,[1]Plan!A$1:N$804,14,FALSE)&lt;&gt;"",VLOOKUP(A141,[1]Plan!A$1:N$804,14,FALSE),IF(VLOOKUP(A141,[1]Plan!A$1:O$804,15,FALSE)&lt;&gt;"",VLOOKUP(A141,[1]Plan!A$1:O$804,15,FALSE),""))</f>
        <v/>
      </c>
      <c r="K141" s="56" t="str">
        <f>IF(VLOOKUP(A141,[1]Plan!A$1:P$804,16,FALSE)&lt;&gt;"",VLOOKUP(A141,[1]Plan!A$1:P$804,16,FALSE),"")</f>
        <v/>
      </c>
      <c r="L141" s="55"/>
      <c r="M141" s="55"/>
      <c r="N141" s="55"/>
      <c r="O141" s="57">
        <f>IF(F141=0,E141,F141)</f>
        <v>0</v>
      </c>
      <c r="P141" s="57" t="b">
        <f>OR(H141="Y",I141="Y")</f>
        <v>0</v>
      </c>
      <c r="Q141" s="58">
        <f>IF(P141,O141*'[1]ETC Data'!$H$3*'[1]ETC Data'!$I$3,0)</f>
        <v>0</v>
      </c>
      <c r="R141" s="58">
        <f>Q141-(Q141*((VLOOKUP(A141,[1]Plan!A$1:Z$804,26,FALSE)/100)))</f>
        <v>0</v>
      </c>
      <c r="S141" s="58">
        <f>IF(P141,O141*'[1]ETC Data'!$H$3*'[1]ETC Data'!$J$3,0)</f>
        <v>0</v>
      </c>
      <c r="T141" s="58">
        <f>S141-(S141*((VLOOKUP(A141,[1]Plan!A$1:AA$804,27,FALSE)/100)))</f>
        <v>0</v>
      </c>
      <c r="U141" s="58">
        <f>IF(P141,O141*'[1]ETC Data'!$H$3*'[1]ETC Data'!$K$3,0)</f>
        <v>0</v>
      </c>
      <c r="V141" s="58">
        <f>U141-(U141*((VLOOKUP(A141,[1]Plan!A$1:AB$804,28,FALSE)/100)))</f>
        <v>0</v>
      </c>
      <c r="W141" s="58">
        <f>IF(P141,O141*'[1]ETC Data'!$H$3*'[1]ETC Data'!$L$3,0)</f>
        <v>0</v>
      </c>
      <c r="X141" s="58">
        <f>W141-(W141*((VLOOKUP(A141,[1]Plan!A$1:AC$804,29,FALSE)/100)))</f>
        <v>0</v>
      </c>
      <c r="Y141" s="59"/>
      <c r="Z141" s="60" t="b">
        <f>OR(H141="Y",J141="Y")</f>
        <v>0</v>
      </c>
      <c r="AA141" s="58">
        <f>IF(Z141,O141*'[1]ETC Data'!$H$4*'[1]ETC Data'!$I$4,0)</f>
        <v>0</v>
      </c>
      <c r="AB141" s="58">
        <f>AA141-(AA141*((VLOOKUP(A141,[1]Plan!A$1:AI$804,35,FALSE)/100)))</f>
        <v>0</v>
      </c>
      <c r="AC141" s="58">
        <f>IF(Z141,O141*'[1]ETC Data'!$H$4*'[1]ETC Data'!$J$4,0)</f>
        <v>0</v>
      </c>
      <c r="AD141" s="58">
        <f>AC141-(AC141*((VLOOKUP(A141,[1]Plan!A$1:AJ$804,36,FALSE)/100)))</f>
        <v>0</v>
      </c>
      <c r="AE141" s="58">
        <f>IF(Z141,O141*'[1]ETC Data'!$H$4*'[1]ETC Data'!$K$4,0)</f>
        <v>0</v>
      </c>
      <c r="AF141" s="58">
        <f>AE141-(AE141*((VLOOKUP(A141,[1]Plan!A$1:AK$804,37,FALSE)/100)))</f>
        <v>0</v>
      </c>
      <c r="AG141" s="58">
        <f>IF(Z141,O141*'[1]ETC Data'!$H$4*'[1]ETC Data'!$L$4,0)</f>
        <v>0</v>
      </c>
      <c r="AH141" s="58">
        <f>AG141-(AG141*((VLOOKUP(A141,[1]Plan!A$1:AP$804,42,FALSE)/100)))</f>
        <v>0</v>
      </c>
      <c r="AI141" s="60"/>
      <c r="AJ141" s="60" t="b">
        <f>OR(H141="Y",K141="Y")</f>
        <v>0</v>
      </c>
      <c r="AK141" s="61">
        <f>IF(AJ141,O141*'[1]ETC Data'!$H$5*'[1]ETC Data'!$I$5,0)</f>
        <v>0</v>
      </c>
      <c r="AL141" s="58">
        <f>AK141-(AK141*((VLOOKUP(A141,[1]Plan!A$1:AY$804,51,FALSE)/100)))</f>
        <v>0</v>
      </c>
      <c r="AM141" s="58">
        <f>IF(AJ141,O141*'[1]ETC Data'!$H$5*'[1]ETC Data'!$J$5,0)</f>
        <v>0</v>
      </c>
      <c r="AN141" s="58">
        <f>AM141-(AM141*((VLOOKUP(A141,[1]Plan!A$1:BA$804,53,FALSE)/100)))</f>
        <v>0</v>
      </c>
      <c r="AO141" s="61">
        <f>IF(AJ141,O141*'[1]ETC Data'!$H$5*'[1]ETC Data'!$K$5,0)</f>
        <v>0</v>
      </c>
      <c r="AP141" s="58">
        <f>AO141-(AO141*((VLOOKUP(A141,[1]Plan!A$1:BB$804,54,FALSE)/100)))</f>
        <v>0</v>
      </c>
      <c r="AQ141" s="58">
        <f>IF(AJ141,O141*'[1]ETC Data'!$H$5*'[1]ETC Data'!$L$5,0)</f>
        <v>0</v>
      </c>
      <c r="AR141" s="58">
        <f>AQ141-(AQ141*((VLOOKUP(A141,[1]Plan!A$1:BD$804,56,FALSE)/100)))</f>
        <v>0</v>
      </c>
      <c r="AS141" s="20">
        <f>VLOOKUP(A141,'[1]PR Matrix'!A:B,2,FALSE)</f>
        <v>0</v>
      </c>
      <c r="AT141" s="21">
        <f>R141+T141+V141+X141+AB141+AD141+AF141+AH141+AL141+AN141+AP141+AR141</f>
        <v>0</v>
      </c>
      <c r="AU141" s="21">
        <f>Q141+S141+U141+W141+AA141+AC141+AE141+AG141+AK141+AM141+AO141+AQ141</f>
        <v>0</v>
      </c>
      <c r="AV141" s="21">
        <f>R141+AB141+AL141</f>
        <v>0</v>
      </c>
      <c r="AW141" s="21">
        <f>T141+AD141+AN141</f>
        <v>0</v>
      </c>
      <c r="AX141" s="21">
        <f>V141+AF141+AP141</f>
        <v>0</v>
      </c>
      <c r="AY141" s="21">
        <f>X141+AH141+AR141</f>
        <v>0</v>
      </c>
    </row>
    <row r="142" spans="1:51" hidden="1" x14ac:dyDescent="0.2">
      <c r="A142" s="69" t="s">
        <v>349</v>
      </c>
      <c r="B142" s="51" t="s">
        <v>208</v>
      </c>
      <c r="C142" s="51"/>
      <c r="D142" s="51"/>
      <c r="E142" s="52">
        <f>IF(G142="Y",VLOOKUP(B142&amp;"|"&amp;C142,'[1]ETC Data'!$C$2:$D$16,2,FALSE),0)</f>
        <v>0</v>
      </c>
      <c r="F142" s="52">
        <f>IF(D142="",0,IF(G142="Y",VLOOKUP(B142&amp;"|"&amp;D142,'[1]ETC Data'!$C$2:$D$16,2,FALSE),0))</f>
        <v>0</v>
      </c>
      <c r="G142" s="53" t="str">
        <f>IF(VLOOKUP(A142,[1]Plan!A$1:H$804,8,FALSE)&lt;&gt;"",VLOOKUP(A142,[1]Plan!A$1:H$804,8,FALSE),"")</f>
        <v>N</v>
      </c>
      <c r="H142" s="54" t="str">
        <f>IF(VLOOKUP(A142,[1]Plan!A$1:L$804,12,FALSE)&lt;&gt;"",VLOOKUP(A142,[1]Plan!A$1:L$804,12,FALSE),"")</f>
        <v/>
      </c>
      <c r="I142" s="55" t="str">
        <f>IF(VLOOKUP(A142,[1]Plan!A$1:M$804,13,FALSE)&lt;&gt;"",VLOOKUP(A142,[1]Plan!A$1:M$804,13,FALSE),"")</f>
        <v/>
      </c>
      <c r="J142" s="55" t="str">
        <f>IF(VLOOKUP(A142,[1]Plan!A$1:N$804,14,FALSE)&lt;&gt;"",VLOOKUP(A142,[1]Plan!A$1:N$804,14,FALSE),IF(VLOOKUP(A142,[1]Plan!A$1:O$804,15,FALSE)&lt;&gt;"",VLOOKUP(A142,[1]Plan!A$1:O$804,15,FALSE),""))</f>
        <v/>
      </c>
      <c r="K142" s="56" t="str">
        <f>IF(VLOOKUP(A142,[1]Plan!A$1:P$804,16,FALSE)&lt;&gt;"",VLOOKUP(A142,[1]Plan!A$1:P$804,16,FALSE),"")</f>
        <v/>
      </c>
      <c r="L142" s="55"/>
      <c r="M142" s="55"/>
      <c r="N142" s="55"/>
      <c r="O142" s="57">
        <f>IF(F142=0,E142,F142)</f>
        <v>0</v>
      </c>
      <c r="P142" s="57" t="b">
        <f>OR(H142="Y",I142="Y")</f>
        <v>0</v>
      </c>
      <c r="Q142" s="58">
        <f>IF(P142,O142*'[1]ETC Data'!$H$3*'[1]ETC Data'!$I$3,0)</f>
        <v>0</v>
      </c>
      <c r="R142" s="58">
        <f>Q142-(Q142*((VLOOKUP(A142,[1]Plan!A$1:Z$804,26,FALSE)/100)))</f>
        <v>0</v>
      </c>
      <c r="S142" s="58">
        <f>IF(P142,O142*'[1]ETC Data'!$H$3*'[1]ETC Data'!$J$3,0)</f>
        <v>0</v>
      </c>
      <c r="T142" s="58">
        <f>S142-(S142*((VLOOKUP(A142,[1]Plan!A$1:AA$804,27,FALSE)/100)))</f>
        <v>0</v>
      </c>
      <c r="U142" s="58">
        <f>IF(P142,O142*'[1]ETC Data'!$H$3*'[1]ETC Data'!$K$3,0)</f>
        <v>0</v>
      </c>
      <c r="V142" s="58">
        <f>U142-(U142*((VLOOKUP(A142,[1]Plan!A$1:AB$804,28,FALSE)/100)))</f>
        <v>0</v>
      </c>
      <c r="W142" s="58">
        <f>IF(P142,O142*'[1]ETC Data'!$H$3*'[1]ETC Data'!$L$3,0)</f>
        <v>0</v>
      </c>
      <c r="X142" s="58">
        <f>W142-(W142*((VLOOKUP(A142,[1]Plan!A$1:AC$804,29,FALSE)/100)))</f>
        <v>0</v>
      </c>
      <c r="Y142" s="59"/>
      <c r="Z142" s="60" t="b">
        <f>OR(H142="Y",J142="Y")</f>
        <v>0</v>
      </c>
      <c r="AA142" s="58">
        <f>IF(Z142,O142*'[1]ETC Data'!$H$4*'[1]ETC Data'!$I$4,0)</f>
        <v>0</v>
      </c>
      <c r="AB142" s="58">
        <f>AA142-(AA142*((VLOOKUP(A142,[1]Plan!A$1:AI$804,35,FALSE)/100)))</f>
        <v>0</v>
      </c>
      <c r="AC142" s="58">
        <f>IF(Z142,O142*'[1]ETC Data'!$H$4*'[1]ETC Data'!$J$4,0)</f>
        <v>0</v>
      </c>
      <c r="AD142" s="58">
        <f>AC142-(AC142*((VLOOKUP(A142,[1]Plan!A$1:AJ$804,36,FALSE)/100)))</f>
        <v>0</v>
      </c>
      <c r="AE142" s="58">
        <f>IF(Z142,O142*'[1]ETC Data'!$H$4*'[1]ETC Data'!$K$4,0)</f>
        <v>0</v>
      </c>
      <c r="AF142" s="58">
        <f>AE142-(AE142*((VLOOKUP(A142,[1]Plan!A$1:AK$804,37,FALSE)/100)))</f>
        <v>0</v>
      </c>
      <c r="AG142" s="58">
        <f>IF(Z142,O142*'[1]ETC Data'!$H$4*'[1]ETC Data'!$L$4,0)</f>
        <v>0</v>
      </c>
      <c r="AH142" s="58">
        <f>AG142-(AG142*((VLOOKUP(A142,[1]Plan!A$1:AP$804,42,FALSE)/100)))</f>
        <v>0</v>
      </c>
      <c r="AI142" s="60"/>
      <c r="AJ142" s="60" t="b">
        <f>OR(H142="Y",K142="Y")</f>
        <v>0</v>
      </c>
      <c r="AK142" s="61">
        <f>IF(AJ142,O142*'[1]ETC Data'!$H$5*'[1]ETC Data'!$I$5,0)</f>
        <v>0</v>
      </c>
      <c r="AL142" s="58">
        <f>AK142-(AK142*((VLOOKUP(A142,[1]Plan!A$1:AY$804,51,FALSE)/100)))</f>
        <v>0</v>
      </c>
      <c r="AM142" s="58">
        <f>IF(AJ142,O142*'[1]ETC Data'!$H$5*'[1]ETC Data'!$J$5,0)</f>
        <v>0</v>
      </c>
      <c r="AN142" s="58">
        <f>AM142-(AM142*((VLOOKUP(A142,[1]Plan!A$1:BA$804,53,FALSE)/100)))</f>
        <v>0</v>
      </c>
      <c r="AO142" s="61">
        <f>IF(AJ142,O142*'[1]ETC Data'!$H$5*'[1]ETC Data'!$K$5,0)</f>
        <v>0</v>
      </c>
      <c r="AP142" s="58">
        <f>AO142-(AO142*((VLOOKUP(A142,[1]Plan!A$1:BB$804,54,FALSE)/100)))</f>
        <v>0</v>
      </c>
      <c r="AQ142" s="58">
        <f>IF(AJ142,O142*'[1]ETC Data'!$H$5*'[1]ETC Data'!$L$5,0)</f>
        <v>0</v>
      </c>
      <c r="AR142" s="58">
        <f>AQ142-(AQ142*((VLOOKUP(A142,[1]Plan!A$1:BD$804,56,FALSE)/100)))</f>
        <v>0</v>
      </c>
      <c r="AS142" s="20">
        <f>VLOOKUP(A142,'[1]PR Matrix'!A:B,2,FALSE)</f>
        <v>0</v>
      </c>
      <c r="AT142" s="21">
        <f>R142+T142+V142+X142+AB142+AD142+AF142+AH142+AL142+AN142+AP142+AR142</f>
        <v>0</v>
      </c>
      <c r="AU142" s="21">
        <f>Q142+S142+U142+W142+AA142+AC142+AE142+AG142+AK142+AM142+AO142+AQ142</f>
        <v>0</v>
      </c>
      <c r="AV142" s="21">
        <f>R142+AB142+AL142</f>
        <v>0</v>
      </c>
      <c r="AW142" s="21">
        <f>T142+AD142+AN142</f>
        <v>0</v>
      </c>
      <c r="AX142" s="21">
        <f>V142+AF142+AP142</f>
        <v>0</v>
      </c>
      <c r="AY142" s="21">
        <f>X142+AH142+AR142</f>
        <v>0</v>
      </c>
    </row>
    <row r="143" spans="1:51" hidden="1" x14ac:dyDescent="0.2">
      <c r="A143" s="50" t="s">
        <v>350</v>
      </c>
      <c r="B143" s="51" t="s">
        <v>208</v>
      </c>
      <c r="C143" s="51"/>
      <c r="D143" s="51"/>
      <c r="E143" s="52">
        <f>IF(G143="Y",VLOOKUP(B143&amp;"|"&amp;C143,'[1]ETC Data'!$C$2:$D$16,2,FALSE),0)</f>
        <v>0</v>
      </c>
      <c r="F143" s="52">
        <f>IF(D143="",0,IF(G143="Y",VLOOKUP(B143&amp;"|"&amp;D143,'[1]ETC Data'!$C$2:$D$16,2,FALSE),0))</f>
        <v>0</v>
      </c>
      <c r="G143" s="53" t="str">
        <f>IF(VLOOKUP(A143,[1]Plan!A$1:H$804,8,FALSE)&lt;&gt;"",VLOOKUP(A143,[1]Plan!A$1:H$804,8,FALSE),"")</f>
        <v>N</v>
      </c>
      <c r="H143" s="54" t="str">
        <f>IF(VLOOKUP(A143,[1]Plan!A$1:L$804,12,FALSE)&lt;&gt;"",VLOOKUP(A143,[1]Plan!A$1:L$804,12,FALSE),"")</f>
        <v/>
      </c>
      <c r="I143" s="55" t="str">
        <f>IF(VLOOKUP(A143,[1]Plan!A$1:M$804,13,FALSE)&lt;&gt;"",VLOOKUP(A143,[1]Plan!A$1:M$804,13,FALSE),"")</f>
        <v/>
      </c>
      <c r="J143" s="55" t="str">
        <f>IF(VLOOKUP(A143,[1]Plan!A$1:N$804,14,FALSE)&lt;&gt;"",VLOOKUP(A143,[1]Plan!A$1:N$804,14,FALSE),IF(VLOOKUP(A143,[1]Plan!A$1:O$804,15,FALSE)&lt;&gt;"",VLOOKUP(A143,[1]Plan!A$1:O$804,15,FALSE),""))</f>
        <v/>
      </c>
      <c r="K143" s="56" t="str">
        <f>IF(VLOOKUP(A143,[1]Plan!A$1:P$804,16,FALSE)&lt;&gt;"",VLOOKUP(A143,[1]Plan!A$1:P$804,16,FALSE),"")</f>
        <v/>
      </c>
      <c r="L143" s="55"/>
      <c r="M143" s="55"/>
      <c r="N143" s="55"/>
      <c r="O143" s="57">
        <f>IF(F143=0,E143,F143)</f>
        <v>0</v>
      </c>
      <c r="P143" s="57" t="b">
        <f>OR(H143="Y",I143="Y")</f>
        <v>0</v>
      </c>
      <c r="Q143" s="58">
        <f>IF(P143,O143*'[1]ETC Data'!$H$3*'[1]ETC Data'!$I$3,0)</f>
        <v>0</v>
      </c>
      <c r="R143" s="58">
        <f>Q143-(Q143*((VLOOKUP(A143,[1]Plan!A$1:Z$804,26,FALSE)/100)))</f>
        <v>0</v>
      </c>
      <c r="S143" s="58">
        <f>IF(P143,O143*'[1]ETC Data'!$H$3*'[1]ETC Data'!$J$3,0)</f>
        <v>0</v>
      </c>
      <c r="T143" s="58">
        <f>S143-(S143*((VLOOKUP(A143,[1]Plan!A$1:AA$804,27,FALSE)/100)))</f>
        <v>0</v>
      </c>
      <c r="U143" s="58">
        <f>IF(P143,O143*'[1]ETC Data'!$H$3*'[1]ETC Data'!$K$3,0)</f>
        <v>0</v>
      </c>
      <c r="V143" s="58">
        <f>U143-(U143*((VLOOKUP(A143,[1]Plan!A$1:AB$804,28,FALSE)/100)))</f>
        <v>0</v>
      </c>
      <c r="W143" s="58">
        <f>IF(P143,O143*'[1]ETC Data'!$H$3*'[1]ETC Data'!$L$3,0)</f>
        <v>0</v>
      </c>
      <c r="X143" s="58">
        <f>W143-(W143*((VLOOKUP(A143,[1]Plan!A$1:AC$804,29,FALSE)/100)))</f>
        <v>0</v>
      </c>
      <c r="Y143" s="59"/>
      <c r="Z143" s="60" t="b">
        <f>OR(H143="Y",J143="Y")</f>
        <v>0</v>
      </c>
      <c r="AA143" s="58">
        <f>IF(Z143,O143*'[1]ETC Data'!$H$4*'[1]ETC Data'!$I$4,0)</f>
        <v>0</v>
      </c>
      <c r="AB143" s="58">
        <f>AA143-(AA143*((VLOOKUP(A143,[1]Plan!A$1:AI$804,35,FALSE)/100)))</f>
        <v>0</v>
      </c>
      <c r="AC143" s="58">
        <f>IF(Z143,O143*'[1]ETC Data'!$H$4*'[1]ETC Data'!$J$4,0)</f>
        <v>0</v>
      </c>
      <c r="AD143" s="58">
        <f>AC143-(AC143*((VLOOKUP(A143,[1]Plan!A$1:AJ$804,36,FALSE)/100)))</f>
        <v>0</v>
      </c>
      <c r="AE143" s="58">
        <f>IF(Z143,O143*'[1]ETC Data'!$H$4*'[1]ETC Data'!$K$4,0)</f>
        <v>0</v>
      </c>
      <c r="AF143" s="58">
        <f>AE143-(AE143*((VLOOKUP(A143,[1]Plan!A$1:AK$804,37,FALSE)/100)))</f>
        <v>0</v>
      </c>
      <c r="AG143" s="58">
        <f>IF(Z143,O143*'[1]ETC Data'!$H$4*'[1]ETC Data'!$L$4,0)</f>
        <v>0</v>
      </c>
      <c r="AH143" s="58">
        <f>AG143-(AG143*((VLOOKUP(A143,[1]Plan!A$1:AP$804,42,FALSE)/100)))</f>
        <v>0</v>
      </c>
      <c r="AI143" s="60"/>
      <c r="AJ143" s="60" t="b">
        <f>OR(H143="Y",K143="Y")</f>
        <v>0</v>
      </c>
      <c r="AK143" s="61">
        <f>IF(AJ143,O143*'[1]ETC Data'!$H$5*'[1]ETC Data'!$I$5,0)</f>
        <v>0</v>
      </c>
      <c r="AL143" s="58">
        <f>AK143-(AK143*((VLOOKUP(A143,[1]Plan!A$1:AY$804,51,FALSE)/100)))</f>
        <v>0</v>
      </c>
      <c r="AM143" s="58">
        <f>IF(AJ143,O143*'[1]ETC Data'!$H$5*'[1]ETC Data'!$J$5,0)</f>
        <v>0</v>
      </c>
      <c r="AN143" s="58">
        <f>AM143-(AM143*((VLOOKUP(A143,[1]Plan!A$1:BA$804,53,FALSE)/100)))</f>
        <v>0</v>
      </c>
      <c r="AO143" s="61">
        <f>IF(AJ143,O143*'[1]ETC Data'!$H$5*'[1]ETC Data'!$K$5,0)</f>
        <v>0</v>
      </c>
      <c r="AP143" s="58">
        <f>AO143-(AO143*((VLOOKUP(A143,[1]Plan!A$1:BB$804,54,FALSE)/100)))</f>
        <v>0</v>
      </c>
      <c r="AQ143" s="58">
        <f>IF(AJ143,O143*'[1]ETC Data'!$H$5*'[1]ETC Data'!$L$5,0)</f>
        <v>0</v>
      </c>
      <c r="AR143" s="58">
        <f>AQ143-(AQ143*((VLOOKUP(A143,[1]Plan!A$1:BD$804,56,FALSE)/100)))</f>
        <v>0</v>
      </c>
      <c r="AS143" s="20">
        <f>VLOOKUP(A143,'[1]PR Matrix'!A:B,2,FALSE)</f>
        <v>0</v>
      </c>
      <c r="AT143" s="21">
        <f>R143+T143+V143+X143+AB143+AD143+AF143+AH143+AL143+AN143+AP143+AR143</f>
        <v>0</v>
      </c>
      <c r="AU143" s="21">
        <f>Q143+S143+U143+W143+AA143+AC143+AE143+AG143+AK143+AM143+AO143+AQ143</f>
        <v>0</v>
      </c>
      <c r="AV143" s="21">
        <f>R143+AB143+AL143</f>
        <v>0</v>
      </c>
      <c r="AW143" s="21">
        <f>T143+AD143+AN143</f>
        <v>0</v>
      </c>
      <c r="AX143" s="21">
        <f>V143+AF143+AP143</f>
        <v>0</v>
      </c>
      <c r="AY143" s="21">
        <f>X143+AH143+AR143</f>
        <v>0</v>
      </c>
    </row>
    <row r="144" spans="1:51" hidden="1" x14ac:dyDescent="0.2">
      <c r="A144" s="50" t="s">
        <v>351</v>
      </c>
      <c r="B144" s="51" t="s">
        <v>208</v>
      </c>
      <c r="C144" s="51"/>
      <c r="D144" s="51"/>
      <c r="E144" s="52">
        <f>IF(G144="Y",VLOOKUP(B144&amp;"|"&amp;C144,'[1]ETC Data'!$C$2:$D$16,2,FALSE),0)</f>
        <v>0</v>
      </c>
      <c r="F144" s="52">
        <f>IF(D144="",0,IF(G144="Y",VLOOKUP(B144&amp;"|"&amp;D144,'[1]ETC Data'!$C$2:$D$16,2,FALSE),0))</f>
        <v>0</v>
      </c>
      <c r="G144" s="53" t="str">
        <f>IF(VLOOKUP(A144,[1]Plan!A$1:H$804,8,FALSE)&lt;&gt;"",VLOOKUP(A144,[1]Plan!A$1:H$804,8,FALSE),"")</f>
        <v>N</v>
      </c>
      <c r="H144" s="54" t="str">
        <f>IF(VLOOKUP(A144,[1]Plan!A$1:L$804,12,FALSE)&lt;&gt;"",VLOOKUP(A144,[1]Plan!A$1:L$804,12,FALSE),"")</f>
        <v/>
      </c>
      <c r="I144" s="55" t="str">
        <f>IF(VLOOKUP(A144,[1]Plan!A$1:M$804,13,FALSE)&lt;&gt;"",VLOOKUP(A144,[1]Plan!A$1:M$804,13,FALSE),"")</f>
        <v/>
      </c>
      <c r="J144" s="55" t="str">
        <f>IF(VLOOKUP(A144,[1]Plan!A$1:N$804,14,FALSE)&lt;&gt;"",VLOOKUP(A144,[1]Plan!A$1:N$804,14,FALSE),IF(VLOOKUP(A144,[1]Plan!A$1:O$804,15,FALSE)&lt;&gt;"",VLOOKUP(A144,[1]Plan!A$1:O$804,15,FALSE),""))</f>
        <v/>
      </c>
      <c r="K144" s="56" t="str">
        <f>IF(VLOOKUP(A144,[1]Plan!A$1:P$804,16,FALSE)&lt;&gt;"",VLOOKUP(A144,[1]Plan!A$1:P$804,16,FALSE),"")</f>
        <v/>
      </c>
      <c r="L144" s="55"/>
      <c r="M144" s="55"/>
      <c r="N144" s="55"/>
      <c r="O144" s="57">
        <f>IF(F144=0,E144,F144)</f>
        <v>0</v>
      </c>
      <c r="P144" s="57" t="b">
        <f>OR(H144="Y",I144="Y")</f>
        <v>0</v>
      </c>
      <c r="Q144" s="58">
        <f>IF(P144,O144*'[1]ETC Data'!$H$3*'[1]ETC Data'!$I$3,0)</f>
        <v>0</v>
      </c>
      <c r="R144" s="58">
        <f>Q144-(Q144*((VLOOKUP(A144,[1]Plan!A$1:Z$804,26,FALSE)/100)))</f>
        <v>0</v>
      </c>
      <c r="S144" s="58">
        <f>IF(P144,O144*'[1]ETC Data'!$H$3*'[1]ETC Data'!$J$3,0)</f>
        <v>0</v>
      </c>
      <c r="T144" s="58">
        <f>S144-(S144*((VLOOKUP(A144,[1]Plan!A$1:AA$804,27,FALSE)/100)))</f>
        <v>0</v>
      </c>
      <c r="U144" s="58">
        <f>IF(P144,O144*'[1]ETC Data'!$H$3*'[1]ETC Data'!$K$3,0)</f>
        <v>0</v>
      </c>
      <c r="V144" s="58">
        <f>U144-(U144*((VLOOKUP(A144,[1]Plan!A$1:AB$804,28,FALSE)/100)))</f>
        <v>0</v>
      </c>
      <c r="W144" s="58">
        <f>IF(P144,O144*'[1]ETC Data'!$H$3*'[1]ETC Data'!$L$3,0)</f>
        <v>0</v>
      </c>
      <c r="X144" s="58">
        <f>W144-(W144*((VLOOKUP(A144,[1]Plan!A$1:AC$804,29,FALSE)/100)))</f>
        <v>0</v>
      </c>
      <c r="Y144" s="59"/>
      <c r="Z144" s="60" t="b">
        <f>OR(H144="Y",J144="Y")</f>
        <v>0</v>
      </c>
      <c r="AA144" s="58">
        <f>IF(Z144,O144*'[1]ETC Data'!$H$4*'[1]ETC Data'!$I$4,0)</f>
        <v>0</v>
      </c>
      <c r="AB144" s="58">
        <f>AA144-(AA144*((VLOOKUP(A144,[1]Plan!A$1:AI$804,35,FALSE)/100)))</f>
        <v>0</v>
      </c>
      <c r="AC144" s="58">
        <f>IF(Z144,O144*'[1]ETC Data'!$H$4*'[1]ETC Data'!$J$4,0)</f>
        <v>0</v>
      </c>
      <c r="AD144" s="58">
        <f>AC144-(AC144*((VLOOKUP(A144,[1]Plan!A$1:AJ$804,36,FALSE)/100)))</f>
        <v>0</v>
      </c>
      <c r="AE144" s="58">
        <f>IF(Z144,O144*'[1]ETC Data'!$H$4*'[1]ETC Data'!$K$4,0)</f>
        <v>0</v>
      </c>
      <c r="AF144" s="58">
        <f>AE144-(AE144*((VLOOKUP(A144,[1]Plan!A$1:AK$804,37,FALSE)/100)))</f>
        <v>0</v>
      </c>
      <c r="AG144" s="58">
        <f>IF(Z144,O144*'[1]ETC Data'!$H$4*'[1]ETC Data'!$L$4,0)</f>
        <v>0</v>
      </c>
      <c r="AH144" s="58">
        <f>AG144-(AG144*((VLOOKUP(A144,[1]Plan!A$1:AP$804,42,FALSE)/100)))</f>
        <v>0</v>
      </c>
      <c r="AI144" s="60"/>
      <c r="AJ144" s="60" t="b">
        <f>OR(H144="Y",K144="Y")</f>
        <v>0</v>
      </c>
      <c r="AK144" s="61">
        <f>IF(AJ144,O144*'[1]ETC Data'!$H$5*'[1]ETC Data'!$I$5,0)</f>
        <v>0</v>
      </c>
      <c r="AL144" s="58">
        <f>AK144-(AK144*((VLOOKUP(A144,[1]Plan!A$1:AY$804,51,FALSE)/100)))</f>
        <v>0</v>
      </c>
      <c r="AM144" s="58">
        <f>IF(AJ144,O144*'[1]ETC Data'!$H$5*'[1]ETC Data'!$J$5,0)</f>
        <v>0</v>
      </c>
      <c r="AN144" s="58">
        <f>AM144-(AM144*((VLOOKUP(A144,[1]Plan!A$1:BA$804,53,FALSE)/100)))</f>
        <v>0</v>
      </c>
      <c r="AO144" s="61">
        <f>IF(AJ144,O144*'[1]ETC Data'!$H$5*'[1]ETC Data'!$K$5,0)</f>
        <v>0</v>
      </c>
      <c r="AP144" s="58">
        <f>AO144-(AO144*((VLOOKUP(A144,[1]Plan!A$1:BB$804,54,FALSE)/100)))</f>
        <v>0</v>
      </c>
      <c r="AQ144" s="58">
        <f>IF(AJ144,O144*'[1]ETC Data'!$H$5*'[1]ETC Data'!$L$5,0)</f>
        <v>0</v>
      </c>
      <c r="AR144" s="58">
        <f>AQ144-(AQ144*((VLOOKUP(A144,[1]Plan!A$1:BD$804,56,FALSE)/100)))</f>
        <v>0</v>
      </c>
      <c r="AS144" s="20">
        <f>VLOOKUP(A144,'[1]PR Matrix'!A:B,2,FALSE)</f>
        <v>0</v>
      </c>
      <c r="AT144" s="21">
        <f>R144+T144+V144+X144+AB144+AD144+AF144+AH144+AL144+AN144+AP144+AR144</f>
        <v>0</v>
      </c>
      <c r="AU144" s="21">
        <f>Q144+S144+U144+W144+AA144+AC144+AE144+AG144+AK144+AM144+AO144+AQ144</f>
        <v>0</v>
      </c>
      <c r="AV144" s="21">
        <f>R144+AB144+AL144</f>
        <v>0</v>
      </c>
      <c r="AW144" s="21">
        <f>T144+AD144+AN144</f>
        <v>0</v>
      </c>
      <c r="AX144" s="21">
        <f>V144+AF144+AP144</f>
        <v>0</v>
      </c>
      <c r="AY144" s="21">
        <f>X144+AH144+AR144</f>
        <v>0</v>
      </c>
    </row>
    <row r="145" spans="1:51" hidden="1" x14ac:dyDescent="0.2">
      <c r="A145" s="50" t="s">
        <v>352</v>
      </c>
      <c r="B145" s="51" t="s">
        <v>208</v>
      </c>
      <c r="C145" s="51"/>
      <c r="D145" s="51"/>
      <c r="E145" s="52">
        <f>IF(G145="Y",VLOOKUP(B145&amp;"|"&amp;C145,'[1]ETC Data'!$C$2:$D$16,2,FALSE),0)</f>
        <v>0</v>
      </c>
      <c r="F145" s="52">
        <f>IF(D145="",0,IF(G145="Y",VLOOKUP(B145&amp;"|"&amp;D145,'[1]ETC Data'!$C$2:$D$16,2,FALSE),0))</f>
        <v>0</v>
      </c>
      <c r="G145" s="53" t="str">
        <f>IF(VLOOKUP(A145,[1]Plan!A$1:H$804,8,FALSE)&lt;&gt;"",VLOOKUP(A145,[1]Plan!A$1:H$804,8,FALSE),"")</f>
        <v>N</v>
      </c>
      <c r="H145" s="54" t="str">
        <f>IF(VLOOKUP(A145,[1]Plan!A$1:L$804,12,FALSE)&lt;&gt;"",VLOOKUP(A145,[1]Plan!A$1:L$804,12,FALSE),"")</f>
        <v/>
      </c>
      <c r="I145" s="55" t="str">
        <f>IF(VLOOKUP(A145,[1]Plan!A$1:M$804,13,FALSE)&lt;&gt;"",VLOOKUP(A145,[1]Plan!A$1:M$804,13,FALSE),"")</f>
        <v/>
      </c>
      <c r="J145" s="55" t="str">
        <f>IF(VLOOKUP(A145,[1]Plan!A$1:N$804,14,FALSE)&lt;&gt;"",VLOOKUP(A145,[1]Plan!A$1:N$804,14,FALSE),IF(VLOOKUP(A145,[1]Plan!A$1:O$804,15,FALSE)&lt;&gt;"",VLOOKUP(A145,[1]Plan!A$1:O$804,15,FALSE),""))</f>
        <v/>
      </c>
      <c r="K145" s="56" t="str">
        <f>IF(VLOOKUP(A145,[1]Plan!A$1:P$804,16,FALSE)&lt;&gt;"",VLOOKUP(A145,[1]Plan!A$1:P$804,16,FALSE),"")</f>
        <v/>
      </c>
      <c r="L145" s="55"/>
      <c r="M145" s="55"/>
      <c r="N145" s="55"/>
      <c r="O145" s="57">
        <f>IF(F145=0,E145,F145)</f>
        <v>0</v>
      </c>
      <c r="P145" s="57" t="b">
        <f>OR(H145="Y",I145="Y")</f>
        <v>0</v>
      </c>
      <c r="Q145" s="58">
        <f>IF(P145,O145*'[1]ETC Data'!$H$3*'[1]ETC Data'!$I$3,0)</f>
        <v>0</v>
      </c>
      <c r="R145" s="58">
        <f>Q145-(Q145*((VLOOKUP(A145,[1]Plan!A$1:Z$804,26,FALSE)/100)))</f>
        <v>0</v>
      </c>
      <c r="S145" s="58">
        <f>IF(P145,O145*'[1]ETC Data'!$H$3*'[1]ETC Data'!$J$3,0)</f>
        <v>0</v>
      </c>
      <c r="T145" s="58">
        <f>S145-(S145*((VLOOKUP(A145,[1]Plan!A$1:AA$804,27,FALSE)/100)))</f>
        <v>0</v>
      </c>
      <c r="U145" s="58">
        <f>IF(P145,O145*'[1]ETC Data'!$H$3*'[1]ETC Data'!$K$3,0)</f>
        <v>0</v>
      </c>
      <c r="V145" s="58">
        <f>U145-(U145*((VLOOKUP(A145,[1]Plan!A$1:AB$804,28,FALSE)/100)))</f>
        <v>0</v>
      </c>
      <c r="W145" s="58">
        <f>IF(P145,O145*'[1]ETC Data'!$H$3*'[1]ETC Data'!$L$3,0)</f>
        <v>0</v>
      </c>
      <c r="X145" s="58">
        <f>W145-(W145*((VLOOKUP(A145,[1]Plan!A$1:AC$804,29,FALSE)/100)))</f>
        <v>0</v>
      </c>
      <c r="Y145" s="59"/>
      <c r="Z145" s="60" t="b">
        <f>OR(H145="Y",J145="Y")</f>
        <v>0</v>
      </c>
      <c r="AA145" s="58">
        <f>IF(Z145,O145*'[1]ETC Data'!$H$4*'[1]ETC Data'!$I$4,0)</f>
        <v>0</v>
      </c>
      <c r="AB145" s="58">
        <f>AA145-(AA145*((VLOOKUP(A145,[1]Plan!A$1:AI$804,35,FALSE)/100)))</f>
        <v>0</v>
      </c>
      <c r="AC145" s="58">
        <f>IF(Z145,O145*'[1]ETC Data'!$H$4*'[1]ETC Data'!$J$4,0)</f>
        <v>0</v>
      </c>
      <c r="AD145" s="58">
        <f>AC145-(AC145*((VLOOKUP(A145,[1]Plan!A$1:AJ$804,36,FALSE)/100)))</f>
        <v>0</v>
      </c>
      <c r="AE145" s="58">
        <f>IF(Z145,O145*'[1]ETC Data'!$H$4*'[1]ETC Data'!$K$4,0)</f>
        <v>0</v>
      </c>
      <c r="AF145" s="58">
        <f>AE145-(AE145*((VLOOKUP(A145,[1]Plan!A$1:AK$804,37,FALSE)/100)))</f>
        <v>0</v>
      </c>
      <c r="AG145" s="58">
        <f>IF(Z145,O145*'[1]ETC Data'!$H$4*'[1]ETC Data'!$L$4,0)</f>
        <v>0</v>
      </c>
      <c r="AH145" s="58">
        <f>AG145-(AG145*((VLOOKUP(A145,[1]Plan!A$1:AP$804,42,FALSE)/100)))</f>
        <v>0</v>
      </c>
      <c r="AI145" s="60"/>
      <c r="AJ145" s="60" t="b">
        <f>OR(H145="Y",K145="Y")</f>
        <v>0</v>
      </c>
      <c r="AK145" s="61">
        <f>IF(AJ145,O145*'[1]ETC Data'!$H$5*'[1]ETC Data'!$I$5,0)</f>
        <v>0</v>
      </c>
      <c r="AL145" s="58">
        <f>AK145-(AK145*((VLOOKUP(A145,[1]Plan!A$1:AY$804,51,FALSE)/100)))</f>
        <v>0</v>
      </c>
      <c r="AM145" s="58">
        <f>IF(AJ145,O145*'[1]ETC Data'!$H$5*'[1]ETC Data'!$J$5,0)</f>
        <v>0</v>
      </c>
      <c r="AN145" s="58">
        <f>AM145-(AM145*((VLOOKUP(A145,[1]Plan!A$1:BA$804,53,FALSE)/100)))</f>
        <v>0</v>
      </c>
      <c r="AO145" s="61">
        <f>IF(AJ145,O145*'[1]ETC Data'!$H$5*'[1]ETC Data'!$K$5,0)</f>
        <v>0</v>
      </c>
      <c r="AP145" s="58">
        <f>AO145-(AO145*((VLOOKUP(A145,[1]Plan!A$1:BB$804,54,FALSE)/100)))</f>
        <v>0</v>
      </c>
      <c r="AQ145" s="58">
        <f>IF(AJ145,O145*'[1]ETC Data'!$H$5*'[1]ETC Data'!$L$5,0)</f>
        <v>0</v>
      </c>
      <c r="AR145" s="58">
        <f>AQ145-(AQ145*((VLOOKUP(A145,[1]Plan!A$1:BD$804,56,FALSE)/100)))</f>
        <v>0</v>
      </c>
      <c r="AS145" s="20">
        <f>VLOOKUP(A145,'[1]PR Matrix'!A:B,2,FALSE)</f>
        <v>0</v>
      </c>
      <c r="AT145" s="21">
        <f>R145+T145+V145+X145+AB145+AD145+AF145+AH145+AL145+AN145+AP145+AR145</f>
        <v>0</v>
      </c>
      <c r="AU145" s="21">
        <f>Q145+S145+U145+W145+AA145+AC145+AE145+AG145+AK145+AM145+AO145+AQ145</f>
        <v>0</v>
      </c>
      <c r="AV145" s="21">
        <f>R145+AB145+AL145</f>
        <v>0</v>
      </c>
      <c r="AW145" s="21">
        <f>T145+AD145+AN145</f>
        <v>0</v>
      </c>
      <c r="AX145" s="21">
        <f>V145+AF145+AP145</f>
        <v>0</v>
      </c>
      <c r="AY145" s="21">
        <f>X145+AH145+AR145</f>
        <v>0</v>
      </c>
    </row>
    <row r="146" spans="1:51" hidden="1" x14ac:dyDescent="0.2">
      <c r="A146" s="50" t="s">
        <v>353</v>
      </c>
      <c r="B146" s="51" t="s">
        <v>208</v>
      </c>
      <c r="C146" s="51" t="s">
        <v>209</v>
      </c>
      <c r="D146" s="51"/>
      <c r="E146" s="52">
        <f>IF(G146="Y",VLOOKUP(B146&amp;"|"&amp;C146,'[1]ETC Data'!$C$2:$D$16,2,FALSE),0)</f>
        <v>0</v>
      </c>
      <c r="F146" s="52">
        <f>IF(D146="",0,IF(G146="Y",VLOOKUP(B146&amp;"|"&amp;D146,'[1]ETC Data'!$C$2:$D$16,2,FALSE),0))</f>
        <v>0</v>
      </c>
      <c r="G146" s="53" t="str">
        <f>IF(VLOOKUP(A146,[1]Plan!A$1:H$804,8,FALSE)&lt;&gt;"",VLOOKUP(A146,[1]Plan!A$1:H$804,8,FALSE),"")</f>
        <v>N</v>
      </c>
      <c r="H146" s="54" t="str">
        <f>IF(VLOOKUP(A146,[1]Plan!A$1:L$804,12,FALSE)&lt;&gt;"",VLOOKUP(A146,[1]Plan!A$1:L$804,12,FALSE),"")</f>
        <v/>
      </c>
      <c r="I146" s="55" t="str">
        <f>IF(VLOOKUP(A146,[1]Plan!A$1:M$804,13,FALSE)&lt;&gt;"",VLOOKUP(A146,[1]Plan!A$1:M$804,13,FALSE),"")</f>
        <v/>
      </c>
      <c r="J146" s="55" t="str">
        <f>IF(VLOOKUP(A146,[1]Plan!A$1:N$804,14,FALSE)&lt;&gt;"",VLOOKUP(A146,[1]Plan!A$1:N$804,14,FALSE),IF(VLOOKUP(A146,[1]Plan!A$1:O$804,15,FALSE)&lt;&gt;"",VLOOKUP(A146,[1]Plan!A$1:O$804,15,FALSE),""))</f>
        <v/>
      </c>
      <c r="K146" s="56" t="str">
        <f>IF(VLOOKUP(A146,[1]Plan!A$1:P$804,16,FALSE)&lt;&gt;"",VLOOKUP(A146,[1]Plan!A$1:P$804,16,FALSE),"")</f>
        <v/>
      </c>
      <c r="L146" s="55"/>
      <c r="M146" s="55"/>
      <c r="N146" s="55"/>
      <c r="O146" s="57">
        <f>IF(F146=0,E146,F146)</f>
        <v>0</v>
      </c>
      <c r="P146" s="57" t="b">
        <f>OR(H146="Y",I146="Y")</f>
        <v>0</v>
      </c>
      <c r="Q146" s="58">
        <f>IF(P146,O146*'[1]ETC Data'!$H$3*'[1]ETC Data'!$I$3,0)</f>
        <v>0</v>
      </c>
      <c r="R146" s="58">
        <f>Q146-(Q146*((VLOOKUP(A146,[1]Plan!A$1:Z$804,26,FALSE)/100)))</f>
        <v>0</v>
      </c>
      <c r="S146" s="58">
        <f>IF(P146,O146*'[1]ETC Data'!$H$3*'[1]ETC Data'!$J$3,0)</f>
        <v>0</v>
      </c>
      <c r="T146" s="58">
        <v>9</v>
      </c>
      <c r="U146" s="58">
        <f>IF(P146,O146*'[1]ETC Data'!$H$3*'[1]ETC Data'!$K$3,0)</f>
        <v>0</v>
      </c>
      <c r="V146" s="58">
        <f>U146-(U146*((VLOOKUP(A146,[1]Plan!A$1:AB$804,28,FALSE)/100)))</f>
        <v>0</v>
      </c>
      <c r="W146" s="58">
        <f>IF(P146,O146*'[1]ETC Data'!$H$3*'[1]ETC Data'!$L$3,0)</f>
        <v>0</v>
      </c>
      <c r="X146" s="58">
        <f>W146-(W146*((VLOOKUP(A146,[1]Plan!A$1:AC$804,29,FALSE)/100)))</f>
        <v>0</v>
      </c>
      <c r="Y146" s="59"/>
      <c r="Z146" s="60" t="b">
        <f>OR(H146="Y",J146="Y")</f>
        <v>0</v>
      </c>
      <c r="AA146" s="58">
        <f>IF(Z146,O146*'[1]ETC Data'!$H$4*'[1]ETC Data'!$I$4,0)</f>
        <v>0</v>
      </c>
      <c r="AB146" s="58">
        <f>AA146-(AA146*((VLOOKUP(A146,[1]Plan!A$1:AI$804,35,FALSE)/100)))</f>
        <v>0</v>
      </c>
      <c r="AC146" s="58">
        <f>IF(Z146,O146*'[1]ETC Data'!$H$4*'[1]ETC Data'!$J$4,0)</f>
        <v>0</v>
      </c>
      <c r="AD146" s="58">
        <v>9</v>
      </c>
      <c r="AE146" s="58">
        <f>IF(Z146,O146*'[1]ETC Data'!$H$4*'[1]ETC Data'!$K$4,0)</f>
        <v>0</v>
      </c>
      <c r="AF146" s="58">
        <f>AE146-(AE146*((VLOOKUP(A146,[1]Plan!A$1:AK$804,37,FALSE)/100)))</f>
        <v>0</v>
      </c>
      <c r="AG146" s="58">
        <f>IF(Z146,O146*'[1]ETC Data'!$H$4*'[1]ETC Data'!$L$4,0)</f>
        <v>0</v>
      </c>
      <c r="AH146" s="58">
        <f>AG146-(AG146*((VLOOKUP(A146,[1]Plan!A$1:AP$804,42,FALSE)/100)))</f>
        <v>0</v>
      </c>
      <c r="AI146" s="60"/>
      <c r="AJ146" s="60" t="b">
        <f>OR(H146="Y",K146="Y")</f>
        <v>0</v>
      </c>
      <c r="AK146" s="61">
        <f>IF(AJ146,O146*'[1]ETC Data'!$H$5*'[1]ETC Data'!$I$5,0)</f>
        <v>0</v>
      </c>
      <c r="AL146" s="58">
        <f>AK146-(AK146*((VLOOKUP(A146,[1]Plan!A$1:AY$804,51,FALSE)/100)))</f>
        <v>0</v>
      </c>
      <c r="AM146" s="58">
        <f>IF(AJ146,O146*'[1]ETC Data'!$H$5*'[1]ETC Data'!$J$5,0)</f>
        <v>0</v>
      </c>
      <c r="AN146" s="58">
        <v>9</v>
      </c>
      <c r="AO146" s="61">
        <f>IF(AJ146,O146*'[1]ETC Data'!$H$5*'[1]ETC Data'!$K$5,0)</f>
        <v>0</v>
      </c>
      <c r="AP146" s="58">
        <f>AO146-(AO146*((VLOOKUP(A146,[1]Plan!A$1:BB$804,54,FALSE)/100)))</f>
        <v>0</v>
      </c>
      <c r="AQ146" s="58">
        <f>IF(AJ146,O146*'[1]ETC Data'!$H$5*'[1]ETC Data'!$L$5,0)</f>
        <v>0</v>
      </c>
      <c r="AR146" s="58">
        <f>AQ146-(AQ146*((VLOOKUP(A146,[1]Plan!A$1:BD$804,56,FALSE)/100)))</f>
        <v>0</v>
      </c>
      <c r="AS146" s="20">
        <f>VLOOKUP(A146,'[1]PR Matrix'!A:B,2,FALSE)</f>
        <v>0</v>
      </c>
      <c r="AT146" s="21">
        <f>R146+T146+V146+X146+AB146+AD146+AF146+AH146+AL146+AN146+AP146+AR146</f>
        <v>27</v>
      </c>
      <c r="AU146" s="21">
        <f>Q146+S146+U146+W146+AA146+AC146+AE146+AG146+AK146+AM146+AO146+AQ146</f>
        <v>0</v>
      </c>
      <c r="AV146" s="21">
        <f>R146+AB146+AL146</f>
        <v>0</v>
      </c>
      <c r="AW146" s="21">
        <f>T146+AD146+AN146</f>
        <v>27</v>
      </c>
      <c r="AX146" s="21">
        <f>V146+AF146+AP146</f>
        <v>0</v>
      </c>
      <c r="AY146" s="21">
        <f>X146+AH146+AR146</f>
        <v>0</v>
      </c>
    </row>
    <row r="147" spans="1:51" hidden="1" x14ac:dyDescent="0.2">
      <c r="A147" s="50" t="s">
        <v>354</v>
      </c>
      <c r="B147" s="51" t="s">
        <v>208</v>
      </c>
      <c r="C147" s="51"/>
      <c r="D147" s="51"/>
      <c r="E147" s="52">
        <f>IF(G147="Y",VLOOKUP(B147&amp;"|"&amp;C147,'[1]ETC Data'!$C$2:$D$16,2,FALSE),0)</f>
        <v>0</v>
      </c>
      <c r="F147" s="52">
        <f>IF(D147="",0,IF(G147="Y",VLOOKUP(B147&amp;"|"&amp;D147,'[1]ETC Data'!$C$2:$D$16,2,FALSE),0))</f>
        <v>0</v>
      </c>
      <c r="G147" s="53" t="str">
        <f>IF(VLOOKUP(A147,[1]Plan!A$1:H$804,8,FALSE)&lt;&gt;"",VLOOKUP(A147,[1]Plan!A$1:H$804,8,FALSE),"")</f>
        <v>N</v>
      </c>
      <c r="H147" s="54" t="str">
        <f>IF(VLOOKUP(A147,[1]Plan!A$1:L$804,12,FALSE)&lt;&gt;"",VLOOKUP(A147,[1]Plan!A$1:L$804,12,FALSE),"")</f>
        <v/>
      </c>
      <c r="I147" s="55" t="str">
        <f>IF(VLOOKUP(A147,[1]Plan!A$1:M$804,13,FALSE)&lt;&gt;"",VLOOKUP(A147,[1]Plan!A$1:M$804,13,FALSE),"")</f>
        <v/>
      </c>
      <c r="J147" s="55" t="str">
        <f>IF(VLOOKUP(A147,[1]Plan!A$1:N$804,14,FALSE)&lt;&gt;"",VLOOKUP(A147,[1]Plan!A$1:N$804,14,FALSE),IF(VLOOKUP(A147,[1]Plan!A$1:O$804,15,FALSE)&lt;&gt;"",VLOOKUP(A147,[1]Plan!A$1:O$804,15,FALSE),""))</f>
        <v/>
      </c>
      <c r="K147" s="56" t="str">
        <f>IF(VLOOKUP(A147,[1]Plan!A$1:P$804,16,FALSE)&lt;&gt;"",VLOOKUP(A147,[1]Plan!A$1:P$804,16,FALSE),"")</f>
        <v/>
      </c>
      <c r="L147" s="55"/>
      <c r="M147" s="55"/>
      <c r="N147" s="55"/>
      <c r="O147" s="57">
        <f>IF(F147=0,E147,F147)</f>
        <v>0</v>
      </c>
      <c r="P147" s="57" t="b">
        <f>OR(H147="Y",I147="Y")</f>
        <v>0</v>
      </c>
      <c r="Q147" s="58">
        <f>IF(P147,O147*'[1]ETC Data'!$H$3*'[1]ETC Data'!$I$3,0)</f>
        <v>0</v>
      </c>
      <c r="R147" s="58">
        <f>Q147-(Q147*((VLOOKUP(A147,[1]Plan!A$1:Z$804,26,FALSE)/100)))</f>
        <v>0</v>
      </c>
      <c r="S147" s="58">
        <f>IF(P147,O147*'[1]ETC Data'!$H$3*'[1]ETC Data'!$J$3,0)</f>
        <v>0</v>
      </c>
      <c r="T147" s="58">
        <f>S147-(S147*((VLOOKUP(A147,[1]Plan!A$1:AA$804,27,FALSE)/100)))</f>
        <v>0</v>
      </c>
      <c r="U147" s="58">
        <f>IF(P147,O147*'[1]ETC Data'!$H$3*'[1]ETC Data'!$K$3,0)</f>
        <v>0</v>
      </c>
      <c r="V147" s="58">
        <f>U147-(U147*((VLOOKUP(A147,[1]Plan!A$1:AB$804,28,FALSE)/100)))</f>
        <v>0</v>
      </c>
      <c r="W147" s="58">
        <f>IF(P147,O147*'[1]ETC Data'!$H$3*'[1]ETC Data'!$L$3,0)</f>
        <v>0</v>
      </c>
      <c r="X147" s="58">
        <f>W147-(W147*((VLOOKUP(A147,[1]Plan!A$1:AC$804,29,FALSE)/100)))</f>
        <v>0</v>
      </c>
      <c r="Y147" s="59"/>
      <c r="Z147" s="60" t="b">
        <f>OR(H147="Y",J147="Y")</f>
        <v>0</v>
      </c>
      <c r="AA147" s="58">
        <f>IF(Z147,O147*'[1]ETC Data'!$H$4*'[1]ETC Data'!$I$4,0)</f>
        <v>0</v>
      </c>
      <c r="AB147" s="58">
        <f>AA147-(AA147*((VLOOKUP(A147,[1]Plan!A$1:AI$804,35,FALSE)/100)))</f>
        <v>0</v>
      </c>
      <c r="AC147" s="58">
        <f>IF(Z147,O147*'[1]ETC Data'!$H$4*'[1]ETC Data'!$J$4,0)</f>
        <v>0</v>
      </c>
      <c r="AD147" s="58">
        <f>AC147-(AC147*((VLOOKUP(A147,[1]Plan!A$1:AJ$804,36,FALSE)/100)))</f>
        <v>0</v>
      </c>
      <c r="AE147" s="58">
        <f>IF(Z147,O147*'[1]ETC Data'!$H$4*'[1]ETC Data'!$K$4,0)</f>
        <v>0</v>
      </c>
      <c r="AF147" s="58">
        <f>AE147-(AE147*((VLOOKUP(A147,[1]Plan!A$1:AK$804,37,FALSE)/100)))</f>
        <v>0</v>
      </c>
      <c r="AG147" s="58">
        <f>IF(Z147,O147*'[1]ETC Data'!$H$4*'[1]ETC Data'!$L$4,0)</f>
        <v>0</v>
      </c>
      <c r="AH147" s="58">
        <f>AG147-(AG147*((VLOOKUP(A147,[1]Plan!A$1:AP$804,42,FALSE)/100)))</f>
        <v>0</v>
      </c>
      <c r="AI147" s="60"/>
      <c r="AJ147" s="60" t="b">
        <f>OR(H147="Y",K147="Y")</f>
        <v>0</v>
      </c>
      <c r="AK147" s="61">
        <f>IF(AJ147,O147*'[1]ETC Data'!$H$5*'[1]ETC Data'!$I$5,0)</f>
        <v>0</v>
      </c>
      <c r="AL147" s="58">
        <f>AK147-(AK147*((VLOOKUP(A147,[1]Plan!A$1:AY$804,51,FALSE)/100)))</f>
        <v>0</v>
      </c>
      <c r="AM147" s="58">
        <f>IF(AJ147,O147*'[1]ETC Data'!$H$5*'[1]ETC Data'!$J$5,0)</f>
        <v>0</v>
      </c>
      <c r="AN147" s="58">
        <f>AM147-(AM147*((VLOOKUP(A147,[1]Plan!A$1:BA$804,53,FALSE)/100)))</f>
        <v>0</v>
      </c>
      <c r="AO147" s="61">
        <f>IF(AJ147,O147*'[1]ETC Data'!$H$5*'[1]ETC Data'!$K$5,0)</f>
        <v>0</v>
      </c>
      <c r="AP147" s="58">
        <f>AO147-(AO147*((VLOOKUP(A147,[1]Plan!A$1:BB$804,54,FALSE)/100)))</f>
        <v>0</v>
      </c>
      <c r="AQ147" s="58">
        <f>IF(AJ147,O147*'[1]ETC Data'!$H$5*'[1]ETC Data'!$L$5,0)</f>
        <v>0</v>
      </c>
      <c r="AR147" s="58">
        <f>AQ147-(AQ147*((VLOOKUP(A147,[1]Plan!A$1:BD$804,56,FALSE)/100)))</f>
        <v>0</v>
      </c>
      <c r="AS147" s="20">
        <f>VLOOKUP(A147,'[1]PR Matrix'!A:B,2,FALSE)</f>
        <v>0</v>
      </c>
      <c r="AT147" s="21">
        <f>R147+T147+V147+X147+AB147+AD147+AF147+AH147+AL147+AN147+AP147+AR147</f>
        <v>0</v>
      </c>
      <c r="AU147" s="21">
        <f>Q147+S147+U147+W147+AA147+AC147+AE147+AG147+AK147+AM147+AO147+AQ147</f>
        <v>0</v>
      </c>
      <c r="AV147" s="21">
        <f>R147+AB147+AL147</f>
        <v>0</v>
      </c>
      <c r="AW147" s="21">
        <f>T147+AD147+AN147</f>
        <v>0</v>
      </c>
      <c r="AX147" s="21">
        <f>V147+AF147+AP147</f>
        <v>0</v>
      </c>
      <c r="AY147" s="21">
        <f>X147+AH147+AR147</f>
        <v>0</v>
      </c>
    </row>
    <row r="148" spans="1:51" hidden="1" x14ac:dyDescent="0.2">
      <c r="A148" s="50" t="s">
        <v>355</v>
      </c>
      <c r="B148" s="51" t="s">
        <v>208</v>
      </c>
      <c r="C148" s="51"/>
      <c r="D148" s="51"/>
      <c r="E148" s="52">
        <f>IF(G148="Y",VLOOKUP(B148&amp;"|"&amp;C148,'[1]ETC Data'!$C$2:$D$16,2,FALSE),0)</f>
        <v>0</v>
      </c>
      <c r="F148" s="52">
        <f>IF(D148="",0,IF(G148="Y",VLOOKUP(B148&amp;"|"&amp;D148,'[1]ETC Data'!$C$2:$D$16,2,FALSE),0))</f>
        <v>0</v>
      </c>
      <c r="G148" s="53" t="str">
        <f>IF(VLOOKUP(A148,[1]Plan!A$1:H$804,8,FALSE)&lt;&gt;"",VLOOKUP(A148,[1]Plan!A$1:H$804,8,FALSE),"")</f>
        <v>N</v>
      </c>
      <c r="H148" s="54" t="str">
        <f>IF(VLOOKUP(A148,[1]Plan!A$1:L$804,12,FALSE)&lt;&gt;"",VLOOKUP(A148,[1]Plan!A$1:L$804,12,FALSE),"")</f>
        <v/>
      </c>
      <c r="I148" s="55" t="str">
        <f>IF(VLOOKUP(A148,[1]Plan!A$1:M$804,13,FALSE)&lt;&gt;"",VLOOKUP(A148,[1]Plan!A$1:M$804,13,FALSE),"")</f>
        <v/>
      </c>
      <c r="J148" s="55" t="str">
        <f>IF(VLOOKUP(A148,[1]Plan!A$1:N$804,14,FALSE)&lt;&gt;"",VLOOKUP(A148,[1]Plan!A$1:N$804,14,FALSE),IF(VLOOKUP(A148,[1]Plan!A$1:O$804,15,FALSE)&lt;&gt;"",VLOOKUP(A148,[1]Plan!A$1:O$804,15,FALSE),""))</f>
        <v/>
      </c>
      <c r="K148" s="56" t="str">
        <f>IF(VLOOKUP(A148,[1]Plan!A$1:P$804,16,FALSE)&lt;&gt;"",VLOOKUP(A148,[1]Plan!A$1:P$804,16,FALSE),"")</f>
        <v/>
      </c>
      <c r="L148" s="55"/>
      <c r="M148" s="55"/>
      <c r="N148" s="55"/>
      <c r="O148" s="57">
        <f>IF(F148=0,E148,F148)</f>
        <v>0</v>
      </c>
      <c r="P148" s="57" t="b">
        <f>OR(H148="Y",I148="Y")</f>
        <v>0</v>
      </c>
      <c r="Q148" s="58">
        <f>IF(P148,O148*'[1]ETC Data'!$H$3*'[1]ETC Data'!$I$3,0)</f>
        <v>0</v>
      </c>
      <c r="R148" s="58">
        <f>Q148-(Q148*((VLOOKUP(A148,[1]Plan!A$1:Z$804,26,FALSE)/100)))</f>
        <v>0</v>
      </c>
      <c r="S148" s="58">
        <f>IF(P148,O148*'[1]ETC Data'!$H$3*'[1]ETC Data'!$J$3,0)</f>
        <v>0</v>
      </c>
      <c r="T148" s="58">
        <f>S148-(S148*((VLOOKUP(A148,[1]Plan!A$1:AA$804,27,FALSE)/100)))</f>
        <v>0</v>
      </c>
      <c r="U148" s="58">
        <f>IF(P148,O148*'[1]ETC Data'!$H$3*'[1]ETC Data'!$K$3,0)</f>
        <v>0</v>
      </c>
      <c r="V148" s="58">
        <f>U148-(U148*((VLOOKUP(A148,[1]Plan!A$1:AB$804,28,FALSE)/100)))</f>
        <v>0</v>
      </c>
      <c r="W148" s="58">
        <f>IF(P148,O148*'[1]ETC Data'!$H$3*'[1]ETC Data'!$L$3,0)</f>
        <v>0</v>
      </c>
      <c r="X148" s="58">
        <f>W148-(W148*((VLOOKUP(A148,[1]Plan!A$1:AC$804,29,FALSE)/100)))</f>
        <v>0</v>
      </c>
      <c r="Y148" s="59"/>
      <c r="Z148" s="60" t="b">
        <f>OR(H148="Y",J148="Y")</f>
        <v>0</v>
      </c>
      <c r="AA148" s="58">
        <f>IF(Z148,O148*'[1]ETC Data'!$H$4*'[1]ETC Data'!$I$4,0)</f>
        <v>0</v>
      </c>
      <c r="AB148" s="58">
        <f>AA148-(AA148*((VLOOKUP(A148,[1]Plan!A$1:AI$804,35,FALSE)/100)))</f>
        <v>0</v>
      </c>
      <c r="AC148" s="58">
        <f>IF(Z148,O148*'[1]ETC Data'!$H$4*'[1]ETC Data'!$J$4,0)</f>
        <v>0</v>
      </c>
      <c r="AD148" s="58">
        <f>AC148-(AC148*((VLOOKUP(A148,[1]Plan!A$1:AJ$804,36,FALSE)/100)))</f>
        <v>0</v>
      </c>
      <c r="AE148" s="58">
        <f>IF(Z148,O148*'[1]ETC Data'!$H$4*'[1]ETC Data'!$K$4,0)</f>
        <v>0</v>
      </c>
      <c r="AF148" s="58">
        <f>AE148-(AE148*((VLOOKUP(A148,[1]Plan!A$1:AK$804,37,FALSE)/100)))</f>
        <v>0</v>
      </c>
      <c r="AG148" s="58">
        <f>IF(Z148,O148*'[1]ETC Data'!$H$4*'[1]ETC Data'!$L$4,0)</f>
        <v>0</v>
      </c>
      <c r="AH148" s="58">
        <f>AG148-(AG148*((VLOOKUP(A148,[1]Plan!A$1:AP$804,42,FALSE)/100)))</f>
        <v>0</v>
      </c>
      <c r="AI148" s="60"/>
      <c r="AJ148" s="60" t="b">
        <f>OR(H148="Y",K148="Y")</f>
        <v>0</v>
      </c>
      <c r="AK148" s="61">
        <f>IF(AJ148,O148*'[1]ETC Data'!$H$5*'[1]ETC Data'!$I$5,0)</f>
        <v>0</v>
      </c>
      <c r="AL148" s="58">
        <f>AK148-(AK148*((VLOOKUP(A148,[1]Plan!A$1:AY$804,51,FALSE)/100)))</f>
        <v>0</v>
      </c>
      <c r="AM148" s="58">
        <f>IF(AJ148,O148*'[1]ETC Data'!$H$5*'[1]ETC Data'!$J$5,0)</f>
        <v>0</v>
      </c>
      <c r="AN148" s="58">
        <f>AM148-(AM148*((VLOOKUP(A148,[1]Plan!A$1:BA$804,53,FALSE)/100)))</f>
        <v>0</v>
      </c>
      <c r="AO148" s="61">
        <f>IF(AJ148,O148*'[1]ETC Data'!$H$5*'[1]ETC Data'!$K$5,0)</f>
        <v>0</v>
      </c>
      <c r="AP148" s="58">
        <f>AO148-(AO148*((VLOOKUP(A148,[1]Plan!A$1:BB$804,54,FALSE)/100)))</f>
        <v>0</v>
      </c>
      <c r="AQ148" s="58">
        <f>IF(AJ148,O148*'[1]ETC Data'!$H$5*'[1]ETC Data'!$L$5,0)</f>
        <v>0</v>
      </c>
      <c r="AR148" s="58">
        <f>AQ148-(AQ148*((VLOOKUP(A148,[1]Plan!A$1:BD$804,56,FALSE)/100)))</f>
        <v>0</v>
      </c>
      <c r="AS148" s="20">
        <f>VLOOKUP(A148,'[1]PR Matrix'!A:B,2,FALSE)</f>
        <v>0</v>
      </c>
      <c r="AT148" s="21">
        <f>R148+T148+V148+X148+AB148+AD148+AF148+AH148+AL148+AN148+AP148+AR148</f>
        <v>0</v>
      </c>
      <c r="AU148" s="21">
        <f>Q148+S148+U148+W148+AA148+AC148+AE148+AG148+AK148+AM148+AO148+AQ148</f>
        <v>0</v>
      </c>
      <c r="AV148" s="21">
        <f>R148+AB148+AL148</f>
        <v>0</v>
      </c>
      <c r="AW148" s="21">
        <f>T148+AD148+AN148</f>
        <v>0</v>
      </c>
      <c r="AX148" s="21">
        <f>V148+AF148+AP148</f>
        <v>0</v>
      </c>
      <c r="AY148" s="21">
        <f>X148+AH148+AR148</f>
        <v>0</v>
      </c>
    </row>
    <row r="149" spans="1:51" hidden="1" x14ac:dyDescent="0.2">
      <c r="A149" s="50" t="s">
        <v>356</v>
      </c>
      <c r="B149" s="51" t="s">
        <v>208</v>
      </c>
      <c r="C149" s="51"/>
      <c r="D149" s="51"/>
      <c r="E149" s="52">
        <f>IF(G149="Y",VLOOKUP(B149&amp;"|"&amp;C149,'[1]ETC Data'!$C$2:$D$16,2,FALSE),0)</f>
        <v>0</v>
      </c>
      <c r="F149" s="52">
        <f>IF(D149="",0,IF(G149="Y",VLOOKUP(B149&amp;"|"&amp;D149,'[1]ETC Data'!$C$2:$D$16,2,FALSE),0))</f>
        <v>0</v>
      </c>
      <c r="G149" s="53" t="str">
        <f>IF(VLOOKUP(A149,[1]Plan!A$1:H$804,8,FALSE)&lt;&gt;"",VLOOKUP(A149,[1]Plan!A$1:H$804,8,FALSE),"")</f>
        <v>N</v>
      </c>
      <c r="H149" s="54" t="str">
        <f>IF(VLOOKUP(A149,[1]Plan!A$1:L$804,12,FALSE)&lt;&gt;"",VLOOKUP(A149,[1]Plan!A$1:L$804,12,FALSE),"")</f>
        <v/>
      </c>
      <c r="I149" s="55" t="str">
        <f>IF(VLOOKUP(A149,[1]Plan!A$1:M$804,13,FALSE)&lt;&gt;"",VLOOKUP(A149,[1]Plan!A$1:M$804,13,FALSE),"")</f>
        <v/>
      </c>
      <c r="J149" s="55" t="str">
        <f>IF(VLOOKUP(A149,[1]Plan!A$1:N$804,14,FALSE)&lt;&gt;"",VLOOKUP(A149,[1]Plan!A$1:N$804,14,FALSE),IF(VLOOKUP(A149,[1]Plan!A$1:O$804,15,FALSE)&lt;&gt;"",VLOOKUP(A149,[1]Plan!A$1:O$804,15,FALSE),""))</f>
        <v/>
      </c>
      <c r="K149" s="56" t="str">
        <f>IF(VLOOKUP(A149,[1]Plan!A$1:P$804,16,FALSE)&lt;&gt;"",VLOOKUP(A149,[1]Plan!A$1:P$804,16,FALSE),"")</f>
        <v/>
      </c>
      <c r="L149" s="55"/>
      <c r="M149" s="55"/>
      <c r="N149" s="55"/>
      <c r="O149" s="57">
        <f>IF(F149=0,E149,F149)</f>
        <v>0</v>
      </c>
      <c r="P149" s="57" t="b">
        <f>OR(H149="Y",I149="Y")</f>
        <v>0</v>
      </c>
      <c r="Q149" s="58">
        <f>IF(P149,O149*'[1]ETC Data'!$H$3*'[1]ETC Data'!$I$3,0)</f>
        <v>0</v>
      </c>
      <c r="R149" s="58">
        <f>Q149-(Q149*((VLOOKUP(A149,[1]Plan!A$1:Z$804,26,FALSE)/100)))</f>
        <v>0</v>
      </c>
      <c r="S149" s="58">
        <f>IF(P149,O149*'[1]ETC Data'!$H$3*'[1]ETC Data'!$J$3,0)</f>
        <v>0</v>
      </c>
      <c r="T149" s="58">
        <f>S149-(S149*((VLOOKUP(A149,[1]Plan!A$1:AA$804,27,FALSE)/100)))</f>
        <v>0</v>
      </c>
      <c r="U149" s="58">
        <f>IF(P149,O149*'[1]ETC Data'!$H$3*'[1]ETC Data'!$K$3,0)</f>
        <v>0</v>
      </c>
      <c r="V149" s="58">
        <f>U149-(U149*((VLOOKUP(A149,[1]Plan!A$1:AB$804,28,FALSE)/100)))</f>
        <v>0</v>
      </c>
      <c r="W149" s="58">
        <f>IF(P149,O149*'[1]ETC Data'!$H$3*'[1]ETC Data'!$L$3,0)</f>
        <v>0</v>
      </c>
      <c r="X149" s="58">
        <f>W149-(W149*((VLOOKUP(A149,[1]Plan!A$1:AC$804,29,FALSE)/100)))</f>
        <v>0</v>
      </c>
      <c r="Y149" s="59"/>
      <c r="Z149" s="60" t="b">
        <f>OR(H149="Y",J149="Y")</f>
        <v>0</v>
      </c>
      <c r="AA149" s="58">
        <f>IF(Z149,O149*'[1]ETC Data'!$H$4*'[1]ETC Data'!$I$4,0)</f>
        <v>0</v>
      </c>
      <c r="AB149" s="58">
        <f>AA149-(AA149*((VLOOKUP(A149,[1]Plan!A$1:AI$804,35,FALSE)/100)))</f>
        <v>0</v>
      </c>
      <c r="AC149" s="58">
        <f>IF(Z149,O149*'[1]ETC Data'!$H$4*'[1]ETC Data'!$J$4,0)</f>
        <v>0</v>
      </c>
      <c r="AD149" s="58">
        <f>AC149-(AC149*((VLOOKUP(A149,[1]Plan!A$1:AJ$804,36,FALSE)/100)))</f>
        <v>0</v>
      </c>
      <c r="AE149" s="58">
        <f>IF(Z149,O149*'[1]ETC Data'!$H$4*'[1]ETC Data'!$K$4,0)</f>
        <v>0</v>
      </c>
      <c r="AF149" s="58">
        <f>AE149-(AE149*((VLOOKUP(A149,[1]Plan!A$1:AK$804,37,FALSE)/100)))</f>
        <v>0</v>
      </c>
      <c r="AG149" s="58">
        <f>IF(Z149,O149*'[1]ETC Data'!$H$4*'[1]ETC Data'!$L$4,0)</f>
        <v>0</v>
      </c>
      <c r="AH149" s="58">
        <f>AG149-(AG149*((VLOOKUP(A149,[1]Plan!A$1:AP$804,42,FALSE)/100)))</f>
        <v>0</v>
      </c>
      <c r="AI149" s="60"/>
      <c r="AJ149" s="60" t="b">
        <f>OR(H149="Y",K149="Y")</f>
        <v>0</v>
      </c>
      <c r="AK149" s="61">
        <f>IF(AJ149,O149*'[1]ETC Data'!$H$5*'[1]ETC Data'!$I$5,0)</f>
        <v>0</v>
      </c>
      <c r="AL149" s="58">
        <f>AK149-(AK149*((VLOOKUP(A149,[1]Plan!A$1:AY$804,51,FALSE)/100)))</f>
        <v>0</v>
      </c>
      <c r="AM149" s="58">
        <f>IF(AJ149,O149*'[1]ETC Data'!$H$5*'[1]ETC Data'!$J$5,0)</f>
        <v>0</v>
      </c>
      <c r="AN149" s="58">
        <f>AM149-(AM149*((VLOOKUP(A149,[1]Plan!A$1:BA$804,53,FALSE)/100)))</f>
        <v>0</v>
      </c>
      <c r="AO149" s="61">
        <f>IF(AJ149,O149*'[1]ETC Data'!$H$5*'[1]ETC Data'!$K$5,0)</f>
        <v>0</v>
      </c>
      <c r="AP149" s="58">
        <f>AO149-(AO149*((VLOOKUP(A149,[1]Plan!A$1:BB$804,54,FALSE)/100)))</f>
        <v>0</v>
      </c>
      <c r="AQ149" s="58">
        <f>IF(AJ149,O149*'[1]ETC Data'!$H$5*'[1]ETC Data'!$L$5,0)</f>
        <v>0</v>
      </c>
      <c r="AR149" s="58">
        <f>AQ149-(AQ149*((VLOOKUP(A149,[1]Plan!A$1:BD$804,56,FALSE)/100)))</f>
        <v>0</v>
      </c>
      <c r="AS149" s="20">
        <f>VLOOKUP(A149,'[1]PR Matrix'!A:B,2,FALSE)</f>
        <v>0</v>
      </c>
      <c r="AT149" s="21">
        <f>R149+T149+V149+X149+AB149+AD149+AF149+AH149+AL149+AN149+AP149+AR149</f>
        <v>0</v>
      </c>
      <c r="AU149" s="21">
        <f>Q149+S149+U149+W149+AA149+AC149+AE149+AG149+AK149+AM149+AO149+AQ149</f>
        <v>0</v>
      </c>
      <c r="AV149" s="21">
        <f>R149+AB149+AL149</f>
        <v>0</v>
      </c>
      <c r="AW149" s="21">
        <f>T149+AD149+AN149</f>
        <v>0</v>
      </c>
      <c r="AX149" s="21">
        <f>V149+AF149+AP149</f>
        <v>0</v>
      </c>
      <c r="AY149" s="21">
        <f>X149+AH149+AR149</f>
        <v>0</v>
      </c>
    </row>
    <row r="150" spans="1:51" hidden="1" x14ac:dyDescent="0.2">
      <c r="A150" s="69" t="s">
        <v>357</v>
      </c>
      <c r="B150" s="51" t="s">
        <v>208</v>
      </c>
      <c r="C150" s="51"/>
      <c r="D150" s="51"/>
      <c r="E150" s="52">
        <f>IF(G150="Y",VLOOKUP(B150&amp;"|"&amp;C150,'[1]ETC Data'!$C$2:$D$16,2,FALSE),0)</f>
        <v>0</v>
      </c>
      <c r="F150" s="52">
        <f>IF(D150="",0,IF(G150="Y",VLOOKUP(B150&amp;"|"&amp;D150,'[1]ETC Data'!$C$2:$D$16,2,FALSE),0))</f>
        <v>0</v>
      </c>
      <c r="G150" s="53" t="str">
        <f>IF(VLOOKUP(A150,[1]Plan!A$1:H$804,8,FALSE)&lt;&gt;"",VLOOKUP(A150,[1]Plan!A$1:H$804,8,FALSE),"")</f>
        <v>N</v>
      </c>
      <c r="H150" s="54" t="str">
        <f>IF(VLOOKUP(A150,[1]Plan!A$1:L$804,12,FALSE)&lt;&gt;"",VLOOKUP(A150,[1]Plan!A$1:L$804,12,FALSE),"")</f>
        <v/>
      </c>
      <c r="I150" s="55" t="str">
        <f>IF(VLOOKUP(A150,[1]Plan!A$1:M$804,13,FALSE)&lt;&gt;"",VLOOKUP(A150,[1]Plan!A$1:M$804,13,FALSE),"")</f>
        <v/>
      </c>
      <c r="J150" s="55" t="str">
        <f>IF(VLOOKUP(A150,[1]Plan!A$1:N$804,14,FALSE)&lt;&gt;"",VLOOKUP(A150,[1]Plan!A$1:N$804,14,FALSE),IF(VLOOKUP(A150,[1]Plan!A$1:O$804,15,FALSE)&lt;&gt;"",VLOOKUP(A150,[1]Plan!A$1:O$804,15,FALSE),""))</f>
        <v/>
      </c>
      <c r="K150" s="56" t="str">
        <f>IF(VLOOKUP(A150,[1]Plan!A$1:P$804,16,FALSE)&lt;&gt;"",VLOOKUP(A150,[1]Plan!A$1:P$804,16,FALSE),"")</f>
        <v/>
      </c>
      <c r="L150" s="55"/>
      <c r="M150" s="55"/>
      <c r="N150" s="55"/>
      <c r="O150" s="57">
        <f>IF(F150=0,E150,F150)</f>
        <v>0</v>
      </c>
      <c r="P150" s="57" t="b">
        <f>OR(H150="Y",I150="Y")</f>
        <v>0</v>
      </c>
      <c r="Q150" s="58">
        <f>IF(P150,O150*'[1]ETC Data'!$H$3*'[1]ETC Data'!$I$3,0)</f>
        <v>0</v>
      </c>
      <c r="R150" s="58">
        <f>Q150-(Q150*((VLOOKUP(A150,[1]Plan!A$1:Z$804,26,FALSE)/100)))</f>
        <v>0</v>
      </c>
      <c r="S150" s="58">
        <f>IF(P150,O150*'[1]ETC Data'!$H$3*'[1]ETC Data'!$J$3,0)</f>
        <v>0</v>
      </c>
      <c r="T150" s="58">
        <f>S150-(S150*((VLOOKUP(A150,[1]Plan!A$1:AA$804,27,FALSE)/100)))</f>
        <v>0</v>
      </c>
      <c r="U150" s="58">
        <f>IF(P150,O150*'[1]ETC Data'!$H$3*'[1]ETC Data'!$K$3,0)</f>
        <v>0</v>
      </c>
      <c r="V150" s="58">
        <f>U150-(U150*((VLOOKUP(A150,[1]Plan!A$1:AB$804,28,FALSE)/100)))</f>
        <v>0</v>
      </c>
      <c r="W150" s="58">
        <f>IF(P150,O150*'[1]ETC Data'!$H$3*'[1]ETC Data'!$L$3,0)</f>
        <v>0</v>
      </c>
      <c r="X150" s="58">
        <f>W150-(W150*((VLOOKUP(A150,[1]Plan!A$1:AC$804,29,FALSE)/100)))</f>
        <v>0</v>
      </c>
      <c r="Y150" s="59"/>
      <c r="Z150" s="60" t="b">
        <f>OR(H150="Y",J150="Y")</f>
        <v>0</v>
      </c>
      <c r="AA150" s="58">
        <f>IF(Z150,O150*'[1]ETC Data'!$H$4*'[1]ETC Data'!$I$4,0)</f>
        <v>0</v>
      </c>
      <c r="AB150" s="58">
        <f>AA150-(AA150*((VLOOKUP(A150,[1]Plan!A$1:AI$804,35,FALSE)/100)))</f>
        <v>0</v>
      </c>
      <c r="AC150" s="58">
        <f>IF(Z150,O150*'[1]ETC Data'!$H$4*'[1]ETC Data'!$J$4,0)</f>
        <v>0</v>
      </c>
      <c r="AD150" s="58">
        <f>AC150-(AC150*((VLOOKUP(A150,[1]Plan!A$1:AJ$804,36,FALSE)/100)))</f>
        <v>0</v>
      </c>
      <c r="AE150" s="58">
        <f>IF(Z150,O150*'[1]ETC Data'!$H$4*'[1]ETC Data'!$K$4,0)</f>
        <v>0</v>
      </c>
      <c r="AF150" s="58">
        <f>AE150-(AE150*((VLOOKUP(A150,[1]Plan!A$1:AK$804,37,FALSE)/100)))</f>
        <v>0</v>
      </c>
      <c r="AG150" s="58">
        <f>IF(Z150,O150*'[1]ETC Data'!$H$4*'[1]ETC Data'!$L$4,0)</f>
        <v>0</v>
      </c>
      <c r="AH150" s="58">
        <f>AG150-(AG150*((VLOOKUP(A150,[1]Plan!A$1:AP$804,42,FALSE)/100)))</f>
        <v>0</v>
      </c>
      <c r="AI150" s="60"/>
      <c r="AJ150" s="60" t="b">
        <f>OR(H150="Y",K150="Y")</f>
        <v>0</v>
      </c>
      <c r="AK150" s="61">
        <f>IF(AJ150,O150*'[1]ETC Data'!$H$5*'[1]ETC Data'!$I$5,0)</f>
        <v>0</v>
      </c>
      <c r="AL150" s="58">
        <f>AK150-(AK150*((VLOOKUP(A150,[1]Plan!A$1:AY$804,51,FALSE)/100)))</f>
        <v>0</v>
      </c>
      <c r="AM150" s="58">
        <f>IF(AJ150,O150*'[1]ETC Data'!$H$5*'[1]ETC Data'!$J$5,0)</f>
        <v>0</v>
      </c>
      <c r="AN150" s="58">
        <f>AM150-(AM150*((VLOOKUP(A150,[1]Plan!A$1:BA$804,53,FALSE)/100)))</f>
        <v>0</v>
      </c>
      <c r="AO150" s="61">
        <f>IF(AJ150,O150*'[1]ETC Data'!$H$5*'[1]ETC Data'!$K$5,0)</f>
        <v>0</v>
      </c>
      <c r="AP150" s="58">
        <f>AO150-(AO150*((VLOOKUP(A150,[1]Plan!A$1:BB$804,54,FALSE)/100)))</f>
        <v>0</v>
      </c>
      <c r="AQ150" s="58">
        <f>IF(AJ150,O150*'[1]ETC Data'!$H$5*'[1]ETC Data'!$L$5,0)</f>
        <v>0</v>
      </c>
      <c r="AR150" s="58">
        <f>AQ150-(AQ150*((VLOOKUP(A150,[1]Plan!A$1:BD$804,56,FALSE)/100)))</f>
        <v>0</v>
      </c>
      <c r="AS150" s="20">
        <f>VLOOKUP(A150,'[1]PR Matrix'!A:B,2,FALSE)</f>
        <v>0</v>
      </c>
      <c r="AT150" s="21">
        <f>R150+T150+V150+X150+AB150+AD150+AF150+AH150+AL150+AN150+AP150+AR150</f>
        <v>0</v>
      </c>
      <c r="AU150" s="21">
        <f>Q150+S150+U150+W150+AA150+AC150+AE150+AG150+AK150+AM150+AO150+AQ150</f>
        <v>0</v>
      </c>
      <c r="AV150" s="21">
        <f>R150+AB150+AL150</f>
        <v>0</v>
      </c>
      <c r="AW150" s="21">
        <f>T150+AD150+AN150</f>
        <v>0</v>
      </c>
      <c r="AX150" s="21">
        <f>V150+AF150+AP150</f>
        <v>0</v>
      </c>
      <c r="AY150" s="21">
        <f>X150+AH150+AR150</f>
        <v>0</v>
      </c>
    </row>
    <row r="151" spans="1:51" hidden="1" x14ac:dyDescent="0.2">
      <c r="A151" s="50" t="s">
        <v>358</v>
      </c>
      <c r="B151" s="51" t="s">
        <v>208</v>
      </c>
      <c r="C151" s="51"/>
      <c r="D151" s="51"/>
      <c r="E151" s="52">
        <f>IF(G151="Y",VLOOKUP(B151&amp;"|"&amp;C151,'[1]ETC Data'!$C$2:$D$16,2,FALSE),0)</f>
        <v>0</v>
      </c>
      <c r="F151" s="52">
        <f>IF(D151="",0,IF(G151="Y",VLOOKUP(B151&amp;"|"&amp;D151,'[1]ETC Data'!$C$2:$D$16,2,FALSE),0))</f>
        <v>0</v>
      </c>
      <c r="G151" s="53" t="str">
        <f>IF(VLOOKUP(A151,[1]Plan!A$1:H$804,8,FALSE)&lt;&gt;"",VLOOKUP(A151,[1]Plan!A$1:H$804,8,FALSE),"")</f>
        <v>N</v>
      </c>
      <c r="H151" s="54" t="str">
        <f>IF(VLOOKUP(A151,[1]Plan!A$1:L$804,12,FALSE)&lt;&gt;"",VLOOKUP(A151,[1]Plan!A$1:L$804,12,FALSE),"")</f>
        <v/>
      </c>
      <c r="I151" s="55" t="str">
        <f>IF(VLOOKUP(A151,[1]Plan!A$1:M$804,13,FALSE)&lt;&gt;"",VLOOKUP(A151,[1]Plan!A$1:M$804,13,FALSE),"")</f>
        <v/>
      </c>
      <c r="J151" s="55" t="str">
        <f>IF(VLOOKUP(A151,[1]Plan!A$1:N$804,14,FALSE)&lt;&gt;"",VLOOKUP(A151,[1]Plan!A$1:N$804,14,FALSE),IF(VLOOKUP(A151,[1]Plan!A$1:O$804,15,FALSE)&lt;&gt;"",VLOOKUP(A151,[1]Plan!A$1:O$804,15,FALSE),""))</f>
        <v/>
      </c>
      <c r="K151" s="56" t="str">
        <f>IF(VLOOKUP(A151,[1]Plan!A$1:P$804,16,FALSE)&lt;&gt;"",VLOOKUP(A151,[1]Plan!A$1:P$804,16,FALSE),"")</f>
        <v/>
      </c>
      <c r="L151" s="55"/>
      <c r="M151" s="55"/>
      <c r="N151" s="55"/>
      <c r="O151" s="57">
        <f>IF(F151=0,E151,F151)</f>
        <v>0</v>
      </c>
      <c r="P151" s="57" t="b">
        <f>OR(H151="Y",I151="Y")</f>
        <v>0</v>
      </c>
      <c r="Q151" s="58">
        <f>IF(P151,O151*'[1]ETC Data'!$H$3*'[1]ETC Data'!$I$3,0)</f>
        <v>0</v>
      </c>
      <c r="R151" s="58">
        <f>Q151-(Q151*((VLOOKUP(A151,[1]Plan!A$1:Z$804,26,FALSE)/100)))</f>
        <v>0</v>
      </c>
      <c r="S151" s="58">
        <f>IF(P151,O151*'[1]ETC Data'!$H$3*'[1]ETC Data'!$J$3,0)</f>
        <v>0</v>
      </c>
      <c r="T151" s="58">
        <f>S151-(S151*((VLOOKUP(A151,[1]Plan!A$1:AA$804,27,FALSE)/100)))</f>
        <v>0</v>
      </c>
      <c r="U151" s="58">
        <f>IF(P151,O151*'[1]ETC Data'!$H$3*'[1]ETC Data'!$K$3,0)</f>
        <v>0</v>
      </c>
      <c r="V151" s="58">
        <f>U151-(U151*((VLOOKUP(A151,[1]Plan!A$1:AB$804,28,FALSE)/100)))</f>
        <v>0</v>
      </c>
      <c r="W151" s="58">
        <f>IF(P151,O151*'[1]ETC Data'!$H$3*'[1]ETC Data'!$L$3,0)</f>
        <v>0</v>
      </c>
      <c r="X151" s="58">
        <f>W151-(W151*((VLOOKUP(A151,[1]Plan!A$1:AC$804,29,FALSE)/100)))</f>
        <v>0</v>
      </c>
      <c r="Y151" s="59"/>
      <c r="Z151" s="60" t="b">
        <f>OR(H151="Y",J151="Y")</f>
        <v>0</v>
      </c>
      <c r="AA151" s="58">
        <f>IF(Z151,O151*'[1]ETC Data'!$H$4*'[1]ETC Data'!$I$4,0)</f>
        <v>0</v>
      </c>
      <c r="AB151" s="58">
        <f>AA151-(AA151*((VLOOKUP(A151,[1]Plan!A$1:AI$804,35,FALSE)/100)))</f>
        <v>0</v>
      </c>
      <c r="AC151" s="58">
        <f>IF(Z151,O151*'[1]ETC Data'!$H$4*'[1]ETC Data'!$J$4,0)</f>
        <v>0</v>
      </c>
      <c r="AD151" s="58">
        <f>AC151-(AC151*((VLOOKUP(A151,[1]Plan!A$1:AJ$804,36,FALSE)/100)))</f>
        <v>0</v>
      </c>
      <c r="AE151" s="58">
        <f>IF(Z151,O151*'[1]ETC Data'!$H$4*'[1]ETC Data'!$K$4,0)</f>
        <v>0</v>
      </c>
      <c r="AF151" s="58">
        <f>AE151-(AE151*((VLOOKUP(A151,[1]Plan!A$1:AK$804,37,FALSE)/100)))</f>
        <v>0</v>
      </c>
      <c r="AG151" s="58">
        <f>IF(Z151,O151*'[1]ETC Data'!$H$4*'[1]ETC Data'!$L$4,0)</f>
        <v>0</v>
      </c>
      <c r="AH151" s="58">
        <f>AG151-(AG151*((VLOOKUP(A151,[1]Plan!A$1:AP$804,42,FALSE)/100)))</f>
        <v>0</v>
      </c>
      <c r="AI151" s="60"/>
      <c r="AJ151" s="60" t="b">
        <f>OR(H151="Y",K151="Y")</f>
        <v>0</v>
      </c>
      <c r="AK151" s="61">
        <f>IF(AJ151,O151*'[1]ETC Data'!$H$5*'[1]ETC Data'!$I$5,0)</f>
        <v>0</v>
      </c>
      <c r="AL151" s="58">
        <f>AK151-(AK151*((VLOOKUP(A151,[1]Plan!A$1:AY$804,51,FALSE)/100)))</f>
        <v>0</v>
      </c>
      <c r="AM151" s="58">
        <f>IF(AJ151,O151*'[1]ETC Data'!$H$5*'[1]ETC Data'!$J$5,0)</f>
        <v>0</v>
      </c>
      <c r="AN151" s="58">
        <f>AM151-(AM151*((VLOOKUP(A151,[1]Plan!A$1:BA$804,53,FALSE)/100)))</f>
        <v>0</v>
      </c>
      <c r="AO151" s="61">
        <f>IF(AJ151,O151*'[1]ETC Data'!$H$5*'[1]ETC Data'!$K$5,0)</f>
        <v>0</v>
      </c>
      <c r="AP151" s="58">
        <f>AO151-(AO151*((VLOOKUP(A151,[1]Plan!A$1:BB$804,54,FALSE)/100)))</f>
        <v>0</v>
      </c>
      <c r="AQ151" s="58">
        <f>IF(AJ151,O151*'[1]ETC Data'!$H$5*'[1]ETC Data'!$L$5,0)</f>
        <v>0</v>
      </c>
      <c r="AR151" s="58">
        <f>AQ151-(AQ151*((VLOOKUP(A151,[1]Plan!A$1:BD$804,56,FALSE)/100)))</f>
        <v>0</v>
      </c>
      <c r="AS151" s="20">
        <f>VLOOKUP(A151,'[1]PR Matrix'!A:B,2,FALSE)</f>
        <v>0</v>
      </c>
      <c r="AT151" s="21">
        <f>R151+T151+V151+X151+AB151+AD151+AF151+AH151+AL151+AN151+AP151+AR151</f>
        <v>0</v>
      </c>
      <c r="AU151" s="21">
        <f>Q151+S151+U151+W151+AA151+AC151+AE151+AG151+AK151+AM151+AO151+AQ151</f>
        <v>0</v>
      </c>
      <c r="AV151" s="21">
        <f>R151+AB151+AL151</f>
        <v>0</v>
      </c>
      <c r="AW151" s="21">
        <f>T151+AD151+AN151</f>
        <v>0</v>
      </c>
      <c r="AX151" s="21">
        <f>V151+AF151+AP151</f>
        <v>0</v>
      </c>
      <c r="AY151" s="21">
        <f>X151+AH151+AR151</f>
        <v>0</v>
      </c>
    </row>
    <row r="152" spans="1:51" hidden="1" x14ac:dyDescent="0.2">
      <c r="A152" s="50" t="s">
        <v>359</v>
      </c>
      <c r="B152" s="51" t="s">
        <v>208</v>
      </c>
      <c r="C152" s="51"/>
      <c r="D152" s="51"/>
      <c r="E152" s="52">
        <f>IF(G152="Y",VLOOKUP(B152&amp;"|"&amp;C152,'[1]ETC Data'!$C$2:$D$16,2,FALSE),0)</f>
        <v>0</v>
      </c>
      <c r="F152" s="52">
        <f>IF(D152="",0,IF(G152="Y",VLOOKUP(B152&amp;"|"&amp;D152,'[1]ETC Data'!$C$2:$D$16,2,FALSE),0))</f>
        <v>0</v>
      </c>
      <c r="G152" s="53" t="str">
        <f>IF(VLOOKUP(A152,[1]Plan!A$1:H$804,8,FALSE)&lt;&gt;"",VLOOKUP(A152,[1]Plan!A$1:H$804,8,FALSE),"")</f>
        <v>N</v>
      </c>
      <c r="H152" s="54" t="str">
        <f>IF(VLOOKUP(A152,[1]Plan!A$1:L$804,12,FALSE)&lt;&gt;"",VLOOKUP(A152,[1]Plan!A$1:L$804,12,FALSE),"")</f>
        <v/>
      </c>
      <c r="I152" s="55" t="str">
        <f>IF(VLOOKUP(A152,[1]Plan!A$1:M$804,13,FALSE)&lt;&gt;"",VLOOKUP(A152,[1]Plan!A$1:M$804,13,FALSE),"")</f>
        <v/>
      </c>
      <c r="J152" s="55" t="str">
        <f>IF(VLOOKUP(A152,[1]Plan!A$1:N$804,14,FALSE)&lt;&gt;"",VLOOKUP(A152,[1]Plan!A$1:N$804,14,FALSE),IF(VLOOKUP(A152,[1]Plan!A$1:O$804,15,FALSE)&lt;&gt;"",VLOOKUP(A152,[1]Plan!A$1:O$804,15,FALSE),""))</f>
        <v/>
      </c>
      <c r="K152" s="56" t="str">
        <f>IF(VLOOKUP(A152,[1]Plan!A$1:P$804,16,FALSE)&lt;&gt;"",VLOOKUP(A152,[1]Plan!A$1:P$804,16,FALSE),"")</f>
        <v/>
      </c>
      <c r="L152" s="55"/>
      <c r="M152" s="55"/>
      <c r="N152" s="55"/>
      <c r="O152" s="57">
        <f>IF(F152=0,E152,F152)</f>
        <v>0</v>
      </c>
      <c r="P152" s="57" t="b">
        <f>OR(H152="Y",I152="Y")</f>
        <v>0</v>
      </c>
      <c r="Q152" s="58">
        <f>IF(P152,O152*'[1]ETC Data'!$H$3*'[1]ETC Data'!$I$3,0)</f>
        <v>0</v>
      </c>
      <c r="R152" s="58">
        <f>Q152-(Q152*((VLOOKUP(A152,[1]Plan!A$1:Z$804,26,FALSE)/100)))</f>
        <v>0</v>
      </c>
      <c r="S152" s="58">
        <f>IF(P152,O152*'[1]ETC Data'!$H$3*'[1]ETC Data'!$J$3,0)</f>
        <v>0</v>
      </c>
      <c r="T152" s="58">
        <f>S152-(S152*((VLOOKUP(A152,[1]Plan!A$1:AA$804,27,FALSE)/100)))</f>
        <v>0</v>
      </c>
      <c r="U152" s="58">
        <f>IF(P152,O152*'[1]ETC Data'!$H$3*'[1]ETC Data'!$K$3,0)</f>
        <v>0</v>
      </c>
      <c r="V152" s="58">
        <f>U152-(U152*((VLOOKUP(A152,[1]Plan!A$1:AB$804,28,FALSE)/100)))</f>
        <v>0</v>
      </c>
      <c r="W152" s="58">
        <f>IF(P152,O152*'[1]ETC Data'!$H$3*'[1]ETC Data'!$L$3,0)</f>
        <v>0</v>
      </c>
      <c r="X152" s="58">
        <f>W152-(W152*((VLOOKUP(A152,[1]Plan!A$1:AC$804,29,FALSE)/100)))</f>
        <v>0</v>
      </c>
      <c r="Y152" s="59"/>
      <c r="Z152" s="60" t="b">
        <f>OR(H152="Y",J152="Y")</f>
        <v>0</v>
      </c>
      <c r="AA152" s="58">
        <f>IF(Z152,O152*'[1]ETC Data'!$H$4*'[1]ETC Data'!$I$4,0)</f>
        <v>0</v>
      </c>
      <c r="AB152" s="58">
        <f>AA152-(AA152*((VLOOKUP(A152,[1]Plan!A$1:AI$804,35,FALSE)/100)))</f>
        <v>0</v>
      </c>
      <c r="AC152" s="58">
        <f>IF(Z152,O152*'[1]ETC Data'!$H$4*'[1]ETC Data'!$J$4,0)</f>
        <v>0</v>
      </c>
      <c r="AD152" s="58">
        <f>AC152-(AC152*((VLOOKUP(A152,[1]Plan!A$1:AJ$804,36,FALSE)/100)))</f>
        <v>0</v>
      </c>
      <c r="AE152" s="58">
        <f>IF(Z152,O152*'[1]ETC Data'!$H$4*'[1]ETC Data'!$K$4,0)</f>
        <v>0</v>
      </c>
      <c r="AF152" s="58">
        <f>AE152-(AE152*((VLOOKUP(A152,[1]Plan!A$1:AK$804,37,FALSE)/100)))</f>
        <v>0</v>
      </c>
      <c r="AG152" s="58">
        <f>IF(Z152,O152*'[1]ETC Data'!$H$4*'[1]ETC Data'!$L$4,0)</f>
        <v>0</v>
      </c>
      <c r="AH152" s="58">
        <f>AG152-(AG152*((VLOOKUP(A152,[1]Plan!A$1:AP$804,42,FALSE)/100)))</f>
        <v>0</v>
      </c>
      <c r="AI152" s="60"/>
      <c r="AJ152" s="60" t="b">
        <f>OR(H152="Y",K152="Y")</f>
        <v>0</v>
      </c>
      <c r="AK152" s="61">
        <f>IF(AJ152,O152*'[1]ETC Data'!$H$5*'[1]ETC Data'!$I$5,0)</f>
        <v>0</v>
      </c>
      <c r="AL152" s="58">
        <f>AK152-(AK152*((VLOOKUP(A152,[1]Plan!A$1:AY$804,51,FALSE)/100)))</f>
        <v>0</v>
      </c>
      <c r="AM152" s="58">
        <f>IF(AJ152,O152*'[1]ETC Data'!$H$5*'[1]ETC Data'!$J$5,0)</f>
        <v>0</v>
      </c>
      <c r="AN152" s="58">
        <f>AM152-(AM152*((VLOOKUP(A152,[1]Plan!A$1:BA$804,53,FALSE)/100)))</f>
        <v>0</v>
      </c>
      <c r="AO152" s="61">
        <f>IF(AJ152,O152*'[1]ETC Data'!$H$5*'[1]ETC Data'!$K$5,0)</f>
        <v>0</v>
      </c>
      <c r="AP152" s="58">
        <f>AO152-(AO152*((VLOOKUP(A152,[1]Plan!A$1:BB$804,54,FALSE)/100)))</f>
        <v>0</v>
      </c>
      <c r="AQ152" s="58">
        <f>IF(AJ152,O152*'[1]ETC Data'!$H$5*'[1]ETC Data'!$L$5,0)</f>
        <v>0</v>
      </c>
      <c r="AR152" s="58">
        <f>AQ152-(AQ152*((VLOOKUP(A152,[1]Plan!A$1:BD$804,56,FALSE)/100)))</f>
        <v>0</v>
      </c>
      <c r="AS152" s="20">
        <f>VLOOKUP(A152,'[1]PR Matrix'!A:B,2,FALSE)</f>
        <v>0</v>
      </c>
      <c r="AT152" s="21">
        <f>R152+T152+V152+X152+AB152+AD152+AF152+AH152+AL152+AN152+AP152+AR152</f>
        <v>0</v>
      </c>
      <c r="AU152" s="21">
        <f>Q152+S152+U152+W152+AA152+AC152+AE152+AG152+AK152+AM152+AO152+AQ152</f>
        <v>0</v>
      </c>
      <c r="AV152" s="21">
        <f>R152+AB152+AL152</f>
        <v>0</v>
      </c>
      <c r="AW152" s="21">
        <f>T152+AD152+AN152</f>
        <v>0</v>
      </c>
      <c r="AX152" s="21">
        <f>V152+AF152+AP152</f>
        <v>0</v>
      </c>
      <c r="AY152" s="21">
        <f>X152+AH152+AR152</f>
        <v>0</v>
      </c>
    </row>
    <row r="153" spans="1:51" hidden="1" x14ac:dyDescent="0.2">
      <c r="A153" s="50" t="s">
        <v>360</v>
      </c>
      <c r="B153" s="51" t="s">
        <v>208</v>
      </c>
      <c r="C153" s="51"/>
      <c r="D153" s="51"/>
      <c r="E153" s="52">
        <f>IF(G153="Y",VLOOKUP(B153&amp;"|"&amp;C153,'[1]ETC Data'!$C$2:$D$16,2,FALSE),0)</f>
        <v>0</v>
      </c>
      <c r="F153" s="52">
        <f>IF(D153="",0,IF(G153="Y",VLOOKUP(B153&amp;"|"&amp;D153,'[1]ETC Data'!$C$2:$D$16,2,FALSE),0))</f>
        <v>0</v>
      </c>
      <c r="G153" s="53" t="str">
        <f>IF(VLOOKUP(A153,[1]Plan!A$1:H$804,8,FALSE)&lt;&gt;"",VLOOKUP(A153,[1]Plan!A$1:H$804,8,FALSE),"")</f>
        <v>N</v>
      </c>
      <c r="H153" s="54" t="str">
        <f>IF(VLOOKUP(A153,[1]Plan!A$1:L$804,12,FALSE)&lt;&gt;"",VLOOKUP(A153,[1]Plan!A$1:L$804,12,FALSE),"")</f>
        <v/>
      </c>
      <c r="I153" s="55" t="str">
        <f>IF(VLOOKUP(A153,[1]Plan!A$1:M$804,13,FALSE)&lt;&gt;"",VLOOKUP(A153,[1]Plan!A$1:M$804,13,FALSE),"")</f>
        <v/>
      </c>
      <c r="J153" s="55" t="str">
        <f>IF(VLOOKUP(A153,[1]Plan!A$1:N$804,14,FALSE)&lt;&gt;"",VLOOKUP(A153,[1]Plan!A$1:N$804,14,FALSE),IF(VLOOKUP(A153,[1]Plan!A$1:O$804,15,FALSE)&lt;&gt;"",VLOOKUP(A153,[1]Plan!A$1:O$804,15,FALSE),""))</f>
        <v/>
      </c>
      <c r="K153" s="56" t="str">
        <f>IF(VLOOKUP(A153,[1]Plan!A$1:P$804,16,FALSE)&lt;&gt;"",VLOOKUP(A153,[1]Plan!A$1:P$804,16,FALSE),"")</f>
        <v/>
      </c>
      <c r="L153" s="55"/>
      <c r="M153" s="55"/>
      <c r="N153" s="55"/>
      <c r="O153" s="57">
        <f>IF(F153=0,E153,F153)</f>
        <v>0</v>
      </c>
      <c r="P153" s="57" t="b">
        <f>OR(H153="Y",I153="Y")</f>
        <v>0</v>
      </c>
      <c r="Q153" s="58">
        <f>IF(P153,O153*'[1]ETC Data'!$H$3*'[1]ETC Data'!$I$3,0)</f>
        <v>0</v>
      </c>
      <c r="R153" s="58">
        <f>Q153-(Q153*((VLOOKUP(A153,[1]Plan!A$1:Z$804,26,FALSE)/100)))</f>
        <v>0</v>
      </c>
      <c r="S153" s="58">
        <f>IF(P153,O153*'[1]ETC Data'!$H$3*'[1]ETC Data'!$J$3,0)</f>
        <v>0</v>
      </c>
      <c r="T153" s="58">
        <f>S153-(S153*((VLOOKUP(A153,[1]Plan!A$1:AA$804,27,FALSE)/100)))</f>
        <v>0</v>
      </c>
      <c r="U153" s="58">
        <f>IF(P153,O153*'[1]ETC Data'!$H$3*'[1]ETC Data'!$K$3,0)</f>
        <v>0</v>
      </c>
      <c r="V153" s="58">
        <f>U153-(U153*((VLOOKUP(A153,[1]Plan!A$1:AB$804,28,FALSE)/100)))</f>
        <v>0</v>
      </c>
      <c r="W153" s="58">
        <f>IF(P153,O153*'[1]ETC Data'!$H$3*'[1]ETC Data'!$L$3,0)</f>
        <v>0</v>
      </c>
      <c r="X153" s="58">
        <f>W153-(W153*((VLOOKUP(A153,[1]Plan!A$1:AC$804,29,FALSE)/100)))</f>
        <v>0</v>
      </c>
      <c r="Y153" s="59"/>
      <c r="Z153" s="60" t="b">
        <f>OR(H153="Y",J153="Y")</f>
        <v>0</v>
      </c>
      <c r="AA153" s="58">
        <f>IF(Z153,O153*'[1]ETC Data'!$H$4*'[1]ETC Data'!$I$4,0)</f>
        <v>0</v>
      </c>
      <c r="AB153" s="58">
        <f>AA153-(AA153*((VLOOKUP(A153,[1]Plan!A$1:AI$804,35,FALSE)/100)))</f>
        <v>0</v>
      </c>
      <c r="AC153" s="58">
        <f>IF(Z153,O153*'[1]ETC Data'!$H$4*'[1]ETC Data'!$J$4,0)</f>
        <v>0</v>
      </c>
      <c r="AD153" s="58">
        <f>AC153-(AC153*((VLOOKUP(A153,[1]Plan!A$1:AJ$804,36,FALSE)/100)))</f>
        <v>0</v>
      </c>
      <c r="AE153" s="58">
        <f>IF(Z153,O153*'[1]ETC Data'!$H$4*'[1]ETC Data'!$K$4,0)</f>
        <v>0</v>
      </c>
      <c r="AF153" s="58">
        <f>AE153-(AE153*((VLOOKUP(A153,[1]Plan!A$1:AK$804,37,FALSE)/100)))</f>
        <v>0</v>
      </c>
      <c r="AG153" s="58">
        <f>IF(Z153,O153*'[1]ETC Data'!$H$4*'[1]ETC Data'!$L$4,0)</f>
        <v>0</v>
      </c>
      <c r="AH153" s="58">
        <f>AG153-(AG153*((VLOOKUP(A153,[1]Plan!A$1:AP$804,42,FALSE)/100)))</f>
        <v>0</v>
      </c>
      <c r="AI153" s="60"/>
      <c r="AJ153" s="60" t="b">
        <f>OR(H153="Y",K153="Y")</f>
        <v>0</v>
      </c>
      <c r="AK153" s="61">
        <f>IF(AJ153,O153*'[1]ETC Data'!$H$5*'[1]ETC Data'!$I$5,0)</f>
        <v>0</v>
      </c>
      <c r="AL153" s="58">
        <f>AK153-(AK153*((VLOOKUP(A153,[1]Plan!A$1:AY$804,51,FALSE)/100)))</f>
        <v>0</v>
      </c>
      <c r="AM153" s="58">
        <f>IF(AJ153,O153*'[1]ETC Data'!$H$5*'[1]ETC Data'!$J$5,0)</f>
        <v>0</v>
      </c>
      <c r="AN153" s="58">
        <f>AM153-(AM153*((VLOOKUP(A153,[1]Plan!A$1:BA$804,53,FALSE)/100)))</f>
        <v>0</v>
      </c>
      <c r="AO153" s="61">
        <f>IF(AJ153,O153*'[1]ETC Data'!$H$5*'[1]ETC Data'!$K$5,0)</f>
        <v>0</v>
      </c>
      <c r="AP153" s="58">
        <f>AO153-(AO153*((VLOOKUP(A153,[1]Plan!A$1:BB$804,54,FALSE)/100)))</f>
        <v>0</v>
      </c>
      <c r="AQ153" s="58">
        <f>IF(AJ153,O153*'[1]ETC Data'!$H$5*'[1]ETC Data'!$L$5,0)</f>
        <v>0</v>
      </c>
      <c r="AR153" s="58">
        <f>AQ153-(AQ153*((VLOOKUP(A153,[1]Plan!A$1:BD$804,56,FALSE)/100)))</f>
        <v>0</v>
      </c>
      <c r="AS153" s="20">
        <f>VLOOKUP(A153,'[1]PR Matrix'!A:B,2,FALSE)</f>
        <v>0</v>
      </c>
      <c r="AT153" s="21">
        <f>R153+T153+V153+X153+AB153+AD153+AF153+AH153+AL153+AN153+AP153+AR153</f>
        <v>0</v>
      </c>
      <c r="AU153" s="21">
        <f>Q153+S153+U153+W153+AA153+AC153+AE153+AG153+AK153+AM153+AO153+AQ153</f>
        <v>0</v>
      </c>
      <c r="AV153" s="21">
        <f>R153+AB153+AL153</f>
        <v>0</v>
      </c>
      <c r="AW153" s="21">
        <f>T153+AD153+AN153</f>
        <v>0</v>
      </c>
      <c r="AX153" s="21">
        <f>V153+AF153+AP153</f>
        <v>0</v>
      </c>
      <c r="AY153" s="21">
        <f>X153+AH153+AR153</f>
        <v>0</v>
      </c>
    </row>
    <row r="154" spans="1:51" hidden="1" x14ac:dyDescent="0.2">
      <c r="A154" s="50" t="s">
        <v>361</v>
      </c>
      <c r="B154" s="51" t="s">
        <v>208</v>
      </c>
      <c r="C154" s="51" t="s">
        <v>209</v>
      </c>
      <c r="D154" s="51"/>
      <c r="E154" s="52">
        <f>IF(G154="Y",VLOOKUP(B154&amp;"|"&amp;C154,'[1]ETC Data'!$C$2:$D$16,2,FALSE),0)</f>
        <v>0</v>
      </c>
      <c r="F154" s="52">
        <f>IF(D154="",0,IF(G154="Y",VLOOKUP(B154&amp;"|"&amp;D154,'[1]ETC Data'!$C$2:$D$16,2,FALSE),0))</f>
        <v>0</v>
      </c>
      <c r="G154" s="53" t="str">
        <f>IF(VLOOKUP(A154,[1]Plan!A$1:H$804,8,FALSE)&lt;&gt;"",VLOOKUP(A154,[1]Plan!A$1:H$804,8,FALSE),"")</f>
        <v>N</v>
      </c>
      <c r="H154" s="54" t="str">
        <f>IF(VLOOKUP(A154,[1]Plan!A$1:L$804,12,FALSE)&lt;&gt;"",VLOOKUP(A154,[1]Plan!A$1:L$804,12,FALSE),"")</f>
        <v/>
      </c>
      <c r="I154" s="55" t="str">
        <f>IF(VLOOKUP(A154,[1]Plan!A$1:M$804,13,FALSE)&lt;&gt;"",VLOOKUP(A154,[1]Plan!A$1:M$804,13,FALSE),"")</f>
        <v/>
      </c>
      <c r="J154" s="55" t="str">
        <f>IF(VLOOKUP(A154,[1]Plan!A$1:N$804,14,FALSE)&lt;&gt;"",VLOOKUP(A154,[1]Plan!A$1:N$804,14,FALSE),IF(VLOOKUP(A154,[1]Plan!A$1:O$804,15,FALSE)&lt;&gt;"",VLOOKUP(A154,[1]Plan!A$1:O$804,15,FALSE),""))</f>
        <v/>
      </c>
      <c r="K154" s="56" t="str">
        <f>IF(VLOOKUP(A154,[1]Plan!A$1:P$804,16,FALSE)&lt;&gt;"",VLOOKUP(A154,[1]Plan!A$1:P$804,16,FALSE),"")</f>
        <v/>
      </c>
      <c r="L154" s="55"/>
      <c r="M154" s="55"/>
      <c r="N154" s="55"/>
      <c r="O154" s="57">
        <f>IF(F154=0,E154,F154)</f>
        <v>0</v>
      </c>
      <c r="P154" s="57" t="b">
        <f>OR(H154="Y",I154="Y")</f>
        <v>0</v>
      </c>
      <c r="Q154" s="58">
        <f>IF(P154,O154*'[1]ETC Data'!$H$3*'[1]ETC Data'!$I$3,0)</f>
        <v>0</v>
      </c>
      <c r="R154" s="58">
        <f>Q154-(Q154*((VLOOKUP(A154,[1]Plan!A$1:Z$804,26,FALSE)/100)))</f>
        <v>0</v>
      </c>
      <c r="S154" s="58">
        <f>IF(P154,O154*'[1]ETC Data'!$H$3*'[1]ETC Data'!$J$3,0)</f>
        <v>0</v>
      </c>
      <c r="T154" s="58">
        <f>S154-(S154*((VLOOKUP(A154,[1]Plan!A$1:AA$804,27,FALSE)/100)))</f>
        <v>0</v>
      </c>
      <c r="U154" s="58">
        <f>IF(P154,O154*'[1]ETC Data'!$H$3*'[1]ETC Data'!$K$3,0)</f>
        <v>0</v>
      </c>
      <c r="V154" s="58">
        <f>U154-(U154*((VLOOKUP(A154,[1]Plan!A$1:AB$804,28,FALSE)/100)))</f>
        <v>0</v>
      </c>
      <c r="W154" s="58">
        <f>IF(P154,O154*'[1]ETC Data'!$H$3*'[1]ETC Data'!$L$3,0)</f>
        <v>0</v>
      </c>
      <c r="X154" s="58">
        <f>W154-(W154*((VLOOKUP(A154,[1]Plan!A$1:AC$804,29,FALSE)/100)))</f>
        <v>0</v>
      </c>
      <c r="Y154" s="59"/>
      <c r="Z154" s="60" t="b">
        <f>OR(H154="Y",J154="Y")</f>
        <v>0</v>
      </c>
      <c r="AA154" s="58">
        <f>IF(Z154,O154*'[1]ETC Data'!$H$4*'[1]ETC Data'!$I$4,0)</f>
        <v>0</v>
      </c>
      <c r="AB154" s="58">
        <f>AA154-(AA154*((VLOOKUP(A154,[1]Plan!A$1:AI$804,35,FALSE)/100)))</f>
        <v>0</v>
      </c>
      <c r="AC154" s="58">
        <f>IF(Z154,O154*'[1]ETC Data'!$H$4*'[1]ETC Data'!$J$4,0)</f>
        <v>0</v>
      </c>
      <c r="AD154" s="58">
        <f>AC154-(AC154*((VLOOKUP(A154,[1]Plan!A$1:AJ$804,36,FALSE)/100)))</f>
        <v>0</v>
      </c>
      <c r="AE154" s="58">
        <f>IF(Z154,O154*'[1]ETC Data'!$H$4*'[1]ETC Data'!$K$4,0)</f>
        <v>0</v>
      </c>
      <c r="AF154" s="58">
        <f>AE154-(AE154*((VLOOKUP(A154,[1]Plan!A$1:AK$804,37,FALSE)/100)))</f>
        <v>0</v>
      </c>
      <c r="AG154" s="58">
        <f>IF(Z154,O154*'[1]ETC Data'!$H$4*'[1]ETC Data'!$L$4,0)</f>
        <v>0</v>
      </c>
      <c r="AH154" s="58">
        <f>AG154-(AG154*((VLOOKUP(A154,[1]Plan!A$1:AP$804,42,FALSE)/100)))</f>
        <v>0</v>
      </c>
      <c r="AI154" s="60"/>
      <c r="AJ154" s="60" t="b">
        <f>OR(H154="Y",K154="Y")</f>
        <v>0</v>
      </c>
      <c r="AK154" s="61">
        <f>IF(AJ154,O154*'[1]ETC Data'!$H$5*'[1]ETC Data'!$I$5,0)</f>
        <v>0</v>
      </c>
      <c r="AL154" s="58">
        <f>AK154-(AK154*((VLOOKUP(A154,[1]Plan!A$1:AY$804,51,FALSE)/100)))</f>
        <v>0</v>
      </c>
      <c r="AM154" s="58">
        <f>IF(AJ154,O154*'[1]ETC Data'!$H$5*'[1]ETC Data'!$J$5,0)</f>
        <v>0</v>
      </c>
      <c r="AN154" s="58">
        <f>AM154-(AM154*((VLOOKUP(A154,[1]Plan!A$1:BA$804,53,FALSE)/100)))</f>
        <v>0</v>
      </c>
      <c r="AO154" s="61">
        <f>IF(AJ154,O154*'[1]ETC Data'!$H$5*'[1]ETC Data'!$K$5,0)</f>
        <v>0</v>
      </c>
      <c r="AP154" s="58">
        <f>AO154-(AO154*((VLOOKUP(A154,[1]Plan!A$1:BB$804,54,FALSE)/100)))</f>
        <v>0</v>
      </c>
      <c r="AQ154" s="58">
        <f>IF(AJ154,O154*'[1]ETC Data'!$H$5*'[1]ETC Data'!$L$5,0)</f>
        <v>0</v>
      </c>
      <c r="AR154" s="58">
        <f>AQ154-(AQ154*((VLOOKUP(A154,[1]Plan!A$1:BD$804,56,FALSE)/100)))</f>
        <v>0</v>
      </c>
      <c r="AS154" s="20">
        <f>VLOOKUP(A154,'[1]PR Matrix'!A:B,2,FALSE)</f>
        <v>0</v>
      </c>
      <c r="AT154" s="21">
        <f>R154+T154+V154+X154+AB154+AD154+AF154+AH154+AL154+AN154+AP154+AR154</f>
        <v>0</v>
      </c>
      <c r="AU154" s="21">
        <f>Q154+S154+U154+W154+AA154+AC154+AE154+AG154+AK154+AM154+AO154+AQ154</f>
        <v>0</v>
      </c>
      <c r="AV154" s="21">
        <f>R154+AB154+AL154</f>
        <v>0</v>
      </c>
      <c r="AW154" s="21">
        <f>T154+AD154+AN154</f>
        <v>0</v>
      </c>
      <c r="AX154" s="21">
        <f>V154+AF154+AP154</f>
        <v>0</v>
      </c>
      <c r="AY154" s="21">
        <f>X154+AH154+AR154</f>
        <v>0</v>
      </c>
    </row>
    <row r="155" spans="1:51" hidden="1" x14ac:dyDescent="0.2">
      <c r="A155" s="50" t="s">
        <v>362</v>
      </c>
      <c r="B155" s="51" t="s">
        <v>208</v>
      </c>
      <c r="C155" s="51"/>
      <c r="D155" s="51"/>
      <c r="E155" s="52">
        <f>IF(G155="Y",VLOOKUP(B155&amp;"|"&amp;C155,'[1]ETC Data'!$C$2:$D$16,2,FALSE),0)</f>
        <v>0</v>
      </c>
      <c r="F155" s="52">
        <f>IF(D155="",0,IF(G155="Y",VLOOKUP(B155&amp;"|"&amp;D155,'[1]ETC Data'!$C$2:$D$16,2,FALSE),0))</f>
        <v>0</v>
      </c>
      <c r="G155" s="53" t="str">
        <f>IF(VLOOKUP(A155,[1]Plan!A$1:H$804,8,FALSE)&lt;&gt;"",VLOOKUP(A155,[1]Plan!A$1:H$804,8,FALSE),"")</f>
        <v>N</v>
      </c>
      <c r="H155" s="54" t="str">
        <f>IF(VLOOKUP(A155,[1]Plan!A$1:L$804,12,FALSE)&lt;&gt;"",VLOOKUP(A155,[1]Plan!A$1:L$804,12,FALSE),"")</f>
        <v/>
      </c>
      <c r="I155" s="55" t="str">
        <f>IF(VLOOKUP(A155,[1]Plan!A$1:M$804,13,FALSE)&lt;&gt;"",VLOOKUP(A155,[1]Plan!A$1:M$804,13,FALSE),"")</f>
        <v/>
      </c>
      <c r="J155" s="55" t="str">
        <f>IF(VLOOKUP(A155,[1]Plan!A$1:N$804,14,FALSE)&lt;&gt;"",VLOOKUP(A155,[1]Plan!A$1:N$804,14,FALSE),IF(VLOOKUP(A155,[1]Plan!A$1:O$804,15,FALSE)&lt;&gt;"",VLOOKUP(A155,[1]Plan!A$1:O$804,15,FALSE),""))</f>
        <v/>
      </c>
      <c r="K155" s="56" t="str">
        <f>IF(VLOOKUP(A155,[1]Plan!A$1:P$804,16,FALSE)&lt;&gt;"",VLOOKUP(A155,[1]Plan!A$1:P$804,16,FALSE),"")</f>
        <v/>
      </c>
      <c r="L155" s="55"/>
      <c r="M155" s="55"/>
      <c r="N155" s="55"/>
      <c r="O155" s="57">
        <f>IF(F155=0,E155,F155)</f>
        <v>0</v>
      </c>
      <c r="P155" s="57" t="b">
        <f>OR(H155="Y",I155="Y")</f>
        <v>0</v>
      </c>
      <c r="Q155" s="58">
        <f>IF(P155,O155*'[1]ETC Data'!$H$3*'[1]ETC Data'!$I$3,0)</f>
        <v>0</v>
      </c>
      <c r="R155" s="58">
        <f>Q155-(Q155*((VLOOKUP(A155,[1]Plan!A$1:Z$804,26,FALSE)/100)))</f>
        <v>0</v>
      </c>
      <c r="S155" s="58">
        <f>IF(P155,O155*'[1]ETC Data'!$H$3*'[1]ETC Data'!$J$3,0)</f>
        <v>0</v>
      </c>
      <c r="T155" s="58">
        <f>S155-(S155*((VLOOKUP(A155,[1]Plan!A$1:AA$804,27,FALSE)/100)))</f>
        <v>0</v>
      </c>
      <c r="U155" s="58">
        <f>IF(P155,O155*'[1]ETC Data'!$H$3*'[1]ETC Data'!$K$3,0)</f>
        <v>0</v>
      </c>
      <c r="V155" s="58">
        <f>U155-(U155*((VLOOKUP(A155,[1]Plan!A$1:AB$804,28,FALSE)/100)))</f>
        <v>0</v>
      </c>
      <c r="W155" s="58">
        <f>IF(P155,O155*'[1]ETC Data'!$H$3*'[1]ETC Data'!$L$3,0)</f>
        <v>0</v>
      </c>
      <c r="X155" s="58">
        <f>W155-(W155*((VLOOKUP(A155,[1]Plan!A$1:AC$804,29,FALSE)/100)))</f>
        <v>0</v>
      </c>
      <c r="Y155" s="59"/>
      <c r="Z155" s="60" t="b">
        <f>OR(H155="Y",J155="Y")</f>
        <v>0</v>
      </c>
      <c r="AA155" s="58">
        <f>IF(Z155,O155*'[1]ETC Data'!$H$4*'[1]ETC Data'!$I$4,0)</f>
        <v>0</v>
      </c>
      <c r="AB155" s="58">
        <f>AA155-(AA155*((VLOOKUP(A155,[1]Plan!A$1:AI$804,35,FALSE)/100)))</f>
        <v>0</v>
      </c>
      <c r="AC155" s="58">
        <f>IF(Z155,O155*'[1]ETC Data'!$H$4*'[1]ETC Data'!$J$4,0)</f>
        <v>0</v>
      </c>
      <c r="AD155" s="58">
        <f>AC155-(AC155*((VLOOKUP(A155,[1]Plan!A$1:AJ$804,36,FALSE)/100)))</f>
        <v>0</v>
      </c>
      <c r="AE155" s="58">
        <f>IF(Z155,O155*'[1]ETC Data'!$H$4*'[1]ETC Data'!$K$4,0)</f>
        <v>0</v>
      </c>
      <c r="AF155" s="58">
        <f>AE155-(AE155*((VLOOKUP(A155,[1]Plan!A$1:AK$804,37,FALSE)/100)))</f>
        <v>0</v>
      </c>
      <c r="AG155" s="58">
        <f>IF(Z155,O155*'[1]ETC Data'!$H$4*'[1]ETC Data'!$L$4,0)</f>
        <v>0</v>
      </c>
      <c r="AH155" s="58">
        <f>AG155-(AG155*((VLOOKUP(A155,[1]Plan!A$1:AP$804,42,FALSE)/100)))</f>
        <v>0</v>
      </c>
      <c r="AI155" s="60"/>
      <c r="AJ155" s="60" t="b">
        <f>OR(H155="Y",K155="Y")</f>
        <v>0</v>
      </c>
      <c r="AK155" s="61">
        <f>IF(AJ155,O155*'[1]ETC Data'!$H$5*'[1]ETC Data'!$I$5,0)</f>
        <v>0</v>
      </c>
      <c r="AL155" s="58">
        <f>AK155-(AK155*((VLOOKUP(A155,[1]Plan!A$1:AY$804,51,FALSE)/100)))</f>
        <v>0</v>
      </c>
      <c r="AM155" s="58">
        <f>IF(AJ155,O155*'[1]ETC Data'!$H$5*'[1]ETC Data'!$J$5,0)</f>
        <v>0</v>
      </c>
      <c r="AN155" s="58">
        <f>AM155-(AM155*((VLOOKUP(A155,[1]Plan!A$1:BA$804,53,FALSE)/100)))</f>
        <v>0</v>
      </c>
      <c r="AO155" s="61">
        <f>IF(AJ155,O155*'[1]ETC Data'!$H$5*'[1]ETC Data'!$K$5,0)</f>
        <v>0</v>
      </c>
      <c r="AP155" s="58">
        <f>AO155-(AO155*((VLOOKUP(A155,[1]Plan!A$1:BB$804,54,FALSE)/100)))</f>
        <v>0</v>
      </c>
      <c r="AQ155" s="58">
        <f>IF(AJ155,O155*'[1]ETC Data'!$H$5*'[1]ETC Data'!$L$5,0)</f>
        <v>0</v>
      </c>
      <c r="AR155" s="58">
        <f>AQ155-(AQ155*((VLOOKUP(A155,[1]Plan!A$1:BD$804,56,FALSE)/100)))</f>
        <v>0</v>
      </c>
      <c r="AS155" s="20">
        <f>VLOOKUP(A155,'[1]PR Matrix'!A:B,2,FALSE)</f>
        <v>0</v>
      </c>
      <c r="AT155" s="21">
        <f>R155+T155+V155+X155+AB155+AD155+AF155+AH155+AL155+AN155+AP155+AR155</f>
        <v>0</v>
      </c>
      <c r="AU155" s="21">
        <f>Q155+S155+U155+W155+AA155+AC155+AE155+AG155+AK155+AM155+AO155+AQ155</f>
        <v>0</v>
      </c>
      <c r="AV155" s="21">
        <f>R155+AB155+AL155</f>
        <v>0</v>
      </c>
      <c r="AW155" s="21">
        <f>T155+AD155+AN155</f>
        <v>0</v>
      </c>
      <c r="AX155" s="21">
        <f>V155+AF155+AP155</f>
        <v>0</v>
      </c>
      <c r="AY155" s="21">
        <f>X155+AH155+AR155</f>
        <v>0</v>
      </c>
    </row>
    <row r="156" spans="1:51" hidden="1" x14ac:dyDescent="0.2">
      <c r="A156" s="50" t="s">
        <v>363</v>
      </c>
      <c r="B156" s="51" t="s">
        <v>208</v>
      </c>
      <c r="C156" s="51"/>
      <c r="D156" s="51"/>
      <c r="E156" s="52">
        <f>IF(G156="Y",VLOOKUP(B156&amp;"|"&amp;C156,'[1]ETC Data'!$C$2:$D$16,2,FALSE),0)</f>
        <v>0</v>
      </c>
      <c r="F156" s="52">
        <f>IF(D156="",0,IF(G156="Y",VLOOKUP(B156&amp;"|"&amp;D156,'[1]ETC Data'!$C$2:$D$16,2,FALSE),0))</f>
        <v>0</v>
      </c>
      <c r="G156" s="53" t="str">
        <f>IF(VLOOKUP(A156,[1]Plan!A$1:H$804,8,FALSE)&lt;&gt;"",VLOOKUP(A156,[1]Plan!A$1:H$804,8,FALSE),"")</f>
        <v>N</v>
      </c>
      <c r="H156" s="54" t="str">
        <f>IF(VLOOKUP(A156,[1]Plan!A$1:L$804,12,FALSE)&lt;&gt;"",VLOOKUP(A156,[1]Plan!A$1:L$804,12,FALSE),"")</f>
        <v/>
      </c>
      <c r="I156" s="55" t="str">
        <f>IF(VLOOKUP(A156,[1]Plan!A$1:M$804,13,FALSE)&lt;&gt;"",VLOOKUP(A156,[1]Plan!A$1:M$804,13,FALSE),"")</f>
        <v/>
      </c>
      <c r="J156" s="55" t="str">
        <f>IF(VLOOKUP(A156,[1]Plan!A$1:N$804,14,FALSE)&lt;&gt;"",VLOOKUP(A156,[1]Plan!A$1:N$804,14,FALSE),IF(VLOOKUP(A156,[1]Plan!A$1:O$804,15,FALSE)&lt;&gt;"",VLOOKUP(A156,[1]Plan!A$1:O$804,15,FALSE),""))</f>
        <v/>
      </c>
      <c r="K156" s="56" t="str">
        <f>IF(VLOOKUP(A156,[1]Plan!A$1:P$804,16,FALSE)&lt;&gt;"",VLOOKUP(A156,[1]Plan!A$1:P$804,16,FALSE),"")</f>
        <v/>
      </c>
      <c r="L156" s="55"/>
      <c r="M156" s="55"/>
      <c r="N156" s="55"/>
      <c r="O156" s="57">
        <f>IF(F156=0,E156,F156)</f>
        <v>0</v>
      </c>
      <c r="P156" s="57" t="b">
        <f>OR(H156="Y",I156="Y")</f>
        <v>0</v>
      </c>
      <c r="Q156" s="58">
        <f>IF(P156,O156*'[1]ETC Data'!$H$3*'[1]ETC Data'!$I$3,0)</f>
        <v>0</v>
      </c>
      <c r="R156" s="58">
        <f>Q156-(Q156*((VLOOKUP(A156,[1]Plan!A$1:Z$804,26,FALSE)/100)))</f>
        <v>0</v>
      </c>
      <c r="S156" s="58">
        <f>IF(P156,O156*'[1]ETC Data'!$H$3*'[1]ETC Data'!$J$3,0)</f>
        <v>0</v>
      </c>
      <c r="T156" s="58">
        <f>S156-(S156*((VLOOKUP(A156,[1]Plan!A$1:AA$804,27,FALSE)/100)))</f>
        <v>0</v>
      </c>
      <c r="U156" s="58">
        <f>IF(P156,O156*'[1]ETC Data'!$H$3*'[1]ETC Data'!$K$3,0)</f>
        <v>0</v>
      </c>
      <c r="V156" s="58">
        <f>U156-(U156*((VLOOKUP(A156,[1]Plan!A$1:AB$804,28,FALSE)/100)))</f>
        <v>0</v>
      </c>
      <c r="W156" s="58">
        <f>IF(P156,O156*'[1]ETC Data'!$H$3*'[1]ETC Data'!$L$3,0)</f>
        <v>0</v>
      </c>
      <c r="X156" s="58">
        <f>W156-(W156*((VLOOKUP(A156,[1]Plan!A$1:AC$804,29,FALSE)/100)))</f>
        <v>0</v>
      </c>
      <c r="Y156" s="59"/>
      <c r="Z156" s="60" t="b">
        <f>OR(H156="Y",J156="Y")</f>
        <v>0</v>
      </c>
      <c r="AA156" s="58">
        <f>IF(Z156,O156*'[1]ETC Data'!$H$4*'[1]ETC Data'!$I$4,0)</f>
        <v>0</v>
      </c>
      <c r="AB156" s="58">
        <f>AA156-(AA156*((VLOOKUP(A156,[1]Plan!A$1:AI$804,35,FALSE)/100)))</f>
        <v>0</v>
      </c>
      <c r="AC156" s="58">
        <f>IF(Z156,O156*'[1]ETC Data'!$H$4*'[1]ETC Data'!$J$4,0)</f>
        <v>0</v>
      </c>
      <c r="AD156" s="58">
        <f>AC156-(AC156*((VLOOKUP(A156,[1]Plan!A$1:AJ$804,36,FALSE)/100)))</f>
        <v>0</v>
      </c>
      <c r="AE156" s="58">
        <f>IF(Z156,O156*'[1]ETC Data'!$H$4*'[1]ETC Data'!$K$4,0)</f>
        <v>0</v>
      </c>
      <c r="AF156" s="58">
        <f>AE156-(AE156*((VLOOKUP(A156,[1]Plan!A$1:AK$804,37,FALSE)/100)))</f>
        <v>0</v>
      </c>
      <c r="AG156" s="58">
        <f>IF(Z156,O156*'[1]ETC Data'!$H$4*'[1]ETC Data'!$L$4,0)</f>
        <v>0</v>
      </c>
      <c r="AH156" s="58">
        <f>AG156-(AG156*((VLOOKUP(A156,[1]Plan!A$1:AP$804,42,FALSE)/100)))</f>
        <v>0</v>
      </c>
      <c r="AI156" s="60"/>
      <c r="AJ156" s="60" t="b">
        <f>OR(H156="Y",K156="Y")</f>
        <v>0</v>
      </c>
      <c r="AK156" s="61">
        <f>IF(AJ156,O156*'[1]ETC Data'!$H$5*'[1]ETC Data'!$I$5,0)</f>
        <v>0</v>
      </c>
      <c r="AL156" s="58">
        <f>AK156-(AK156*((VLOOKUP(A156,[1]Plan!A$1:AY$804,51,FALSE)/100)))</f>
        <v>0</v>
      </c>
      <c r="AM156" s="58">
        <f>IF(AJ156,O156*'[1]ETC Data'!$H$5*'[1]ETC Data'!$J$5,0)</f>
        <v>0</v>
      </c>
      <c r="AN156" s="58">
        <f>AM156-(AM156*((VLOOKUP(A156,[1]Plan!A$1:BA$804,53,FALSE)/100)))</f>
        <v>0</v>
      </c>
      <c r="AO156" s="61">
        <f>IF(AJ156,O156*'[1]ETC Data'!$H$5*'[1]ETC Data'!$K$5,0)</f>
        <v>0</v>
      </c>
      <c r="AP156" s="58">
        <f>AO156-(AO156*((VLOOKUP(A156,[1]Plan!A$1:BB$804,54,FALSE)/100)))</f>
        <v>0</v>
      </c>
      <c r="AQ156" s="58">
        <f>IF(AJ156,O156*'[1]ETC Data'!$H$5*'[1]ETC Data'!$L$5,0)</f>
        <v>0</v>
      </c>
      <c r="AR156" s="58">
        <f>AQ156-(AQ156*((VLOOKUP(A156,[1]Plan!A$1:BD$804,56,FALSE)/100)))</f>
        <v>0</v>
      </c>
      <c r="AS156" s="20">
        <f>VLOOKUP(A156,'[1]PR Matrix'!A:B,2,FALSE)</f>
        <v>0</v>
      </c>
      <c r="AT156" s="21">
        <f>R156+T156+V156+X156+AB156+AD156+AF156+AH156+AL156+AN156+AP156+AR156</f>
        <v>0</v>
      </c>
      <c r="AU156" s="21">
        <f>Q156+S156+U156+W156+AA156+AC156+AE156+AG156+AK156+AM156+AO156+AQ156</f>
        <v>0</v>
      </c>
      <c r="AV156" s="21">
        <f>R156+AB156+AL156</f>
        <v>0</v>
      </c>
      <c r="AW156" s="21">
        <f>T156+AD156+AN156</f>
        <v>0</v>
      </c>
      <c r="AX156" s="21">
        <f>V156+AF156+AP156</f>
        <v>0</v>
      </c>
      <c r="AY156" s="21">
        <f>X156+AH156+AR156</f>
        <v>0</v>
      </c>
    </row>
    <row r="157" spans="1:51" hidden="1" x14ac:dyDescent="0.2">
      <c r="A157" s="50" t="s">
        <v>364</v>
      </c>
      <c r="B157" s="51" t="s">
        <v>208</v>
      </c>
      <c r="C157" s="51"/>
      <c r="D157" s="51"/>
      <c r="E157" s="52">
        <f>IF(G157="Y",VLOOKUP(B157&amp;"|"&amp;C157,'[1]ETC Data'!$C$2:$D$16,2,FALSE),0)</f>
        <v>0</v>
      </c>
      <c r="F157" s="52">
        <f>IF(D157="",0,IF(G157="Y",VLOOKUP(B157&amp;"|"&amp;D157,'[1]ETC Data'!$C$2:$D$16,2,FALSE),0))</f>
        <v>0</v>
      </c>
      <c r="G157" s="53" t="str">
        <f>IF(VLOOKUP(A157,[1]Plan!A$1:H$804,8,FALSE)&lt;&gt;"",VLOOKUP(A157,[1]Plan!A$1:H$804,8,FALSE),"")</f>
        <v>N</v>
      </c>
      <c r="H157" s="54" t="str">
        <f>IF(VLOOKUP(A157,[1]Plan!A$1:L$804,12,FALSE)&lt;&gt;"",VLOOKUP(A157,[1]Plan!A$1:L$804,12,FALSE),"")</f>
        <v/>
      </c>
      <c r="I157" s="55" t="str">
        <f>IF(VLOOKUP(A157,[1]Plan!A$1:M$804,13,FALSE)&lt;&gt;"",VLOOKUP(A157,[1]Plan!A$1:M$804,13,FALSE),"")</f>
        <v/>
      </c>
      <c r="J157" s="55" t="str">
        <f>IF(VLOOKUP(A157,[1]Plan!A$1:N$804,14,FALSE)&lt;&gt;"",VLOOKUP(A157,[1]Plan!A$1:N$804,14,FALSE),IF(VLOOKUP(A157,[1]Plan!A$1:O$804,15,FALSE)&lt;&gt;"",VLOOKUP(A157,[1]Plan!A$1:O$804,15,FALSE),""))</f>
        <v/>
      </c>
      <c r="K157" s="56" t="str">
        <f>IF(VLOOKUP(A157,[1]Plan!A$1:P$804,16,FALSE)&lt;&gt;"",VLOOKUP(A157,[1]Plan!A$1:P$804,16,FALSE),"")</f>
        <v/>
      </c>
      <c r="L157" s="55"/>
      <c r="M157" s="55"/>
      <c r="N157" s="55"/>
      <c r="O157" s="57">
        <f>IF(F157=0,E157,F157)</f>
        <v>0</v>
      </c>
      <c r="P157" s="57" t="b">
        <f>OR(H157="Y",I157="Y")</f>
        <v>0</v>
      </c>
      <c r="Q157" s="58">
        <f>IF(P157,O157*'[1]ETC Data'!$H$3*'[1]ETC Data'!$I$3,0)</f>
        <v>0</v>
      </c>
      <c r="R157" s="58">
        <f>Q157-(Q157*((VLOOKUP(A157,[1]Plan!A$1:Z$804,26,FALSE)/100)))</f>
        <v>0</v>
      </c>
      <c r="S157" s="58">
        <f>IF(P157,O157*'[1]ETC Data'!$H$3*'[1]ETC Data'!$J$3,0)</f>
        <v>0</v>
      </c>
      <c r="T157" s="58">
        <f>S157-(S157*((VLOOKUP(A157,[1]Plan!A$1:AA$804,27,FALSE)/100)))</f>
        <v>0</v>
      </c>
      <c r="U157" s="58">
        <f>IF(P157,O157*'[1]ETC Data'!$H$3*'[1]ETC Data'!$K$3,0)</f>
        <v>0</v>
      </c>
      <c r="V157" s="58">
        <f>U157-(U157*((VLOOKUP(A157,[1]Plan!A$1:AB$804,28,FALSE)/100)))</f>
        <v>0</v>
      </c>
      <c r="W157" s="58">
        <f>IF(P157,O157*'[1]ETC Data'!$H$3*'[1]ETC Data'!$L$3,0)</f>
        <v>0</v>
      </c>
      <c r="X157" s="58">
        <f>W157-(W157*((VLOOKUP(A157,[1]Plan!A$1:AC$804,29,FALSE)/100)))</f>
        <v>0</v>
      </c>
      <c r="Y157" s="59"/>
      <c r="Z157" s="60" t="b">
        <f>OR(H157="Y",J157="Y")</f>
        <v>0</v>
      </c>
      <c r="AA157" s="58">
        <f>IF(Z157,O157*'[1]ETC Data'!$H$4*'[1]ETC Data'!$I$4,0)</f>
        <v>0</v>
      </c>
      <c r="AB157" s="58">
        <f>AA157-(AA157*((VLOOKUP(A157,[1]Plan!A$1:AI$804,35,FALSE)/100)))</f>
        <v>0</v>
      </c>
      <c r="AC157" s="58">
        <f>IF(Z157,O157*'[1]ETC Data'!$H$4*'[1]ETC Data'!$J$4,0)</f>
        <v>0</v>
      </c>
      <c r="AD157" s="58">
        <f>AC157-(AC157*((VLOOKUP(A157,[1]Plan!A$1:AJ$804,36,FALSE)/100)))</f>
        <v>0</v>
      </c>
      <c r="AE157" s="58">
        <f>IF(Z157,O157*'[1]ETC Data'!$H$4*'[1]ETC Data'!$K$4,0)</f>
        <v>0</v>
      </c>
      <c r="AF157" s="58">
        <f>AE157-(AE157*((VLOOKUP(A157,[1]Plan!A$1:AK$804,37,FALSE)/100)))</f>
        <v>0</v>
      </c>
      <c r="AG157" s="58">
        <f>IF(Z157,O157*'[1]ETC Data'!$H$4*'[1]ETC Data'!$L$4,0)</f>
        <v>0</v>
      </c>
      <c r="AH157" s="58">
        <f>AG157-(AG157*((VLOOKUP(A157,[1]Plan!A$1:AP$804,42,FALSE)/100)))</f>
        <v>0</v>
      </c>
      <c r="AI157" s="60"/>
      <c r="AJ157" s="60" t="b">
        <f>OR(H157="Y",K157="Y")</f>
        <v>0</v>
      </c>
      <c r="AK157" s="61">
        <f>IF(AJ157,O157*'[1]ETC Data'!$H$5*'[1]ETC Data'!$I$5,0)</f>
        <v>0</v>
      </c>
      <c r="AL157" s="58">
        <f>AK157-(AK157*((VLOOKUP(A157,[1]Plan!A$1:AY$804,51,FALSE)/100)))</f>
        <v>0</v>
      </c>
      <c r="AM157" s="58">
        <f>IF(AJ157,O157*'[1]ETC Data'!$H$5*'[1]ETC Data'!$J$5,0)</f>
        <v>0</v>
      </c>
      <c r="AN157" s="58">
        <f>AM157-(AM157*((VLOOKUP(A157,[1]Plan!A$1:BA$804,53,FALSE)/100)))</f>
        <v>0</v>
      </c>
      <c r="AO157" s="61">
        <f>IF(AJ157,O157*'[1]ETC Data'!$H$5*'[1]ETC Data'!$K$5,0)</f>
        <v>0</v>
      </c>
      <c r="AP157" s="58">
        <f>AO157-(AO157*((VLOOKUP(A157,[1]Plan!A$1:BB$804,54,FALSE)/100)))</f>
        <v>0</v>
      </c>
      <c r="AQ157" s="58">
        <f>IF(AJ157,O157*'[1]ETC Data'!$H$5*'[1]ETC Data'!$L$5,0)</f>
        <v>0</v>
      </c>
      <c r="AR157" s="58">
        <f>AQ157-(AQ157*((VLOOKUP(A157,[1]Plan!A$1:BD$804,56,FALSE)/100)))</f>
        <v>0</v>
      </c>
      <c r="AS157" s="20">
        <f>VLOOKUP(A157,'[1]PR Matrix'!A:B,2,FALSE)</f>
        <v>0</v>
      </c>
      <c r="AT157" s="21">
        <f>R157+T157+V157+X157+AB157+AD157+AF157+AH157+AL157+AN157+AP157+AR157</f>
        <v>0</v>
      </c>
      <c r="AU157" s="21">
        <f>Q157+S157+U157+W157+AA157+AC157+AE157+AG157+AK157+AM157+AO157+AQ157</f>
        <v>0</v>
      </c>
      <c r="AV157" s="21">
        <f>R157+AB157+AL157</f>
        <v>0</v>
      </c>
      <c r="AW157" s="21">
        <f>T157+AD157+AN157</f>
        <v>0</v>
      </c>
      <c r="AX157" s="21">
        <f>V157+AF157+AP157</f>
        <v>0</v>
      </c>
      <c r="AY157" s="21">
        <f>X157+AH157+AR157</f>
        <v>0</v>
      </c>
    </row>
    <row r="158" spans="1:51" hidden="1" x14ac:dyDescent="0.2">
      <c r="A158" s="50" t="s">
        <v>365</v>
      </c>
      <c r="B158" s="51" t="s">
        <v>208</v>
      </c>
      <c r="C158" s="51"/>
      <c r="D158" s="51"/>
      <c r="E158" s="52">
        <f>IF(G158="Y",VLOOKUP(B158&amp;"|"&amp;C158,'[1]ETC Data'!$C$2:$D$16,2,FALSE),0)</f>
        <v>0</v>
      </c>
      <c r="F158" s="52">
        <f>IF(D158="",0,IF(G158="Y",VLOOKUP(B158&amp;"|"&amp;D158,'[1]ETC Data'!$C$2:$D$16,2,FALSE),0))</f>
        <v>0</v>
      </c>
      <c r="G158" s="53" t="str">
        <f>IF(VLOOKUP(A158,[1]Plan!A$1:H$804,8,FALSE)&lt;&gt;"",VLOOKUP(A158,[1]Plan!A$1:H$804,8,FALSE),"")</f>
        <v>N</v>
      </c>
      <c r="H158" s="54" t="str">
        <f>IF(VLOOKUP(A158,[1]Plan!A$1:L$804,12,FALSE)&lt;&gt;"",VLOOKUP(A158,[1]Plan!A$1:L$804,12,FALSE),"")</f>
        <v/>
      </c>
      <c r="I158" s="55" t="str">
        <f>IF(VLOOKUP(A158,[1]Plan!A$1:M$804,13,FALSE)&lt;&gt;"",VLOOKUP(A158,[1]Plan!A$1:M$804,13,FALSE),"")</f>
        <v/>
      </c>
      <c r="J158" s="55" t="str">
        <f>IF(VLOOKUP(A158,[1]Plan!A$1:N$804,14,FALSE)&lt;&gt;"",VLOOKUP(A158,[1]Plan!A$1:N$804,14,FALSE),IF(VLOOKUP(A158,[1]Plan!A$1:O$804,15,FALSE)&lt;&gt;"",VLOOKUP(A158,[1]Plan!A$1:O$804,15,FALSE),""))</f>
        <v/>
      </c>
      <c r="K158" s="56" t="str">
        <f>IF(VLOOKUP(A158,[1]Plan!A$1:P$804,16,FALSE)&lt;&gt;"",VLOOKUP(A158,[1]Plan!A$1:P$804,16,FALSE),"")</f>
        <v/>
      </c>
      <c r="L158" s="55"/>
      <c r="M158" s="55"/>
      <c r="N158" s="55"/>
      <c r="O158" s="57">
        <f>IF(F158=0,E158,F158)</f>
        <v>0</v>
      </c>
      <c r="P158" s="57" t="b">
        <f>OR(H158="Y",I158="Y")</f>
        <v>0</v>
      </c>
      <c r="Q158" s="58">
        <f>IF(P158,O158*'[1]ETC Data'!$H$3*'[1]ETC Data'!$I$3,0)</f>
        <v>0</v>
      </c>
      <c r="R158" s="58">
        <f>Q158-(Q158*((VLOOKUP(A158,[1]Plan!A$1:Z$804,26,FALSE)/100)))</f>
        <v>0</v>
      </c>
      <c r="S158" s="58">
        <f>IF(P158,O158*'[1]ETC Data'!$H$3*'[1]ETC Data'!$J$3,0)</f>
        <v>0</v>
      </c>
      <c r="T158" s="58">
        <f>S158-(S158*((VLOOKUP(A158,[1]Plan!A$1:AA$804,27,FALSE)/100)))</f>
        <v>0</v>
      </c>
      <c r="U158" s="58">
        <f>IF(P158,O158*'[1]ETC Data'!$H$3*'[1]ETC Data'!$K$3,0)</f>
        <v>0</v>
      </c>
      <c r="V158" s="58">
        <f>U158-(U158*((VLOOKUP(A158,[1]Plan!A$1:AB$804,28,FALSE)/100)))</f>
        <v>0</v>
      </c>
      <c r="W158" s="58">
        <f>IF(P158,O158*'[1]ETC Data'!$H$3*'[1]ETC Data'!$L$3,0)</f>
        <v>0</v>
      </c>
      <c r="X158" s="58">
        <f>W158-(W158*((VLOOKUP(A158,[1]Plan!A$1:AC$804,29,FALSE)/100)))</f>
        <v>0</v>
      </c>
      <c r="Y158" s="59"/>
      <c r="Z158" s="60" t="b">
        <f>OR(H158="Y",J158="Y")</f>
        <v>0</v>
      </c>
      <c r="AA158" s="58">
        <f>IF(Z158,O158*'[1]ETC Data'!$H$4*'[1]ETC Data'!$I$4,0)</f>
        <v>0</v>
      </c>
      <c r="AB158" s="58">
        <f>AA158-(AA158*((VLOOKUP(A158,[1]Plan!A$1:AI$804,35,FALSE)/100)))</f>
        <v>0</v>
      </c>
      <c r="AC158" s="58">
        <f>IF(Z158,O158*'[1]ETC Data'!$H$4*'[1]ETC Data'!$J$4,0)</f>
        <v>0</v>
      </c>
      <c r="AD158" s="58">
        <f>AC158-(AC158*((VLOOKUP(A158,[1]Plan!A$1:AJ$804,36,FALSE)/100)))</f>
        <v>0</v>
      </c>
      <c r="AE158" s="58">
        <f>IF(Z158,O158*'[1]ETC Data'!$H$4*'[1]ETC Data'!$K$4,0)</f>
        <v>0</v>
      </c>
      <c r="AF158" s="58">
        <f>AE158-(AE158*((VLOOKUP(A158,[1]Plan!A$1:AK$804,37,FALSE)/100)))</f>
        <v>0</v>
      </c>
      <c r="AG158" s="58">
        <f>IF(Z158,O158*'[1]ETC Data'!$H$4*'[1]ETC Data'!$L$4,0)</f>
        <v>0</v>
      </c>
      <c r="AH158" s="58">
        <f>AG158-(AG158*((VLOOKUP(A158,[1]Plan!A$1:AP$804,42,FALSE)/100)))</f>
        <v>0</v>
      </c>
      <c r="AI158" s="60"/>
      <c r="AJ158" s="60" t="b">
        <f>OR(H158="Y",K158="Y")</f>
        <v>0</v>
      </c>
      <c r="AK158" s="61">
        <f>IF(AJ158,O158*'[1]ETC Data'!$H$5*'[1]ETC Data'!$I$5,0)</f>
        <v>0</v>
      </c>
      <c r="AL158" s="58">
        <f>AK158-(AK158*((VLOOKUP(A158,[1]Plan!A$1:AY$804,51,FALSE)/100)))</f>
        <v>0</v>
      </c>
      <c r="AM158" s="58">
        <f>IF(AJ158,O158*'[1]ETC Data'!$H$5*'[1]ETC Data'!$J$5,0)</f>
        <v>0</v>
      </c>
      <c r="AN158" s="58">
        <f>AM158-(AM158*((VLOOKUP(A158,[1]Plan!A$1:BA$804,53,FALSE)/100)))</f>
        <v>0</v>
      </c>
      <c r="AO158" s="61">
        <f>IF(AJ158,O158*'[1]ETC Data'!$H$5*'[1]ETC Data'!$K$5,0)</f>
        <v>0</v>
      </c>
      <c r="AP158" s="58">
        <f>AO158-(AO158*((VLOOKUP(A158,[1]Plan!A$1:BB$804,54,FALSE)/100)))</f>
        <v>0</v>
      </c>
      <c r="AQ158" s="58">
        <f>IF(AJ158,O158*'[1]ETC Data'!$H$5*'[1]ETC Data'!$L$5,0)</f>
        <v>0</v>
      </c>
      <c r="AR158" s="58">
        <f>AQ158-(AQ158*((VLOOKUP(A158,[1]Plan!A$1:BD$804,56,FALSE)/100)))</f>
        <v>0</v>
      </c>
      <c r="AS158" s="20">
        <f>VLOOKUP(A158,'[1]PR Matrix'!A:B,2,FALSE)</f>
        <v>0</v>
      </c>
      <c r="AT158" s="21">
        <f>R158+T158+V158+X158+AB158+AD158+AF158+AH158+AL158+AN158+AP158+AR158</f>
        <v>0</v>
      </c>
      <c r="AU158" s="21">
        <f>Q158+S158+U158+W158+AA158+AC158+AE158+AG158+AK158+AM158+AO158+AQ158</f>
        <v>0</v>
      </c>
      <c r="AV158" s="21">
        <f>R158+AB158+AL158</f>
        <v>0</v>
      </c>
      <c r="AW158" s="21">
        <f>T158+AD158+AN158</f>
        <v>0</v>
      </c>
      <c r="AX158" s="21">
        <f>V158+AF158+AP158</f>
        <v>0</v>
      </c>
      <c r="AY158" s="21">
        <f>X158+AH158+AR158</f>
        <v>0</v>
      </c>
    </row>
    <row r="159" spans="1:51" hidden="1" x14ac:dyDescent="0.2">
      <c r="A159" s="50" t="s">
        <v>366</v>
      </c>
      <c r="B159" s="51" t="s">
        <v>208</v>
      </c>
      <c r="C159" s="51"/>
      <c r="D159" s="51"/>
      <c r="E159" s="52">
        <f>IF(G159="Y",VLOOKUP(B159&amp;"|"&amp;C159,'[1]ETC Data'!$C$2:$D$16,2,FALSE),0)</f>
        <v>0</v>
      </c>
      <c r="F159" s="52">
        <f>IF(D159="",0,IF(G159="Y",VLOOKUP(B159&amp;"|"&amp;D159,'[1]ETC Data'!$C$2:$D$16,2,FALSE),0))</f>
        <v>0</v>
      </c>
      <c r="G159" s="53" t="str">
        <f>IF(VLOOKUP(A159,[1]Plan!A$1:H$804,8,FALSE)&lt;&gt;"",VLOOKUP(A159,[1]Plan!A$1:H$804,8,FALSE),"")</f>
        <v>N</v>
      </c>
      <c r="H159" s="54" t="str">
        <f>IF(VLOOKUP(A159,[1]Plan!A$1:L$804,12,FALSE)&lt;&gt;"",VLOOKUP(A159,[1]Plan!A$1:L$804,12,FALSE),"")</f>
        <v/>
      </c>
      <c r="I159" s="55" t="str">
        <f>IF(VLOOKUP(A159,[1]Plan!A$1:M$804,13,FALSE)&lt;&gt;"",VLOOKUP(A159,[1]Plan!A$1:M$804,13,FALSE),"")</f>
        <v/>
      </c>
      <c r="J159" s="55" t="str">
        <f>IF(VLOOKUP(A159,[1]Plan!A$1:N$804,14,FALSE)&lt;&gt;"",VLOOKUP(A159,[1]Plan!A$1:N$804,14,FALSE),IF(VLOOKUP(A159,[1]Plan!A$1:O$804,15,FALSE)&lt;&gt;"",VLOOKUP(A159,[1]Plan!A$1:O$804,15,FALSE),""))</f>
        <v/>
      </c>
      <c r="K159" s="56" t="str">
        <f>IF(VLOOKUP(A159,[1]Plan!A$1:P$804,16,FALSE)&lt;&gt;"",VLOOKUP(A159,[1]Plan!A$1:P$804,16,FALSE),"")</f>
        <v/>
      </c>
      <c r="L159" s="55"/>
      <c r="M159" s="55"/>
      <c r="N159" s="55"/>
      <c r="O159" s="57">
        <f>IF(F159=0,E159,F159)</f>
        <v>0</v>
      </c>
      <c r="P159" s="57" t="b">
        <f>OR(H159="Y",I159="Y")</f>
        <v>0</v>
      </c>
      <c r="Q159" s="58">
        <f>IF(P159,O159*'[1]ETC Data'!$H$3*'[1]ETC Data'!$I$3,0)</f>
        <v>0</v>
      </c>
      <c r="R159" s="58">
        <f>Q159-(Q159*((VLOOKUP(A159,[1]Plan!A$1:Z$804,26,FALSE)/100)))</f>
        <v>0</v>
      </c>
      <c r="S159" s="58">
        <f>IF(P159,O159*'[1]ETC Data'!$H$3*'[1]ETC Data'!$J$3,0)</f>
        <v>0</v>
      </c>
      <c r="T159" s="58">
        <f>S159-(S159*((VLOOKUP(A159,[1]Plan!A$1:AA$804,27,FALSE)/100)))</f>
        <v>0</v>
      </c>
      <c r="U159" s="58">
        <f>IF(P159,O159*'[1]ETC Data'!$H$3*'[1]ETC Data'!$K$3,0)</f>
        <v>0</v>
      </c>
      <c r="V159" s="58">
        <f>U159-(U159*((VLOOKUP(A159,[1]Plan!A$1:AB$804,28,FALSE)/100)))</f>
        <v>0</v>
      </c>
      <c r="W159" s="58">
        <f>IF(P159,O159*'[1]ETC Data'!$H$3*'[1]ETC Data'!$L$3,0)</f>
        <v>0</v>
      </c>
      <c r="X159" s="58">
        <f>W159-(W159*((VLOOKUP(A159,[1]Plan!A$1:AC$804,29,FALSE)/100)))</f>
        <v>0</v>
      </c>
      <c r="Y159" s="59"/>
      <c r="Z159" s="60" t="b">
        <f>OR(H159="Y",J159="Y")</f>
        <v>0</v>
      </c>
      <c r="AA159" s="58">
        <f>IF(Z159,O159*'[1]ETC Data'!$H$4*'[1]ETC Data'!$I$4,0)</f>
        <v>0</v>
      </c>
      <c r="AB159" s="58">
        <f>AA159-(AA159*((VLOOKUP(A159,[1]Plan!A$1:AI$804,35,FALSE)/100)))</f>
        <v>0</v>
      </c>
      <c r="AC159" s="58">
        <f>IF(Z159,O159*'[1]ETC Data'!$H$4*'[1]ETC Data'!$J$4,0)</f>
        <v>0</v>
      </c>
      <c r="AD159" s="58">
        <f>AC159-(AC159*((VLOOKUP(A159,[1]Plan!A$1:AJ$804,36,FALSE)/100)))</f>
        <v>0</v>
      </c>
      <c r="AE159" s="58">
        <f>IF(Z159,O159*'[1]ETC Data'!$H$4*'[1]ETC Data'!$K$4,0)</f>
        <v>0</v>
      </c>
      <c r="AF159" s="58">
        <f>AE159-(AE159*((VLOOKUP(A159,[1]Plan!A$1:AK$804,37,FALSE)/100)))</f>
        <v>0</v>
      </c>
      <c r="AG159" s="58">
        <f>IF(Z159,O159*'[1]ETC Data'!$H$4*'[1]ETC Data'!$L$4,0)</f>
        <v>0</v>
      </c>
      <c r="AH159" s="58">
        <f>AG159-(AG159*((VLOOKUP(A159,[1]Plan!A$1:AP$804,42,FALSE)/100)))</f>
        <v>0</v>
      </c>
      <c r="AI159" s="60"/>
      <c r="AJ159" s="60" t="b">
        <f>OR(H159="Y",K159="Y")</f>
        <v>0</v>
      </c>
      <c r="AK159" s="61">
        <f>IF(AJ159,O159*'[1]ETC Data'!$H$5*'[1]ETC Data'!$I$5,0)</f>
        <v>0</v>
      </c>
      <c r="AL159" s="58">
        <f>AK159-(AK159*((VLOOKUP(A159,[1]Plan!A$1:AY$804,51,FALSE)/100)))</f>
        <v>0</v>
      </c>
      <c r="AM159" s="58">
        <f>IF(AJ159,O159*'[1]ETC Data'!$H$5*'[1]ETC Data'!$J$5,0)</f>
        <v>0</v>
      </c>
      <c r="AN159" s="58">
        <f>AM159-(AM159*((VLOOKUP(A159,[1]Plan!A$1:BA$804,53,FALSE)/100)))</f>
        <v>0</v>
      </c>
      <c r="AO159" s="61">
        <f>IF(AJ159,O159*'[1]ETC Data'!$H$5*'[1]ETC Data'!$K$5,0)</f>
        <v>0</v>
      </c>
      <c r="AP159" s="58">
        <f>AO159-(AO159*((VLOOKUP(A159,[1]Plan!A$1:BB$804,54,FALSE)/100)))</f>
        <v>0</v>
      </c>
      <c r="AQ159" s="58">
        <f>IF(AJ159,O159*'[1]ETC Data'!$H$5*'[1]ETC Data'!$L$5,0)</f>
        <v>0</v>
      </c>
      <c r="AR159" s="58">
        <f>AQ159-(AQ159*((VLOOKUP(A159,[1]Plan!A$1:BD$804,56,FALSE)/100)))</f>
        <v>0</v>
      </c>
      <c r="AS159" s="20">
        <f>VLOOKUP(A159,'[1]PR Matrix'!A:B,2,FALSE)</f>
        <v>0</v>
      </c>
      <c r="AT159" s="21">
        <f>R159+T159+V159+X159+AB159+AD159+AF159+AH159+AL159+AN159+AP159+AR159</f>
        <v>0</v>
      </c>
      <c r="AU159" s="21">
        <f>Q159+S159+U159+W159+AA159+AC159+AE159+AG159+AK159+AM159+AO159+AQ159</f>
        <v>0</v>
      </c>
      <c r="AV159" s="21">
        <f>R159+AB159+AL159</f>
        <v>0</v>
      </c>
      <c r="AW159" s="21">
        <f>T159+AD159+AN159</f>
        <v>0</v>
      </c>
      <c r="AX159" s="21">
        <f>V159+AF159+AP159</f>
        <v>0</v>
      </c>
      <c r="AY159" s="21">
        <f>X159+AH159+AR159</f>
        <v>0</v>
      </c>
    </row>
    <row r="160" spans="1:51" hidden="1" x14ac:dyDescent="0.2">
      <c r="A160" s="50" t="s">
        <v>367</v>
      </c>
      <c r="B160" s="51" t="s">
        <v>208</v>
      </c>
      <c r="C160" s="51" t="s">
        <v>209</v>
      </c>
      <c r="D160" s="51"/>
      <c r="E160" s="52">
        <f>IF(G160="Y",VLOOKUP(B160&amp;"|"&amp;C160,'[1]ETC Data'!$C$2:$D$16,2,FALSE),0)</f>
        <v>0</v>
      </c>
      <c r="F160" s="52">
        <f>IF(D160="",0,IF(G160="Y",VLOOKUP(B160&amp;"|"&amp;D160,'[1]ETC Data'!$C$2:$D$16,2,FALSE),0))</f>
        <v>0</v>
      </c>
      <c r="G160" s="53" t="str">
        <f>IF(VLOOKUP(A160,[1]Plan!A$1:H$804,8,FALSE)&lt;&gt;"",VLOOKUP(A160,[1]Plan!A$1:H$804,8,FALSE),"")</f>
        <v>N</v>
      </c>
      <c r="H160" s="54" t="str">
        <f>IF(VLOOKUP(A160,[1]Plan!A$1:L$804,12,FALSE)&lt;&gt;"",VLOOKUP(A160,[1]Plan!A$1:L$804,12,FALSE),"")</f>
        <v/>
      </c>
      <c r="I160" s="55" t="str">
        <f>IF(VLOOKUP(A160,[1]Plan!A$1:M$804,13,FALSE)&lt;&gt;"",VLOOKUP(A160,[1]Plan!A$1:M$804,13,FALSE),"")</f>
        <v/>
      </c>
      <c r="J160" s="55" t="str">
        <f>IF(VLOOKUP(A160,[1]Plan!A$1:N$804,14,FALSE)&lt;&gt;"",VLOOKUP(A160,[1]Plan!A$1:N$804,14,FALSE),IF(VLOOKUP(A160,[1]Plan!A$1:O$804,15,FALSE)&lt;&gt;"",VLOOKUP(A160,[1]Plan!A$1:O$804,15,FALSE),""))</f>
        <v/>
      </c>
      <c r="K160" s="56" t="str">
        <f>IF(VLOOKUP(A160,[1]Plan!A$1:P$804,16,FALSE)&lt;&gt;"",VLOOKUP(A160,[1]Plan!A$1:P$804,16,FALSE),"")</f>
        <v/>
      </c>
      <c r="L160" s="55"/>
      <c r="M160" s="55"/>
      <c r="N160" s="55"/>
      <c r="O160" s="57">
        <f>IF(F160=0,E160,F160)</f>
        <v>0</v>
      </c>
      <c r="P160" s="57" t="b">
        <f>OR(H160="Y",I160="Y")</f>
        <v>0</v>
      </c>
      <c r="Q160" s="58">
        <f>IF(P160,O160*'[1]ETC Data'!$H$3*'[1]ETC Data'!$I$3,0)</f>
        <v>0</v>
      </c>
      <c r="R160" s="58">
        <f>Q160-(Q160*((VLOOKUP(A160,[1]Plan!A$1:Z$804,26,FALSE)/100)))</f>
        <v>0</v>
      </c>
      <c r="S160" s="58">
        <f>IF(P160,O160*'[1]ETC Data'!$H$3*'[1]ETC Data'!$J$3,0)</f>
        <v>0</v>
      </c>
      <c r="T160" s="58">
        <f>S160-(S160*((VLOOKUP(A160,[1]Plan!A$1:AA$804,27,FALSE)/100)))</f>
        <v>0</v>
      </c>
      <c r="U160" s="58">
        <f>IF(P160,O160*'[1]ETC Data'!$H$3*'[1]ETC Data'!$K$3,0)</f>
        <v>0</v>
      </c>
      <c r="V160" s="58">
        <f>U160-(U160*((VLOOKUP(A160,[1]Plan!A$1:AB$804,28,FALSE)/100)))</f>
        <v>0</v>
      </c>
      <c r="W160" s="58">
        <f>IF(P160,O160*'[1]ETC Data'!$H$3*'[1]ETC Data'!$L$3,0)</f>
        <v>0</v>
      </c>
      <c r="X160" s="58">
        <f>W160-(W160*((VLOOKUP(A160,[1]Plan!A$1:AC$804,29,FALSE)/100)))</f>
        <v>0</v>
      </c>
      <c r="Y160" s="59"/>
      <c r="Z160" s="60" t="b">
        <f>OR(H160="Y",J160="Y")</f>
        <v>0</v>
      </c>
      <c r="AA160" s="58">
        <f>IF(Z160,O160*'[1]ETC Data'!$H$4*'[1]ETC Data'!$I$4,0)</f>
        <v>0</v>
      </c>
      <c r="AB160" s="58">
        <f>AA160-(AA160*((VLOOKUP(A160,[1]Plan!A$1:AI$804,35,FALSE)/100)))</f>
        <v>0</v>
      </c>
      <c r="AC160" s="58">
        <f>IF(Z160,O160*'[1]ETC Data'!$H$4*'[1]ETC Data'!$J$4,0)</f>
        <v>0</v>
      </c>
      <c r="AD160" s="58">
        <f>AC160-(AC160*((VLOOKUP(A160,[1]Plan!A$1:AJ$804,36,FALSE)/100)))</f>
        <v>0</v>
      </c>
      <c r="AE160" s="58">
        <f>IF(Z160,O160*'[1]ETC Data'!$H$4*'[1]ETC Data'!$K$4,0)</f>
        <v>0</v>
      </c>
      <c r="AF160" s="58">
        <f>AE160-(AE160*((VLOOKUP(A160,[1]Plan!A$1:AK$804,37,FALSE)/100)))</f>
        <v>0</v>
      </c>
      <c r="AG160" s="58">
        <f>IF(Z160,O160*'[1]ETC Data'!$H$4*'[1]ETC Data'!$L$4,0)</f>
        <v>0</v>
      </c>
      <c r="AH160" s="58">
        <f>AG160-(AG160*((VLOOKUP(A160,[1]Plan!A$1:AP$804,42,FALSE)/100)))</f>
        <v>0</v>
      </c>
      <c r="AI160" s="60"/>
      <c r="AJ160" s="60" t="b">
        <f>OR(H160="Y",K160="Y")</f>
        <v>0</v>
      </c>
      <c r="AK160" s="61">
        <f>IF(AJ160,O160*'[1]ETC Data'!$H$5*'[1]ETC Data'!$I$5,0)</f>
        <v>0</v>
      </c>
      <c r="AL160" s="58">
        <f>AK160-(AK160*((VLOOKUP(A160,[1]Plan!A$1:AY$804,51,FALSE)/100)))</f>
        <v>0</v>
      </c>
      <c r="AM160" s="58">
        <f>IF(AJ160,O160*'[1]ETC Data'!$H$5*'[1]ETC Data'!$J$5,0)</f>
        <v>0</v>
      </c>
      <c r="AN160" s="58">
        <f>AM160-(AM160*((VLOOKUP(A160,[1]Plan!A$1:BA$804,53,FALSE)/100)))</f>
        <v>0</v>
      </c>
      <c r="AO160" s="61">
        <f>IF(AJ160,O160*'[1]ETC Data'!$H$5*'[1]ETC Data'!$K$5,0)</f>
        <v>0</v>
      </c>
      <c r="AP160" s="58">
        <f>AO160-(AO160*((VLOOKUP(A160,[1]Plan!A$1:BB$804,54,FALSE)/100)))</f>
        <v>0</v>
      </c>
      <c r="AQ160" s="58">
        <f>IF(AJ160,O160*'[1]ETC Data'!$H$5*'[1]ETC Data'!$L$5,0)</f>
        <v>0</v>
      </c>
      <c r="AR160" s="58">
        <f>AQ160-(AQ160*((VLOOKUP(A160,[1]Plan!A$1:BD$804,56,FALSE)/100)))</f>
        <v>0</v>
      </c>
      <c r="AS160" s="20">
        <f>VLOOKUP(A160,'[1]PR Matrix'!A:B,2,FALSE)</f>
        <v>0</v>
      </c>
      <c r="AT160" s="21">
        <f>R160+T160+V160+X160+AB160+AD160+AF160+AH160+AL160+AN160+AP160+AR160</f>
        <v>0</v>
      </c>
      <c r="AU160" s="21">
        <f>Q160+S160+U160+W160+AA160+AC160+AE160+AG160+AK160+AM160+AO160+AQ160</f>
        <v>0</v>
      </c>
      <c r="AV160" s="21">
        <f>R160+AB160+AL160</f>
        <v>0</v>
      </c>
      <c r="AW160" s="21">
        <f>T160+AD160+AN160</f>
        <v>0</v>
      </c>
      <c r="AX160" s="21">
        <f>V160+AF160+AP160</f>
        <v>0</v>
      </c>
      <c r="AY160" s="21">
        <f>X160+AH160+AR160</f>
        <v>0</v>
      </c>
    </row>
    <row r="161" spans="1:51" hidden="1" x14ac:dyDescent="0.2">
      <c r="A161" s="50" t="s">
        <v>368</v>
      </c>
      <c r="B161" s="51" t="s">
        <v>208</v>
      </c>
      <c r="C161" s="51"/>
      <c r="D161" s="51"/>
      <c r="E161" s="52">
        <f>IF(G161="Y",VLOOKUP(B161&amp;"|"&amp;C161,'[1]ETC Data'!$C$2:$D$16,2,FALSE),0)</f>
        <v>0</v>
      </c>
      <c r="F161" s="52">
        <f>IF(D161="",0,IF(G161="Y",VLOOKUP(B161&amp;"|"&amp;D161,'[1]ETC Data'!$C$2:$D$16,2,FALSE),0))</f>
        <v>0</v>
      </c>
      <c r="G161" s="53" t="str">
        <f>IF(VLOOKUP(A161,[1]Plan!A$1:H$804,8,FALSE)&lt;&gt;"",VLOOKUP(A161,[1]Plan!A$1:H$804,8,FALSE),"")</f>
        <v>N</v>
      </c>
      <c r="H161" s="54" t="str">
        <f>IF(VLOOKUP(A161,[1]Plan!A$1:L$804,12,FALSE)&lt;&gt;"",VLOOKUP(A161,[1]Plan!A$1:L$804,12,FALSE),"")</f>
        <v/>
      </c>
      <c r="I161" s="55" t="str">
        <f>IF(VLOOKUP(A161,[1]Plan!A$1:M$804,13,FALSE)&lt;&gt;"",VLOOKUP(A161,[1]Plan!A$1:M$804,13,FALSE),"")</f>
        <v/>
      </c>
      <c r="J161" s="55" t="str">
        <f>IF(VLOOKUP(A161,[1]Plan!A$1:N$804,14,FALSE)&lt;&gt;"",VLOOKUP(A161,[1]Plan!A$1:N$804,14,FALSE),IF(VLOOKUP(A161,[1]Plan!A$1:O$804,15,FALSE)&lt;&gt;"",VLOOKUP(A161,[1]Plan!A$1:O$804,15,FALSE),""))</f>
        <v/>
      </c>
      <c r="K161" s="56" t="str">
        <f>IF(VLOOKUP(A161,[1]Plan!A$1:P$804,16,FALSE)&lt;&gt;"",VLOOKUP(A161,[1]Plan!A$1:P$804,16,FALSE),"")</f>
        <v/>
      </c>
      <c r="L161" s="55"/>
      <c r="M161" s="55"/>
      <c r="N161" s="55"/>
      <c r="O161" s="57">
        <f>IF(F161=0,E161,F161)</f>
        <v>0</v>
      </c>
      <c r="P161" s="57" t="b">
        <f>OR(H161="Y",I161="Y")</f>
        <v>0</v>
      </c>
      <c r="Q161" s="58">
        <f>IF(P161,O161*'[1]ETC Data'!$H$3*'[1]ETC Data'!$I$3,0)</f>
        <v>0</v>
      </c>
      <c r="R161" s="58">
        <f>Q161-(Q161*((VLOOKUP(A161,[1]Plan!A$1:Z$804,26,FALSE)/100)))</f>
        <v>0</v>
      </c>
      <c r="S161" s="58">
        <f>IF(P161,O161*'[1]ETC Data'!$H$3*'[1]ETC Data'!$J$3,0)</f>
        <v>0</v>
      </c>
      <c r="T161" s="58">
        <f>S161-(S161*((VLOOKUP(A161,[1]Plan!A$1:AA$804,27,FALSE)/100)))</f>
        <v>0</v>
      </c>
      <c r="U161" s="58">
        <f>IF(P161,O161*'[1]ETC Data'!$H$3*'[1]ETC Data'!$K$3,0)</f>
        <v>0</v>
      </c>
      <c r="V161" s="58">
        <f>U161-(U161*((VLOOKUP(A161,[1]Plan!A$1:AB$804,28,FALSE)/100)))</f>
        <v>0</v>
      </c>
      <c r="W161" s="58">
        <f>IF(P161,O161*'[1]ETC Data'!$H$3*'[1]ETC Data'!$L$3,0)</f>
        <v>0</v>
      </c>
      <c r="X161" s="58">
        <f>W161-(W161*((VLOOKUP(A161,[1]Plan!A$1:AC$804,29,FALSE)/100)))</f>
        <v>0</v>
      </c>
      <c r="Y161" s="59"/>
      <c r="Z161" s="60" t="b">
        <f>OR(H161="Y",J161="Y")</f>
        <v>0</v>
      </c>
      <c r="AA161" s="58">
        <f>IF(Z161,O161*'[1]ETC Data'!$H$4*'[1]ETC Data'!$I$4,0)</f>
        <v>0</v>
      </c>
      <c r="AB161" s="58">
        <f>AA161-(AA161*((VLOOKUP(A161,[1]Plan!A$1:AI$804,35,FALSE)/100)))</f>
        <v>0</v>
      </c>
      <c r="AC161" s="58">
        <f>IF(Z161,O161*'[1]ETC Data'!$H$4*'[1]ETC Data'!$J$4,0)</f>
        <v>0</v>
      </c>
      <c r="AD161" s="58">
        <f>AC161-(AC161*((VLOOKUP(A161,[1]Plan!A$1:AJ$804,36,FALSE)/100)))</f>
        <v>0</v>
      </c>
      <c r="AE161" s="58">
        <f>IF(Z161,O161*'[1]ETC Data'!$H$4*'[1]ETC Data'!$K$4,0)</f>
        <v>0</v>
      </c>
      <c r="AF161" s="58">
        <f>AE161-(AE161*((VLOOKUP(A161,[1]Plan!A$1:AK$804,37,FALSE)/100)))</f>
        <v>0</v>
      </c>
      <c r="AG161" s="58">
        <f>IF(Z161,O161*'[1]ETC Data'!$H$4*'[1]ETC Data'!$L$4,0)</f>
        <v>0</v>
      </c>
      <c r="AH161" s="58">
        <f>AG161-(AG161*((VLOOKUP(A161,[1]Plan!A$1:AP$804,42,FALSE)/100)))</f>
        <v>0</v>
      </c>
      <c r="AI161" s="60"/>
      <c r="AJ161" s="60" t="b">
        <f>OR(H161="Y",K161="Y")</f>
        <v>0</v>
      </c>
      <c r="AK161" s="61">
        <f>IF(AJ161,O161*'[1]ETC Data'!$H$5*'[1]ETC Data'!$I$5,0)</f>
        <v>0</v>
      </c>
      <c r="AL161" s="58">
        <f>AK161-(AK161*((VLOOKUP(A161,[1]Plan!A$1:AY$804,51,FALSE)/100)))</f>
        <v>0</v>
      </c>
      <c r="AM161" s="58">
        <f>IF(AJ161,O161*'[1]ETC Data'!$H$5*'[1]ETC Data'!$J$5,0)</f>
        <v>0</v>
      </c>
      <c r="AN161" s="58">
        <f>AM161-(AM161*((VLOOKUP(A161,[1]Plan!A$1:BA$804,53,FALSE)/100)))</f>
        <v>0</v>
      </c>
      <c r="AO161" s="61">
        <f>IF(AJ161,O161*'[1]ETC Data'!$H$5*'[1]ETC Data'!$K$5,0)</f>
        <v>0</v>
      </c>
      <c r="AP161" s="58">
        <f>AO161-(AO161*((VLOOKUP(A161,[1]Plan!A$1:BB$804,54,FALSE)/100)))</f>
        <v>0</v>
      </c>
      <c r="AQ161" s="58">
        <f>IF(AJ161,O161*'[1]ETC Data'!$H$5*'[1]ETC Data'!$L$5,0)</f>
        <v>0</v>
      </c>
      <c r="AR161" s="58">
        <f>AQ161-(AQ161*((VLOOKUP(A161,[1]Plan!A$1:BD$804,56,FALSE)/100)))</f>
        <v>0</v>
      </c>
      <c r="AS161" s="20">
        <f>VLOOKUP(A161,'[1]PR Matrix'!A:B,2,FALSE)</f>
        <v>0</v>
      </c>
      <c r="AT161" s="21">
        <f>R161+T161+V161+X161+AB161+AD161+AF161+AH161+AL161+AN161+AP161+AR161</f>
        <v>0</v>
      </c>
      <c r="AU161" s="21">
        <f>Q161+S161+U161+W161+AA161+AC161+AE161+AG161+AK161+AM161+AO161+AQ161</f>
        <v>0</v>
      </c>
      <c r="AV161" s="21">
        <f>R161+AB161+AL161</f>
        <v>0</v>
      </c>
      <c r="AW161" s="21">
        <f>T161+AD161+AN161</f>
        <v>0</v>
      </c>
      <c r="AX161" s="21">
        <f>V161+AF161+AP161</f>
        <v>0</v>
      </c>
      <c r="AY161" s="21">
        <f>X161+AH161+AR161</f>
        <v>0</v>
      </c>
    </row>
    <row r="162" spans="1:51" x14ac:dyDescent="0.2">
      <c r="A162" s="50" t="s">
        <v>613</v>
      </c>
      <c r="B162" s="51" t="s">
        <v>208</v>
      </c>
      <c r="C162" s="51"/>
      <c r="D162" s="51"/>
      <c r="E162" s="63" t="e">
        <f>IF(G162="Y",VLOOKUP(B162&amp;"|"&amp;C162,'[1]ETC Data'!$C$2:$D$16,2,FALSE),0)</f>
        <v>#N/A</v>
      </c>
      <c r="F162" s="63">
        <f>IF(D162="",0,IF(G162="Y",VLOOKUP(B162&amp;"|"&amp;D162,'[1]ETC Data'!$C$2:$D$16,2,FALSE),0))</f>
        <v>0</v>
      </c>
      <c r="G162" s="53" t="str">
        <f>IF(VLOOKUP(A162,[1]Plan!A$1:H$804,8,FALSE)&lt;&gt;"",VLOOKUP(A162,[1]Plan!A$1:H$804,8,FALSE),"")</f>
        <v>Y</v>
      </c>
      <c r="H162" s="54" t="str">
        <f>IF(VLOOKUP(A162,[1]Plan!A$1:L$804,12,FALSE)&lt;&gt;"",VLOOKUP(A162,[1]Plan!A$1:L$804,12,FALSE),"")</f>
        <v/>
      </c>
      <c r="I162" s="55" t="str">
        <f>IF(VLOOKUP(A162,[1]Plan!A$1:M$804,13,FALSE)&lt;&gt;"",VLOOKUP(A162,[1]Plan!A$1:M$804,13,FALSE),"")</f>
        <v/>
      </c>
      <c r="J162" s="55" t="str">
        <f>IF(VLOOKUP(A162,[1]Plan!A$1:N$804,14,FALSE)&lt;&gt;"",VLOOKUP(A162,[1]Plan!A$1:N$804,14,FALSE),IF(VLOOKUP(A162,[1]Plan!A$1:O$804,15,FALSE)&lt;&gt;"",VLOOKUP(A162,[1]Plan!A$1:O$804,15,FALSE),""))</f>
        <v>Y</v>
      </c>
      <c r="K162" s="56" t="str">
        <f>IF(VLOOKUP(A162,[1]Plan!A$1:P$804,16,FALSE)&lt;&gt;"",VLOOKUP(A162,[1]Plan!A$1:P$804,16,FALSE),"")</f>
        <v/>
      </c>
      <c r="L162" s="55"/>
      <c r="M162" s="55"/>
      <c r="N162" s="55"/>
      <c r="O162" s="57" t="e">
        <f>IF(F162=0,E162,F162)</f>
        <v>#N/A</v>
      </c>
      <c r="P162" s="57" t="b">
        <f>OR(H162="Y",I162="Y")</f>
        <v>0</v>
      </c>
      <c r="Q162" s="58">
        <f>IF(P162,O162*'[1]ETC Data'!$H$3*'[1]ETC Data'!$I$3,0)</f>
        <v>0</v>
      </c>
      <c r="R162" s="58">
        <f>Q162-(Q162*((VLOOKUP(A162,[1]Plan!A$1:Z$804,26,FALSE)/100)))</f>
        <v>0</v>
      </c>
      <c r="S162" s="58">
        <f>IF(P162,O162*'[1]ETC Data'!$H$3*'[1]ETC Data'!$J$3,0)</f>
        <v>0</v>
      </c>
      <c r="T162" s="58">
        <f>S162-(S162*((VLOOKUP(A162,[1]Plan!A$1:AA$804,27,FALSE)/100)))</f>
        <v>0</v>
      </c>
      <c r="U162" s="58">
        <f>IF(P162,O162*'[1]ETC Data'!$H$3*'[1]ETC Data'!$K$3,0)</f>
        <v>0</v>
      </c>
      <c r="V162" s="58">
        <f>U162-(U162*((VLOOKUP(A162,[1]Plan!A$1:AB$804,28,FALSE)/100)))</f>
        <v>0</v>
      </c>
      <c r="W162" s="58">
        <f>IF(P162,O162*'[1]ETC Data'!$H$3*'[1]ETC Data'!$L$3,0)</f>
        <v>0</v>
      </c>
      <c r="X162" s="58">
        <f>W162-(W162*((VLOOKUP(A162,[1]Plan!A$1:AC$804,29,FALSE)/100)))</f>
        <v>0</v>
      </c>
      <c r="Y162" s="59"/>
      <c r="Z162" s="60" t="b">
        <f>OR(H162="Y",J162="Y")</f>
        <v>1</v>
      </c>
      <c r="AA162" s="58" t="e">
        <f>IF(Z162,O162*'[1]ETC Data'!$H$4*'[1]ETC Data'!$I$4,0)</f>
        <v>#N/A</v>
      </c>
      <c r="AB162" s="58" t="e">
        <f>AA162-(AA162*((VLOOKUP(A162,[1]Plan!A$1:AI$804,35,FALSE)/100)))</f>
        <v>#N/A</v>
      </c>
      <c r="AC162" s="58" t="e">
        <f>IF(Z162,O162*'[1]ETC Data'!$H$4*'[1]ETC Data'!$J$4,0)</f>
        <v>#N/A</v>
      </c>
      <c r="AD162" s="58" t="e">
        <f>AC162-(AC162*((VLOOKUP(A162,[1]Plan!A$1:AJ$804,36,FALSE)/100)))</f>
        <v>#N/A</v>
      </c>
      <c r="AE162" s="58" t="e">
        <f>IF(Z162,O162*'[1]ETC Data'!$H$4*'[1]ETC Data'!$K$4,0)</f>
        <v>#N/A</v>
      </c>
      <c r="AF162" s="58" t="e">
        <f>AE162-(AE162*((VLOOKUP(A162,[1]Plan!A$1:AK$804,37,FALSE)/100)))</f>
        <v>#N/A</v>
      </c>
      <c r="AG162" s="58" t="e">
        <f>IF(Z162,O162*'[1]ETC Data'!$H$4*'[1]ETC Data'!$L$4,0)</f>
        <v>#N/A</v>
      </c>
      <c r="AH162" s="58" t="e">
        <f>AG162-(AG162*((VLOOKUP(A162,[1]Plan!A$1:AP$804,42,FALSE)/100)))</f>
        <v>#N/A</v>
      </c>
      <c r="AI162" s="60"/>
      <c r="AJ162" s="60" t="b">
        <f>OR(H162="Y",K162="Y")</f>
        <v>0</v>
      </c>
      <c r="AK162" s="61">
        <f>IF(AJ162,O162*'[1]ETC Data'!$H$5*'[1]ETC Data'!$I$5,0)</f>
        <v>0</v>
      </c>
      <c r="AL162" s="58">
        <f>AK162-(AK162*((VLOOKUP(A162,[1]Plan!A$1:AY$804,51,FALSE)/100)))</f>
        <v>0</v>
      </c>
      <c r="AM162" s="58">
        <f>IF(AJ162,O162*'[1]ETC Data'!$H$5*'[1]ETC Data'!$J$5,0)</f>
        <v>0</v>
      </c>
      <c r="AN162" s="58">
        <f>AM162-(AM162*((VLOOKUP(A162,[1]Plan!A$1:BA$804,53,FALSE)/100)))</f>
        <v>0</v>
      </c>
      <c r="AO162" s="61">
        <f>IF(AJ162,O162*'[1]ETC Data'!$H$5*'[1]ETC Data'!$K$5,0)</f>
        <v>0</v>
      </c>
      <c r="AP162" s="58">
        <f>AO162-(AO162*((VLOOKUP(A162,[1]Plan!A$1:BB$804,54,FALSE)/100)))</f>
        <v>0</v>
      </c>
      <c r="AQ162" s="58">
        <f>IF(AJ162,O162*'[1]ETC Data'!$H$5*'[1]ETC Data'!$L$5,0)</f>
        <v>0</v>
      </c>
      <c r="AR162" s="58">
        <f>AQ162-(AQ162*((VLOOKUP(A162,[1]Plan!A$1:BD$804,56,FALSE)/100)))</f>
        <v>0</v>
      </c>
      <c r="AS162" s="20">
        <f>VLOOKUP(A162,'[1]PR Matrix'!A:B,2,FALSE)</f>
        <v>6233</v>
      </c>
      <c r="AT162" s="21" t="e">
        <f>R162+T162+V162+X162+AB162+AD162+AF162+AH162+AL162+AN162+AP162+AR162</f>
        <v>#N/A</v>
      </c>
      <c r="AU162" s="21" t="e">
        <f>Q162+S162+U162+W162+AA162+AC162+AE162+AG162+AK162+AM162+AO162+AQ162</f>
        <v>#N/A</v>
      </c>
      <c r="AV162" s="21" t="e">
        <f>R162+AB162+AL162</f>
        <v>#N/A</v>
      </c>
      <c r="AW162" s="72" t="e">
        <f>T162+AD162+AN162</f>
        <v>#N/A</v>
      </c>
      <c r="AX162" s="72" t="e">
        <f>V162+AF162+AP162</f>
        <v>#N/A</v>
      </c>
      <c r="AY162" s="72" t="e">
        <f>X162+AH162+AR162</f>
        <v>#N/A</v>
      </c>
    </row>
    <row r="163" spans="1:51" hidden="1" x14ac:dyDescent="0.2">
      <c r="A163" s="50" t="s">
        <v>370</v>
      </c>
      <c r="B163" s="51" t="s">
        <v>258</v>
      </c>
      <c r="C163" s="51"/>
      <c r="D163" s="51"/>
      <c r="E163" s="52">
        <f>IF(G163="Y",VLOOKUP(B163&amp;"|"&amp;C163,'[1]ETC Data'!$C$2:$D$16,2,FALSE),0)</f>
        <v>0</v>
      </c>
      <c r="F163" s="52">
        <f>IF(D163="",0,IF(G163="Y",VLOOKUP(B163&amp;"|"&amp;D163,'[1]ETC Data'!$C$2:$D$16,2,FALSE),0))</f>
        <v>0</v>
      </c>
      <c r="G163" s="53" t="str">
        <f>IF(VLOOKUP(A163,[1]Plan!A$1:H$804,8,FALSE)&lt;&gt;"",VLOOKUP(A163,[1]Plan!A$1:H$804,8,FALSE),"")</f>
        <v>N</v>
      </c>
      <c r="H163" s="54" t="str">
        <f>IF(VLOOKUP(A163,[1]Plan!A$1:L$804,12,FALSE)&lt;&gt;"",VLOOKUP(A163,[1]Plan!A$1:L$804,12,FALSE),"")</f>
        <v/>
      </c>
      <c r="I163" s="55" t="str">
        <f>IF(VLOOKUP(A163,[1]Plan!A$1:M$804,13,FALSE)&lt;&gt;"",VLOOKUP(A163,[1]Plan!A$1:M$804,13,FALSE),"")</f>
        <v/>
      </c>
      <c r="J163" s="55" t="str">
        <f>IF(VLOOKUP(A163,[1]Plan!A$1:N$804,14,FALSE)&lt;&gt;"",VLOOKUP(A163,[1]Plan!A$1:N$804,14,FALSE),IF(VLOOKUP(A163,[1]Plan!A$1:O$804,15,FALSE)&lt;&gt;"",VLOOKUP(A163,[1]Plan!A$1:O$804,15,FALSE),""))</f>
        <v/>
      </c>
      <c r="K163" s="56" t="str">
        <f>IF(VLOOKUP(A163,[1]Plan!A$1:P$804,16,FALSE)&lt;&gt;"",VLOOKUP(A163,[1]Plan!A$1:P$804,16,FALSE),"")</f>
        <v/>
      </c>
      <c r="L163" s="55"/>
      <c r="M163" s="55"/>
      <c r="N163" s="55"/>
      <c r="O163" s="57">
        <f>IF(F163=0,E163,F163)</f>
        <v>0</v>
      </c>
      <c r="P163" s="57" t="b">
        <f>OR(H163="Y",I163="Y")</f>
        <v>0</v>
      </c>
      <c r="Q163" s="58">
        <f>IF(P163,O163*'[1]ETC Data'!$H$3*'[1]ETC Data'!$I$3,0)</f>
        <v>0</v>
      </c>
      <c r="R163" s="58">
        <f>Q163-(Q163*((VLOOKUP(A163,[1]Plan!A$1:Z$804,26,FALSE)/100)))</f>
        <v>0</v>
      </c>
      <c r="S163" s="58">
        <f>IF(P163,O163*'[1]ETC Data'!$H$3*'[1]ETC Data'!$J$3,0)</f>
        <v>0</v>
      </c>
      <c r="T163" s="58">
        <f>S163-(S163*((VLOOKUP(A163,[1]Plan!A$1:AA$804,27,FALSE)/100)))</f>
        <v>0</v>
      </c>
      <c r="U163" s="58">
        <f>IF(P163,O163*'[1]ETC Data'!$H$3*'[1]ETC Data'!$K$3,0)</f>
        <v>0</v>
      </c>
      <c r="V163" s="58">
        <f>U163-(U163*((VLOOKUP(A163,[1]Plan!A$1:AB$804,28,FALSE)/100)))</f>
        <v>0</v>
      </c>
      <c r="W163" s="58">
        <f>IF(P163,O163*'[1]ETC Data'!$H$3*'[1]ETC Data'!$L$3,0)</f>
        <v>0</v>
      </c>
      <c r="X163" s="58">
        <f>W163-(W163*((VLOOKUP(A163,[1]Plan!A$1:AC$804,29,FALSE)/100)))</f>
        <v>0</v>
      </c>
      <c r="Y163" s="59"/>
      <c r="Z163" s="60" t="b">
        <f>OR(H163="Y",J163="Y")</f>
        <v>0</v>
      </c>
      <c r="AA163" s="58">
        <f>IF(Z163,O163*'[1]ETC Data'!$H$4*'[1]ETC Data'!$I$4,0)</f>
        <v>0</v>
      </c>
      <c r="AB163" s="58">
        <f>AA163-(AA163*((VLOOKUP(A163,[1]Plan!A$1:AI$804,35,FALSE)/100)))</f>
        <v>0</v>
      </c>
      <c r="AC163" s="58">
        <f>IF(Z163,O163*'[1]ETC Data'!$H$4*'[1]ETC Data'!$J$4,0)</f>
        <v>0</v>
      </c>
      <c r="AD163" s="58">
        <f>AC163-(AC163*((VLOOKUP(A163,[1]Plan!A$1:AJ$804,36,FALSE)/100)))</f>
        <v>0</v>
      </c>
      <c r="AE163" s="58">
        <f>IF(Z163,O163*'[1]ETC Data'!$H$4*'[1]ETC Data'!$K$4,0)</f>
        <v>0</v>
      </c>
      <c r="AF163" s="58">
        <f>AE163-(AE163*((VLOOKUP(A163,[1]Plan!A$1:AK$804,37,FALSE)/100)))</f>
        <v>0</v>
      </c>
      <c r="AG163" s="58">
        <f>IF(Z163,O163*'[1]ETC Data'!$H$4*'[1]ETC Data'!$L$4,0)</f>
        <v>0</v>
      </c>
      <c r="AH163" s="58">
        <f>AG163-(AG163*((VLOOKUP(A163,[1]Plan!A$1:AP$804,42,FALSE)/100)))</f>
        <v>0</v>
      </c>
      <c r="AI163" s="60"/>
      <c r="AJ163" s="60" t="b">
        <f>OR(H163="Y",K163="Y")</f>
        <v>0</v>
      </c>
      <c r="AK163" s="61">
        <f>IF(AJ163,O163*'[1]ETC Data'!$H$5*'[1]ETC Data'!$I$5,0)</f>
        <v>0</v>
      </c>
      <c r="AL163" s="58">
        <f>AK163-(AK163*((VLOOKUP(A163,[1]Plan!A$1:AY$804,51,FALSE)/100)))</f>
        <v>0</v>
      </c>
      <c r="AM163" s="58">
        <f>IF(AJ163,O163*'[1]ETC Data'!$H$5*'[1]ETC Data'!$J$5,0)</f>
        <v>0</v>
      </c>
      <c r="AN163" s="58">
        <f>AM163-(AM163*((VLOOKUP(A163,[1]Plan!A$1:BA$804,53,FALSE)/100)))</f>
        <v>0</v>
      </c>
      <c r="AO163" s="61">
        <f>IF(AJ163,O163*'[1]ETC Data'!$H$5*'[1]ETC Data'!$K$5,0)</f>
        <v>0</v>
      </c>
      <c r="AP163" s="58">
        <f>AO163-(AO163*((VLOOKUP(A163,[1]Plan!A$1:BB$804,54,FALSE)/100)))</f>
        <v>0</v>
      </c>
      <c r="AQ163" s="58">
        <f>IF(AJ163,O163*'[1]ETC Data'!$H$5*'[1]ETC Data'!$L$5,0)</f>
        <v>0</v>
      </c>
      <c r="AR163" s="58">
        <f>AQ163-(AQ163*((VLOOKUP(A163,[1]Plan!A$1:BD$804,56,FALSE)/100)))</f>
        <v>0</v>
      </c>
      <c r="AS163" s="20">
        <f>VLOOKUP(A163,'[1]PR Matrix'!A:B,2,FALSE)</f>
        <v>0</v>
      </c>
      <c r="AT163" s="21">
        <f>R163+T163+V163+X163+AB163+AD163+AF163+AH163+AL163+AN163+AP163+AR163</f>
        <v>0</v>
      </c>
      <c r="AU163" s="21">
        <f>Q163+S163+U163+W163+AA163+AC163+AE163+AG163+AK163+AM163+AO163+AQ163</f>
        <v>0</v>
      </c>
      <c r="AV163" s="21">
        <f>R163+AB163+AL163</f>
        <v>0</v>
      </c>
      <c r="AW163" s="21">
        <f>T163+AD163+AN163</f>
        <v>0</v>
      </c>
      <c r="AX163" s="21">
        <f>V163+AF163+AP163</f>
        <v>0</v>
      </c>
      <c r="AY163" s="21">
        <f>X163+AH163+AR163</f>
        <v>0</v>
      </c>
    </row>
    <row r="164" spans="1:51" x14ac:dyDescent="0.2">
      <c r="A164" s="50" t="s">
        <v>625</v>
      </c>
      <c r="B164" s="51" t="s">
        <v>208</v>
      </c>
      <c r="C164" s="51"/>
      <c r="D164" s="51"/>
      <c r="E164" s="63" t="e">
        <f>IF(G164="Y",VLOOKUP(B164&amp;"|"&amp;C164,'[1]ETC Data'!$C$2:$D$16,2,FALSE),0)</f>
        <v>#N/A</v>
      </c>
      <c r="F164" s="63">
        <f>IF(D164="",0,IF(G164="Y",VLOOKUP(B164&amp;"|"&amp;D164,'[1]ETC Data'!$C$2:$D$16,2,FALSE),0))</f>
        <v>0</v>
      </c>
      <c r="G164" s="53" t="str">
        <f>IF(VLOOKUP(A164,[1]Plan!A$1:H$804,8,FALSE)&lt;&gt;"",VLOOKUP(A164,[1]Plan!A$1:H$804,8,FALSE),"")</f>
        <v>Y</v>
      </c>
      <c r="H164" s="54" t="str">
        <f>IF(VLOOKUP(A164,[1]Plan!A$1:L$804,12,FALSE)&lt;&gt;"",VLOOKUP(A164,[1]Plan!A$1:L$804,12,FALSE),"")</f>
        <v/>
      </c>
      <c r="I164" s="55" t="str">
        <f>IF(VLOOKUP(A164,[1]Plan!A$1:M$804,13,FALSE)&lt;&gt;"",VLOOKUP(A164,[1]Plan!A$1:M$804,13,FALSE),"")</f>
        <v/>
      </c>
      <c r="J164" s="55" t="str">
        <f>IF(VLOOKUP(A164,[1]Plan!A$1:N$804,14,FALSE)&lt;&gt;"",VLOOKUP(A164,[1]Plan!A$1:N$804,14,FALSE),IF(VLOOKUP(A164,[1]Plan!A$1:O$804,15,FALSE)&lt;&gt;"",VLOOKUP(A164,[1]Plan!A$1:O$804,15,FALSE),""))</f>
        <v>Y</v>
      </c>
      <c r="K164" s="56" t="str">
        <f>IF(VLOOKUP(A164,[1]Plan!A$1:P$804,16,FALSE)&lt;&gt;"",VLOOKUP(A164,[1]Plan!A$1:P$804,16,FALSE),"")</f>
        <v/>
      </c>
      <c r="L164" s="55"/>
      <c r="M164" s="55"/>
      <c r="N164" s="55"/>
      <c r="O164" s="57" t="e">
        <f>IF(F164=0,E164,F164)</f>
        <v>#N/A</v>
      </c>
      <c r="P164" s="57" t="b">
        <f>OR(H164="Y",I164="Y")</f>
        <v>0</v>
      </c>
      <c r="Q164" s="58">
        <f>IF(P164,O164*'[1]ETC Data'!$H$3*'[1]ETC Data'!$I$3,0)</f>
        <v>0</v>
      </c>
      <c r="R164" s="58">
        <f>Q164-(Q164*((VLOOKUP(A164,[1]Plan!A$1:Z$804,26,FALSE)/100)))</f>
        <v>0</v>
      </c>
      <c r="S164" s="58">
        <f>IF(P164,O164*'[1]ETC Data'!$H$3*'[1]ETC Data'!$J$3,0)</f>
        <v>0</v>
      </c>
      <c r="T164" s="58">
        <f>S164-(S164*((VLOOKUP(A164,[1]Plan!A$1:AA$804,27,FALSE)/100)))</f>
        <v>0</v>
      </c>
      <c r="U164" s="58">
        <f>IF(P164,O164*'[1]ETC Data'!$H$3*'[1]ETC Data'!$K$3,0)</f>
        <v>0</v>
      </c>
      <c r="V164" s="58">
        <f>U164-(U164*((VLOOKUP(A164,[1]Plan!A$1:AB$804,28,FALSE)/100)))</f>
        <v>0</v>
      </c>
      <c r="W164" s="58">
        <f>IF(P164,O164*'[1]ETC Data'!$H$3*'[1]ETC Data'!$L$3,0)</f>
        <v>0</v>
      </c>
      <c r="X164" s="58">
        <f>W164-(W164*((VLOOKUP(A164,[1]Plan!A$1:AC$804,29,FALSE)/100)))</f>
        <v>0</v>
      </c>
      <c r="Y164" s="59"/>
      <c r="Z164" s="60" t="b">
        <f>OR(H164="Y",J164="Y")</f>
        <v>1</v>
      </c>
      <c r="AA164" s="58" t="e">
        <f>IF(Z164,O164*'[1]ETC Data'!$H$4*'[1]ETC Data'!$I$4,0)</f>
        <v>#N/A</v>
      </c>
      <c r="AB164" s="58" t="e">
        <f>AA164-(AA164*((VLOOKUP(A164,[1]Plan!A$1:AI$804,35,FALSE)/100)))</f>
        <v>#N/A</v>
      </c>
      <c r="AC164" s="58" t="e">
        <f>IF(Z164,O164*'[1]ETC Data'!$H$4*'[1]ETC Data'!$J$4,0)</f>
        <v>#N/A</v>
      </c>
      <c r="AD164" s="58" t="e">
        <f>AC164-(AC164*((VLOOKUP(A164,[1]Plan!A$1:AJ$804,36,FALSE)/100)))</f>
        <v>#N/A</v>
      </c>
      <c r="AE164" s="58" t="e">
        <f>IF(Z164,O164*'[1]ETC Data'!$H$4*'[1]ETC Data'!$K$4,0)</f>
        <v>#N/A</v>
      </c>
      <c r="AF164" s="58" t="e">
        <f>AE164-(AE164*((VLOOKUP(A164,[1]Plan!A$1:AK$804,37,FALSE)/100)))</f>
        <v>#N/A</v>
      </c>
      <c r="AG164" s="58" t="e">
        <f>IF(Z164,O164*'[1]ETC Data'!$H$4*'[1]ETC Data'!$L$4,0)</f>
        <v>#N/A</v>
      </c>
      <c r="AH164" s="58" t="e">
        <f>AG164-(AG164*((VLOOKUP(A164,[1]Plan!A$1:AP$804,42,FALSE)/100)))</f>
        <v>#N/A</v>
      </c>
      <c r="AI164" s="60"/>
      <c r="AJ164" s="60" t="b">
        <f>OR(H164="Y",K164="Y")</f>
        <v>0</v>
      </c>
      <c r="AK164" s="61">
        <f>IF(AJ164,O164*'[1]ETC Data'!$H$5*'[1]ETC Data'!$I$5,0)</f>
        <v>0</v>
      </c>
      <c r="AL164" s="58">
        <f>AK164-(AK164*((VLOOKUP(A164,[1]Plan!A$1:AY$804,51,FALSE)/100)))</f>
        <v>0</v>
      </c>
      <c r="AM164" s="58">
        <f>IF(AJ164,O164*'[1]ETC Data'!$H$5*'[1]ETC Data'!$J$5,0)</f>
        <v>0</v>
      </c>
      <c r="AN164" s="58">
        <f>AM164-(AM164*((VLOOKUP(A164,[1]Plan!A$1:BA$804,53,FALSE)/100)))</f>
        <v>0</v>
      </c>
      <c r="AO164" s="61">
        <f>IF(AJ164,O164*'[1]ETC Data'!$H$5*'[1]ETC Data'!$K$5,0)</f>
        <v>0</v>
      </c>
      <c r="AP164" s="58">
        <f>AO164-(AO164*((VLOOKUP(A164,[1]Plan!A$1:BB$804,54,FALSE)/100)))</f>
        <v>0</v>
      </c>
      <c r="AQ164" s="58">
        <f>IF(AJ164,O164*'[1]ETC Data'!$H$5*'[1]ETC Data'!$L$5,0)</f>
        <v>0</v>
      </c>
      <c r="AR164" s="58">
        <f>AQ164-(AQ164*((VLOOKUP(A164,[1]Plan!A$1:BD$804,56,FALSE)/100)))</f>
        <v>0</v>
      </c>
      <c r="AS164" s="20">
        <f>VLOOKUP(A164,'[1]PR Matrix'!A:B,2,FALSE)</f>
        <v>6233</v>
      </c>
      <c r="AT164" s="21" t="e">
        <f>R164+T164+V164+X164+AB164+AD164+AF164+AH164+AL164+AN164+AP164+AR164</f>
        <v>#N/A</v>
      </c>
      <c r="AU164" s="21" t="e">
        <f>Q164+S164+U164+W164+AA164+AC164+AE164+AG164+AK164+AM164+AO164+AQ164</f>
        <v>#N/A</v>
      </c>
      <c r="AV164" s="21" t="e">
        <f>R164+AB164+AL164</f>
        <v>#N/A</v>
      </c>
      <c r="AW164" s="72" t="e">
        <f>T164+AD164+AN164</f>
        <v>#N/A</v>
      </c>
      <c r="AX164" s="72" t="e">
        <f>V164+AF164+AP164</f>
        <v>#N/A</v>
      </c>
      <c r="AY164" s="72" t="e">
        <f>X164+AH164+AR164</f>
        <v>#N/A</v>
      </c>
    </row>
    <row r="165" spans="1:51" x14ac:dyDescent="0.2">
      <c r="A165" s="50" t="s">
        <v>337</v>
      </c>
      <c r="B165" s="51" t="s">
        <v>208</v>
      </c>
      <c r="C165" s="51" t="s">
        <v>209</v>
      </c>
      <c r="D165" s="51"/>
      <c r="E165" s="63">
        <f>IF(G165="Y",VLOOKUP(B165&amp;"|"&amp;C165,'[1]ETC Data'!$C$2:$D$16,2,FALSE),0)</f>
        <v>48</v>
      </c>
      <c r="F165" s="63">
        <f>IF(D165="",0,IF(G165="Y",VLOOKUP(B165&amp;"|"&amp;D165,'[1]ETC Data'!$C$2:$D$16,2,FALSE),0))</f>
        <v>0</v>
      </c>
      <c r="G165" s="53" t="str">
        <f>IF(VLOOKUP(A165,[1]Plan!A$1:H$804,8,FALSE)&lt;&gt;"",VLOOKUP(A165,[1]Plan!A$1:H$804,8,FALSE),"")</f>
        <v>Y</v>
      </c>
      <c r="H165" s="54" t="str">
        <f>IF(VLOOKUP(A165,[1]Plan!A$1:L$804,12,FALSE)&lt;&gt;"",VLOOKUP(A165,[1]Plan!A$1:L$804,12,FALSE),"")</f>
        <v/>
      </c>
      <c r="I165" s="55" t="str">
        <f>IF(VLOOKUP(A165,[1]Plan!A$1:M$804,13,FALSE)&lt;&gt;"",VLOOKUP(A165,[1]Plan!A$1:M$804,13,FALSE),"")</f>
        <v>Y</v>
      </c>
      <c r="J165" s="55" t="str">
        <f>IF(VLOOKUP(A165,[1]Plan!A$1:N$804,14,FALSE)&lt;&gt;"",VLOOKUP(A165,[1]Plan!A$1:N$804,14,FALSE),IF(VLOOKUP(A165,[1]Plan!A$1:O$804,15,FALSE)&lt;&gt;"",VLOOKUP(A165,[1]Plan!A$1:O$804,15,FALSE),""))</f>
        <v>Y</v>
      </c>
      <c r="K165" s="56" t="str">
        <f>IF(VLOOKUP(A165,[1]Plan!A$1:P$804,16,FALSE)&lt;&gt;"",VLOOKUP(A165,[1]Plan!A$1:P$804,16,FALSE),"")</f>
        <v>Y</v>
      </c>
      <c r="L165" s="55"/>
      <c r="M165" s="55"/>
      <c r="N165" s="55"/>
      <c r="O165" s="57">
        <f>IF(F165=0,E165,F165)</f>
        <v>48</v>
      </c>
      <c r="P165" s="57" t="b">
        <f>OR(H165="Y",I165="Y")</f>
        <v>1</v>
      </c>
      <c r="Q165" s="58">
        <f>IF(P165,O165*'[1]ETC Data'!$H$3*'[1]ETC Data'!$I$3,0)</f>
        <v>9.4634070744240617</v>
      </c>
      <c r="R165" s="58">
        <f>Q165-(Q165*((VLOOKUP(A165,[1]Plan!A$1:Z$804,26,FALSE)/100)))</f>
        <v>0</v>
      </c>
      <c r="S165" s="58">
        <f>IF(P165,O165*'[1]ETC Data'!$H$3*'[1]ETC Data'!$J$3,0)</f>
        <v>2.2712176978617746</v>
      </c>
      <c r="T165" s="58">
        <v>6</v>
      </c>
      <c r="U165" s="58">
        <f>IF(P165,O165*'[1]ETC Data'!$H$3*'[1]ETC Data'!$K$3,0)</f>
        <v>0.63089380496160408</v>
      </c>
      <c r="V165" s="58">
        <f>U165-(U165*((VLOOKUP(A165,[1]Plan!A$1:AB$804,28,FALSE)/100)))</f>
        <v>0</v>
      </c>
      <c r="W165" s="58">
        <f>IF(P165,O165*'[1]ETC Data'!$H$3*'[1]ETC Data'!$L$3,0)</f>
        <v>0.25235752198464162</v>
      </c>
      <c r="X165" s="58">
        <f>W165-(W165*((VLOOKUP(A165,[1]Plan!A$1:AC$804,29,FALSE)/100)))</f>
        <v>0</v>
      </c>
      <c r="Y165" s="59"/>
      <c r="Z165" s="60" t="b">
        <f>OR(H165="Y",J165="Y")</f>
        <v>1</v>
      </c>
      <c r="AA165" s="58">
        <f>IF(Z165,O165*'[1]ETC Data'!$H$4*'[1]ETC Data'!$I$4,0)</f>
        <v>11.712596294967767</v>
      </c>
      <c r="AB165" s="58">
        <f>AA165-(AA165*((VLOOKUP(A165,[1]Plan!A$1:AI$804,35,FALSE)/100)))</f>
        <v>0</v>
      </c>
      <c r="AC165" s="58">
        <f>IF(Z165,O165*'[1]ETC Data'!$H$4*'[1]ETC Data'!$J$4,0)</f>
        <v>5.8562981474838836</v>
      </c>
      <c r="AD165" s="58">
        <f>AC165-(AC165*((VLOOKUP(A165,[1]Plan!A$1:AJ$804,36,FALSE)/100)))</f>
        <v>0</v>
      </c>
      <c r="AE165" s="58">
        <f>IF(Z165,O165*'[1]ETC Data'!$H$4*'[1]ETC Data'!$K$4,0)</f>
        <v>4.2165346661883962</v>
      </c>
      <c r="AF165" s="58">
        <f>AE165-(AE165*((VLOOKUP(A165,[1]Plan!A$1:AK$804,37,FALSE)/100)))</f>
        <v>0</v>
      </c>
      <c r="AG165" s="58">
        <f>IF(Z165,O165*'[1]ETC Data'!$H$4*'[1]ETC Data'!$L$4,0)</f>
        <v>1.6397634812954875</v>
      </c>
      <c r="AH165" s="58">
        <f>AG165-(AG165*((VLOOKUP(A165,[1]Plan!A$1:AP$804,42,FALSE)/100)))</f>
        <v>0</v>
      </c>
      <c r="AI165" s="60"/>
      <c r="AJ165" s="60" t="b">
        <f>OR(H165="Y",K165="Y")</f>
        <v>1</v>
      </c>
      <c r="AK165" s="61">
        <f>IF(AJ165,O165*'[1]ETC Data'!$H$5*'[1]ETC Data'!$I$5,0)</f>
        <v>5.9784656554161915</v>
      </c>
      <c r="AL165" s="58">
        <f>AK165-(AK165*((VLOOKUP(A165,[1]Plan!A$1:AY$804,51,FALSE)/100)))</f>
        <v>0</v>
      </c>
      <c r="AM165" s="58">
        <f>IF(AJ165,O165*'[1]ETC Data'!$H$5*'[1]ETC Data'!$J$5,0)</f>
        <v>2.9892328277080957</v>
      </c>
      <c r="AN165" s="58">
        <v>6</v>
      </c>
      <c r="AO165" s="61">
        <f>IF(AJ165,O165*'[1]ETC Data'!$H$5*'[1]ETC Data'!$K$5,0)</f>
        <v>2.1522476359498288</v>
      </c>
      <c r="AP165" s="58">
        <f>AO165-(AO165*((VLOOKUP(A165,[1]Plan!A$1:BB$804,54,FALSE)/100)))</f>
        <v>0</v>
      </c>
      <c r="AQ165" s="58">
        <f>IF(AJ165,O165*'[1]ETC Data'!$H$5*'[1]ETC Data'!$L$5,0)</f>
        <v>0.83698519175826691</v>
      </c>
      <c r="AR165" s="58">
        <f>AQ165-(AQ165*((VLOOKUP(A165,[1]Plan!A$1:BD$804,56,FALSE)/100)))</f>
        <v>0</v>
      </c>
      <c r="AS165" s="20" t="str">
        <f>VLOOKUP(A165,'[1]PR Matrix'!A:B,2,FALSE)</f>
        <v>6207, 6247</v>
      </c>
      <c r="AT165" s="21">
        <f>R165+T165+V165+X165+AB165+AD165+AF165+AH165+AL165+AN165+AP165+AR165</f>
        <v>12</v>
      </c>
      <c r="AU165" s="21">
        <f>Q165+S165+U165+W165+AA165+AC165+AE165+AG165+AK165+AM165+AO165+AQ165</f>
        <v>48</v>
      </c>
      <c r="AV165" s="21">
        <f>R165+AB165+AL165</f>
        <v>0</v>
      </c>
      <c r="AW165" s="21">
        <f>T165+AD165+AN165</f>
        <v>12</v>
      </c>
      <c r="AX165" s="21">
        <f>V165+AF165+AP165</f>
        <v>0</v>
      </c>
      <c r="AY165" s="21">
        <f>X165+AH165+AR165</f>
        <v>0</v>
      </c>
    </row>
    <row r="166" spans="1:51" x14ac:dyDescent="0.2">
      <c r="A166" s="50" t="s">
        <v>338</v>
      </c>
      <c r="B166" s="51" t="s">
        <v>208</v>
      </c>
      <c r="C166" s="51" t="s">
        <v>209</v>
      </c>
      <c r="D166" s="51"/>
      <c r="E166" s="63">
        <f>IF(G166="Y",VLOOKUP(B166&amp;"|"&amp;C166,'[1]ETC Data'!$C$2:$D$16,2,FALSE),0)</f>
        <v>48</v>
      </c>
      <c r="F166" s="63">
        <f>IF(D166="",0,IF(G166="Y",VLOOKUP(B166&amp;"|"&amp;D166,'[1]ETC Data'!$C$2:$D$16,2,FALSE),0))</f>
        <v>0</v>
      </c>
      <c r="G166" s="53" t="str">
        <f>IF(VLOOKUP(A166,[1]Plan!A$1:H$804,8,FALSE)&lt;&gt;"",VLOOKUP(A166,[1]Plan!A$1:H$804,8,FALSE),"")</f>
        <v>Y</v>
      </c>
      <c r="H166" s="54" t="str">
        <f>IF(VLOOKUP(A166,[1]Plan!A$1:L$804,12,FALSE)&lt;&gt;"",VLOOKUP(A166,[1]Plan!A$1:L$804,12,FALSE),"")</f>
        <v/>
      </c>
      <c r="I166" s="55" t="str">
        <f>IF(VLOOKUP(A166,[1]Plan!A$1:M$804,13,FALSE)&lt;&gt;"",VLOOKUP(A166,[1]Plan!A$1:M$804,13,FALSE),"")</f>
        <v>Y</v>
      </c>
      <c r="J166" s="55" t="str">
        <f>IF(VLOOKUP(A166,[1]Plan!A$1:N$804,14,FALSE)&lt;&gt;"",VLOOKUP(A166,[1]Plan!A$1:N$804,14,FALSE),IF(VLOOKUP(A166,[1]Plan!A$1:O$804,15,FALSE)&lt;&gt;"",VLOOKUP(A166,[1]Plan!A$1:O$804,15,FALSE),""))</f>
        <v>Y</v>
      </c>
      <c r="K166" s="56" t="str">
        <f>IF(VLOOKUP(A166,[1]Plan!A$1:P$804,16,FALSE)&lt;&gt;"",VLOOKUP(A166,[1]Plan!A$1:P$804,16,FALSE),"")</f>
        <v>Y</v>
      </c>
      <c r="L166" s="55"/>
      <c r="M166" s="55"/>
      <c r="N166" s="55"/>
      <c r="O166" s="57">
        <f>IF(F166=0,E166,F166)</f>
        <v>48</v>
      </c>
      <c r="P166" s="57" t="b">
        <f>OR(H166="Y",I166="Y")</f>
        <v>1</v>
      </c>
      <c r="Q166" s="58">
        <f>IF(P166,O166*'[1]ETC Data'!$H$3*'[1]ETC Data'!$I$3,0)</f>
        <v>9.4634070744240617</v>
      </c>
      <c r="R166" s="58">
        <f>Q166-(Q166*((VLOOKUP(A166,[1]Plan!A$1:Z$804,26,FALSE)/100)))</f>
        <v>0</v>
      </c>
      <c r="S166" s="58">
        <f>IF(P166,O166*'[1]ETC Data'!$H$3*'[1]ETC Data'!$J$3,0)</f>
        <v>2.2712176978617746</v>
      </c>
      <c r="T166" s="58">
        <v>6</v>
      </c>
      <c r="U166" s="58">
        <f>IF(P166,O166*'[1]ETC Data'!$H$3*'[1]ETC Data'!$K$3,0)</f>
        <v>0.63089380496160408</v>
      </c>
      <c r="V166" s="58">
        <f>U166-(U166*((VLOOKUP(A166,[1]Plan!A$1:AB$804,28,FALSE)/100)))</f>
        <v>0</v>
      </c>
      <c r="W166" s="58">
        <f>IF(P166,O166*'[1]ETC Data'!$H$3*'[1]ETC Data'!$L$3,0)</f>
        <v>0.25235752198464162</v>
      </c>
      <c r="X166" s="58">
        <f>W166-(W166*((VLOOKUP(A166,[1]Plan!A$1:AC$804,29,FALSE)/100)))</f>
        <v>0</v>
      </c>
      <c r="Y166" s="59"/>
      <c r="Z166" s="60" t="b">
        <f>OR(H166="Y",J166="Y")</f>
        <v>1</v>
      </c>
      <c r="AA166" s="58">
        <f>IF(Z166,O166*'[1]ETC Data'!$H$4*'[1]ETC Data'!$I$4,0)</f>
        <v>11.712596294967767</v>
      </c>
      <c r="AB166" s="58">
        <f>AA166-(AA166*((VLOOKUP(A166,[1]Plan!A$1:AI$804,35,FALSE)/100)))</f>
        <v>0</v>
      </c>
      <c r="AC166" s="58">
        <f>IF(Z166,O166*'[1]ETC Data'!$H$4*'[1]ETC Data'!$J$4,0)</f>
        <v>5.8562981474838836</v>
      </c>
      <c r="AD166" s="58">
        <f>AC166-(AC166*((VLOOKUP(A166,[1]Plan!A$1:AJ$804,36,FALSE)/100)))</f>
        <v>0</v>
      </c>
      <c r="AE166" s="58">
        <f>IF(Z166,O166*'[1]ETC Data'!$H$4*'[1]ETC Data'!$K$4,0)</f>
        <v>4.2165346661883962</v>
      </c>
      <c r="AF166" s="58">
        <f>AE166-(AE166*((VLOOKUP(A166,[1]Plan!A$1:AK$804,37,FALSE)/100)))</f>
        <v>0</v>
      </c>
      <c r="AG166" s="58">
        <f>IF(Z166,O166*'[1]ETC Data'!$H$4*'[1]ETC Data'!$L$4,0)</f>
        <v>1.6397634812954875</v>
      </c>
      <c r="AH166" s="58">
        <f>AG166-(AG166*((VLOOKUP(A166,[1]Plan!A$1:AP$804,42,FALSE)/100)))</f>
        <v>0</v>
      </c>
      <c r="AI166" s="60"/>
      <c r="AJ166" s="60" t="b">
        <f>OR(H166="Y",K166="Y")</f>
        <v>1</v>
      </c>
      <c r="AK166" s="61">
        <f>IF(AJ166,O166*'[1]ETC Data'!$H$5*'[1]ETC Data'!$I$5,0)</f>
        <v>5.9784656554161915</v>
      </c>
      <c r="AL166" s="58">
        <f>AK166-(AK166*((VLOOKUP(A166,[1]Plan!A$1:AY$804,51,FALSE)/100)))</f>
        <v>0</v>
      </c>
      <c r="AM166" s="58">
        <f>IF(AJ166,O166*'[1]ETC Data'!$H$5*'[1]ETC Data'!$J$5,0)</f>
        <v>2.9892328277080957</v>
      </c>
      <c r="AN166" s="58">
        <v>6</v>
      </c>
      <c r="AO166" s="61">
        <f>IF(AJ166,O166*'[1]ETC Data'!$H$5*'[1]ETC Data'!$K$5,0)</f>
        <v>2.1522476359498288</v>
      </c>
      <c r="AP166" s="58">
        <f>AO166-(AO166*((VLOOKUP(A166,[1]Plan!A$1:BB$804,54,FALSE)/100)))</f>
        <v>0</v>
      </c>
      <c r="AQ166" s="58">
        <f>IF(AJ166,O166*'[1]ETC Data'!$H$5*'[1]ETC Data'!$L$5,0)</f>
        <v>0.83698519175826691</v>
      </c>
      <c r="AR166" s="58">
        <f>AQ166-(AQ166*((VLOOKUP(A166,[1]Plan!A$1:BD$804,56,FALSE)/100)))</f>
        <v>0</v>
      </c>
      <c r="AS166" s="20">
        <f>VLOOKUP(A166,'[1]PR Matrix'!A:B,2,FALSE)</f>
        <v>6207</v>
      </c>
      <c r="AT166" s="21">
        <f>R166+T166+V166+X166+AB166+AD166+AF166+AH166+AL166+AN166+AP166+AR166</f>
        <v>12</v>
      </c>
      <c r="AU166" s="21">
        <f>Q166+S166+U166+W166+AA166+AC166+AE166+AG166+AK166+AM166+AO166+AQ166</f>
        <v>48</v>
      </c>
      <c r="AV166" s="21">
        <f>R166+AB166+AL166</f>
        <v>0</v>
      </c>
      <c r="AW166" s="21">
        <f>T166+AD166+AN166</f>
        <v>12</v>
      </c>
      <c r="AX166" s="21">
        <f>V166+AF166+AP166</f>
        <v>0</v>
      </c>
      <c r="AY166" s="21">
        <f>X166+AH166+AR166</f>
        <v>0</v>
      </c>
    </row>
    <row r="167" spans="1:51" x14ac:dyDescent="0.2">
      <c r="A167" s="50" t="s">
        <v>369</v>
      </c>
      <c r="B167" s="51" t="s">
        <v>208</v>
      </c>
      <c r="C167" s="51" t="s">
        <v>208</v>
      </c>
      <c r="D167" s="51"/>
      <c r="E167" s="63">
        <f>IF(G167="Y",VLOOKUP(B167&amp;"|"&amp;C167,'[1]ETC Data'!$C$2:$D$16,2,FALSE),0)</f>
        <v>104</v>
      </c>
      <c r="F167" s="63">
        <f>IF(D167="",0,IF(G167="Y",VLOOKUP(B167&amp;"|"&amp;D167,'[1]ETC Data'!$C$2:$D$16,2,FALSE),0))</f>
        <v>0</v>
      </c>
      <c r="G167" s="53" t="str">
        <f>IF(VLOOKUP(A167,[1]Plan!A$1:H$804,8,FALSE)&lt;&gt;"",VLOOKUP(A167,[1]Plan!A$1:H$804,8,FALSE),"")</f>
        <v>Y</v>
      </c>
      <c r="H167" s="54" t="str">
        <f>IF(VLOOKUP(A167,[1]Plan!A$1:L$804,12,FALSE)&lt;&gt;"",VLOOKUP(A167,[1]Plan!A$1:L$804,12,FALSE),"")</f>
        <v/>
      </c>
      <c r="I167" s="55" t="str">
        <f>IF(VLOOKUP(A167,[1]Plan!A$1:M$804,13,FALSE)&lt;&gt;"",VLOOKUP(A167,[1]Plan!A$1:M$804,13,FALSE),"")</f>
        <v>Y</v>
      </c>
      <c r="J167" s="55" t="str">
        <f>IF(VLOOKUP(A167,[1]Plan!A$1:N$804,14,FALSE)&lt;&gt;"",VLOOKUP(A167,[1]Plan!A$1:N$804,14,FALSE),IF(VLOOKUP(A167,[1]Plan!A$1:O$804,15,FALSE)&lt;&gt;"",VLOOKUP(A167,[1]Plan!A$1:O$804,15,FALSE),""))</f>
        <v>Y</v>
      </c>
      <c r="K167" s="56" t="str">
        <f>IF(VLOOKUP(A167,[1]Plan!A$1:P$804,16,FALSE)&lt;&gt;"",VLOOKUP(A167,[1]Plan!A$1:P$804,16,FALSE),"")</f>
        <v>Y</v>
      </c>
      <c r="L167" s="55"/>
      <c r="M167" s="55"/>
      <c r="N167" s="55"/>
      <c r="O167" s="57">
        <f>IF(F167=0,E167,F167)</f>
        <v>104</v>
      </c>
      <c r="P167" s="57" t="b">
        <f>OR(H167="Y",I167="Y")</f>
        <v>1</v>
      </c>
      <c r="Q167" s="58">
        <f>IF(P167,O167*'[1]ETC Data'!$H$3*'[1]ETC Data'!$I$3,0)</f>
        <v>20.504048661252135</v>
      </c>
      <c r="R167" s="58">
        <v>15</v>
      </c>
      <c r="S167" s="58">
        <f>IF(P167,O167*'[1]ETC Data'!$H$3*'[1]ETC Data'!$J$3,0)</f>
        <v>4.9209716787005116</v>
      </c>
      <c r="T167" s="58">
        <v>10</v>
      </c>
      <c r="U167" s="58">
        <f>IF(P167,O167*'[1]ETC Data'!$H$3*'[1]ETC Data'!$K$3,0)</f>
        <v>1.366936577416809</v>
      </c>
      <c r="V167" s="58">
        <f>U167-(U167*((VLOOKUP(A167,[1]Plan!A$1:AB$804,28,FALSE)/100)))</f>
        <v>0</v>
      </c>
      <c r="W167" s="58">
        <f>IF(P167,O167*'[1]ETC Data'!$H$3*'[1]ETC Data'!$L$3,0)</f>
        <v>0.54677463096672352</v>
      </c>
      <c r="X167" s="58">
        <f>W167-(W167*((VLOOKUP(A167,[1]Plan!A$1:AC$804,29,FALSE)/100)))</f>
        <v>0</v>
      </c>
      <c r="Y167" s="59"/>
      <c r="Z167" s="60" t="b">
        <f>OR(H167="Y",J167="Y")</f>
        <v>1</v>
      </c>
      <c r="AA167" s="58">
        <f>IF(Z167,O167*'[1]ETC Data'!$H$4*'[1]ETC Data'!$I$4,0)</f>
        <v>25.377291972430161</v>
      </c>
      <c r="AB167" s="58">
        <v>15</v>
      </c>
      <c r="AC167" s="58">
        <f>IF(Z167,O167*'[1]ETC Data'!$H$4*'[1]ETC Data'!$J$4,0)</f>
        <v>12.68864598621508</v>
      </c>
      <c r="AD167" s="58">
        <f>AC167-(AC167*((VLOOKUP(A167,[1]Plan!A$1:AJ$804,36,FALSE)/100)))</f>
        <v>0</v>
      </c>
      <c r="AE167" s="58">
        <f>IF(Z167,O167*'[1]ETC Data'!$H$4*'[1]ETC Data'!$K$4,0)</f>
        <v>9.1358251100748582</v>
      </c>
      <c r="AF167" s="58">
        <f>AE167-(AE167*((VLOOKUP(A167,[1]Plan!A$1:AK$804,37,FALSE)/100)))</f>
        <v>0</v>
      </c>
      <c r="AG167" s="58">
        <f>IF(Z167,O167*'[1]ETC Data'!$H$4*'[1]ETC Data'!$L$4,0)</f>
        <v>3.5528208761402227</v>
      </c>
      <c r="AH167" s="58">
        <f>AG167-(AG167*((VLOOKUP(A167,[1]Plan!A$1:AP$804,42,FALSE)/100)))</f>
        <v>0</v>
      </c>
      <c r="AI167" s="60"/>
      <c r="AJ167" s="60" t="b">
        <f>OR(H167="Y",K167="Y")</f>
        <v>1</v>
      </c>
      <c r="AK167" s="61">
        <f>IF(AJ167,O167*'[1]ETC Data'!$H$5*'[1]ETC Data'!$I$5,0)</f>
        <v>12.953342253401749</v>
      </c>
      <c r="AL167" s="58">
        <f>AK167-(AK167*((VLOOKUP(A167,[1]Plan!A$1:AY$804,51,FALSE)/100)))</f>
        <v>0</v>
      </c>
      <c r="AM167" s="58">
        <f>IF(AJ167,O167*'[1]ETC Data'!$H$5*'[1]ETC Data'!$J$5,0)</f>
        <v>6.4766711267008743</v>
      </c>
      <c r="AN167" s="58">
        <v>9</v>
      </c>
      <c r="AO167" s="61">
        <f>IF(AJ167,O167*'[1]ETC Data'!$H$5*'[1]ETC Data'!$K$5,0)</f>
        <v>4.6632032112246291</v>
      </c>
      <c r="AP167" s="58">
        <f>AO167-(AO167*((VLOOKUP(A167,[1]Plan!A$1:BB$804,54,FALSE)/100)))</f>
        <v>0</v>
      </c>
      <c r="AQ167" s="58">
        <f>IF(AJ167,O167*'[1]ETC Data'!$H$5*'[1]ETC Data'!$L$5,0)</f>
        <v>1.813467915476245</v>
      </c>
      <c r="AR167" s="58">
        <f>AQ167-(AQ167*((VLOOKUP(A167,[1]Plan!A$1:BD$804,56,FALSE)/100)))</f>
        <v>0</v>
      </c>
      <c r="AS167" s="20">
        <f>VLOOKUP(A167,'[1]PR Matrix'!A:B,2,FALSE)</f>
        <v>6275</v>
      </c>
      <c r="AT167" s="21">
        <f>R167+T167+V167+X167+AB167+AD167+AF167+AH167+AL167+AN167+AP167+AR167</f>
        <v>49</v>
      </c>
      <c r="AU167" s="21">
        <f>Q167+S167+U167+W167+AA167+AC167+AE167+AG167+AK167+AM167+AO167+AQ167</f>
        <v>103.99999999999999</v>
      </c>
      <c r="AV167" s="21">
        <f>R167+AB167+AL167</f>
        <v>30</v>
      </c>
      <c r="AW167" s="21">
        <f>T167+AD167+AN167</f>
        <v>19</v>
      </c>
      <c r="AX167" s="21">
        <f>V167+AF167+AP167</f>
        <v>0</v>
      </c>
      <c r="AY167" s="21">
        <f>X167+AH167+AR167</f>
        <v>0</v>
      </c>
    </row>
    <row r="168" spans="1:51" hidden="1" x14ac:dyDescent="0.2">
      <c r="A168" s="50" t="s">
        <v>375</v>
      </c>
      <c r="B168" s="51" t="s">
        <v>209</v>
      </c>
      <c r="C168" s="51"/>
      <c r="D168" s="51"/>
      <c r="E168" s="52">
        <f>IF(G168="Y",VLOOKUP(B168&amp;"|"&amp;C168,'[1]ETC Data'!$C$2:$D$16,2,FALSE),0)</f>
        <v>0</v>
      </c>
      <c r="F168" s="52">
        <f>IF(D168="",0,IF(G168="Y",VLOOKUP(B168&amp;"|"&amp;D168,'[1]ETC Data'!$C$2:$D$16,2,FALSE),0))</f>
        <v>0</v>
      </c>
      <c r="G168" s="53" t="str">
        <f>IF(VLOOKUP(A168,[1]Plan!A$1:H$804,8,FALSE)&lt;&gt;"",VLOOKUP(A168,[1]Plan!A$1:H$804,8,FALSE),"")</f>
        <v>N</v>
      </c>
      <c r="H168" s="54" t="str">
        <f>IF(VLOOKUP(A168,[1]Plan!A$1:L$804,12,FALSE)&lt;&gt;"",VLOOKUP(A168,[1]Plan!A$1:L$804,12,FALSE),"")</f>
        <v/>
      </c>
      <c r="I168" s="55" t="str">
        <f>IF(VLOOKUP(A168,[1]Plan!A$1:M$804,13,FALSE)&lt;&gt;"",VLOOKUP(A168,[1]Plan!A$1:M$804,13,FALSE),"")</f>
        <v/>
      </c>
      <c r="J168" s="55" t="str">
        <f>IF(VLOOKUP(A168,[1]Plan!A$1:N$804,14,FALSE)&lt;&gt;"",VLOOKUP(A168,[1]Plan!A$1:N$804,14,FALSE),IF(VLOOKUP(A168,[1]Plan!A$1:O$804,15,FALSE)&lt;&gt;"",VLOOKUP(A168,[1]Plan!A$1:O$804,15,FALSE),""))</f>
        <v/>
      </c>
      <c r="K168" s="56" t="str">
        <f>IF(VLOOKUP(A168,[1]Plan!A$1:P$804,16,FALSE)&lt;&gt;"",VLOOKUP(A168,[1]Plan!A$1:P$804,16,FALSE),"")</f>
        <v/>
      </c>
      <c r="L168" s="55"/>
      <c r="M168" s="55"/>
      <c r="N168" s="55"/>
      <c r="O168" s="57">
        <f>IF(F168=0,E168,F168)</f>
        <v>0</v>
      </c>
      <c r="P168" s="57" t="b">
        <f>OR(H168="Y",I168="Y")</f>
        <v>0</v>
      </c>
      <c r="Q168" s="58">
        <f>IF(P168,O168*'[1]ETC Data'!$H$3*'[1]ETC Data'!$I$3,0)</f>
        <v>0</v>
      </c>
      <c r="R168" s="58">
        <f>Q168-(Q168*((VLOOKUP(A168,[1]Plan!A$1:Z$804,26,FALSE)/100)))</f>
        <v>0</v>
      </c>
      <c r="S168" s="58">
        <f>IF(P168,O168*'[1]ETC Data'!$H$3*'[1]ETC Data'!$J$3,0)</f>
        <v>0</v>
      </c>
      <c r="T168" s="58">
        <f>S168-(S168*((VLOOKUP(A168,[1]Plan!A$1:AA$804,27,FALSE)/100)))</f>
        <v>0</v>
      </c>
      <c r="U168" s="58">
        <f>IF(P168,O168*'[1]ETC Data'!$H$3*'[1]ETC Data'!$K$3,0)</f>
        <v>0</v>
      </c>
      <c r="V168" s="58">
        <f>U168-(U168*((VLOOKUP(A168,[1]Plan!A$1:AB$804,28,FALSE)/100)))</f>
        <v>0</v>
      </c>
      <c r="W168" s="58">
        <f>IF(P168,O168*'[1]ETC Data'!$H$3*'[1]ETC Data'!$L$3,0)</f>
        <v>0</v>
      </c>
      <c r="X168" s="58">
        <f>W168-(W168*((VLOOKUP(A168,[1]Plan!A$1:AC$804,29,FALSE)/100)))</f>
        <v>0</v>
      </c>
      <c r="Y168" s="59"/>
      <c r="Z168" s="60" t="b">
        <f>OR(H168="Y",J168="Y")</f>
        <v>0</v>
      </c>
      <c r="AA168" s="58">
        <f>IF(Z168,O168*'[1]ETC Data'!$H$4*'[1]ETC Data'!$I$4,0)</f>
        <v>0</v>
      </c>
      <c r="AB168" s="58">
        <f>AA168-(AA168*((VLOOKUP(A168,[1]Plan!A$1:AI$804,35,FALSE)/100)))</f>
        <v>0</v>
      </c>
      <c r="AC168" s="58">
        <f>IF(Z168,O168*'[1]ETC Data'!$H$4*'[1]ETC Data'!$J$4,0)</f>
        <v>0</v>
      </c>
      <c r="AD168" s="58">
        <f>AC168-(AC168*((VLOOKUP(A168,[1]Plan!A$1:AJ$804,36,FALSE)/100)))</f>
        <v>0</v>
      </c>
      <c r="AE168" s="58">
        <f>IF(Z168,O168*'[1]ETC Data'!$H$4*'[1]ETC Data'!$K$4,0)</f>
        <v>0</v>
      </c>
      <c r="AF168" s="58">
        <f>AE168-(AE168*((VLOOKUP(A168,[1]Plan!A$1:AK$804,37,FALSE)/100)))</f>
        <v>0</v>
      </c>
      <c r="AG168" s="58">
        <f>IF(Z168,O168*'[1]ETC Data'!$H$4*'[1]ETC Data'!$L$4,0)</f>
        <v>0</v>
      </c>
      <c r="AH168" s="58">
        <f>AG168-(AG168*((VLOOKUP(A168,[1]Plan!A$1:AP$804,42,FALSE)/100)))</f>
        <v>0</v>
      </c>
      <c r="AI168" s="60"/>
      <c r="AJ168" s="60" t="b">
        <f>OR(H168="Y",K168="Y")</f>
        <v>0</v>
      </c>
      <c r="AK168" s="61">
        <f>IF(AJ168,O168*'[1]ETC Data'!$H$5*'[1]ETC Data'!$I$5,0)</f>
        <v>0</v>
      </c>
      <c r="AL168" s="58">
        <f>AK168-(AK168*((VLOOKUP(A168,[1]Plan!A$1:AY$804,51,FALSE)/100)))</f>
        <v>0</v>
      </c>
      <c r="AM168" s="58">
        <f>IF(AJ168,O168*'[1]ETC Data'!$H$5*'[1]ETC Data'!$J$5,0)</f>
        <v>0</v>
      </c>
      <c r="AN168" s="58">
        <f>AM168-(AM168*((VLOOKUP(A168,[1]Plan!A$1:BA$804,53,FALSE)/100)))</f>
        <v>0</v>
      </c>
      <c r="AO168" s="61">
        <f>IF(AJ168,O168*'[1]ETC Data'!$H$5*'[1]ETC Data'!$K$5,0)</f>
        <v>0</v>
      </c>
      <c r="AP168" s="58">
        <f>AO168-(AO168*((VLOOKUP(A168,[1]Plan!A$1:BB$804,54,FALSE)/100)))</f>
        <v>0</v>
      </c>
      <c r="AQ168" s="58">
        <f>IF(AJ168,O168*'[1]ETC Data'!$H$5*'[1]ETC Data'!$L$5,0)</f>
        <v>0</v>
      </c>
      <c r="AR168" s="58">
        <f>AQ168-(AQ168*((VLOOKUP(A168,[1]Plan!A$1:BD$804,56,FALSE)/100)))</f>
        <v>0</v>
      </c>
      <c r="AS168" s="20">
        <f>VLOOKUP(A168,'[1]PR Matrix'!A:B,2,FALSE)</f>
        <v>0</v>
      </c>
      <c r="AT168" s="21">
        <f>R168+T168+V168+X168+AB168+AD168+AF168+AH168+AL168+AN168+AP168+AR168</f>
        <v>0</v>
      </c>
      <c r="AU168" s="21">
        <f>Q168+S168+U168+W168+AA168+AC168+AE168+AG168+AK168+AM168+AO168+AQ168</f>
        <v>0</v>
      </c>
      <c r="AV168" s="21">
        <f>R168+AB168+AL168</f>
        <v>0</v>
      </c>
      <c r="AW168" s="21">
        <f>T168+AD168+AN168</f>
        <v>0</v>
      </c>
      <c r="AX168" s="21">
        <f>V168+AF168+AP168</f>
        <v>0</v>
      </c>
      <c r="AY168" s="21">
        <f>X168+AH168+AR168</f>
        <v>0</v>
      </c>
    </row>
    <row r="169" spans="1:51" hidden="1" x14ac:dyDescent="0.2">
      <c r="A169" s="50" t="s">
        <v>376</v>
      </c>
      <c r="B169" s="51" t="s">
        <v>209</v>
      </c>
      <c r="C169" s="51"/>
      <c r="D169" s="51"/>
      <c r="E169" s="52">
        <f>IF(G169="Y",VLOOKUP(B169&amp;"|"&amp;C169,'[1]ETC Data'!$C$2:$D$16,2,FALSE),0)</f>
        <v>0</v>
      </c>
      <c r="F169" s="52">
        <f>IF(D169="",0,IF(G169="Y",VLOOKUP(B169&amp;"|"&amp;D169,'[1]ETC Data'!$C$2:$D$16,2,FALSE),0))</f>
        <v>0</v>
      </c>
      <c r="G169" s="53" t="str">
        <f>IF(VLOOKUP(A169,[1]Plan!A$1:H$804,8,FALSE)&lt;&gt;"",VLOOKUP(A169,[1]Plan!A$1:H$804,8,FALSE),"")</f>
        <v>N</v>
      </c>
      <c r="H169" s="54" t="str">
        <f>IF(VLOOKUP(A169,[1]Plan!A$1:L$804,12,FALSE)&lt;&gt;"",VLOOKUP(A169,[1]Plan!A$1:L$804,12,FALSE),"")</f>
        <v/>
      </c>
      <c r="I169" s="55" t="str">
        <f>IF(VLOOKUP(A169,[1]Plan!A$1:M$804,13,FALSE)&lt;&gt;"",VLOOKUP(A169,[1]Plan!A$1:M$804,13,FALSE),"")</f>
        <v/>
      </c>
      <c r="J169" s="55" t="str">
        <f>IF(VLOOKUP(A169,[1]Plan!A$1:N$804,14,FALSE)&lt;&gt;"",VLOOKUP(A169,[1]Plan!A$1:N$804,14,FALSE),IF(VLOOKUP(A169,[1]Plan!A$1:O$804,15,FALSE)&lt;&gt;"",VLOOKUP(A169,[1]Plan!A$1:O$804,15,FALSE),""))</f>
        <v/>
      </c>
      <c r="K169" s="56" t="str">
        <f>IF(VLOOKUP(A169,[1]Plan!A$1:P$804,16,FALSE)&lt;&gt;"",VLOOKUP(A169,[1]Plan!A$1:P$804,16,FALSE),"")</f>
        <v/>
      </c>
      <c r="L169" s="55"/>
      <c r="M169" s="55"/>
      <c r="N169" s="55"/>
      <c r="O169" s="57">
        <f>IF(F169=0,E169,F169)</f>
        <v>0</v>
      </c>
      <c r="P169" s="57" t="b">
        <f>OR(H169="Y",I169="Y")</f>
        <v>0</v>
      </c>
      <c r="Q169" s="58">
        <f>IF(P169,O169*'[1]ETC Data'!$H$3*'[1]ETC Data'!$I$3,0)</f>
        <v>0</v>
      </c>
      <c r="R169" s="58">
        <f>Q169-(Q169*((VLOOKUP(A169,[1]Plan!A$1:Z$804,26,FALSE)/100)))</f>
        <v>0</v>
      </c>
      <c r="S169" s="58">
        <f>IF(P169,O169*'[1]ETC Data'!$H$3*'[1]ETC Data'!$J$3,0)</f>
        <v>0</v>
      </c>
      <c r="T169" s="58">
        <f>S169-(S169*((VLOOKUP(A169,[1]Plan!A$1:AA$804,27,FALSE)/100)))</f>
        <v>0</v>
      </c>
      <c r="U169" s="58">
        <f>IF(P169,O169*'[1]ETC Data'!$H$3*'[1]ETC Data'!$K$3,0)</f>
        <v>0</v>
      </c>
      <c r="V169" s="58">
        <f>U169-(U169*((VLOOKUP(A169,[1]Plan!A$1:AB$804,28,FALSE)/100)))</f>
        <v>0</v>
      </c>
      <c r="W169" s="58">
        <f>IF(P169,O169*'[1]ETC Data'!$H$3*'[1]ETC Data'!$L$3,0)</f>
        <v>0</v>
      </c>
      <c r="X169" s="58">
        <f>W169-(W169*((VLOOKUP(A169,[1]Plan!A$1:AC$804,29,FALSE)/100)))</f>
        <v>0</v>
      </c>
      <c r="Y169" s="59"/>
      <c r="Z169" s="60" t="b">
        <f>OR(H169="Y",J169="Y")</f>
        <v>0</v>
      </c>
      <c r="AA169" s="58">
        <f>IF(Z169,O169*'[1]ETC Data'!$H$4*'[1]ETC Data'!$I$4,0)</f>
        <v>0</v>
      </c>
      <c r="AB169" s="58">
        <f>AA169-(AA169*((VLOOKUP(A169,[1]Plan!A$1:AI$804,35,FALSE)/100)))</f>
        <v>0</v>
      </c>
      <c r="AC169" s="58">
        <f>IF(Z169,O169*'[1]ETC Data'!$H$4*'[1]ETC Data'!$J$4,0)</f>
        <v>0</v>
      </c>
      <c r="AD169" s="58">
        <f>AC169-(AC169*((VLOOKUP(A169,[1]Plan!A$1:AJ$804,36,FALSE)/100)))</f>
        <v>0</v>
      </c>
      <c r="AE169" s="58">
        <f>IF(Z169,O169*'[1]ETC Data'!$H$4*'[1]ETC Data'!$K$4,0)</f>
        <v>0</v>
      </c>
      <c r="AF169" s="58">
        <f>AE169-(AE169*((VLOOKUP(A169,[1]Plan!A$1:AK$804,37,FALSE)/100)))</f>
        <v>0</v>
      </c>
      <c r="AG169" s="58">
        <f>IF(Z169,O169*'[1]ETC Data'!$H$4*'[1]ETC Data'!$L$4,0)</f>
        <v>0</v>
      </c>
      <c r="AH169" s="58">
        <f>AG169-(AG169*((VLOOKUP(A169,[1]Plan!A$1:AP$804,42,FALSE)/100)))</f>
        <v>0</v>
      </c>
      <c r="AI169" s="60"/>
      <c r="AJ169" s="60" t="b">
        <f>OR(H169="Y",K169="Y")</f>
        <v>0</v>
      </c>
      <c r="AK169" s="61">
        <f>IF(AJ169,O169*'[1]ETC Data'!$H$5*'[1]ETC Data'!$I$5,0)</f>
        <v>0</v>
      </c>
      <c r="AL169" s="58">
        <f>AK169-(AK169*((VLOOKUP(A169,[1]Plan!A$1:AY$804,51,FALSE)/100)))</f>
        <v>0</v>
      </c>
      <c r="AM169" s="58">
        <f>IF(AJ169,O169*'[1]ETC Data'!$H$5*'[1]ETC Data'!$J$5,0)</f>
        <v>0</v>
      </c>
      <c r="AN169" s="58">
        <f>AM169-(AM169*((VLOOKUP(A169,[1]Plan!A$1:BA$804,53,FALSE)/100)))</f>
        <v>0</v>
      </c>
      <c r="AO169" s="61">
        <f>IF(AJ169,O169*'[1]ETC Data'!$H$5*'[1]ETC Data'!$K$5,0)</f>
        <v>0</v>
      </c>
      <c r="AP169" s="58">
        <f>AO169-(AO169*((VLOOKUP(A169,[1]Plan!A$1:BB$804,54,FALSE)/100)))</f>
        <v>0</v>
      </c>
      <c r="AQ169" s="58">
        <f>IF(AJ169,O169*'[1]ETC Data'!$H$5*'[1]ETC Data'!$L$5,0)</f>
        <v>0</v>
      </c>
      <c r="AR169" s="58">
        <f>AQ169-(AQ169*((VLOOKUP(A169,[1]Plan!A$1:BD$804,56,FALSE)/100)))</f>
        <v>0</v>
      </c>
      <c r="AS169" s="20">
        <f>VLOOKUP(A169,'[1]PR Matrix'!A:B,2,FALSE)</f>
        <v>0</v>
      </c>
      <c r="AT169" s="21">
        <f>R169+T169+V169+X169+AB169+AD169+AF169+AH169+AL169+AN169+AP169+AR169</f>
        <v>0</v>
      </c>
      <c r="AU169" s="21">
        <f>Q169+S169+U169+W169+AA169+AC169+AE169+AG169+AK169+AM169+AO169+AQ169</f>
        <v>0</v>
      </c>
      <c r="AV169" s="21">
        <f>R169+AB169+AL169</f>
        <v>0</v>
      </c>
      <c r="AW169" s="21">
        <f>T169+AD169+AN169</f>
        <v>0</v>
      </c>
      <c r="AX169" s="21">
        <f>V169+AF169+AP169</f>
        <v>0</v>
      </c>
      <c r="AY169" s="21">
        <f>X169+AH169+AR169</f>
        <v>0</v>
      </c>
    </row>
    <row r="170" spans="1:51" hidden="1" x14ac:dyDescent="0.2">
      <c r="A170" s="50" t="s">
        <v>377</v>
      </c>
      <c r="B170" s="51" t="s">
        <v>209</v>
      </c>
      <c r="C170" s="51"/>
      <c r="D170" s="51"/>
      <c r="E170" s="52">
        <f>IF(G170="Y",VLOOKUP(B170&amp;"|"&amp;C170,'[1]ETC Data'!$C$2:$D$16,2,FALSE),0)</f>
        <v>0</v>
      </c>
      <c r="F170" s="52">
        <f>IF(D170="",0,IF(G170="Y",VLOOKUP(B170&amp;"|"&amp;D170,'[1]ETC Data'!$C$2:$D$16,2,FALSE),0))</f>
        <v>0</v>
      </c>
      <c r="G170" s="53" t="str">
        <f>IF(VLOOKUP(A170,[1]Plan!A$1:H$804,8,FALSE)&lt;&gt;"",VLOOKUP(A170,[1]Plan!A$1:H$804,8,FALSE),"")</f>
        <v>N</v>
      </c>
      <c r="H170" s="54" t="str">
        <f>IF(VLOOKUP(A170,[1]Plan!A$1:L$804,12,FALSE)&lt;&gt;"",VLOOKUP(A170,[1]Plan!A$1:L$804,12,FALSE),"")</f>
        <v/>
      </c>
      <c r="I170" s="55" t="str">
        <f>IF(VLOOKUP(A170,[1]Plan!A$1:M$804,13,FALSE)&lt;&gt;"",VLOOKUP(A170,[1]Plan!A$1:M$804,13,FALSE),"")</f>
        <v/>
      </c>
      <c r="J170" s="55" t="str">
        <f>IF(VLOOKUP(A170,[1]Plan!A$1:N$804,14,FALSE)&lt;&gt;"",VLOOKUP(A170,[1]Plan!A$1:N$804,14,FALSE),IF(VLOOKUP(A170,[1]Plan!A$1:O$804,15,FALSE)&lt;&gt;"",VLOOKUP(A170,[1]Plan!A$1:O$804,15,FALSE),""))</f>
        <v/>
      </c>
      <c r="K170" s="56" t="str">
        <f>IF(VLOOKUP(A170,[1]Plan!A$1:P$804,16,FALSE)&lt;&gt;"",VLOOKUP(A170,[1]Plan!A$1:P$804,16,FALSE),"")</f>
        <v/>
      </c>
      <c r="L170" s="55"/>
      <c r="M170" s="55"/>
      <c r="N170" s="55"/>
      <c r="O170" s="57">
        <f>IF(F170=0,E170,F170)</f>
        <v>0</v>
      </c>
      <c r="P170" s="57" t="b">
        <f>OR(H170="Y",I170="Y")</f>
        <v>0</v>
      </c>
      <c r="Q170" s="58">
        <f>IF(P170,O170*'[1]ETC Data'!$H$3*'[1]ETC Data'!$I$3,0)</f>
        <v>0</v>
      </c>
      <c r="R170" s="58">
        <f>Q170-(Q170*((VLOOKUP(A170,[1]Plan!A$1:Z$804,26,FALSE)/100)))</f>
        <v>0</v>
      </c>
      <c r="S170" s="58">
        <f>IF(P170,O170*'[1]ETC Data'!$H$3*'[1]ETC Data'!$J$3,0)</f>
        <v>0</v>
      </c>
      <c r="T170" s="58">
        <f>S170-(S170*((VLOOKUP(A170,[1]Plan!A$1:AA$804,27,FALSE)/100)))</f>
        <v>0</v>
      </c>
      <c r="U170" s="58">
        <f>IF(P170,O170*'[1]ETC Data'!$H$3*'[1]ETC Data'!$K$3,0)</f>
        <v>0</v>
      </c>
      <c r="V170" s="58">
        <f>U170-(U170*((VLOOKUP(A170,[1]Plan!A$1:AB$804,28,FALSE)/100)))</f>
        <v>0</v>
      </c>
      <c r="W170" s="58">
        <f>IF(P170,O170*'[1]ETC Data'!$H$3*'[1]ETC Data'!$L$3,0)</f>
        <v>0</v>
      </c>
      <c r="X170" s="58">
        <f>W170-(W170*((VLOOKUP(A170,[1]Plan!A$1:AC$804,29,FALSE)/100)))</f>
        <v>0</v>
      </c>
      <c r="Y170" s="59"/>
      <c r="Z170" s="60" t="b">
        <f>OR(H170="Y",J170="Y")</f>
        <v>0</v>
      </c>
      <c r="AA170" s="58">
        <f>IF(Z170,O170*'[1]ETC Data'!$H$4*'[1]ETC Data'!$I$4,0)</f>
        <v>0</v>
      </c>
      <c r="AB170" s="58">
        <f>AA170-(AA170*((VLOOKUP(A170,[1]Plan!A$1:AI$804,35,FALSE)/100)))</f>
        <v>0</v>
      </c>
      <c r="AC170" s="58">
        <f>IF(Z170,O170*'[1]ETC Data'!$H$4*'[1]ETC Data'!$J$4,0)</f>
        <v>0</v>
      </c>
      <c r="AD170" s="58">
        <f>AC170-(AC170*((VLOOKUP(A170,[1]Plan!A$1:AJ$804,36,FALSE)/100)))</f>
        <v>0</v>
      </c>
      <c r="AE170" s="58">
        <f>IF(Z170,O170*'[1]ETC Data'!$H$4*'[1]ETC Data'!$K$4,0)</f>
        <v>0</v>
      </c>
      <c r="AF170" s="58">
        <f>AE170-(AE170*((VLOOKUP(A170,[1]Plan!A$1:AK$804,37,FALSE)/100)))</f>
        <v>0</v>
      </c>
      <c r="AG170" s="58">
        <f>IF(Z170,O170*'[1]ETC Data'!$H$4*'[1]ETC Data'!$L$4,0)</f>
        <v>0</v>
      </c>
      <c r="AH170" s="58">
        <f>AG170-(AG170*((VLOOKUP(A170,[1]Plan!A$1:AP$804,42,FALSE)/100)))</f>
        <v>0</v>
      </c>
      <c r="AI170" s="60"/>
      <c r="AJ170" s="60" t="b">
        <f>OR(H170="Y",K170="Y")</f>
        <v>0</v>
      </c>
      <c r="AK170" s="61">
        <f>IF(AJ170,O170*'[1]ETC Data'!$H$5*'[1]ETC Data'!$I$5,0)</f>
        <v>0</v>
      </c>
      <c r="AL170" s="58">
        <f>AK170-(AK170*((VLOOKUP(A170,[1]Plan!A$1:AY$804,51,FALSE)/100)))</f>
        <v>0</v>
      </c>
      <c r="AM170" s="58">
        <f>IF(AJ170,O170*'[1]ETC Data'!$H$5*'[1]ETC Data'!$J$5,0)</f>
        <v>0</v>
      </c>
      <c r="AN170" s="58">
        <f>AM170-(AM170*((VLOOKUP(A170,[1]Plan!A$1:BA$804,53,FALSE)/100)))</f>
        <v>0</v>
      </c>
      <c r="AO170" s="61">
        <f>IF(AJ170,O170*'[1]ETC Data'!$H$5*'[1]ETC Data'!$K$5,0)</f>
        <v>0</v>
      </c>
      <c r="AP170" s="58">
        <f>AO170-(AO170*((VLOOKUP(A170,[1]Plan!A$1:BB$804,54,FALSE)/100)))</f>
        <v>0</v>
      </c>
      <c r="AQ170" s="58">
        <f>IF(AJ170,O170*'[1]ETC Data'!$H$5*'[1]ETC Data'!$L$5,0)</f>
        <v>0</v>
      </c>
      <c r="AR170" s="58">
        <f>AQ170-(AQ170*((VLOOKUP(A170,[1]Plan!A$1:BD$804,56,FALSE)/100)))</f>
        <v>0</v>
      </c>
      <c r="AS170" s="20">
        <f>VLOOKUP(A170,'[1]PR Matrix'!A:B,2,FALSE)</f>
        <v>0</v>
      </c>
      <c r="AT170" s="21">
        <f>R170+T170+V170+X170+AB170+AD170+AF170+AH170+AL170+AN170+AP170+AR170</f>
        <v>0</v>
      </c>
      <c r="AU170" s="21">
        <f>Q170+S170+U170+W170+AA170+AC170+AE170+AG170+AK170+AM170+AO170+AQ170</f>
        <v>0</v>
      </c>
      <c r="AV170" s="21">
        <f>R170+AB170+AL170</f>
        <v>0</v>
      </c>
      <c r="AW170" s="21">
        <f>T170+AD170+AN170</f>
        <v>0</v>
      </c>
      <c r="AX170" s="21">
        <f>V170+AF170+AP170</f>
        <v>0</v>
      </c>
      <c r="AY170" s="21">
        <f>X170+AH170+AR170</f>
        <v>0</v>
      </c>
    </row>
    <row r="171" spans="1:51" hidden="1" x14ac:dyDescent="0.2">
      <c r="A171" s="50" t="s">
        <v>378</v>
      </c>
      <c r="B171" s="51" t="s">
        <v>209</v>
      </c>
      <c r="C171" s="51"/>
      <c r="D171" s="51"/>
      <c r="E171" s="52">
        <f>IF(G171="Y",VLOOKUP(B171&amp;"|"&amp;C171,'[1]ETC Data'!$C$2:$D$16,2,FALSE),0)</f>
        <v>0</v>
      </c>
      <c r="F171" s="52">
        <f>IF(D171="",0,IF(G171="Y",VLOOKUP(B171&amp;"|"&amp;D171,'[1]ETC Data'!$C$2:$D$16,2,FALSE),0))</f>
        <v>0</v>
      </c>
      <c r="G171" s="53" t="str">
        <f>IF(VLOOKUP(A171,[1]Plan!A$1:H$804,8,FALSE)&lt;&gt;"",VLOOKUP(A171,[1]Plan!A$1:H$804,8,FALSE),"")</f>
        <v>N</v>
      </c>
      <c r="H171" s="54" t="str">
        <f>IF(VLOOKUP(A171,[1]Plan!A$1:L$804,12,FALSE)&lt;&gt;"",VLOOKUP(A171,[1]Plan!A$1:L$804,12,FALSE),"")</f>
        <v/>
      </c>
      <c r="I171" s="55" t="str">
        <f>IF(VLOOKUP(A171,[1]Plan!A$1:M$804,13,FALSE)&lt;&gt;"",VLOOKUP(A171,[1]Plan!A$1:M$804,13,FALSE),"")</f>
        <v/>
      </c>
      <c r="J171" s="55" t="str">
        <f>IF(VLOOKUP(A171,[1]Plan!A$1:N$804,14,FALSE)&lt;&gt;"",VLOOKUP(A171,[1]Plan!A$1:N$804,14,FALSE),IF(VLOOKUP(A171,[1]Plan!A$1:O$804,15,FALSE)&lt;&gt;"",VLOOKUP(A171,[1]Plan!A$1:O$804,15,FALSE),""))</f>
        <v/>
      </c>
      <c r="K171" s="56" t="str">
        <f>IF(VLOOKUP(A171,[1]Plan!A$1:P$804,16,FALSE)&lt;&gt;"",VLOOKUP(A171,[1]Plan!A$1:P$804,16,FALSE),"")</f>
        <v/>
      </c>
      <c r="L171" s="55"/>
      <c r="M171" s="55"/>
      <c r="N171" s="55"/>
      <c r="O171" s="57">
        <f>IF(F171=0,E171,F171)</f>
        <v>0</v>
      </c>
      <c r="P171" s="57" t="b">
        <f>OR(H171="Y",I171="Y")</f>
        <v>0</v>
      </c>
      <c r="Q171" s="58">
        <f>IF(P171,O171*'[1]ETC Data'!$H$3*'[1]ETC Data'!$I$3,0)</f>
        <v>0</v>
      </c>
      <c r="R171" s="58">
        <f>Q171-(Q171*((VLOOKUP(A171,[1]Plan!A$1:Z$804,26,FALSE)/100)))</f>
        <v>0</v>
      </c>
      <c r="S171" s="58">
        <f>IF(P171,O171*'[1]ETC Data'!$H$3*'[1]ETC Data'!$J$3,0)</f>
        <v>0</v>
      </c>
      <c r="T171" s="58">
        <f>S171-(S171*((VLOOKUP(A171,[1]Plan!A$1:AA$804,27,FALSE)/100)))</f>
        <v>0</v>
      </c>
      <c r="U171" s="58">
        <f>IF(P171,O171*'[1]ETC Data'!$H$3*'[1]ETC Data'!$K$3,0)</f>
        <v>0</v>
      </c>
      <c r="V171" s="58">
        <f>U171-(U171*((VLOOKUP(A171,[1]Plan!A$1:AB$804,28,FALSE)/100)))</f>
        <v>0</v>
      </c>
      <c r="W171" s="58">
        <f>IF(P171,O171*'[1]ETC Data'!$H$3*'[1]ETC Data'!$L$3,0)</f>
        <v>0</v>
      </c>
      <c r="X171" s="58">
        <f>W171-(W171*((VLOOKUP(A171,[1]Plan!A$1:AC$804,29,FALSE)/100)))</f>
        <v>0</v>
      </c>
      <c r="Y171" s="59"/>
      <c r="Z171" s="60" t="b">
        <f>OR(H171="Y",J171="Y")</f>
        <v>0</v>
      </c>
      <c r="AA171" s="58">
        <f>IF(Z171,O171*'[1]ETC Data'!$H$4*'[1]ETC Data'!$I$4,0)</f>
        <v>0</v>
      </c>
      <c r="AB171" s="58">
        <f>AA171-(AA171*((VLOOKUP(A171,[1]Plan!A$1:AI$804,35,FALSE)/100)))</f>
        <v>0</v>
      </c>
      <c r="AC171" s="58">
        <f>IF(Z171,O171*'[1]ETC Data'!$H$4*'[1]ETC Data'!$J$4,0)</f>
        <v>0</v>
      </c>
      <c r="AD171" s="58">
        <f>AC171-(AC171*((VLOOKUP(A171,[1]Plan!A$1:AJ$804,36,FALSE)/100)))</f>
        <v>0</v>
      </c>
      <c r="AE171" s="58">
        <f>IF(Z171,O171*'[1]ETC Data'!$H$4*'[1]ETC Data'!$K$4,0)</f>
        <v>0</v>
      </c>
      <c r="AF171" s="58">
        <f>AE171-(AE171*((VLOOKUP(A171,[1]Plan!A$1:AK$804,37,FALSE)/100)))</f>
        <v>0</v>
      </c>
      <c r="AG171" s="58">
        <f>IF(Z171,O171*'[1]ETC Data'!$H$4*'[1]ETC Data'!$L$4,0)</f>
        <v>0</v>
      </c>
      <c r="AH171" s="58">
        <f>AG171-(AG171*((VLOOKUP(A171,[1]Plan!A$1:AP$804,42,FALSE)/100)))</f>
        <v>0</v>
      </c>
      <c r="AI171" s="60"/>
      <c r="AJ171" s="60" t="b">
        <f>OR(H171="Y",K171="Y")</f>
        <v>0</v>
      </c>
      <c r="AK171" s="61">
        <f>IF(AJ171,O171*'[1]ETC Data'!$H$5*'[1]ETC Data'!$I$5,0)</f>
        <v>0</v>
      </c>
      <c r="AL171" s="58">
        <f>AK171-(AK171*((VLOOKUP(A171,[1]Plan!A$1:AY$804,51,FALSE)/100)))</f>
        <v>0</v>
      </c>
      <c r="AM171" s="58">
        <f>IF(AJ171,O171*'[1]ETC Data'!$H$5*'[1]ETC Data'!$J$5,0)</f>
        <v>0</v>
      </c>
      <c r="AN171" s="58">
        <f>AM171-(AM171*((VLOOKUP(A171,[1]Plan!A$1:BA$804,53,FALSE)/100)))</f>
        <v>0</v>
      </c>
      <c r="AO171" s="61">
        <f>IF(AJ171,O171*'[1]ETC Data'!$H$5*'[1]ETC Data'!$K$5,0)</f>
        <v>0</v>
      </c>
      <c r="AP171" s="58">
        <f>AO171-(AO171*((VLOOKUP(A171,[1]Plan!A$1:BB$804,54,FALSE)/100)))</f>
        <v>0</v>
      </c>
      <c r="AQ171" s="58">
        <f>IF(AJ171,O171*'[1]ETC Data'!$H$5*'[1]ETC Data'!$L$5,0)</f>
        <v>0</v>
      </c>
      <c r="AR171" s="58">
        <f>AQ171-(AQ171*((VLOOKUP(A171,[1]Plan!A$1:BD$804,56,FALSE)/100)))</f>
        <v>0</v>
      </c>
      <c r="AS171" s="20">
        <f>VLOOKUP(A171,'[1]PR Matrix'!A:B,2,FALSE)</f>
        <v>0</v>
      </c>
      <c r="AT171" s="21">
        <f>R171+T171+V171+X171+AB171+AD171+AF171+AH171+AL171+AN171+AP171+AR171</f>
        <v>0</v>
      </c>
      <c r="AU171" s="21">
        <f>Q171+S171+U171+W171+AA171+AC171+AE171+AG171+AK171+AM171+AO171+AQ171</f>
        <v>0</v>
      </c>
      <c r="AV171" s="21">
        <f>R171+AB171+AL171</f>
        <v>0</v>
      </c>
      <c r="AW171" s="21">
        <f>T171+AD171+AN171</f>
        <v>0</v>
      </c>
      <c r="AX171" s="21">
        <f>V171+AF171+AP171</f>
        <v>0</v>
      </c>
      <c r="AY171" s="21">
        <f>X171+AH171+AR171</f>
        <v>0</v>
      </c>
    </row>
    <row r="172" spans="1:51" hidden="1" x14ac:dyDescent="0.2">
      <c r="A172" s="50" t="s">
        <v>379</v>
      </c>
      <c r="B172" s="51" t="s">
        <v>209</v>
      </c>
      <c r="C172" s="51"/>
      <c r="D172" s="51"/>
      <c r="E172" s="52">
        <f>IF(G172="Y",VLOOKUP(B172&amp;"|"&amp;C172,'[1]ETC Data'!$C$2:$D$16,2,FALSE),0)</f>
        <v>0</v>
      </c>
      <c r="F172" s="52">
        <f>IF(D172="",0,IF(G172="Y",VLOOKUP(B172&amp;"|"&amp;D172,'[1]ETC Data'!$C$2:$D$16,2,FALSE),0))</f>
        <v>0</v>
      </c>
      <c r="G172" s="53" t="str">
        <f>IF(VLOOKUP(A172,[1]Plan!A$1:H$804,8,FALSE)&lt;&gt;"",VLOOKUP(A172,[1]Plan!A$1:H$804,8,FALSE),"")</f>
        <v>N</v>
      </c>
      <c r="H172" s="54" t="str">
        <f>IF(VLOOKUP(A172,[1]Plan!A$1:L$804,12,FALSE)&lt;&gt;"",VLOOKUP(A172,[1]Plan!A$1:L$804,12,FALSE),"")</f>
        <v/>
      </c>
      <c r="I172" s="55" t="str">
        <f>IF(VLOOKUP(A172,[1]Plan!A$1:M$804,13,FALSE)&lt;&gt;"",VLOOKUP(A172,[1]Plan!A$1:M$804,13,FALSE),"")</f>
        <v/>
      </c>
      <c r="J172" s="55" t="str">
        <f>IF(VLOOKUP(A172,[1]Plan!A$1:N$804,14,FALSE)&lt;&gt;"",VLOOKUP(A172,[1]Plan!A$1:N$804,14,FALSE),IF(VLOOKUP(A172,[1]Plan!A$1:O$804,15,FALSE)&lt;&gt;"",VLOOKUP(A172,[1]Plan!A$1:O$804,15,FALSE),""))</f>
        <v/>
      </c>
      <c r="K172" s="56" t="str">
        <f>IF(VLOOKUP(A172,[1]Plan!A$1:P$804,16,FALSE)&lt;&gt;"",VLOOKUP(A172,[1]Plan!A$1:P$804,16,FALSE),"")</f>
        <v/>
      </c>
      <c r="L172" s="55"/>
      <c r="M172" s="55"/>
      <c r="N172" s="55"/>
      <c r="O172" s="57">
        <f>IF(F172=0,E172,F172)</f>
        <v>0</v>
      </c>
      <c r="P172" s="57" t="b">
        <f>OR(H172="Y",I172="Y")</f>
        <v>0</v>
      </c>
      <c r="Q172" s="58">
        <f>IF(P172,O172*'[1]ETC Data'!$H$3*'[1]ETC Data'!$I$3,0)</f>
        <v>0</v>
      </c>
      <c r="R172" s="58">
        <f>Q172-(Q172*((VLOOKUP(A172,[1]Plan!A$1:Z$804,26,FALSE)/100)))</f>
        <v>0</v>
      </c>
      <c r="S172" s="58">
        <f>IF(P172,O172*'[1]ETC Data'!$H$3*'[1]ETC Data'!$J$3,0)</f>
        <v>0</v>
      </c>
      <c r="T172" s="58">
        <f>S172-(S172*((VLOOKUP(A172,[1]Plan!A$1:AA$804,27,FALSE)/100)))</f>
        <v>0</v>
      </c>
      <c r="U172" s="58">
        <f>IF(P172,O172*'[1]ETC Data'!$H$3*'[1]ETC Data'!$K$3,0)</f>
        <v>0</v>
      </c>
      <c r="V172" s="58">
        <f>U172-(U172*((VLOOKUP(A172,[1]Plan!A$1:AB$804,28,FALSE)/100)))</f>
        <v>0</v>
      </c>
      <c r="W172" s="58">
        <f>IF(P172,O172*'[1]ETC Data'!$H$3*'[1]ETC Data'!$L$3,0)</f>
        <v>0</v>
      </c>
      <c r="X172" s="58">
        <f>W172-(W172*((VLOOKUP(A172,[1]Plan!A$1:AC$804,29,FALSE)/100)))</f>
        <v>0</v>
      </c>
      <c r="Y172" s="59"/>
      <c r="Z172" s="60" t="b">
        <f>OR(H172="Y",J172="Y")</f>
        <v>0</v>
      </c>
      <c r="AA172" s="58">
        <f>IF(Z172,O172*'[1]ETC Data'!$H$4*'[1]ETC Data'!$I$4,0)</f>
        <v>0</v>
      </c>
      <c r="AB172" s="58">
        <f>AA172-(AA172*((VLOOKUP(A172,[1]Plan!A$1:AI$804,35,FALSE)/100)))</f>
        <v>0</v>
      </c>
      <c r="AC172" s="58">
        <f>IF(Z172,O172*'[1]ETC Data'!$H$4*'[1]ETC Data'!$J$4,0)</f>
        <v>0</v>
      </c>
      <c r="AD172" s="58">
        <f>AC172-(AC172*((VLOOKUP(A172,[1]Plan!A$1:AJ$804,36,FALSE)/100)))</f>
        <v>0</v>
      </c>
      <c r="AE172" s="58">
        <f>IF(Z172,O172*'[1]ETC Data'!$H$4*'[1]ETC Data'!$K$4,0)</f>
        <v>0</v>
      </c>
      <c r="AF172" s="58">
        <f>AE172-(AE172*((VLOOKUP(A172,[1]Plan!A$1:AK$804,37,FALSE)/100)))</f>
        <v>0</v>
      </c>
      <c r="AG172" s="58">
        <f>IF(Z172,O172*'[1]ETC Data'!$H$4*'[1]ETC Data'!$L$4,0)</f>
        <v>0</v>
      </c>
      <c r="AH172" s="58">
        <f>AG172-(AG172*((VLOOKUP(A172,[1]Plan!A$1:AP$804,42,FALSE)/100)))</f>
        <v>0</v>
      </c>
      <c r="AI172" s="60"/>
      <c r="AJ172" s="60" t="b">
        <f>OR(H172="Y",K172="Y")</f>
        <v>0</v>
      </c>
      <c r="AK172" s="61">
        <f>IF(AJ172,O172*'[1]ETC Data'!$H$5*'[1]ETC Data'!$I$5,0)</f>
        <v>0</v>
      </c>
      <c r="AL172" s="58">
        <f>AK172-(AK172*((VLOOKUP(A172,[1]Plan!A$1:AY$804,51,FALSE)/100)))</f>
        <v>0</v>
      </c>
      <c r="AM172" s="58">
        <f>IF(AJ172,O172*'[1]ETC Data'!$H$5*'[1]ETC Data'!$J$5,0)</f>
        <v>0</v>
      </c>
      <c r="AN172" s="58">
        <f>AM172-(AM172*((VLOOKUP(A172,[1]Plan!A$1:BA$804,53,FALSE)/100)))</f>
        <v>0</v>
      </c>
      <c r="AO172" s="61">
        <f>IF(AJ172,O172*'[1]ETC Data'!$H$5*'[1]ETC Data'!$K$5,0)</f>
        <v>0</v>
      </c>
      <c r="AP172" s="58">
        <f>AO172-(AO172*((VLOOKUP(A172,[1]Plan!A$1:BB$804,54,FALSE)/100)))</f>
        <v>0</v>
      </c>
      <c r="AQ172" s="58">
        <f>IF(AJ172,O172*'[1]ETC Data'!$H$5*'[1]ETC Data'!$L$5,0)</f>
        <v>0</v>
      </c>
      <c r="AR172" s="58">
        <f>AQ172-(AQ172*((VLOOKUP(A172,[1]Plan!A$1:BD$804,56,FALSE)/100)))</f>
        <v>0</v>
      </c>
      <c r="AS172" s="20">
        <f>VLOOKUP(A172,'[1]PR Matrix'!A:B,2,FALSE)</f>
        <v>0</v>
      </c>
      <c r="AT172" s="21">
        <f>R172+T172+V172+X172+AB172+AD172+AF172+AH172+AL172+AN172+AP172+AR172</f>
        <v>0</v>
      </c>
      <c r="AU172" s="21">
        <f>Q172+S172+U172+W172+AA172+AC172+AE172+AG172+AK172+AM172+AO172+AQ172</f>
        <v>0</v>
      </c>
      <c r="AV172" s="21">
        <f>R172+AB172+AL172</f>
        <v>0</v>
      </c>
      <c r="AW172" s="21">
        <f>T172+AD172+AN172</f>
        <v>0</v>
      </c>
      <c r="AX172" s="21">
        <f>V172+AF172+AP172</f>
        <v>0</v>
      </c>
      <c r="AY172" s="21">
        <f>X172+AH172+AR172</f>
        <v>0</v>
      </c>
    </row>
    <row r="173" spans="1:51" hidden="1" x14ac:dyDescent="0.2">
      <c r="A173" s="50" t="s">
        <v>380</v>
      </c>
      <c r="B173" s="51" t="s">
        <v>258</v>
      </c>
      <c r="C173" s="51"/>
      <c r="D173" s="51"/>
      <c r="E173" s="52">
        <f>IF(G173="Y",VLOOKUP(B173&amp;"|"&amp;C173,'[1]ETC Data'!$C$2:$D$16,2,FALSE),0)</f>
        <v>0</v>
      </c>
      <c r="F173" s="52">
        <f>IF(D173="",0,IF(G173="Y",VLOOKUP(B173&amp;"|"&amp;D173,'[1]ETC Data'!$C$2:$D$16,2,FALSE),0))</f>
        <v>0</v>
      </c>
      <c r="G173" s="53" t="str">
        <f>IF(VLOOKUP(A173,[1]Plan!A$1:H$804,8,FALSE)&lt;&gt;"",VLOOKUP(A173,[1]Plan!A$1:H$804,8,FALSE),"")</f>
        <v>N</v>
      </c>
      <c r="H173" s="54" t="str">
        <f>IF(VLOOKUP(A173,[1]Plan!A$1:L$804,12,FALSE)&lt;&gt;"",VLOOKUP(A173,[1]Plan!A$1:L$804,12,FALSE),"")</f>
        <v/>
      </c>
      <c r="I173" s="55" t="str">
        <f>IF(VLOOKUP(A173,[1]Plan!A$1:M$804,13,FALSE)&lt;&gt;"",VLOOKUP(A173,[1]Plan!A$1:M$804,13,FALSE),"")</f>
        <v/>
      </c>
      <c r="J173" s="55" t="str">
        <f>IF(VLOOKUP(A173,[1]Plan!A$1:N$804,14,FALSE)&lt;&gt;"",VLOOKUP(A173,[1]Plan!A$1:N$804,14,FALSE),IF(VLOOKUP(A173,[1]Plan!A$1:O$804,15,FALSE)&lt;&gt;"",VLOOKUP(A173,[1]Plan!A$1:O$804,15,FALSE),""))</f>
        <v/>
      </c>
      <c r="K173" s="56" t="str">
        <f>IF(VLOOKUP(A173,[1]Plan!A$1:P$804,16,FALSE)&lt;&gt;"",VLOOKUP(A173,[1]Plan!A$1:P$804,16,FALSE),"")</f>
        <v/>
      </c>
      <c r="L173" s="55"/>
      <c r="M173" s="55"/>
      <c r="N173" s="55"/>
      <c r="O173" s="57">
        <f>IF(F173=0,E173,F173)</f>
        <v>0</v>
      </c>
      <c r="P173" s="57" t="b">
        <f>OR(H173="Y",I173="Y")</f>
        <v>0</v>
      </c>
      <c r="Q173" s="58">
        <f>IF(P173,O173*'[1]ETC Data'!$H$3*'[1]ETC Data'!$I$3,0)</f>
        <v>0</v>
      </c>
      <c r="R173" s="58">
        <f>Q173-(Q173*((VLOOKUP(A173,[1]Plan!A$1:Z$804,26,FALSE)/100)))</f>
        <v>0</v>
      </c>
      <c r="S173" s="58">
        <f>IF(P173,O173*'[1]ETC Data'!$H$3*'[1]ETC Data'!$J$3,0)</f>
        <v>0</v>
      </c>
      <c r="T173" s="58">
        <f>S173-(S173*((VLOOKUP(A173,[1]Plan!A$1:AA$804,27,FALSE)/100)))</f>
        <v>0</v>
      </c>
      <c r="U173" s="58">
        <f>IF(P173,O173*'[1]ETC Data'!$H$3*'[1]ETC Data'!$K$3,0)</f>
        <v>0</v>
      </c>
      <c r="V173" s="58">
        <f>U173-(U173*((VLOOKUP(A173,[1]Plan!A$1:AB$804,28,FALSE)/100)))</f>
        <v>0</v>
      </c>
      <c r="W173" s="58">
        <f>IF(P173,O173*'[1]ETC Data'!$H$3*'[1]ETC Data'!$L$3,0)</f>
        <v>0</v>
      </c>
      <c r="X173" s="58">
        <f>W173-(W173*((VLOOKUP(A173,[1]Plan!A$1:AC$804,29,FALSE)/100)))</f>
        <v>0</v>
      </c>
      <c r="Y173" s="59"/>
      <c r="Z173" s="60" t="b">
        <f>OR(H173="Y",J173="Y")</f>
        <v>0</v>
      </c>
      <c r="AA173" s="58">
        <f>IF(Z173,O173*'[1]ETC Data'!$H$4*'[1]ETC Data'!$I$4,0)</f>
        <v>0</v>
      </c>
      <c r="AB173" s="58">
        <f>AA173-(AA173*((VLOOKUP(A173,[1]Plan!A$1:AI$804,35,FALSE)/100)))</f>
        <v>0</v>
      </c>
      <c r="AC173" s="58">
        <f>IF(Z173,O173*'[1]ETC Data'!$H$4*'[1]ETC Data'!$J$4,0)</f>
        <v>0</v>
      </c>
      <c r="AD173" s="58">
        <f>AC173-(AC173*((VLOOKUP(A173,[1]Plan!A$1:AJ$804,36,FALSE)/100)))</f>
        <v>0</v>
      </c>
      <c r="AE173" s="58">
        <f>IF(Z173,O173*'[1]ETC Data'!$H$4*'[1]ETC Data'!$K$4,0)</f>
        <v>0</v>
      </c>
      <c r="AF173" s="58">
        <f>AE173-(AE173*((VLOOKUP(A173,[1]Plan!A$1:AK$804,37,FALSE)/100)))</f>
        <v>0</v>
      </c>
      <c r="AG173" s="58">
        <f>IF(Z173,O173*'[1]ETC Data'!$H$4*'[1]ETC Data'!$L$4,0)</f>
        <v>0</v>
      </c>
      <c r="AH173" s="58">
        <f>AG173-(AG173*((VLOOKUP(A173,[1]Plan!A$1:AP$804,42,FALSE)/100)))</f>
        <v>0</v>
      </c>
      <c r="AI173" s="60"/>
      <c r="AJ173" s="60" t="b">
        <f>OR(H173="Y",K173="Y")</f>
        <v>0</v>
      </c>
      <c r="AK173" s="61">
        <f>IF(AJ173,O173*'[1]ETC Data'!$H$5*'[1]ETC Data'!$I$5,0)</f>
        <v>0</v>
      </c>
      <c r="AL173" s="58">
        <f>AK173-(AK173*((VLOOKUP(A173,[1]Plan!A$1:AY$804,51,FALSE)/100)))</f>
        <v>0</v>
      </c>
      <c r="AM173" s="58">
        <f>IF(AJ173,O173*'[1]ETC Data'!$H$5*'[1]ETC Data'!$J$5,0)</f>
        <v>0</v>
      </c>
      <c r="AN173" s="58">
        <f>AM173-(AM173*((VLOOKUP(A173,[1]Plan!A$1:BA$804,53,FALSE)/100)))</f>
        <v>0</v>
      </c>
      <c r="AO173" s="61">
        <f>IF(AJ173,O173*'[1]ETC Data'!$H$5*'[1]ETC Data'!$K$5,0)</f>
        <v>0</v>
      </c>
      <c r="AP173" s="58">
        <f>AO173-(AO173*((VLOOKUP(A173,[1]Plan!A$1:BB$804,54,FALSE)/100)))</f>
        <v>0</v>
      </c>
      <c r="AQ173" s="58">
        <f>IF(AJ173,O173*'[1]ETC Data'!$H$5*'[1]ETC Data'!$L$5,0)</f>
        <v>0</v>
      </c>
      <c r="AR173" s="58">
        <f>AQ173-(AQ173*((VLOOKUP(A173,[1]Plan!A$1:BD$804,56,FALSE)/100)))</f>
        <v>0</v>
      </c>
      <c r="AS173" s="20">
        <f>VLOOKUP(A173,'[1]PR Matrix'!A:B,2,FALSE)</f>
        <v>0</v>
      </c>
      <c r="AT173" s="21">
        <f>R173+T173+V173+X173+AB173+AD173+AF173+AH173+AL173+AN173+AP173+AR173</f>
        <v>0</v>
      </c>
      <c r="AU173" s="21">
        <f>Q173+S173+U173+W173+AA173+AC173+AE173+AG173+AK173+AM173+AO173+AQ173</f>
        <v>0</v>
      </c>
      <c r="AV173" s="21">
        <f>R173+AB173+AL173</f>
        <v>0</v>
      </c>
      <c r="AW173" s="21">
        <f>T173+AD173+AN173</f>
        <v>0</v>
      </c>
      <c r="AX173" s="21">
        <f>V173+AF173+AP173</f>
        <v>0</v>
      </c>
      <c r="AY173" s="21">
        <f>X173+AH173+AR173</f>
        <v>0</v>
      </c>
    </row>
    <row r="174" spans="1:51" x14ac:dyDescent="0.2">
      <c r="A174" s="50" t="s">
        <v>381</v>
      </c>
      <c r="B174" s="51" t="s">
        <v>208</v>
      </c>
      <c r="C174" s="51" t="s">
        <v>208</v>
      </c>
      <c r="D174" s="51"/>
      <c r="E174" s="63">
        <f>IF(G174="Y",VLOOKUP(B174&amp;"|"&amp;C174,'[1]ETC Data'!$C$2:$D$16,2,FALSE),0)</f>
        <v>104</v>
      </c>
      <c r="F174" s="63">
        <f>IF(D174="",0,IF(G174="Y",VLOOKUP(B174&amp;"|"&amp;D174,'[1]ETC Data'!$C$2:$D$16,2,FALSE),0))</f>
        <v>0</v>
      </c>
      <c r="G174" s="53" t="str">
        <f>IF(VLOOKUP(A174,[1]Plan!A$1:H$804,8,FALSE)&lt;&gt;"",VLOOKUP(A174,[1]Plan!A$1:H$804,8,FALSE),"")</f>
        <v>Y</v>
      </c>
      <c r="H174" s="54" t="str">
        <f>IF(VLOOKUP(A174,[1]Plan!A$1:L$804,12,FALSE)&lt;&gt;"",VLOOKUP(A174,[1]Plan!A$1:L$804,12,FALSE),"")</f>
        <v/>
      </c>
      <c r="I174" s="55" t="str">
        <f>IF(VLOOKUP(A174,[1]Plan!A$1:M$804,13,FALSE)&lt;&gt;"",VLOOKUP(A174,[1]Plan!A$1:M$804,13,FALSE),"")</f>
        <v/>
      </c>
      <c r="J174" s="55" t="str">
        <f>IF(VLOOKUP(A174,[1]Plan!A$1:N$804,14,FALSE)&lt;&gt;"",VLOOKUP(A174,[1]Plan!A$1:N$804,14,FALSE),IF(VLOOKUP(A174,[1]Plan!A$1:O$804,15,FALSE)&lt;&gt;"",VLOOKUP(A174,[1]Plan!A$1:O$804,15,FALSE),""))</f>
        <v/>
      </c>
      <c r="K174" s="56" t="str">
        <f>IF(VLOOKUP(A174,[1]Plan!A$1:P$804,16,FALSE)&lt;&gt;"",VLOOKUP(A174,[1]Plan!A$1:P$804,16,FALSE),"")</f>
        <v>Y</v>
      </c>
      <c r="L174" s="55"/>
      <c r="M174" s="55"/>
      <c r="N174" s="55"/>
      <c r="O174" s="57">
        <f>IF(F174=0,E174,F174)</f>
        <v>104</v>
      </c>
      <c r="P174" s="57" t="b">
        <f>OR(H174="Y",I174="Y")</f>
        <v>0</v>
      </c>
      <c r="Q174" s="58">
        <f>IF(P174,O174*'[1]ETC Data'!$H$3*'[1]ETC Data'!$I$3,0)</f>
        <v>0</v>
      </c>
      <c r="R174" s="58">
        <f>Q174-(Q174*((VLOOKUP(A174,[1]Plan!A$1:Z$804,26,FALSE)/100)))</f>
        <v>0</v>
      </c>
      <c r="S174" s="58">
        <f>IF(P174,O174*'[1]ETC Data'!$H$3*'[1]ETC Data'!$J$3,0)</f>
        <v>0</v>
      </c>
      <c r="T174" s="58">
        <f>S174-(S174*((VLOOKUP(A174,[1]Plan!A$1:AA$804,27,FALSE)/100)))</f>
        <v>0</v>
      </c>
      <c r="U174" s="58">
        <f>IF(P174,O174*'[1]ETC Data'!$H$3*'[1]ETC Data'!$K$3,0)</f>
        <v>0</v>
      </c>
      <c r="V174" s="58">
        <f>U174-(U174*((VLOOKUP(A174,[1]Plan!A$1:AB$804,28,FALSE)/100)))</f>
        <v>0</v>
      </c>
      <c r="W174" s="58">
        <f>IF(P174,O174*'[1]ETC Data'!$H$3*'[1]ETC Data'!$L$3,0)</f>
        <v>0</v>
      </c>
      <c r="X174" s="58">
        <f>W174-(W174*((VLOOKUP(A174,[1]Plan!A$1:AC$804,29,FALSE)/100)))</f>
        <v>0</v>
      </c>
      <c r="Y174" s="59"/>
      <c r="Z174" s="60" t="b">
        <f>OR(H174="Y",J174="Y")</f>
        <v>0</v>
      </c>
      <c r="AA174" s="58">
        <f>IF(Z174,O174*'[1]ETC Data'!$H$4*'[1]ETC Data'!$I$4,0)</f>
        <v>0</v>
      </c>
      <c r="AB174" s="58">
        <f>AA174-(AA174*((VLOOKUP(A174,[1]Plan!A$1:AI$804,35,FALSE)/100)))</f>
        <v>0</v>
      </c>
      <c r="AC174" s="58">
        <f>IF(Z174,O174*'[1]ETC Data'!$H$4*'[1]ETC Data'!$J$4,0)</f>
        <v>0</v>
      </c>
      <c r="AD174" s="58">
        <f>AC174-(AC174*((VLOOKUP(A174,[1]Plan!A$1:AJ$804,36,FALSE)/100)))</f>
        <v>0</v>
      </c>
      <c r="AE174" s="58">
        <f>IF(Z174,O174*'[1]ETC Data'!$H$4*'[1]ETC Data'!$K$4,0)</f>
        <v>0</v>
      </c>
      <c r="AF174" s="58">
        <f>AE174-(AE174*((VLOOKUP(A174,[1]Plan!A$1:AK$804,37,FALSE)/100)))</f>
        <v>0</v>
      </c>
      <c r="AG174" s="58">
        <f>IF(Z174,O174*'[1]ETC Data'!$H$4*'[1]ETC Data'!$L$4,0)</f>
        <v>0</v>
      </c>
      <c r="AH174" s="58">
        <f>AG174-(AG174*((VLOOKUP(A174,[1]Plan!A$1:AP$804,42,FALSE)/100)))</f>
        <v>0</v>
      </c>
      <c r="AI174" s="60"/>
      <c r="AJ174" s="60" t="b">
        <f>OR(H174="Y",K174="Y")</f>
        <v>1</v>
      </c>
      <c r="AK174" s="61">
        <f>IF(AJ174,O174*'[1]ETC Data'!$H$5*'[1]ETC Data'!$I$5,0)</f>
        <v>12.953342253401749</v>
      </c>
      <c r="AL174" s="58">
        <f>AK174-(AK174*((VLOOKUP(A174,[1]Plan!A$1:AY$804,51,FALSE)/100)))</f>
        <v>0</v>
      </c>
      <c r="AM174" s="58">
        <f>IF(AJ174,O174*'[1]ETC Data'!$H$5*'[1]ETC Data'!$J$5,0)</f>
        <v>6.4766711267008743</v>
      </c>
      <c r="AN174" s="58">
        <f>AM174-(AM174*((VLOOKUP(A174,[1]Plan!A$1:BA$804,53,FALSE)/100)))</f>
        <v>0</v>
      </c>
      <c r="AO174" s="61">
        <f>IF(AJ174,O174*'[1]ETC Data'!$H$5*'[1]ETC Data'!$K$5,0)</f>
        <v>4.6632032112246291</v>
      </c>
      <c r="AP174" s="58">
        <f>AO174-(AO174*((VLOOKUP(A174,[1]Plan!A$1:BB$804,54,FALSE)/100)))</f>
        <v>0</v>
      </c>
      <c r="AQ174" s="58">
        <f>IF(AJ174,O174*'[1]ETC Data'!$H$5*'[1]ETC Data'!$L$5,0)</f>
        <v>1.813467915476245</v>
      </c>
      <c r="AR174" s="58">
        <f>AQ174-(AQ174*((VLOOKUP(A174,[1]Plan!A$1:BD$804,56,FALSE)/100)))</f>
        <v>0</v>
      </c>
      <c r="AS174" s="20">
        <f>VLOOKUP(A174,'[1]PR Matrix'!A:B,2,FALSE)</f>
        <v>6233</v>
      </c>
      <c r="AT174" s="21">
        <f>R174+T174+V174+X174+AB174+AD174+AF174+AH174+AL174+AN174+AP174+AR174</f>
        <v>0</v>
      </c>
      <c r="AU174" s="21">
        <f>Q174+S174+U174+W174+AA174+AC174+AE174+AG174+AK174+AM174+AO174+AQ174</f>
        <v>25.906684506803497</v>
      </c>
      <c r="AV174" s="21">
        <f>R174+AB174+AL174</f>
        <v>0</v>
      </c>
      <c r="AW174" s="21">
        <f>T174+AD174+AN174</f>
        <v>0</v>
      </c>
      <c r="AX174" s="21">
        <f>V174+AF174+AP174</f>
        <v>0</v>
      </c>
      <c r="AY174" s="21">
        <f>X174+AH174+AR174</f>
        <v>0</v>
      </c>
    </row>
    <row r="175" spans="1:51" x14ac:dyDescent="0.2">
      <c r="A175" s="50" t="s">
        <v>382</v>
      </c>
      <c r="B175" s="51" t="s">
        <v>208</v>
      </c>
      <c r="C175" s="51" t="s">
        <v>208</v>
      </c>
      <c r="D175" s="51"/>
      <c r="E175" s="63">
        <f>IF(G175="Y",VLOOKUP(B175&amp;"|"&amp;C175,'[1]ETC Data'!$C$2:$D$16,2,FALSE),0)</f>
        <v>104</v>
      </c>
      <c r="F175" s="63">
        <f>IF(D175="",0,IF(G175="Y",VLOOKUP(B175&amp;"|"&amp;D175,'[1]ETC Data'!$C$2:$D$16,2,FALSE),0))</f>
        <v>0</v>
      </c>
      <c r="G175" s="53" t="str">
        <f>IF(VLOOKUP(A175,[1]Plan!A$1:H$804,8,FALSE)&lt;&gt;"",VLOOKUP(A175,[1]Plan!A$1:H$804,8,FALSE),"")</f>
        <v>Y</v>
      </c>
      <c r="H175" s="54" t="str">
        <f>IF(VLOOKUP(A175,[1]Plan!A$1:L$804,12,FALSE)&lt;&gt;"",VLOOKUP(A175,[1]Plan!A$1:L$804,12,FALSE),"")</f>
        <v/>
      </c>
      <c r="I175" s="55" t="str">
        <f>IF(VLOOKUP(A175,[1]Plan!A$1:M$804,13,FALSE)&lt;&gt;"",VLOOKUP(A175,[1]Plan!A$1:M$804,13,FALSE),"")</f>
        <v/>
      </c>
      <c r="J175" s="55" t="str">
        <f>IF(VLOOKUP(A175,[1]Plan!A$1:N$804,14,FALSE)&lt;&gt;"",VLOOKUP(A175,[1]Plan!A$1:N$804,14,FALSE),IF(VLOOKUP(A175,[1]Plan!A$1:O$804,15,FALSE)&lt;&gt;"",VLOOKUP(A175,[1]Plan!A$1:O$804,15,FALSE),""))</f>
        <v/>
      </c>
      <c r="K175" s="56" t="str">
        <f>IF(VLOOKUP(A175,[1]Plan!A$1:P$804,16,FALSE)&lt;&gt;"",VLOOKUP(A175,[1]Plan!A$1:P$804,16,FALSE),"")</f>
        <v>Y</v>
      </c>
      <c r="L175" s="55"/>
      <c r="M175" s="55"/>
      <c r="N175" s="55"/>
      <c r="O175" s="57">
        <f>IF(F175=0,E175,F175)</f>
        <v>104</v>
      </c>
      <c r="P175" s="57" t="b">
        <f>OR(H175="Y",I175="Y")</f>
        <v>0</v>
      </c>
      <c r="Q175" s="58">
        <f>IF(P175,O175*'[1]ETC Data'!$H$3*'[1]ETC Data'!$I$3,0)</f>
        <v>0</v>
      </c>
      <c r="R175" s="58">
        <f>Q175-(Q175*((VLOOKUP(A175,[1]Plan!A$1:Z$804,26,FALSE)/100)))</f>
        <v>0</v>
      </c>
      <c r="S175" s="58">
        <f>IF(P175,O175*'[1]ETC Data'!$H$3*'[1]ETC Data'!$J$3,0)</f>
        <v>0</v>
      </c>
      <c r="T175" s="58">
        <f>S175-(S175*((VLOOKUP(A175,[1]Plan!A$1:AA$804,27,FALSE)/100)))</f>
        <v>0</v>
      </c>
      <c r="U175" s="58">
        <f>IF(P175,O175*'[1]ETC Data'!$H$3*'[1]ETC Data'!$K$3,0)</f>
        <v>0</v>
      </c>
      <c r="V175" s="58">
        <f>U175-(U175*((VLOOKUP(A175,[1]Plan!A$1:AB$804,28,FALSE)/100)))</f>
        <v>0</v>
      </c>
      <c r="W175" s="58">
        <f>IF(P175,O175*'[1]ETC Data'!$H$3*'[1]ETC Data'!$L$3,0)</f>
        <v>0</v>
      </c>
      <c r="X175" s="58">
        <f>W175-(W175*((VLOOKUP(A175,[1]Plan!A$1:AC$804,29,FALSE)/100)))</f>
        <v>0</v>
      </c>
      <c r="Y175" s="59"/>
      <c r="Z175" s="60" t="b">
        <f>OR(H175="Y",J175="Y")</f>
        <v>0</v>
      </c>
      <c r="AA175" s="58">
        <f>IF(Z175,O175*'[1]ETC Data'!$H$4*'[1]ETC Data'!$I$4,0)</f>
        <v>0</v>
      </c>
      <c r="AB175" s="58">
        <f>AA175-(AA175*((VLOOKUP(A175,[1]Plan!A$1:AI$804,35,FALSE)/100)))</f>
        <v>0</v>
      </c>
      <c r="AC175" s="58">
        <f>IF(Z175,O175*'[1]ETC Data'!$H$4*'[1]ETC Data'!$J$4,0)</f>
        <v>0</v>
      </c>
      <c r="AD175" s="58">
        <f>AC175-(AC175*((VLOOKUP(A175,[1]Plan!A$1:AJ$804,36,FALSE)/100)))</f>
        <v>0</v>
      </c>
      <c r="AE175" s="58">
        <f>IF(Z175,O175*'[1]ETC Data'!$H$4*'[1]ETC Data'!$K$4,0)</f>
        <v>0</v>
      </c>
      <c r="AF175" s="58">
        <f>AE175-(AE175*((VLOOKUP(A175,[1]Plan!A$1:AK$804,37,FALSE)/100)))</f>
        <v>0</v>
      </c>
      <c r="AG175" s="58">
        <f>IF(Z175,O175*'[1]ETC Data'!$H$4*'[1]ETC Data'!$L$4,0)</f>
        <v>0</v>
      </c>
      <c r="AH175" s="58">
        <f>AG175-(AG175*((VLOOKUP(A175,[1]Plan!A$1:AP$804,42,FALSE)/100)))</f>
        <v>0</v>
      </c>
      <c r="AI175" s="60"/>
      <c r="AJ175" s="60" t="b">
        <f>OR(H175="Y",K175="Y")</f>
        <v>1</v>
      </c>
      <c r="AK175" s="61">
        <f>IF(AJ175,O175*'[1]ETC Data'!$H$5*'[1]ETC Data'!$I$5,0)</f>
        <v>12.953342253401749</v>
      </c>
      <c r="AL175" s="58">
        <f>AK175-(AK175*((VLOOKUP(A175,[1]Plan!A$1:AY$804,51,FALSE)/100)))</f>
        <v>0</v>
      </c>
      <c r="AM175" s="58">
        <f>IF(AJ175,O175*'[1]ETC Data'!$H$5*'[1]ETC Data'!$J$5,0)</f>
        <v>6.4766711267008743</v>
      </c>
      <c r="AN175" s="58">
        <f>AM175-(AM175*((VLOOKUP(A175,[1]Plan!A$1:BA$804,53,FALSE)/100)))</f>
        <v>0</v>
      </c>
      <c r="AO175" s="61">
        <f>IF(AJ175,O175*'[1]ETC Data'!$H$5*'[1]ETC Data'!$K$5,0)</f>
        <v>4.6632032112246291</v>
      </c>
      <c r="AP175" s="58">
        <f>AO175-(AO175*((VLOOKUP(A175,[1]Plan!A$1:BB$804,54,FALSE)/100)))</f>
        <v>0</v>
      </c>
      <c r="AQ175" s="58">
        <f>IF(AJ175,O175*'[1]ETC Data'!$H$5*'[1]ETC Data'!$L$5,0)</f>
        <v>1.813467915476245</v>
      </c>
      <c r="AR175" s="58">
        <f>AQ175-(AQ175*((VLOOKUP(A175,[1]Plan!A$1:BD$804,56,FALSE)/100)))</f>
        <v>0</v>
      </c>
      <c r="AS175" s="20">
        <f>VLOOKUP(A175,'[1]PR Matrix'!A:B,2,FALSE)</f>
        <v>6233</v>
      </c>
      <c r="AT175" s="21">
        <f>R175+T175+V175+X175+AB175+AD175+AF175+AH175+AL175+AN175+AP175+AR175</f>
        <v>0</v>
      </c>
      <c r="AU175" s="21">
        <f>Q175+S175+U175+W175+AA175+AC175+AE175+AG175+AK175+AM175+AO175+AQ175</f>
        <v>25.906684506803497</v>
      </c>
      <c r="AV175" s="21">
        <f>R175+AB175+AL175</f>
        <v>0</v>
      </c>
      <c r="AW175" s="21">
        <f>T175+AD175+AN175</f>
        <v>0</v>
      </c>
      <c r="AX175" s="21">
        <f>V175+AF175+AP175</f>
        <v>0</v>
      </c>
      <c r="AY175" s="21">
        <f>X175+AH175+AR175</f>
        <v>0</v>
      </c>
    </row>
    <row r="176" spans="1:51" hidden="1" x14ac:dyDescent="0.2">
      <c r="A176" s="50" t="s">
        <v>383</v>
      </c>
      <c r="B176" s="51" t="s">
        <v>209</v>
      </c>
      <c r="C176" s="51"/>
      <c r="D176" s="51"/>
      <c r="E176" s="52">
        <f>IF(G176="Y",VLOOKUP(B176&amp;"|"&amp;C176,'[1]ETC Data'!$C$2:$D$16,2,FALSE),0)</f>
        <v>0</v>
      </c>
      <c r="F176" s="52">
        <f>IF(D176="",0,IF(G176="Y",VLOOKUP(B176&amp;"|"&amp;D176,'[1]ETC Data'!$C$2:$D$16,2,FALSE),0))</f>
        <v>0</v>
      </c>
      <c r="G176" s="53" t="str">
        <f>IF(VLOOKUP(A176,[1]Plan!A$1:H$804,8,FALSE)&lt;&gt;"",VLOOKUP(A176,[1]Plan!A$1:H$804,8,FALSE),"")</f>
        <v>N</v>
      </c>
      <c r="H176" s="54" t="str">
        <f>IF(VLOOKUP(A176,[1]Plan!A$1:L$804,12,FALSE)&lt;&gt;"",VLOOKUP(A176,[1]Plan!A$1:L$804,12,FALSE),"")</f>
        <v/>
      </c>
      <c r="I176" s="55" t="str">
        <f>IF(VLOOKUP(A176,[1]Plan!A$1:M$804,13,FALSE)&lt;&gt;"",VLOOKUP(A176,[1]Plan!A$1:M$804,13,FALSE),"")</f>
        <v/>
      </c>
      <c r="J176" s="55" t="str">
        <f>IF(VLOOKUP(A176,[1]Plan!A$1:N$804,14,FALSE)&lt;&gt;"",VLOOKUP(A176,[1]Plan!A$1:N$804,14,FALSE),IF(VLOOKUP(A176,[1]Plan!A$1:O$804,15,FALSE)&lt;&gt;"",VLOOKUP(A176,[1]Plan!A$1:O$804,15,FALSE),""))</f>
        <v/>
      </c>
      <c r="K176" s="56" t="str">
        <f>IF(VLOOKUP(A176,[1]Plan!A$1:P$804,16,FALSE)&lt;&gt;"",VLOOKUP(A176,[1]Plan!A$1:P$804,16,FALSE),"")</f>
        <v/>
      </c>
      <c r="L176" s="55"/>
      <c r="M176" s="55"/>
      <c r="N176" s="55"/>
      <c r="O176" s="57">
        <f>IF(F176=0,E176,F176)</f>
        <v>0</v>
      </c>
      <c r="P176" s="57" t="b">
        <f>OR(H176="Y",I176="Y")</f>
        <v>0</v>
      </c>
      <c r="Q176" s="58">
        <f>IF(P176,O176*'[1]ETC Data'!$H$3*'[1]ETC Data'!$I$3,0)</f>
        <v>0</v>
      </c>
      <c r="R176" s="58">
        <f>Q176-(Q176*((VLOOKUP(A176,[1]Plan!A$1:Z$804,26,FALSE)/100)))</f>
        <v>0</v>
      </c>
      <c r="S176" s="58">
        <f>IF(P176,O176*'[1]ETC Data'!$H$3*'[1]ETC Data'!$J$3,0)</f>
        <v>0</v>
      </c>
      <c r="T176" s="58">
        <f>S176-(S176*((VLOOKUP(A176,[1]Plan!A$1:AA$804,27,FALSE)/100)))</f>
        <v>0</v>
      </c>
      <c r="U176" s="58">
        <f>IF(P176,O176*'[1]ETC Data'!$H$3*'[1]ETC Data'!$K$3,0)</f>
        <v>0</v>
      </c>
      <c r="V176" s="58">
        <f>U176-(U176*((VLOOKUP(A176,[1]Plan!A$1:AB$804,28,FALSE)/100)))</f>
        <v>0</v>
      </c>
      <c r="W176" s="58">
        <f>IF(P176,O176*'[1]ETC Data'!$H$3*'[1]ETC Data'!$L$3,0)</f>
        <v>0</v>
      </c>
      <c r="X176" s="58">
        <f>W176-(W176*((VLOOKUP(A176,[1]Plan!A$1:AC$804,29,FALSE)/100)))</f>
        <v>0</v>
      </c>
      <c r="Y176" s="59"/>
      <c r="Z176" s="60" t="b">
        <f>OR(H176="Y",J176="Y")</f>
        <v>0</v>
      </c>
      <c r="AA176" s="58">
        <f>IF(Z176,O176*'[1]ETC Data'!$H$4*'[1]ETC Data'!$I$4,0)</f>
        <v>0</v>
      </c>
      <c r="AB176" s="58">
        <f>AA176-(AA176*((VLOOKUP(A176,[1]Plan!A$1:AI$804,35,FALSE)/100)))</f>
        <v>0</v>
      </c>
      <c r="AC176" s="58">
        <f>IF(Z176,O176*'[1]ETC Data'!$H$4*'[1]ETC Data'!$J$4,0)</f>
        <v>0</v>
      </c>
      <c r="AD176" s="58">
        <f>AC176-(AC176*((VLOOKUP(A176,[1]Plan!A$1:AJ$804,36,FALSE)/100)))</f>
        <v>0</v>
      </c>
      <c r="AE176" s="58">
        <f>IF(Z176,O176*'[1]ETC Data'!$H$4*'[1]ETC Data'!$K$4,0)</f>
        <v>0</v>
      </c>
      <c r="AF176" s="58">
        <f>AE176-(AE176*((VLOOKUP(A176,[1]Plan!A$1:AK$804,37,FALSE)/100)))</f>
        <v>0</v>
      </c>
      <c r="AG176" s="58">
        <f>IF(Z176,O176*'[1]ETC Data'!$H$4*'[1]ETC Data'!$L$4,0)</f>
        <v>0</v>
      </c>
      <c r="AH176" s="58">
        <f>AG176-(AG176*((VLOOKUP(A176,[1]Plan!A$1:AP$804,42,FALSE)/100)))</f>
        <v>0</v>
      </c>
      <c r="AI176" s="60"/>
      <c r="AJ176" s="60" t="b">
        <f>OR(H176="Y",K176="Y")</f>
        <v>0</v>
      </c>
      <c r="AK176" s="61">
        <f>IF(AJ176,O176*'[1]ETC Data'!$H$5*'[1]ETC Data'!$I$5,0)</f>
        <v>0</v>
      </c>
      <c r="AL176" s="58">
        <f>AK176-(AK176*((VLOOKUP(A176,[1]Plan!A$1:AY$804,51,FALSE)/100)))</f>
        <v>0</v>
      </c>
      <c r="AM176" s="58">
        <f>IF(AJ176,O176*'[1]ETC Data'!$H$5*'[1]ETC Data'!$J$5,0)</f>
        <v>0</v>
      </c>
      <c r="AN176" s="58">
        <f>AM176-(AM176*((VLOOKUP(A176,[1]Plan!A$1:BA$804,53,FALSE)/100)))</f>
        <v>0</v>
      </c>
      <c r="AO176" s="61">
        <f>IF(AJ176,O176*'[1]ETC Data'!$H$5*'[1]ETC Data'!$K$5,0)</f>
        <v>0</v>
      </c>
      <c r="AP176" s="58">
        <f>AO176-(AO176*((VLOOKUP(A176,[1]Plan!A$1:BB$804,54,FALSE)/100)))</f>
        <v>0</v>
      </c>
      <c r="AQ176" s="58">
        <f>IF(AJ176,O176*'[1]ETC Data'!$H$5*'[1]ETC Data'!$L$5,0)</f>
        <v>0</v>
      </c>
      <c r="AR176" s="58">
        <f>AQ176-(AQ176*((VLOOKUP(A176,[1]Plan!A$1:BD$804,56,FALSE)/100)))</f>
        <v>0</v>
      </c>
      <c r="AS176" s="20">
        <f>VLOOKUP(A176,'[1]PR Matrix'!A:B,2,FALSE)</f>
        <v>0</v>
      </c>
      <c r="AT176" s="21">
        <f>R176+T176+V176+X176+AB176+AD176+AF176+AH176+AL176+AN176+AP176+AR176</f>
        <v>0</v>
      </c>
      <c r="AU176" s="21">
        <f>Q176+S176+U176+W176+AA176+AC176+AE176+AG176+AK176+AM176+AO176+AQ176</f>
        <v>0</v>
      </c>
      <c r="AV176" s="21">
        <f>R176+AB176+AL176</f>
        <v>0</v>
      </c>
      <c r="AW176" s="21">
        <f>T176+AD176+AN176</f>
        <v>0</v>
      </c>
      <c r="AX176" s="21">
        <f>V176+AF176+AP176</f>
        <v>0</v>
      </c>
      <c r="AY176" s="21">
        <f>X176+AH176+AR176</f>
        <v>0</v>
      </c>
    </row>
    <row r="177" spans="1:51" hidden="1" x14ac:dyDescent="0.2">
      <c r="A177" s="50" t="s">
        <v>384</v>
      </c>
      <c r="B177" s="51" t="s">
        <v>209</v>
      </c>
      <c r="C177" s="51"/>
      <c r="D177" s="51"/>
      <c r="E177" s="52">
        <f>IF(G177="Y",VLOOKUP(B177&amp;"|"&amp;C177,'[1]ETC Data'!$C$2:$D$16,2,FALSE),0)</f>
        <v>0</v>
      </c>
      <c r="F177" s="52">
        <f>IF(D177="",0,IF(G177="Y",VLOOKUP(B177&amp;"|"&amp;D177,'[1]ETC Data'!$C$2:$D$16,2,FALSE),0))</f>
        <v>0</v>
      </c>
      <c r="G177" s="53" t="str">
        <f>IF(VLOOKUP(A177,[1]Plan!A$1:H$804,8,FALSE)&lt;&gt;"",VLOOKUP(A177,[1]Plan!A$1:H$804,8,FALSE),"")</f>
        <v>N</v>
      </c>
      <c r="H177" s="54" t="str">
        <f>IF(VLOOKUP(A177,[1]Plan!A$1:L$804,12,FALSE)&lt;&gt;"",VLOOKUP(A177,[1]Plan!A$1:L$804,12,FALSE),"")</f>
        <v/>
      </c>
      <c r="I177" s="55" t="str">
        <f>IF(VLOOKUP(A177,[1]Plan!A$1:M$804,13,FALSE)&lt;&gt;"",VLOOKUP(A177,[1]Plan!A$1:M$804,13,FALSE),"")</f>
        <v/>
      </c>
      <c r="J177" s="55" t="str">
        <f>IF(VLOOKUP(A177,[1]Plan!A$1:N$804,14,FALSE)&lt;&gt;"",VLOOKUP(A177,[1]Plan!A$1:N$804,14,FALSE),IF(VLOOKUP(A177,[1]Plan!A$1:O$804,15,FALSE)&lt;&gt;"",VLOOKUP(A177,[1]Plan!A$1:O$804,15,FALSE),""))</f>
        <v/>
      </c>
      <c r="K177" s="56" t="str">
        <f>IF(VLOOKUP(A177,[1]Plan!A$1:P$804,16,FALSE)&lt;&gt;"",VLOOKUP(A177,[1]Plan!A$1:P$804,16,FALSE),"")</f>
        <v/>
      </c>
      <c r="L177" s="55"/>
      <c r="M177" s="55"/>
      <c r="N177" s="55"/>
      <c r="O177" s="57">
        <f>IF(F177=0,E177,F177)</f>
        <v>0</v>
      </c>
      <c r="P177" s="57" t="b">
        <f>OR(H177="Y",I177="Y")</f>
        <v>0</v>
      </c>
      <c r="Q177" s="58">
        <f>IF(P177,O177*'[1]ETC Data'!$H$3*'[1]ETC Data'!$I$3,0)</f>
        <v>0</v>
      </c>
      <c r="R177" s="58">
        <f>Q177-(Q177*((VLOOKUP(A177,[1]Plan!A$1:Z$804,26,FALSE)/100)))</f>
        <v>0</v>
      </c>
      <c r="S177" s="58">
        <f>IF(P177,O177*'[1]ETC Data'!$H$3*'[1]ETC Data'!$J$3,0)</f>
        <v>0</v>
      </c>
      <c r="T177" s="58">
        <f>S177-(S177*((VLOOKUP(A177,[1]Plan!A$1:AA$804,27,FALSE)/100)))</f>
        <v>0</v>
      </c>
      <c r="U177" s="58">
        <f>IF(P177,O177*'[1]ETC Data'!$H$3*'[1]ETC Data'!$K$3,0)</f>
        <v>0</v>
      </c>
      <c r="V177" s="58">
        <f>U177-(U177*((VLOOKUP(A177,[1]Plan!A$1:AB$804,28,FALSE)/100)))</f>
        <v>0</v>
      </c>
      <c r="W177" s="58">
        <f>IF(P177,O177*'[1]ETC Data'!$H$3*'[1]ETC Data'!$L$3,0)</f>
        <v>0</v>
      </c>
      <c r="X177" s="58">
        <f>W177-(W177*((VLOOKUP(A177,[1]Plan!A$1:AC$804,29,FALSE)/100)))</f>
        <v>0</v>
      </c>
      <c r="Y177" s="59"/>
      <c r="Z177" s="60" t="b">
        <f>OR(H177="Y",J177="Y")</f>
        <v>0</v>
      </c>
      <c r="AA177" s="58">
        <f>IF(Z177,O177*'[1]ETC Data'!$H$4*'[1]ETC Data'!$I$4,0)</f>
        <v>0</v>
      </c>
      <c r="AB177" s="58">
        <f>AA177-(AA177*((VLOOKUP(A177,[1]Plan!A$1:AI$804,35,FALSE)/100)))</f>
        <v>0</v>
      </c>
      <c r="AC177" s="58">
        <f>IF(Z177,O177*'[1]ETC Data'!$H$4*'[1]ETC Data'!$J$4,0)</f>
        <v>0</v>
      </c>
      <c r="AD177" s="58">
        <f>AC177-(AC177*((VLOOKUP(A177,[1]Plan!A$1:AJ$804,36,FALSE)/100)))</f>
        <v>0</v>
      </c>
      <c r="AE177" s="58">
        <f>IF(Z177,O177*'[1]ETC Data'!$H$4*'[1]ETC Data'!$K$4,0)</f>
        <v>0</v>
      </c>
      <c r="AF177" s="58">
        <f>AE177-(AE177*((VLOOKUP(A177,[1]Plan!A$1:AK$804,37,FALSE)/100)))</f>
        <v>0</v>
      </c>
      <c r="AG177" s="58">
        <f>IF(Z177,O177*'[1]ETC Data'!$H$4*'[1]ETC Data'!$L$4,0)</f>
        <v>0</v>
      </c>
      <c r="AH177" s="58">
        <f>AG177-(AG177*((VLOOKUP(A177,[1]Plan!A$1:AP$804,42,FALSE)/100)))</f>
        <v>0</v>
      </c>
      <c r="AI177" s="60"/>
      <c r="AJ177" s="60" t="b">
        <f>OR(H177="Y",K177="Y")</f>
        <v>0</v>
      </c>
      <c r="AK177" s="61">
        <f>IF(AJ177,O177*'[1]ETC Data'!$H$5*'[1]ETC Data'!$I$5,0)</f>
        <v>0</v>
      </c>
      <c r="AL177" s="58">
        <f>AK177-(AK177*((VLOOKUP(A177,[1]Plan!A$1:AY$804,51,FALSE)/100)))</f>
        <v>0</v>
      </c>
      <c r="AM177" s="58">
        <f>IF(AJ177,O177*'[1]ETC Data'!$H$5*'[1]ETC Data'!$J$5,0)</f>
        <v>0</v>
      </c>
      <c r="AN177" s="58">
        <f>AM177-(AM177*((VLOOKUP(A177,[1]Plan!A$1:BA$804,53,FALSE)/100)))</f>
        <v>0</v>
      </c>
      <c r="AO177" s="61">
        <f>IF(AJ177,O177*'[1]ETC Data'!$H$5*'[1]ETC Data'!$K$5,0)</f>
        <v>0</v>
      </c>
      <c r="AP177" s="58">
        <f>AO177-(AO177*((VLOOKUP(A177,[1]Plan!A$1:BB$804,54,FALSE)/100)))</f>
        <v>0</v>
      </c>
      <c r="AQ177" s="58">
        <f>IF(AJ177,O177*'[1]ETC Data'!$H$5*'[1]ETC Data'!$L$5,0)</f>
        <v>0</v>
      </c>
      <c r="AR177" s="58">
        <f>AQ177-(AQ177*((VLOOKUP(A177,[1]Plan!A$1:BD$804,56,FALSE)/100)))</f>
        <v>0</v>
      </c>
      <c r="AS177" s="20">
        <f>VLOOKUP(A177,'[1]PR Matrix'!A:B,2,FALSE)</f>
        <v>0</v>
      </c>
      <c r="AT177" s="21">
        <f>R177+T177+V177+X177+AB177+AD177+AF177+AH177+AL177+AN177+AP177+AR177</f>
        <v>0</v>
      </c>
      <c r="AU177" s="21">
        <f>Q177+S177+U177+W177+AA177+AC177+AE177+AG177+AK177+AM177+AO177+AQ177</f>
        <v>0</v>
      </c>
      <c r="AV177" s="21">
        <f>R177+AB177+AL177</f>
        <v>0</v>
      </c>
      <c r="AW177" s="21">
        <f>T177+AD177+AN177</f>
        <v>0</v>
      </c>
      <c r="AX177" s="21">
        <f>V177+AF177+AP177</f>
        <v>0</v>
      </c>
      <c r="AY177" s="21">
        <f>X177+AH177+AR177</f>
        <v>0</v>
      </c>
    </row>
    <row r="178" spans="1:51" hidden="1" x14ac:dyDescent="0.2">
      <c r="A178" s="50" t="s">
        <v>385</v>
      </c>
      <c r="B178" s="51" t="s">
        <v>258</v>
      </c>
      <c r="C178" s="51"/>
      <c r="D178" s="51"/>
      <c r="E178" s="52">
        <f>IF(G178="Y",VLOOKUP(B178&amp;"|"&amp;C178,'[1]ETC Data'!$C$2:$D$16,2,FALSE),0)</f>
        <v>0</v>
      </c>
      <c r="F178" s="52">
        <f>IF(D178="",0,IF(G178="Y",VLOOKUP(B178&amp;"|"&amp;D178,'[1]ETC Data'!$C$2:$D$16,2,FALSE),0))</f>
        <v>0</v>
      </c>
      <c r="G178" s="53" t="str">
        <f>IF(VLOOKUP(A178,[1]Plan!A$1:H$804,8,FALSE)&lt;&gt;"",VLOOKUP(A178,[1]Plan!A$1:H$804,8,FALSE),"")</f>
        <v>N</v>
      </c>
      <c r="H178" s="54" t="str">
        <f>IF(VLOOKUP(A178,[1]Plan!A$1:L$804,12,FALSE)&lt;&gt;"",VLOOKUP(A178,[1]Plan!A$1:L$804,12,FALSE),"")</f>
        <v/>
      </c>
      <c r="I178" s="55" t="str">
        <f>IF(VLOOKUP(A178,[1]Plan!A$1:M$804,13,FALSE)&lt;&gt;"",VLOOKUP(A178,[1]Plan!A$1:M$804,13,FALSE),"")</f>
        <v/>
      </c>
      <c r="J178" s="55" t="str">
        <f>IF(VLOOKUP(A178,[1]Plan!A$1:N$804,14,FALSE)&lt;&gt;"",VLOOKUP(A178,[1]Plan!A$1:N$804,14,FALSE),IF(VLOOKUP(A178,[1]Plan!A$1:O$804,15,FALSE)&lt;&gt;"",VLOOKUP(A178,[1]Plan!A$1:O$804,15,FALSE),""))</f>
        <v/>
      </c>
      <c r="K178" s="56" t="str">
        <f>IF(VLOOKUP(A178,[1]Plan!A$1:P$804,16,FALSE)&lt;&gt;"",VLOOKUP(A178,[1]Plan!A$1:P$804,16,FALSE),"")</f>
        <v/>
      </c>
      <c r="L178" s="55"/>
      <c r="M178" s="55"/>
      <c r="N178" s="55"/>
      <c r="O178" s="57">
        <f>IF(F178=0,E178,F178)</f>
        <v>0</v>
      </c>
      <c r="P178" s="57" t="b">
        <f>OR(H178="Y",I178="Y")</f>
        <v>0</v>
      </c>
      <c r="Q178" s="58">
        <f>IF(P178,O178*'[1]ETC Data'!$H$3*'[1]ETC Data'!$I$3,0)</f>
        <v>0</v>
      </c>
      <c r="R178" s="58">
        <f>Q178-(Q178*((VLOOKUP(A178,[1]Plan!A$1:Z$804,26,FALSE)/100)))</f>
        <v>0</v>
      </c>
      <c r="S178" s="58">
        <f>IF(P178,O178*'[1]ETC Data'!$H$3*'[1]ETC Data'!$J$3,0)</f>
        <v>0</v>
      </c>
      <c r="T178" s="58">
        <f>S178-(S178*((VLOOKUP(A178,[1]Plan!A$1:AA$804,27,FALSE)/100)))</f>
        <v>0</v>
      </c>
      <c r="U178" s="58">
        <f>IF(P178,O178*'[1]ETC Data'!$H$3*'[1]ETC Data'!$K$3,0)</f>
        <v>0</v>
      </c>
      <c r="V178" s="58">
        <f>U178-(U178*((VLOOKUP(A178,[1]Plan!A$1:AB$804,28,FALSE)/100)))</f>
        <v>0</v>
      </c>
      <c r="W178" s="58">
        <f>IF(P178,O178*'[1]ETC Data'!$H$3*'[1]ETC Data'!$L$3,0)</f>
        <v>0</v>
      </c>
      <c r="X178" s="58">
        <f>W178-(W178*((VLOOKUP(A178,[1]Plan!A$1:AC$804,29,FALSE)/100)))</f>
        <v>0</v>
      </c>
      <c r="Y178" s="59"/>
      <c r="Z178" s="60" t="b">
        <f>OR(H178="Y",J178="Y")</f>
        <v>0</v>
      </c>
      <c r="AA178" s="58">
        <f>IF(Z178,O178*'[1]ETC Data'!$H$4*'[1]ETC Data'!$I$4,0)</f>
        <v>0</v>
      </c>
      <c r="AB178" s="58">
        <f>AA178-(AA178*((VLOOKUP(A178,[1]Plan!A$1:AI$804,35,FALSE)/100)))</f>
        <v>0</v>
      </c>
      <c r="AC178" s="58">
        <f>IF(Z178,O178*'[1]ETC Data'!$H$4*'[1]ETC Data'!$J$4,0)</f>
        <v>0</v>
      </c>
      <c r="AD178" s="58">
        <f>AC178-(AC178*((VLOOKUP(A178,[1]Plan!A$1:AJ$804,36,FALSE)/100)))</f>
        <v>0</v>
      </c>
      <c r="AE178" s="58">
        <f>IF(Z178,O178*'[1]ETC Data'!$H$4*'[1]ETC Data'!$K$4,0)</f>
        <v>0</v>
      </c>
      <c r="AF178" s="58">
        <f>AE178-(AE178*((VLOOKUP(A178,[1]Plan!A$1:AK$804,37,FALSE)/100)))</f>
        <v>0</v>
      </c>
      <c r="AG178" s="58">
        <f>IF(Z178,O178*'[1]ETC Data'!$H$4*'[1]ETC Data'!$L$4,0)</f>
        <v>0</v>
      </c>
      <c r="AH178" s="58">
        <f>AG178-(AG178*((VLOOKUP(A178,[1]Plan!A$1:AP$804,42,FALSE)/100)))</f>
        <v>0</v>
      </c>
      <c r="AI178" s="60"/>
      <c r="AJ178" s="60" t="b">
        <f>OR(H178="Y",K178="Y")</f>
        <v>0</v>
      </c>
      <c r="AK178" s="61">
        <f>IF(AJ178,O178*'[1]ETC Data'!$H$5*'[1]ETC Data'!$I$5,0)</f>
        <v>0</v>
      </c>
      <c r="AL178" s="58">
        <f>AK178-(AK178*((VLOOKUP(A178,[1]Plan!A$1:AY$804,51,FALSE)/100)))</f>
        <v>0</v>
      </c>
      <c r="AM178" s="58">
        <f>IF(AJ178,O178*'[1]ETC Data'!$H$5*'[1]ETC Data'!$J$5,0)</f>
        <v>0</v>
      </c>
      <c r="AN178" s="58">
        <f>AM178-(AM178*((VLOOKUP(A178,[1]Plan!A$1:BA$804,53,FALSE)/100)))</f>
        <v>0</v>
      </c>
      <c r="AO178" s="61">
        <f>IF(AJ178,O178*'[1]ETC Data'!$H$5*'[1]ETC Data'!$K$5,0)</f>
        <v>0</v>
      </c>
      <c r="AP178" s="58">
        <f>AO178-(AO178*((VLOOKUP(A178,[1]Plan!A$1:BB$804,54,FALSE)/100)))</f>
        <v>0</v>
      </c>
      <c r="AQ178" s="58">
        <f>IF(AJ178,O178*'[1]ETC Data'!$H$5*'[1]ETC Data'!$L$5,0)</f>
        <v>0</v>
      </c>
      <c r="AR178" s="58">
        <f>AQ178-(AQ178*((VLOOKUP(A178,[1]Plan!A$1:BD$804,56,FALSE)/100)))</f>
        <v>0</v>
      </c>
      <c r="AS178" s="20">
        <f>VLOOKUP(A178,'[1]PR Matrix'!A:B,2,FALSE)</f>
        <v>0</v>
      </c>
      <c r="AT178" s="21">
        <f>R178+T178+V178+X178+AB178+AD178+AF178+AH178+AL178+AN178+AP178+AR178</f>
        <v>0</v>
      </c>
      <c r="AU178" s="21">
        <f>Q178+S178+U178+W178+AA178+AC178+AE178+AG178+AK178+AM178+AO178+AQ178</f>
        <v>0</v>
      </c>
      <c r="AV178" s="21">
        <f>R178+AB178+AL178</f>
        <v>0</v>
      </c>
      <c r="AW178" s="21">
        <f>T178+AD178+AN178</f>
        <v>0</v>
      </c>
      <c r="AX178" s="21">
        <f>V178+AF178+AP178</f>
        <v>0</v>
      </c>
      <c r="AY178" s="21">
        <f>X178+AH178+AR178</f>
        <v>0</v>
      </c>
    </row>
    <row r="179" spans="1:51" hidden="1" x14ac:dyDescent="0.2">
      <c r="A179" s="50" t="s">
        <v>386</v>
      </c>
      <c r="B179" s="51" t="s">
        <v>209</v>
      </c>
      <c r="C179" s="51"/>
      <c r="D179" s="51"/>
      <c r="E179" s="52">
        <f>IF(G179="Y",VLOOKUP(B179&amp;"|"&amp;C179,'[1]ETC Data'!$C$2:$D$16,2,FALSE),0)</f>
        <v>0</v>
      </c>
      <c r="F179" s="52">
        <f>IF(D179="",0,IF(G179="Y",VLOOKUP(B179&amp;"|"&amp;D179,'[1]ETC Data'!$C$2:$D$16,2,FALSE),0))</f>
        <v>0</v>
      </c>
      <c r="G179" s="53" t="str">
        <f>IF(VLOOKUP(A179,[1]Plan!A$1:H$804,8,FALSE)&lt;&gt;"",VLOOKUP(A179,[1]Plan!A$1:H$804,8,FALSE),"")</f>
        <v>N</v>
      </c>
      <c r="H179" s="54" t="str">
        <f>IF(VLOOKUP(A179,[1]Plan!A$1:L$804,12,FALSE)&lt;&gt;"",VLOOKUP(A179,[1]Plan!A$1:L$804,12,FALSE),"")</f>
        <v/>
      </c>
      <c r="I179" s="55" t="str">
        <f>IF(VLOOKUP(A179,[1]Plan!A$1:M$804,13,FALSE)&lt;&gt;"",VLOOKUP(A179,[1]Plan!A$1:M$804,13,FALSE),"")</f>
        <v/>
      </c>
      <c r="J179" s="55" t="str">
        <f>IF(VLOOKUP(A179,[1]Plan!A$1:N$804,14,FALSE)&lt;&gt;"",VLOOKUP(A179,[1]Plan!A$1:N$804,14,FALSE),IF(VLOOKUP(A179,[1]Plan!A$1:O$804,15,FALSE)&lt;&gt;"",VLOOKUP(A179,[1]Plan!A$1:O$804,15,FALSE),""))</f>
        <v/>
      </c>
      <c r="K179" s="56" t="str">
        <f>IF(VLOOKUP(A179,[1]Plan!A$1:P$804,16,FALSE)&lt;&gt;"",VLOOKUP(A179,[1]Plan!A$1:P$804,16,FALSE),"")</f>
        <v/>
      </c>
      <c r="L179" s="55"/>
      <c r="M179" s="55"/>
      <c r="N179" s="55"/>
      <c r="O179" s="57">
        <f>IF(F179=0,E179,F179)</f>
        <v>0</v>
      </c>
      <c r="P179" s="57" t="b">
        <f>OR(H179="Y",I179="Y")</f>
        <v>0</v>
      </c>
      <c r="Q179" s="58">
        <f>IF(P179,O179*'[1]ETC Data'!$H$3*'[1]ETC Data'!$I$3,0)</f>
        <v>0</v>
      </c>
      <c r="R179" s="58">
        <f>Q179-(Q179*((VLOOKUP(A179,[1]Plan!A$1:Z$804,26,FALSE)/100)))</f>
        <v>0</v>
      </c>
      <c r="S179" s="58">
        <f>IF(P179,O179*'[1]ETC Data'!$H$3*'[1]ETC Data'!$J$3,0)</f>
        <v>0</v>
      </c>
      <c r="T179" s="58">
        <f>S179-(S179*((VLOOKUP(A179,[1]Plan!A$1:AA$804,27,FALSE)/100)))</f>
        <v>0</v>
      </c>
      <c r="U179" s="58">
        <f>IF(P179,O179*'[1]ETC Data'!$H$3*'[1]ETC Data'!$K$3,0)</f>
        <v>0</v>
      </c>
      <c r="V179" s="58">
        <f>U179-(U179*((VLOOKUP(A179,[1]Plan!A$1:AB$804,28,FALSE)/100)))</f>
        <v>0</v>
      </c>
      <c r="W179" s="58">
        <f>IF(P179,O179*'[1]ETC Data'!$H$3*'[1]ETC Data'!$L$3,0)</f>
        <v>0</v>
      </c>
      <c r="X179" s="58">
        <f>W179-(W179*((VLOOKUP(A179,[1]Plan!A$1:AC$804,29,FALSE)/100)))</f>
        <v>0</v>
      </c>
      <c r="Y179" s="59"/>
      <c r="Z179" s="60" t="b">
        <f>OR(H179="Y",J179="Y")</f>
        <v>0</v>
      </c>
      <c r="AA179" s="58">
        <f>IF(Z179,O179*'[1]ETC Data'!$H$4*'[1]ETC Data'!$I$4,0)</f>
        <v>0</v>
      </c>
      <c r="AB179" s="58">
        <f>AA179-(AA179*((VLOOKUP(A179,[1]Plan!A$1:AI$804,35,FALSE)/100)))</f>
        <v>0</v>
      </c>
      <c r="AC179" s="58">
        <f>IF(Z179,O179*'[1]ETC Data'!$H$4*'[1]ETC Data'!$J$4,0)</f>
        <v>0</v>
      </c>
      <c r="AD179" s="58">
        <f>AC179-(AC179*((VLOOKUP(A179,[1]Plan!A$1:AJ$804,36,FALSE)/100)))</f>
        <v>0</v>
      </c>
      <c r="AE179" s="58">
        <f>IF(Z179,O179*'[1]ETC Data'!$H$4*'[1]ETC Data'!$K$4,0)</f>
        <v>0</v>
      </c>
      <c r="AF179" s="58">
        <f>AE179-(AE179*((VLOOKUP(A179,[1]Plan!A$1:AK$804,37,FALSE)/100)))</f>
        <v>0</v>
      </c>
      <c r="AG179" s="58">
        <f>IF(Z179,O179*'[1]ETC Data'!$H$4*'[1]ETC Data'!$L$4,0)</f>
        <v>0</v>
      </c>
      <c r="AH179" s="58">
        <f>AG179-(AG179*((VLOOKUP(A179,[1]Plan!A$1:AP$804,42,FALSE)/100)))</f>
        <v>0</v>
      </c>
      <c r="AI179" s="60"/>
      <c r="AJ179" s="60" t="b">
        <f>OR(H179="Y",K179="Y")</f>
        <v>0</v>
      </c>
      <c r="AK179" s="61">
        <f>IF(AJ179,O179*'[1]ETC Data'!$H$5*'[1]ETC Data'!$I$5,0)</f>
        <v>0</v>
      </c>
      <c r="AL179" s="58">
        <f>AK179-(AK179*((VLOOKUP(A179,[1]Plan!A$1:AY$804,51,FALSE)/100)))</f>
        <v>0</v>
      </c>
      <c r="AM179" s="58">
        <f>IF(AJ179,O179*'[1]ETC Data'!$H$5*'[1]ETC Data'!$J$5,0)</f>
        <v>0</v>
      </c>
      <c r="AN179" s="58">
        <f>AM179-(AM179*((VLOOKUP(A179,[1]Plan!A$1:BA$804,53,FALSE)/100)))</f>
        <v>0</v>
      </c>
      <c r="AO179" s="61">
        <f>IF(AJ179,O179*'[1]ETC Data'!$H$5*'[1]ETC Data'!$K$5,0)</f>
        <v>0</v>
      </c>
      <c r="AP179" s="58">
        <f>AO179-(AO179*((VLOOKUP(A179,[1]Plan!A$1:BB$804,54,FALSE)/100)))</f>
        <v>0</v>
      </c>
      <c r="AQ179" s="58">
        <f>IF(AJ179,O179*'[1]ETC Data'!$H$5*'[1]ETC Data'!$L$5,0)</f>
        <v>0</v>
      </c>
      <c r="AR179" s="58">
        <f>AQ179-(AQ179*((VLOOKUP(A179,[1]Plan!A$1:BD$804,56,FALSE)/100)))</f>
        <v>0</v>
      </c>
      <c r="AS179" s="20">
        <f>VLOOKUP(A179,'[1]PR Matrix'!A:B,2,FALSE)</f>
        <v>0</v>
      </c>
      <c r="AT179" s="21">
        <f>R179+T179+V179+X179+AB179+AD179+AF179+AH179+AL179+AN179+AP179+AR179</f>
        <v>0</v>
      </c>
      <c r="AU179" s="21">
        <f>Q179+S179+U179+W179+AA179+AC179+AE179+AG179+AK179+AM179+AO179+AQ179</f>
        <v>0</v>
      </c>
      <c r="AV179" s="21">
        <f>R179+AB179+AL179</f>
        <v>0</v>
      </c>
      <c r="AW179" s="21">
        <f>T179+AD179+AN179</f>
        <v>0</v>
      </c>
      <c r="AX179" s="21">
        <f>V179+AF179+AP179</f>
        <v>0</v>
      </c>
      <c r="AY179" s="21">
        <f>X179+AH179+AR179</f>
        <v>0</v>
      </c>
    </row>
    <row r="180" spans="1:51" hidden="1" x14ac:dyDescent="0.2">
      <c r="A180" s="50" t="s">
        <v>387</v>
      </c>
      <c r="B180" s="51" t="s">
        <v>208</v>
      </c>
      <c r="C180" s="51"/>
      <c r="D180" s="51"/>
      <c r="E180" s="52">
        <f>IF(G180="Y",VLOOKUP(B180&amp;"|"&amp;C180,'[1]ETC Data'!$C$2:$D$16,2,FALSE),0)</f>
        <v>0</v>
      </c>
      <c r="F180" s="52">
        <f>IF(D180="",0,IF(G180="Y",VLOOKUP(B180&amp;"|"&amp;D180,'[1]ETC Data'!$C$2:$D$16,2,FALSE),0))</f>
        <v>0</v>
      </c>
      <c r="G180" s="53" t="str">
        <f>IF(VLOOKUP(A180,[1]Plan!A$1:H$804,8,FALSE)&lt;&gt;"",VLOOKUP(A180,[1]Plan!A$1:H$804,8,FALSE),"")</f>
        <v>N</v>
      </c>
      <c r="H180" s="54" t="str">
        <f>IF(VLOOKUP(A180,[1]Plan!A$1:L$804,12,FALSE)&lt;&gt;"",VLOOKUP(A180,[1]Plan!A$1:L$804,12,FALSE),"")</f>
        <v/>
      </c>
      <c r="I180" s="55" t="str">
        <f>IF(VLOOKUP(A180,[1]Plan!A$1:M$804,13,FALSE)&lt;&gt;"",VLOOKUP(A180,[1]Plan!A$1:M$804,13,FALSE),"")</f>
        <v/>
      </c>
      <c r="J180" s="55" t="str">
        <f>IF(VLOOKUP(A180,[1]Plan!A$1:N$804,14,FALSE)&lt;&gt;"",VLOOKUP(A180,[1]Plan!A$1:N$804,14,FALSE),IF(VLOOKUP(A180,[1]Plan!A$1:O$804,15,FALSE)&lt;&gt;"",VLOOKUP(A180,[1]Plan!A$1:O$804,15,FALSE),""))</f>
        <v/>
      </c>
      <c r="K180" s="56" t="str">
        <f>IF(VLOOKUP(A180,[1]Plan!A$1:P$804,16,FALSE)&lt;&gt;"",VLOOKUP(A180,[1]Plan!A$1:P$804,16,FALSE),"")</f>
        <v/>
      </c>
      <c r="L180" s="55"/>
      <c r="M180" s="55"/>
      <c r="N180" s="55"/>
      <c r="O180" s="57">
        <f>IF(F180=0,E180,F180)</f>
        <v>0</v>
      </c>
      <c r="P180" s="57" t="b">
        <f>OR(H180="Y",I180="Y")</f>
        <v>0</v>
      </c>
      <c r="Q180" s="58">
        <f>IF(P180,O180*'[1]ETC Data'!$H$3*'[1]ETC Data'!$I$3,0)</f>
        <v>0</v>
      </c>
      <c r="R180" s="58">
        <f>Q180-(Q180*((VLOOKUP(A180,[1]Plan!A$1:Z$804,26,FALSE)/100)))</f>
        <v>0</v>
      </c>
      <c r="S180" s="58">
        <f>IF(P180,O180*'[1]ETC Data'!$H$3*'[1]ETC Data'!$J$3,0)</f>
        <v>0</v>
      </c>
      <c r="T180" s="58">
        <f>S180-(S180*((VLOOKUP(A180,[1]Plan!A$1:AA$804,27,FALSE)/100)))</f>
        <v>0</v>
      </c>
      <c r="U180" s="58">
        <f>IF(P180,O180*'[1]ETC Data'!$H$3*'[1]ETC Data'!$K$3,0)</f>
        <v>0</v>
      </c>
      <c r="V180" s="58">
        <f>U180-(U180*((VLOOKUP(A180,[1]Plan!A$1:AB$804,28,FALSE)/100)))</f>
        <v>0</v>
      </c>
      <c r="W180" s="58">
        <f>IF(P180,O180*'[1]ETC Data'!$H$3*'[1]ETC Data'!$L$3,0)</f>
        <v>0</v>
      </c>
      <c r="X180" s="58">
        <f>W180-(W180*((VLOOKUP(A180,[1]Plan!A$1:AC$804,29,FALSE)/100)))</f>
        <v>0</v>
      </c>
      <c r="Y180" s="59"/>
      <c r="Z180" s="60" t="b">
        <f>OR(H180="Y",J180="Y")</f>
        <v>0</v>
      </c>
      <c r="AA180" s="58">
        <f>IF(Z180,O180*'[1]ETC Data'!$H$4*'[1]ETC Data'!$I$4,0)</f>
        <v>0</v>
      </c>
      <c r="AB180" s="58">
        <f>AA180-(AA180*((VLOOKUP(A180,[1]Plan!A$1:AI$804,35,FALSE)/100)))</f>
        <v>0</v>
      </c>
      <c r="AC180" s="58">
        <f>IF(Z180,O180*'[1]ETC Data'!$H$4*'[1]ETC Data'!$J$4,0)</f>
        <v>0</v>
      </c>
      <c r="AD180" s="58">
        <f>AC180-(AC180*((VLOOKUP(A180,[1]Plan!A$1:AJ$804,36,FALSE)/100)))</f>
        <v>0</v>
      </c>
      <c r="AE180" s="58">
        <f>IF(Z180,O180*'[1]ETC Data'!$H$4*'[1]ETC Data'!$K$4,0)</f>
        <v>0</v>
      </c>
      <c r="AF180" s="58">
        <f>AE180-(AE180*((VLOOKUP(A180,[1]Plan!A$1:AK$804,37,FALSE)/100)))</f>
        <v>0</v>
      </c>
      <c r="AG180" s="58">
        <f>IF(Z180,O180*'[1]ETC Data'!$H$4*'[1]ETC Data'!$L$4,0)</f>
        <v>0</v>
      </c>
      <c r="AH180" s="58">
        <f>AG180-(AG180*((VLOOKUP(A180,[1]Plan!A$1:AP$804,42,FALSE)/100)))</f>
        <v>0</v>
      </c>
      <c r="AI180" s="60"/>
      <c r="AJ180" s="60" t="b">
        <f>OR(H180="Y",K180="Y")</f>
        <v>0</v>
      </c>
      <c r="AK180" s="61">
        <f>IF(AJ180,O180*'[1]ETC Data'!$H$5*'[1]ETC Data'!$I$5,0)</f>
        <v>0</v>
      </c>
      <c r="AL180" s="58">
        <f>AK180-(AK180*((VLOOKUP(A180,[1]Plan!A$1:AY$804,51,FALSE)/100)))</f>
        <v>0</v>
      </c>
      <c r="AM180" s="58">
        <f>IF(AJ180,O180*'[1]ETC Data'!$H$5*'[1]ETC Data'!$J$5,0)</f>
        <v>0</v>
      </c>
      <c r="AN180" s="58">
        <f>AM180-(AM180*((VLOOKUP(A180,[1]Plan!A$1:BA$804,53,FALSE)/100)))</f>
        <v>0</v>
      </c>
      <c r="AO180" s="61">
        <f>IF(AJ180,O180*'[1]ETC Data'!$H$5*'[1]ETC Data'!$K$5,0)</f>
        <v>0</v>
      </c>
      <c r="AP180" s="58">
        <f>AO180-(AO180*((VLOOKUP(A180,[1]Plan!A$1:BB$804,54,FALSE)/100)))</f>
        <v>0</v>
      </c>
      <c r="AQ180" s="58">
        <f>IF(AJ180,O180*'[1]ETC Data'!$H$5*'[1]ETC Data'!$L$5,0)</f>
        <v>0</v>
      </c>
      <c r="AR180" s="58">
        <f>AQ180-(AQ180*((VLOOKUP(A180,[1]Plan!A$1:BD$804,56,FALSE)/100)))</f>
        <v>0</v>
      </c>
      <c r="AS180" s="20">
        <f>VLOOKUP(A180,'[1]PR Matrix'!A:B,2,FALSE)</f>
        <v>0</v>
      </c>
      <c r="AT180" s="21">
        <f>R180+T180+V180+X180+AB180+AD180+AF180+AH180+AL180+AN180+AP180+AR180</f>
        <v>0</v>
      </c>
      <c r="AU180" s="21">
        <f>Q180+S180+U180+W180+AA180+AC180+AE180+AG180+AK180+AM180+AO180+AQ180</f>
        <v>0</v>
      </c>
      <c r="AV180" s="21">
        <f>R180+AB180+AL180</f>
        <v>0</v>
      </c>
      <c r="AW180" s="21">
        <f>T180+AD180+AN180</f>
        <v>0</v>
      </c>
      <c r="AX180" s="21">
        <f>V180+AF180+AP180</f>
        <v>0</v>
      </c>
      <c r="AY180" s="21">
        <f>X180+AH180+AR180</f>
        <v>0</v>
      </c>
    </row>
    <row r="181" spans="1:51" x14ac:dyDescent="0.2">
      <c r="A181" s="50" t="s">
        <v>371</v>
      </c>
      <c r="B181" s="51" t="s">
        <v>209</v>
      </c>
      <c r="C181" s="51" t="s">
        <v>208</v>
      </c>
      <c r="D181" s="51"/>
      <c r="E181" s="63">
        <f>IF(G181="Y",VLOOKUP(B181&amp;"|"&amp;C181,'[1]ETC Data'!$C$2:$D$16,2,FALSE),0)</f>
        <v>45</v>
      </c>
      <c r="F181" s="63">
        <f>IF(D181="",0,IF(G181="Y",VLOOKUP(B181&amp;"|"&amp;D181,'[1]ETC Data'!$C$2:$D$16,2,FALSE),0))</f>
        <v>0</v>
      </c>
      <c r="G181" s="53" t="str">
        <f>IF(VLOOKUP(A181,[1]Plan!A$1:H$804,8,FALSE)&lt;&gt;"",VLOOKUP(A181,[1]Plan!A$1:H$804,8,FALSE),"")</f>
        <v>Y</v>
      </c>
      <c r="H181" s="54" t="str">
        <f>IF(VLOOKUP(A181,[1]Plan!A$1:L$804,12,FALSE)&lt;&gt;"",VLOOKUP(A181,[1]Plan!A$1:L$804,12,FALSE),"")</f>
        <v/>
      </c>
      <c r="I181" s="55" t="str">
        <f>IF(VLOOKUP(A181,[1]Plan!A$1:M$804,13,FALSE)&lt;&gt;"",VLOOKUP(A181,[1]Plan!A$1:M$804,13,FALSE),"")</f>
        <v>Y</v>
      </c>
      <c r="J181" s="55" t="str">
        <f>IF(VLOOKUP(A181,[1]Plan!A$1:N$804,14,FALSE)&lt;&gt;"",VLOOKUP(A181,[1]Plan!A$1:N$804,14,FALSE),IF(VLOOKUP(A181,[1]Plan!A$1:O$804,15,FALSE)&lt;&gt;"",VLOOKUP(A181,[1]Plan!A$1:O$804,15,FALSE),""))</f>
        <v>Y</v>
      </c>
      <c r="K181" s="56" t="str">
        <f>IF(VLOOKUP(A181,[1]Plan!A$1:P$804,16,FALSE)&lt;&gt;"",VLOOKUP(A181,[1]Plan!A$1:P$804,16,FALSE),"")</f>
        <v>Y</v>
      </c>
      <c r="L181" s="55"/>
      <c r="M181" s="55"/>
      <c r="N181" s="55"/>
      <c r="O181" s="57">
        <f>IF(F181=0,E181,F181)</f>
        <v>45</v>
      </c>
      <c r="P181" s="57" t="b">
        <f>OR(H181="Y",I181="Y")</f>
        <v>1</v>
      </c>
      <c r="Q181" s="58">
        <f>IF(P181,O181*'[1]ETC Data'!$H$3*'[1]ETC Data'!$I$3,0)</f>
        <v>8.8719441322725565</v>
      </c>
      <c r="R181" s="58">
        <f>Q181-(Q181*((VLOOKUP(A181,[1]Plan!A$1:Z$804,26,FALSE)/100)))</f>
        <v>0</v>
      </c>
      <c r="S181" s="58">
        <f>IF(P181,O181*'[1]ETC Data'!$H$3*'[1]ETC Data'!$J$3,0)</f>
        <v>2.1292665917454134</v>
      </c>
      <c r="T181" s="58">
        <f>S181-(S181*((VLOOKUP(A181,[1]Plan!A$1:AA$804,27,FALSE)/100)))</f>
        <v>0</v>
      </c>
      <c r="U181" s="58">
        <f>IF(P181,O181*'[1]ETC Data'!$H$3*'[1]ETC Data'!$K$3,0)</f>
        <v>0.59146294215150375</v>
      </c>
      <c r="V181" s="58">
        <f>U181-(U181*((VLOOKUP(A181,[1]Plan!A$1:AB$804,28,FALSE)/100)))</f>
        <v>0</v>
      </c>
      <c r="W181" s="58">
        <f>IF(P181,O181*'[1]ETC Data'!$H$3*'[1]ETC Data'!$L$3,0)</f>
        <v>0.23658517686060151</v>
      </c>
      <c r="X181" s="58">
        <f>W181-(W181*((VLOOKUP(A181,[1]Plan!A$1:AC$804,29,FALSE)/100)))</f>
        <v>0</v>
      </c>
      <c r="Y181" s="59"/>
      <c r="Z181" s="60" t="b">
        <f>OR(H181="Y",J181="Y")</f>
        <v>1</v>
      </c>
      <c r="AA181" s="58">
        <f>IF(Z181,O181*'[1]ETC Data'!$H$4*'[1]ETC Data'!$I$4,0)</f>
        <v>10.980559026532282</v>
      </c>
      <c r="AB181" s="58">
        <f>AA181-(AA181*((VLOOKUP(A181,[1]Plan!A$1:AI$804,35,FALSE)/100)))</f>
        <v>0</v>
      </c>
      <c r="AC181" s="58">
        <f>IF(Z181,O181*'[1]ETC Data'!$H$4*'[1]ETC Data'!$J$4,0)</f>
        <v>5.4902795132661408</v>
      </c>
      <c r="AD181" s="58">
        <f>AC181-(AC181*((VLOOKUP(A181,[1]Plan!A$1:AJ$804,36,FALSE)/100)))</f>
        <v>0</v>
      </c>
      <c r="AE181" s="58">
        <f>IF(Z181,O181*'[1]ETC Data'!$H$4*'[1]ETC Data'!$K$4,0)</f>
        <v>3.9530012495516211</v>
      </c>
      <c r="AF181" s="58">
        <f>AE181-(AE181*((VLOOKUP(A181,[1]Plan!A$1:AK$804,37,FALSE)/100)))</f>
        <v>0</v>
      </c>
      <c r="AG181" s="58">
        <f>IF(Z181,O181*'[1]ETC Data'!$H$4*'[1]ETC Data'!$L$4,0)</f>
        <v>1.5372782637145195</v>
      </c>
      <c r="AH181" s="58">
        <f>AG181-(AG181*((VLOOKUP(A181,[1]Plan!A$1:AP$804,42,FALSE)/100)))</f>
        <v>0</v>
      </c>
      <c r="AI181" s="60"/>
      <c r="AJ181" s="60" t="b">
        <f>OR(H181="Y",K181="Y")</f>
        <v>1</v>
      </c>
      <c r="AK181" s="61">
        <f>IF(AJ181,O181*'[1]ETC Data'!$H$5*'[1]ETC Data'!$I$5,0)</f>
        <v>5.6048115519526798</v>
      </c>
      <c r="AL181" s="58">
        <f>AK181-(AK181*((VLOOKUP(A181,[1]Plan!A$1:AY$804,51,FALSE)/100)))</f>
        <v>0</v>
      </c>
      <c r="AM181" s="58">
        <f>IF(AJ181,O181*'[1]ETC Data'!$H$5*'[1]ETC Data'!$J$5,0)</f>
        <v>2.8024057759763399</v>
      </c>
      <c r="AN181" s="58">
        <f>AM181-(AM181*((VLOOKUP(A181,[1]Plan!A$1:BA$804,53,FALSE)/100)))</f>
        <v>0</v>
      </c>
      <c r="AO181" s="61">
        <f>IF(AJ181,O181*'[1]ETC Data'!$H$5*'[1]ETC Data'!$K$5,0)</f>
        <v>2.0177321587029646</v>
      </c>
      <c r="AP181" s="58">
        <f>AO181-(AO181*((VLOOKUP(A181,[1]Plan!A$1:BB$804,54,FALSE)/100)))</f>
        <v>0</v>
      </c>
      <c r="AQ181" s="58">
        <f>IF(AJ181,O181*'[1]ETC Data'!$H$5*'[1]ETC Data'!$L$5,0)</f>
        <v>0.78467361727337526</v>
      </c>
      <c r="AR181" s="58">
        <f>AQ181-(AQ181*((VLOOKUP(A181,[1]Plan!A$1:BD$804,56,FALSE)/100)))</f>
        <v>0</v>
      </c>
      <c r="AS181" s="20">
        <f>VLOOKUP(A181,'[1]PR Matrix'!A:B,2,FALSE)</f>
        <v>6247</v>
      </c>
      <c r="AT181" s="21">
        <f>R181+T181+V181+X181+AB181+AD181+AF181+AH181+AL181+AN181+AP181+AR181</f>
        <v>0</v>
      </c>
      <c r="AU181" s="21">
        <f>Q181+S181+U181+W181+AA181+AC181+AE181+AG181+AK181+AM181+AO181+AQ181</f>
        <v>44.999999999999993</v>
      </c>
      <c r="AV181" s="21">
        <f>R181+AB181+AL181</f>
        <v>0</v>
      </c>
      <c r="AW181" s="21">
        <f>T181+AD181+AN181</f>
        <v>0</v>
      </c>
      <c r="AX181" s="21">
        <f>V181+AF181+AP181</f>
        <v>0</v>
      </c>
      <c r="AY181" s="21">
        <f>X181+AH181+AR181</f>
        <v>0</v>
      </c>
    </row>
    <row r="182" spans="1:51" hidden="1" x14ac:dyDescent="0.2">
      <c r="A182" s="50" t="s">
        <v>389</v>
      </c>
      <c r="B182" s="51" t="s">
        <v>208</v>
      </c>
      <c r="C182" s="51"/>
      <c r="D182" s="51"/>
      <c r="E182" s="52">
        <f>IF(G182="Y",VLOOKUP(B182&amp;"|"&amp;C182,'[1]ETC Data'!$C$2:$D$16,2,FALSE),0)</f>
        <v>0</v>
      </c>
      <c r="F182" s="52">
        <f>IF(D182="",0,IF(G182="Y",VLOOKUP(B182&amp;"|"&amp;D182,'[1]ETC Data'!$C$2:$D$16,2,FALSE),0))</f>
        <v>0</v>
      </c>
      <c r="G182" s="53" t="str">
        <f>IF(VLOOKUP(A182,[1]Plan!A$1:H$804,8,FALSE)&lt;&gt;"",VLOOKUP(A182,[1]Plan!A$1:H$804,8,FALSE),"")</f>
        <v>N</v>
      </c>
      <c r="H182" s="54" t="str">
        <f>IF(VLOOKUP(A182,[1]Plan!A$1:L$804,12,FALSE)&lt;&gt;"",VLOOKUP(A182,[1]Plan!A$1:L$804,12,FALSE),"")</f>
        <v/>
      </c>
      <c r="I182" s="55" t="str">
        <f>IF(VLOOKUP(A182,[1]Plan!A$1:M$804,13,FALSE)&lt;&gt;"",VLOOKUP(A182,[1]Plan!A$1:M$804,13,FALSE),"")</f>
        <v/>
      </c>
      <c r="J182" s="55" t="str">
        <f>IF(VLOOKUP(A182,[1]Plan!A$1:N$804,14,FALSE)&lt;&gt;"",VLOOKUP(A182,[1]Plan!A$1:N$804,14,FALSE),IF(VLOOKUP(A182,[1]Plan!A$1:O$804,15,FALSE)&lt;&gt;"",VLOOKUP(A182,[1]Plan!A$1:O$804,15,FALSE),""))</f>
        <v/>
      </c>
      <c r="K182" s="56" t="str">
        <f>IF(VLOOKUP(A182,[1]Plan!A$1:P$804,16,FALSE)&lt;&gt;"",VLOOKUP(A182,[1]Plan!A$1:P$804,16,FALSE),"")</f>
        <v/>
      </c>
      <c r="L182" s="55"/>
      <c r="M182" s="55"/>
      <c r="N182" s="55"/>
      <c r="O182" s="57">
        <f>IF(F182=0,E182,F182)</f>
        <v>0</v>
      </c>
      <c r="P182" s="57" t="b">
        <f>OR(H182="Y",I182="Y")</f>
        <v>0</v>
      </c>
      <c r="Q182" s="58">
        <f>IF(P182,O182*'[1]ETC Data'!$H$3*'[1]ETC Data'!$I$3,0)</f>
        <v>0</v>
      </c>
      <c r="R182" s="58">
        <f>Q182-(Q182*((VLOOKUP(A182,[1]Plan!A$1:Z$804,26,FALSE)/100)))</f>
        <v>0</v>
      </c>
      <c r="S182" s="58">
        <f>IF(P182,O182*'[1]ETC Data'!$H$3*'[1]ETC Data'!$J$3,0)</f>
        <v>0</v>
      </c>
      <c r="T182" s="58">
        <f>S182-(S182*((VLOOKUP(A182,[1]Plan!A$1:AA$804,27,FALSE)/100)))</f>
        <v>0</v>
      </c>
      <c r="U182" s="58">
        <f>IF(P182,O182*'[1]ETC Data'!$H$3*'[1]ETC Data'!$K$3,0)</f>
        <v>0</v>
      </c>
      <c r="V182" s="58">
        <f>U182-(U182*((VLOOKUP(A182,[1]Plan!A$1:AB$804,28,FALSE)/100)))</f>
        <v>0</v>
      </c>
      <c r="W182" s="58">
        <f>IF(P182,O182*'[1]ETC Data'!$H$3*'[1]ETC Data'!$L$3,0)</f>
        <v>0</v>
      </c>
      <c r="X182" s="58">
        <f>W182-(W182*((VLOOKUP(A182,[1]Plan!A$1:AC$804,29,FALSE)/100)))</f>
        <v>0</v>
      </c>
      <c r="Y182" s="59"/>
      <c r="Z182" s="60" t="b">
        <f>OR(H182="Y",J182="Y")</f>
        <v>0</v>
      </c>
      <c r="AA182" s="58">
        <f>IF(Z182,O182*'[1]ETC Data'!$H$4*'[1]ETC Data'!$I$4,0)</f>
        <v>0</v>
      </c>
      <c r="AB182" s="58">
        <f>AA182-(AA182*((VLOOKUP(A182,[1]Plan!A$1:AI$804,35,FALSE)/100)))</f>
        <v>0</v>
      </c>
      <c r="AC182" s="58">
        <f>IF(Z182,O182*'[1]ETC Data'!$H$4*'[1]ETC Data'!$J$4,0)</f>
        <v>0</v>
      </c>
      <c r="AD182" s="58">
        <f>AC182-(AC182*((VLOOKUP(A182,[1]Plan!A$1:AJ$804,36,FALSE)/100)))</f>
        <v>0</v>
      </c>
      <c r="AE182" s="58">
        <f>IF(Z182,O182*'[1]ETC Data'!$H$4*'[1]ETC Data'!$K$4,0)</f>
        <v>0</v>
      </c>
      <c r="AF182" s="58">
        <f>AE182-(AE182*((VLOOKUP(A182,[1]Plan!A$1:AK$804,37,FALSE)/100)))</f>
        <v>0</v>
      </c>
      <c r="AG182" s="58">
        <f>IF(Z182,O182*'[1]ETC Data'!$H$4*'[1]ETC Data'!$L$4,0)</f>
        <v>0</v>
      </c>
      <c r="AH182" s="58">
        <f>AG182-(AG182*((VLOOKUP(A182,[1]Plan!A$1:AP$804,42,FALSE)/100)))</f>
        <v>0</v>
      </c>
      <c r="AI182" s="60"/>
      <c r="AJ182" s="60" t="b">
        <f>OR(H182="Y",K182="Y")</f>
        <v>0</v>
      </c>
      <c r="AK182" s="61">
        <f>IF(AJ182,O182*'[1]ETC Data'!$H$5*'[1]ETC Data'!$I$5,0)</f>
        <v>0</v>
      </c>
      <c r="AL182" s="58">
        <f>AK182-(AK182*((VLOOKUP(A182,[1]Plan!A$1:AY$804,51,FALSE)/100)))</f>
        <v>0</v>
      </c>
      <c r="AM182" s="58">
        <f>IF(AJ182,O182*'[1]ETC Data'!$H$5*'[1]ETC Data'!$J$5,0)</f>
        <v>0</v>
      </c>
      <c r="AN182" s="58">
        <f>AM182-(AM182*((VLOOKUP(A182,[1]Plan!A$1:BA$804,53,FALSE)/100)))</f>
        <v>0</v>
      </c>
      <c r="AO182" s="61">
        <f>IF(AJ182,O182*'[1]ETC Data'!$H$5*'[1]ETC Data'!$K$5,0)</f>
        <v>0</v>
      </c>
      <c r="AP182" s="58">
        <f>AO182-(AO182*((VLOOKUP(A182,[1]Plan!A$1:BB$804,54,FALSE)/100)))</f>
        <v>0</v>
      </c>
      <c r="AQ182" s="58">
        <f>IF(AJ182,O182*'[1]ETC Data'!$H$5*'[1]ETC Data'!$L$5,0)</f>
        <v>0</v>
      </c>
      <c r="AR182" s="58">
        <f>AQ182-(AQ182*((VLOOKUP(A182,[1]Plan!A$1:BD$804,56,FALSE)/100)))</f>
        <v>0</v>
      </c>
      <c r="AS182" s="20">
        <f>VLOOKUP(A182,'[1]PR Matrix'!A:B,2,FALSE)</f>
        <v>0</v>
      </c>
      <c r="AT182" s="21">
        <f>R182+T182+V182+X182+AB182+AD182+AF182+AH182+AL182+AN182+AP182+AR182</f>
        <v>0</v>
      </c>
      <c r="AU182" s="21">
        <f>Q182+S182+U182+W182+AA182+AC182+AE182+AG182+AK182+AM182+AO182+AQ182</f>
        <v>0</v>
      </c>
      <c r="AV182" s="21">
        <f>R182+AB182+AL182</f>
        <v>0</v>
      </c>
      <c r="AW182" s="21">
        <f>T182+AD182+AN182</f>
        <v>0</v>
      </c>
      <c r="AX182" s="21">
        <f>V182+AF182+AP182</f>
        <v>0</v>
      </c>
      <c r="AY182" s="21">
        <f>X182+AH182+AR182</f>
        <v>0</v>
      </c>
    </row>
    <row r="183" spans="1:51" hidden="1" x14ac:dyDescent="0.2">
      <c r="A183" s="50" t="s">
        <v>390</v>
      </c>
      <c r="B183" s="51" t="s">
        <v>208</v>
      </c>
      <c r="C183" s="51"/>
      <c r="D183" s="51"/>
      <c r="E183" s="52">
        <f>IF(G183="Y",VLOOKUP(B183&amp;"|"&amp;C183,'[1]ETC Data'!$C$2:$D$16,2,FALSE),0)</f>
        <v>0</v>
      </c>
      <c r="F183" s="52">
        <f>IF(D183="",0,IF(G183="Y",VLOOKUP(B183&amp;"|"&amp;D183,'[1]ETC Data'!$C$2:$D$16,2,FALSE),0))</f>
        <v>0</v>
      </c>
      <c r="G183" s="53" t="str">
        <f>IF(VLOOKUP(A183,[1]Plan!A$1:H$804,8,FALSE)&lt;&gt;"",VLOOKUP(A183,[1]Plan!A$1:H$804,8,FALSE),"")</f>
        <v>N</v>
      </c>
      <c r="H183" s="54" t="str">
        <f>IF(VLOOKUP(A183,[1]Plan!A$1:L$804,12,FALSE)&lt;&gt;"",VLOOKUP(A183,[1]Plan!A$1:L$804,12,FALSE),"")</f>
        <v/>
      </c>
      <c r="I183" s="55" t="str">
        <f>IF(VLOOKUP(A183,[1]Plan!A$1:M$804,13,FALSE)&lt;&gt;"",VLOOKUP(A183,[1]Plan!A$1:M$804,13,FALSE),"")</f>
        <v/>
      </c>
      <c r="J183" s="55" t="str">
        <f>IF(VLOOKUP(A183,[1]Plan!A$1:N$804,14,FALSE)&lt;&gt;"",VLOOKUP(A183,[1]Plan!A$1:N$804,14,FALSE),IF(VLOOKUP(A183,[1]Plan!A$1:O$804,15,FALSE)&lt;&gt;"",VLOOKUP(A183,[1]Plan!A$1:O$804,15,FALSE),""))</f>
        <v/>
      </c>
      <c r="K183" s="56" t="str">
        <f>IF(VLOOKUP(A183,[1]Plan!A$1:P$804,16,FALSE)&lt;&gt;"",VLOOKUP(A183,[1]Plan!A$1:P$804,16,FALSE),"")</f>
        <v/>
      </c>
      <c r="L183" s="55"/>
      <c r="M183" s="55"/>
      <c r="N183" s="55"/>
      <c r="O183" s="57">
        <f>IF(F183=0,E183,F183)</f>
        <v>0</v>
      </c>
      <c r="P183" s="57" t="b">
        <f>OR(H183="Y",I183="Y")</f>
        <v>0</v>
      </c>
      <c r="Q183" s="58">
        <f>IF(P183,O183*'[1]ETC Data'!$H$3*'[1]ETC Data'!$I$3,0)</f>
        <v>0</v>
      </c>
      <c r="R183" s="58">
        <f>Q183-(Q183*((VLOOKUP(A183,[1]Plan!A$1:Z$804,26,FALSE)/100)))</f>
        <v>0</v>
      </c>
      <c r="S183" s="58">
        <f>IF(P183,O183*'[1]ETC Data'!$H$3*'[1]ETC Data'!$J$3,0)</f>
        <v>0</v>
      </c>
      <c r="T183" s="58">
        <f>S183-(S183*((VLOOKUP(A183,[1]Plan!A$1:AA$804,27,FALSE)/100)))</f>
        <v>0</v>
      </c>
      <c r="U183" s="58">
        <f>IF(P183,O183*'[1]ETC Data'!$H$3*'[1]ETC Data'!$K$3,0)</f>
        <v>0</v>
      </c>
      <c r="V183" s="58">
        <f>U183-(U183*((VLOOKUP(A183,[1]Plan!A$1:AB$804,28,FALSE)/100)))</f>
        <v>0</v>
      </c>
      <c r="W183" s="58">
        <f>IF(P183,O183*'[1]ETC Data'!$H$3*'[1]ETC Data'!$L$3,0)</f>
        <v>0</v>
      </c>
      <c r="X183" s="58">
        <f>W183-(W183*((VLOOKUP(A183,[1]Plan!A$1:AC$804,29,FALSE)/100)))</f>
        <v>0</v>
      </c>
      <c r="Y183" s="59"/>
      <c r="Z183" s="60" t="b">
        <f>OR(H183="Y",J183="Y")</f>
        <v>0</v>
      </c>
      <c r="AA183" s="58">
        <f>IF(Z183,O183*'[1]ETC Data'!$H$4*'[1]ETC Data'!$I$4,0)</f>
        <v>0</v>
      </c>
      <c r="AB183" s="58">
        <f>AA183-(AA183*((VLOOKUP(A183,[1]Plan!A$1:AI$804,35,FALSE)/100)))</f>
        <v>0</v>
      </c>
      <c r="AC183" s="58">
        <f>IF(Z183,O183*'[1]ETC Data'!$H$4*'[1]ETC Data'!$J$4,0)</f>
        <v>0</v>
      </c>
      <c r="AD183" s="58">
        <f>AC183-(AC183*((VLOOKUP(A183,[1]Plan!A$1:AJ$804,36,FALSE)/100)))</f>
        <v>0</v>
      </c>
      <c r="AE183" s="58">
        <f>IF(Z183,O183*'[1]ETC Data'!$H$4*'[1]ETC Data'!$K$4,0)</f>
        <v>0</v>
      </c>
      <c r="AF183" s="58">
        <f>AE183-(AE183*((VLOOKUP(A183,[1]Plan!A$1:AK$804,37,FALSE)/100)))</f>
        <v>0</v>
      </c>
      <c r="AG183" s="58">
        <f>IF(Z183,O183*'[1]ETC Data'!$H$4*'[1]ETC Data'!$L$4,0)</f>
        <v>0</v>
      </c>
      <c r="AH183" s="58">
        <f>AG183-(AG183*((VLOOKUP(A183,[1]Plan!A$1:AP$804,42,FALSE)/100)))</f>
        <v>0</v>
      </c>
      <c r="AI183" s="60"/>
      <c r="AJ183" s="60" t="b">
        <f>OR(H183="Y",K183="Y")</f>
        <v>0</v>
      </c>
      <c r="AK183" s="61">
        <f>IF(AJ183,O183*'[1]ETC Data'!$H$5*'[1]ETC Data'!$I$5,0)</f>
        <v>0</v>
      </c>
      <c r="AL183" s="58">
        <f>AK183-(AK183*((VLOOKUP(A183,[1]Plan!A$1:AY$804,51,FALSE)/100)))</f>
        <v>0</v>
      </c>
      <c r="AM183" s="58">
        <f>IF(AJ183,O183*'[1]ETC Data'!$H$5*'[1]ETC Data'!$J$5,0)</f>
        <v>0</v>
      </c>
      <c r="AN183" s="58">
        <f>AM183-(AM183*((VLOOKUP(A183,[1]Plan!A$1:BA$804,53,FALSE)/100)))</f>
        <v>0</v>
      </c>
      <c r="AO183" s="61">
        <f>IF(AJ183,O183*'[1]ETC Data'!$H$5*'[1]ETC Data'!$K$5,0)</f>
        <v>0</v>
      </c>
      <c r="AP183" s="58">
        <f>AO183-(AO183*((VLOOKUP(A183,[1]Plan!A$1:BB$804,54,FALSE)/100)))</f>
        <v>0</v>
      </c>
      <c r="AQ183" s="58">
        <f>IF(AJ183,O183*'[1]ETC Data'!$H$5*'[1]ETC Data'!$L$5,0)</f>
        <v>0</v>
      </c>
      <c r="AR183" s="58">
        <f>AQ183-(AQ183*((VLOOKUP(A183,[1]Plan!A$1:BD$804,56,FALSE)/100)))</f>
        <v>0</v>
      </c>
      <c r="AS183" s="20">
        <f>VLOOKUP(A183,'[1]PR Matrix'!A:B,2,FALSE)</f>
        <v>0</v>
      </c>
      <c r="AT183" s="21">
        <f>R183+T183+V183+X183+AB183+AD183+AF183+AH183+AL183+AN183+AP183+AR183</f>
        <v>0</v>
      </c>
      <c r="AU183" s="21">
        <f>Q183+S183+U183+W183+AA183+AC183+AE183+AG183+AK183+AM183+AO183+AQ183</f>
        <v>0</v>
      </c>
      <c r="AV183" s="21">
        <f>R183+AB183+AL183</f>
        <v>0</v>
      </c>
      <c r="AW183" s="21">
        <f>T183+AD183+AN183</f>
        <v>0</v>
      </c>
      <c r="AX183" s="21">
        <f>V183+AF183+AP183</f>
        <v>0</v>
      </c>
      <c r="AY183" s="21">
        <f>X183+AH183+AR183</f>
        <v>0</v>
      </c>
    </row>
    <row r="184" spans="1:51" hidden="1" x14ac:dyDescent="0.2">
      <c r="A184" s="50" t="s">
        <v>391</v>
      </c>
      <c r="B184" s="51" t="s">
        <v>208</v>
      </c>
      <c r="C184" s="51"/>
      <c r="D184" s="51"/>
      <c r="E184" s="52">
        <f>IF(G184="Y",VLOOKUP(B184&amp;"|"&amp;C184,'[1]ETC Data'!$C$2:$D$16,2,FALSE),0)</f>
        <v>0</v>
      </c>
      <c r="F184" s="52">
        <f>IF(D184="",0,IF(G184="Y",VLOOKUP(B184&amp;"|"&amp;D184,'[1]ETC Data'!$C$2:$D$16,2,FALSE),0))</f>
        <v>0</v>
      </c>
      <c r="G184" s="53" t="str">
        <f>IF(VLOOKUP(A184,[1]Plan!A$1:H$804,8,FALSE)&lt;&gt;"",VLOOKUP(A184,[1]Plan!A$1:H$804,8,FALSE),"")</f>
        <v>N</v>
      </c>
      <c r="H184" s="54" t="str">
        <f>IF(VLOOKUP(A184,[1]Plan!A$1:L$804,12,FALSE)&lt;&gt;"",VLOOKUP(A184,[1]Plan!A$1:L$804,12,FALSE),"")</f>
        <v/>
      </c>
      <c r="I184" s="55" t="str">
        <f>IF(VLOOKUP(A184,[1]Plan!A$1:M$804,13,FALSE)&lt;&gt;"",VLOOKUP(A184,[1]Plan!A$1:M$804,13,FALSE),"")</f>
        <v/>
      </c>
      <c r="J184" s="55" t="str">
        <f>IF(VLOOKUP(A184,[1]Plan!A$1:N$804,14,FALSE)&lt;&gt;"",VLOOKUP(A184,[1]Plan!A$1:N$804,14,FALSE),IF(VLOOKUP(A184,[1]Plan!A$1:O$804,15,FALSE)&lt;&gt;"",VLOOKUP(A184,[1]Plan!A$1:O$804,15,FALSE),""))</f>
        <v/>
      </c>
      <c r="K184" s="56" t="str">
        <f>IF(VLOOKUP(A184,[1]Plan!A$1:P$804,16,FALSE)&lt;&gt;"",VLOOKUP(A184,[1]Plan!A$1:P$804,16,FALSE),"")</f>
        <v/>
      </c>
      <c r="L184" s="55"/>
      <c r="M184" s="55"/>
      <c r="N184" s="55"/>
      <c r="O184" s="57">
        <f>IF(F184=0,E184,F184)</f>
        <v>0</v>
      </c>
      <c r="P184" s="57" t="b">
        <f>OR(H184="Y",I184="Y")</f>
        <v>0</v>
      </c>
      <c r="Q184" s="58">
        <f>IF(P184,O184*'[1]ETC Data'!$H$3*'[1]ETC Data'!$I$3,0)</f>
        <v>0</v>
      </c>
      <c r="R184" s="58">
        <f>Q184-(Q184*((VLOOKUP(A184,[1]Plan!A$1:Z$804,26,FALSE)/100)))</f>
        <v>0</v>
      </c>
      <c r="S184" s="58">
        <f>IF(P184,O184*'[1]ETC Data'!$H$3*'[1]ETC Data'!$J$3,0)</f>
        <v>0</v>
      </c>
      <c r="T184" s="58">
        <f>S184-(S184*((VLOOKUP(A184,[1]Plan!A$1:AA$804,27,FALSE)/100)))</f>
        <v>0</v>
      </c>
      <c r="U184" s="58">
        <f>IF(P184,O184*'[1]ETC Data'!$H$3*'[1]ETC Data'!$K$3,0)</f>
        <v>0</v>
      </c>
      <c r="V184" s="58">
        <f>U184-(U184*((VLOOKUP(A184,[1]Plan!A$1:AB$804,28,FALSE)/100)))</f>
        <v>0</v>
      </c>
      <c r="W184" s="58">
        <f>IF(P184,O184*'[1]ETC Data'!$H$3*'[1]ETC Data'!$L$3,0)</f>
        <v>0</v>
      </c>
      <c r="X184" s="58">
        <f>W184-(W184*((VLOOKUP(A184,[1]Plan!A$1:AC$804,29,FALSE)/100)))</f>
        <v>0</v>
      </c>
      <c r="Y184" s="59"/>
      <c r="Z184" s="60" t="b">
        <f>OR(H184="Y",J184="Y")</f>
        <v>0</v>
      </c>
      <c r="AA184" s="58">
        <f>IF(Z184,O184*'[1]ETC Data'!$H$4*'[1]ETC Data'!$I$4,0)</f>
        <v>0</v>
      </c>
      <c r="AB184" s="58">
        <f>AA184-(AA184*((VLOOKUP(A184,[1]Plan!A$1:AI$804,35,FALSE)/100)))</f>
        <v>0</v>
      </c>
      <c r="AC184" s="58">
        <f>IF(Z184,O184*'[1]ETC Data'!$H$4*'[1]ETC Data'!$J$4,0)</f>
        <v>0</v>
      </c>
      <c r="AD184" s="58">
        <f>AC184-(AC184*((VLOOKUP(A184,[1]Plan!A$1:AJ$804,36,FALSE)/100)))</f>
        <v>0</v>
      </c>
      <c r="AE184" s="58">
        <f>IF(Z184,O184*'[1]ETC Data'!$H$4*'[1]ETC Data'!$K$4,0)</f>
        <v>0</v>
      </c>
      <c r="AF184" s="58">
        <f>AE184-(AE184*((VLOOKUP(A184,[1]Plan!A$1:AK$804,37,FALSE)/100)))</f>
        <v>0</v>
      </c>
      <c r="AG184" s="58">
        <f>IF(Z184,O184*'[1]ETC Data'!$H$4*'[1]ETC Data'!$L$4,0)</f>
        <v>0</v>
      </c>
      <c r="AH184" s="58">
        <f>AG184-(AG184*((VLOOKUP(A184,[1]Plan!A$1:AP$804,42,FALSE)/100)))</f>
        <v>0</v>
      </c>
      <c r="AI184" s="60"/>
      <c r="AJ184" s="60" t="b">
        <f>OR(H184="Y",K184="Y")</f>
        <v>0</v>
      </c>
      <c r="AK184" s="61">
        <f>IF(AJ184,O184*'[1]ETC Data'!$H$5*'[1]ETC Data'!$I$5,0)</f>
        <v>0</v>
      </c>
      <c r="AL184" s="58">
        <f>AK184-(AK184*((VLOOKUP(A184,[1]Plan!A$1:AY$804,51,FALSE)/100)))</f>
        <v>0</v>
      </c>
      <c r="AM184" s="58">
        <f>IF(AJ184,O184*'[1]ETC Data'!$H$5*'[1]ETC Data'!$J$5,0)</f>
        <v>0</v>
      </c>
      <c r="AN184" s="58">
        <f>AM184-(AM184*((VLOOKUP(A184,[1]Plan!A$1:BA$804,53,FALSE)/100)))</f>
        <v>0</v>
      </c>
      <c r="AO184" s="61">
        <f>IF(AJ184,O184*'[1]ETC Data'!$H$5*'[1]ETC Data'!$K$5,0)</f>
        <v>0</v>
      </c>
      <c r="AP184" s="58">
        <f>AO184-(AO184*((VLOOKUP(A184,[1]Plan!A$1:BB$804,54,FALSE)/100)))</f>
        <v>0</v>
      </c>
      <c r="AQ184" s="58">
        <f>IF(AJ184,O184*'[1]ETC Data'!$H$5*'[1]ETC Data'!$L$5,0)</f>
        <v>0</v>
      </c>
      <c r="AR184" s="58">
        <f>AQ184-(AQ184*((VLOOKUP(A184,[1]Plan!A$1:BD$804,56,FALSE)/100)))</f>
        <v>0</v>
      </c>
      <c r="AS184" s="20">
        <f>VLOOKUP(A184,'[1]PR Matrix'!A:B,2,FALSE)</f>
        <v>0</v>
      </c>
      <c r="AT184" s="21">
        <f>R184+T184+V184+X184+AB184+AD184+AF184+AH184+AL184+AN184+AP184+AR184</f>
        <v>0</v>
      </c>
      <c r="AU184" s="21">
        <f>Q184+S184+U184+W184+AA184+AC184+AE184+AG184+AK184+AM184+AO184+AQ184</f>
        <v>0</v>
      </c>
      <c r="AV184" s="21">
        <f>R184+AB184+AL184</f>
        <v>0</v>
      </c>
      <c r="AW184" s="21">
        <f>T184+AD184+AN184</f>
        <v>0</v>
      </c>
      <c r="AX184" s="21">
        <f>V184+AF184+AP184</f>
        <v>0</v>
      </c>
      <c r="AY184" s="21">
        <f>X184+AH184+AR184</f>
        <v>0</v>
      </c>
    </row>
    <row r="185" spans="1:51" hidden="1" x14ac:dyDescent="0.2">
      <c r="A185" s="50" t="s">
        <v>392</v>
      </c>
      <c r="B185" s="51" t="s">
        <v>208</v>
      </c>
      <c r="C185" s="51"/>
      <c r="D185" s="51"/>
      <c r="E185" s="52">
        <f>IF(G185="Y",VLOOKUP(B185&amp;"|"&amp;C185,'[1]ETC Data'!$C$2:$D$16,2,FALSE),0)</f>
        <v>0</v>
      </c>
      <c r="F185" s="52">
        <f>IF(D185="",0,IF(G185="Y",VLOOKUP(B185&amp;"|"&amp;D185,'[1]ETC Data'!$C$2:$D$16,2,FALSE),0))</f>
        <v>0</v>
      </c>
      <c r="G185" s="53" t="str">
        <f>IF(VLOOKUP(A185,[1]Plan!A$1:H$804,8,FALSE)&lt;&gt;"",VLOOKUP(A185,[1]Plan!A$1:H$804,8,FALSE),"")</f>
        <v>N</v>
      </c>
      <c r="H185" s="54" t="str">
        <f>IF(VLOOKUP(A185,[1]Plan!A$1:L$804,12,FALSE)&lt;&gt;"",VLOOKUP(A185,[1]Plan!A$1:L$804,12,FALSE),"")</f>
        <v/>
      </c>
      <c r="I185" s="55" t="str">
        <f>IF(VLOOKUP(A185,[1]Plan!A$1:M$804,13,FALSE)&lt;&gt;"",VLOOKUP(A185,[1]Plan!A$1:M$804,13,FALSE),"")</f>
        <v/>
      </c>
      <c r="J185" s="55" t="str">
        <f>IF(VLOOKUP(A185,[1]Plan!A$1:N$804,14,FALSE)&lt;&gt;"",VLOOKUP(A185,[1]Plan!A$1:N$804,14,FALSE),IF(VLOOKUP(A185,[1]Plan!A$1:O$804,15,FALSE)&lt;&gt;"",VLOOKUP(A185,[1]Plan!A$1:O$804,15,FALSE),""))</f>
        <v/>
      </c>
      <c r="K185" s="56" t="str">
        <f>IF(VLOOKUP(A185,[1]Plan!A$1:P$804,16,FALSE)&lt;&gt;"",VLOOKUP(A185,[1]Plan!A$1:P$804,16,FALSE),"")</f>
        <v/>
      </c>
      <c r="L185" s="55"/>
      <c r="M185" s="55"/>
      <c r="N185" s="55"/>
      <c r="O185" s="57">
        <f>IF(F185=0,E185,F185)</f>
        <v>0</v>
      </c>
      <c r="P185" s="57" t="b">
        <f>OR(H185="Y",I185="Y")</f>
        <v>0</v>
      </c>
      <c r="Q185" s="58">
        <f>IF(P185,O185*'[1]ETC Data'!$H$3*'[1]ETC Data'!$I$3,0)</f>
        <v>0</v>
      </c>
      <c r="R185" s="58">
        <f>Q185-(Q185*((VLOOKUP(A185,[1]Plan!A$1:Z$804,26,FALSE)/100)))</f>
        <v>0</v>
      </c>
      <c r="S185" s="58">
        <f>IF(P185,O185*'[1]ETC Data'!$H$3*'[1]ETC Data'!$J$3,0)</f>
        <v>0</v>
      </c>
      <c r="T185" s="58">
        <f>S185-(S185*((VLOOKUP(A185,[1]Plan!A$1:AA$804,27,FALSE)/100)))</f>
        <v>0</v>
      </c>
      <c r="U185" s="58">
        <f>IF(P185,O185*'[1]ETC Data'!$H$3*'[1]ETC Data'!$K$3,0)</f>
        <v>0</v>
      </c>
      <c r="V185" s="58">
        <f>U185-(U185*((VLOOKUP(A185,[1]Plan!A$1:AB$804,28,FALSE)/100)))</f>
        <v>0</v>
      </c>
      <c r="W185" s="58">
        <f>IF(P185,O185*'[1]ETC Data'!$H$3*'[1]ETC Data'!$L$3,0)</f>
        <v>0</v>
      </c>
      <c r="X185" s="58">
        <f>W185-(W185*((VLOOKUP(A185,[1]Plan!A$1:AC$804,29,FALSE)/100)))</f>
        <v>0</v>
      </c>
      <c r="Y185" s="59"/>
      <c r="Z185" s="60" t="b">
        <f>OR(H185="Y",J185="Y")</f>
        <v>0</v>
      </c>
      <c r="AA185" s="58">
        <f>IF(Z185,O185*'[1]ETC Data'!$H$4*'[1]ETC Data'!$I$4,0)</f>
        <v>0</v>
      </c>
      <c r="AB185" s="58">
        <f>AA185-(AA185*((VLOOKUP(A185,[1]Plan!A$1:AI$804,35,FALSE)/100)))</f>
        <v>0</v>
      </c>
      <c r="AC185" s="58">
        <f>IF(Z185,O185*'[1]ETC Data'!$H$4*'[1]ETC Data'!$J$4,0)</f>
        <v>0</v>
      </c>
      <c r="AD185" s="58">
        <f>AC185-(AC185*((VLOOKUP(A185,[1]Plan!A$1:AJ$804,36,FALSE)/100)))</f>
        <v>0</v>
      </c>
      <c r="AE185" s="58">
        <f>IF(Z185,O185*'[1]ETC Data'!$H$4*'[1]ETC Data'!$K$4,0)</f>
        <v>0</v>
      </c>
      <c r="AF185" s="58">
        <f>AE185-(AE185*((VLOOKUP(A185,[1]Plan!A$1:AK$804,37,FALSE)/100)))</f>
        <v>0</v>
      </c>
      <c r="AG185" s="58">
        <f>IF(Z185,O185*'[1]ETC Data'!$H$4*'[1]ETC Data'!$L$4,0)</f>
        <v>0</v>
      </c>
      <c r="AH185" s="58">
        <f>AG185-(AG185*((VLOOKUP(A185,[1]Plan!A$1:AP$804,42,FALSE)/100)))</f>
        <v>0</v>
      </c>
      <c r="AI185" s="60"/>
      <c r="AJ185" s="60" t="b">
        <f>OR(H185="Y",K185="Y")</f>
        <v>0</v>
      </c>
      <c r="AK185" s="61">
        <f>IF(AJ185,O185*'[1]ETC Data'!$H$5*'[1]ETC Data'!$I$5,0)</f>
        <v>0</v>
      </c>
      <c r="AL185" s="58">
        <f>AK185-(AK185*((VLOOKUP(A185,[1]Plan!A$1:AY$804,51,FALSE)/100)))</f>
        <v>0</v>
      </c>
      <c r="AM185" s="58">
        <f>IF(AJ185,O185*'[1]ETC Data'!$H$5*'[1]ETC Data'!$J$5,0)</f>
        <v>0</v>
      </c>
      <c r="AN185" s="58">
        <f>AM185-(AM185*((VLOOKUP(A185,[1]Plan!A$1:BA$804,53,FALSE)/100)))</f>
        <v>0</v>
      </c>
      <c r="AO185" s="61">
        <f>IF(AJ185,O185*'[1]ETC Data'!$H$5*'[1]ETC Data'!$K$5,0)</f>
        <v>0</v>
      </c>
      <c r="AP185" s="58">
        <f>AO185-(AO185*((VLOOKUP(A185,[1]Plan!A$1:BB$804,54,FALSE)/100)))</f>
        <v>0</v>
      </c>
      <c r="AQ185" s="58">
        <f>IF(AJ185,O185*'[1]ETC Data'!$H$5*'[1]ETC Data'!$L$5,0)</f>
        <v>0</v>
      </c>
      <c r="AR185" s="58">
        <f>AQ185-(AQ185*((VLOOKUP(A185,[1]Plan!A$1:BD$804,56,FALSE)/100)))</f>
        <v>0</v>
      </c>
      <c r="AS185" s="20">
        <f>VLOOKUP(A185,'[1]PR Matrix'!A:B,2,FALSE)</f>
        <v>0</v>
      </c>
      <c r="AT185" s="21">
        <f>R185+T185+V185+X185+AB185+AD185+AF185+AH185+AL185+AN185+AP185+AR185</f>
        <v>0</v>
      </c>
      <c r="AU185" s="21">
        <f>Q185+S185+U185+W185+AA185+AC185+AE185+AG185+AK185+AM185+AO185+AQ185</f>
        <v>0</v>
      </c>
      <c r="AV185" s="21">
        <f>R185+AB185+AL185</f>
        <v>0</v>
      </c>
      <c r="AW185" s="21">
        <f>T185+AD185+AN185</f>
        <v>0</v>
      </c>
      <c r="AX185" s="21">
        <f>V185+AF185+AP185</f>
        <v>0</v>
      </c>
      <c r="AY185" s="21">
        <f>X185+AH185+AR185</f>
        <v>0</v>
      </c>
    </row>
    <row r="186" spans="1:51" hidden="1" x14ac:dyDescent="0.2">
      <c r="A186" s="50" t="s">
        <v>393</v>
      </c>
      <c r="B186" s="51" t="s">
        <v>208</v>
      </c>
      <c r="C186" s="51"/>
      <c r="D186" s="51"/>
      <c r="E186" s="52">
        <f>IF(G186="Y",VLOOKUP(B186&amp;"|"&amp;C186,'[1]ETC Data'!$C$2:$D$16,2,FALSE),0)</f>
        <v>0</v>
      </c>
      <c r="F186" s="52">
        <f>IF(D186="",0,IF(G186="Y",VLOOKUP(B186&amp;"|"&amp;D186,'[1]ETC Data'!$C$2:$D$16,2,FALSE),0))</f>
        <v>0</v>
      </c>
      <c r="G186" s="53" t="str">
        <f>IF(VLOOKUP(A186,[1]Plan!A$1:H$804,8,FALSE)&lt;&gt;"",VLOOKUP(A186,[1]Plan!A$1:H$804,8,FALSE),"")</f>
        <v>N</v>
      </c>
      <c r="H186" s="54" t="str">
        <f>IF(VLOOKUP(A186,[1]Plan!A$1:L$804,12,FALSE)&lt;&gt;"",VLOOKUP(A186,[1]Plan!A$1:L$804,12,FALSE),"")</f>
        <v/>
      </c>
      <c r="I186" s="55" t="str">
        <f>IF(VLOOKUP(A186,[1]Plan!A$1:M$804,13,FALSE)&lt;&gt;"",VLOOKUP(A186,[1]Plan!A$1:M$804,13,FALSE),"")</f>
        <v/>
      </c>
      <c r="J186" s="55" t="str">
        <f>IF(VLOOKUP(A186,[1]Plan!A$1:N$804,14,FALSE)&lt;&gt;"",VLOOKUP(A186,[1]Plan!A$1:N$804,14,FALSE),IF(VLOOKUP(A186,[1]Plan!A$1:O$804,15,FALSE)&lt;&gt;"",VLOOKUP(A186,[1]Plan!A$1:O$804,15,FALSE),""))</f>
        <v/>
      </c>
      <c r="K186" s="56" t="str">
        <f>IF(VLOOKUP(A186,[1]Plan!A$1:P$804,16,FALSE)&lt;&gt;"",VLOOKUP(A186,[1]Plan!A$1:P$804,16,FALSE),"")</f>
        <v/>
      </c>
      <c r="L186" s="55"/>
      <c r="M186" s="55"/>
      <c r="N186" s="55"/>
      <c r="O186" s="57">
        <f>IF(F186=0,E186,F186)</f>
        <v>0</v>
      </c>
      <c r="P186" s="57" t="b">
        <f>OR(H186="Y",I186="Y")</f>
        <v>0</v>
      </c>
      <c r="Q186" s="58">
        <f>IF(P186,O186*'[1]ETC Data'!$H$3*'[1]ETC Data'!$I$3,0)</f>
        <v>0</v>
      </c>
      <c r="R186" s="58">
        <f>Q186-(Q186*((VLOOKUP(A186,[1]Plan!A$1:Z$804,26,FALSE)/100)))</f>
        <v>0</v>
      </c>
      <c r="S186" s="58">
        <f>IF(P186,O186*'[1]ETC Data'!$H$3*'[1]ETC Data'!$J$3,0)</f>
        <v>0</v>
      </c>
      <c r="T186" s="58">
        <f>S186-(S186*((VLOOKUP(A186,[1]Plan!A$1:AA$804,27,FALSE)/100)))</f>
        <v>0</v>
      </c>
      <c r="U186" s="58">
        <f>IF(P186,O186*'[1]ETC Data'!$H$3*'[1]ETC Data'!$K$3,0)</f>
        <v>0</v>
      </c>
      <c r="V186" s="58">
        <f>U186-(U186*((VLOOKUP(A186,[1]Plan!A$1:AB$804,28,FALSE)/100)))</f>
        <v>0</v>
      </c>
      <c r="W186" s="58">
        <f>IF(P186,O186*'[1]ETC Data'!$H$3*'[1]ETC Data'!$L$3,0)</f>
        <v>0</v>
      </c>
      <c r="X186" s="58">
        <f>W186-(W186*((VLOOKUP(A186,[1]Plan!A$1:AC$804,29,FALSE)/100)))</f>
        <v>0</v>
      </c>
      <c r="Y186" s="59"/>
      <c r="Z186" s="60" t="b">
        <f>OR(H186="Y",J186="Y")</f>
        <v>0</v>
      </c>
      <c r="AA186" s="58">
        <f>IF(Z186,O186*'[1]ETC Data'!$H$4*'[1]ETC Data'!$I$4,0)</f>
        <v>0</v>
      </c>
      <c r="AB186" s="58">
        <f>AA186-(AA186*((VLOOKUP(A186,[1]Plan!A$1:AI$804,35,FALSE)/100)))</f>
        <v>0</v>
      </c>
      <c r="AC186" s="58">
        <f>IF(Z186,O186*'[1]ETC Data'!$H$4*'[1]ETC Data'!$J$4,0)</f>
        <v>0</v>
      </c>
      <c r="AD186" s="58">
        <f>AC186-(AC186*((VLOOKUP(A186,[1]Plan!A$1:AJ$804,36,FALSE)/100)))</f>
        <v>0</v>
      </c>
      <c r="AE186" s="58">
        <f>IF(Z186,O186*'[1]ETC Data'!$H$4*'[1]ETC Data'!$K$4,0)</f>
        <v>0</v>
      </c>
      <c r="AF186" s="58">
        <f>AE186-(AE186*((VLOOKUP(A186,[1]Plan!A$1:AK$804,37,FALSE)/100)))</f>
        <v>0</v>
      </c>
      <c r="AG186" s="58">
        <f>IF(Z186,O186*'[1]ETC Data'!$H$4*'[1]ETC Data'!$L$4,0)</f>
        <v>0</v>
      </c>
      <c r="AH186" s="58">
        <f>AG186-(AG186*((VLOOKUP(A186,[1]Plan!A$1:AP$804,42,FALSE)/100)))</f>
        <v>0</v>
      </c>
      <c r="AI186" s="60"/>
      <c r="AJ186" s="60" t="b">
        <f>OR(H186="Y",K186="Y")</f>
        <v>0</v>
      </c>
      <c r="AK186" s="61">
        <f>IF(AJ186,O186*'[1]ETC Data'!$H$5*'[1]ETC Data'!$I$5,0)</f>
        <v>0</v>
      </c>
      <c r="AL186" s="58">
        <f>AK186-(AK186*((VLOOKUP(A186,[1]Plan!A$1:AY$804,51,FALSE)/100)))</f>
        <v>0</v>
      </c>
      <c r="AM186" s="58">
        <f>IF(AJ186,O186*'[1]ETC Data'!$H$5*'[1]ETC Data'!$J$5,0)</f>
        <v>0</v>
      </c>
      <c r="AN186" s="58">
        <f>AM186-(AM186*((VLOOKUP(A186,[1]Plan!A$1:BA$804,53,FALSE)/100)))</f>
        <v>0</v>
      </c>
      <c r="AO186" s="61">
        <f>IF(AJ186,O186*'[1]ETC Data'!$H$5*'[1]ETC Data'!$K$5,0)</f>
        <v>0</v>
      </c>
      <c r="AP186" s="58">
        <f>AO186-(AO186*((VLOOKUP(A186,[1]Plan!A$1:BB$804,54,FALSE)/100)))</f>
        <v>0</v>
      </c>
      <c r="AQ186" s="58">
        <f>IF(AJ186,O186*'[1]ETC Data'!$H$5*'[1]ETC Data'!$L$5,0)</f>
        <v>0</v>
      </c>
      <c r="AR186" s="58">
        <f>AQ186-(AQ186*((VLOOKUP(A186,[1]Plan!A$1:BD$804,56,FALSE)/100)))</f>
        <v>0</v>
      </c>
      <c r="AS186" s="20">
        <f>VLOOKUP(A186,'[1]PR Matrix'!A:B,2,FALSE)</f>
        <v>0</v>
      </c>
      <c r="AT186" s="21">
        <f>R186+T186+V186+X186+AB186+AD186+AF186+AH186+AL186+AN186+AP186+AR186</f>
        <v>0</v>
      </c>
      <c r="AU186" s="21">
        <f>Q186+S186+U186+W186+AA186+AC186+AE186+AG186+AK186+AM186+AO186+AQ186</f>
        <v>0</v>
      </c>
      <c r="AV186" s="21">
        <f>R186+AB186+AL186</f>
        <v>0</v>
      </c>
      <c r="AW186" s="21">
        <f>T186+AD186+AN186</f>
        <v>0</v>
      </c>
      <c r="AX186" s="21">
        <f>V186+AF186+AP186</f>
        <v>0</v>
      </c>
      <c r="AY186" s="21">
        <f>X186+AH186+AR186</f>
        <v>0</v>
      </c>
    </row>
    <row r="187" spans="1:51" hidden="1" x14ac:dyDescent="0.2">
      <c r="A187" s="50" t="s">
        <v>394</v>
      </c>
      <c r="B187" s="51" t="s">
        <v>208</v>
      </c>
      <c r="C187" s="51"/>
      <c r="D187" s="51"/>
      <c r="E187" s="52">
        <f>IF(G187="Y",VLOOKUP(B187&amp;"|"&amp;C187,'[1]ETC Data'!$C$2:$D$16,2,FALSE),0)</f>
        <v>0</v>
      </c>
      <c r="F187" s="52">
        <f>IF(D187="",0,IF(G187="Y",VLOOKUP(B187&amp;"|"&amp;D187,'[1]ETC Data'!$C$2:$D$16,2,FALSE),0))</f>
        <v>0</v>
      </c>
      <c r="G187" s="53" t="str">
        <f>IF(VLOOKUP(A187,[1]Plan!A$1:H$804,8,FALSE)&lt;&gt;"",VLOOKUP(A187,[1]Plan!A$1:H$804,8,FALSE),"")</f>
        <v>N</v>
      </c>
      <c r="H187" s="54" t="str">
        <f>IF(VLOOKUP(A187,[1]Plan!A$1:L$804,12,FALSE)&lt;&gt;"",VLOOKUP(A187,[1]Plan!A$1:L$804,12,FALSE),"")</f>
        <v/>
      </c>
      <c r="I187" s="55" t="str">
        <f>IF(VLOOKUP(A187,[1]Plan!A$1:M$804,13,FALSE)&lt;&gt;"",VLOOKUP(A187,[1]Plan!A$1:M$804,13,FALSE),"")</f>
        <v/>
      </c>
      <c r="J187" s="55" t="str">
        <f>IF(VLOOKUP(A187,[1]Plan!A$1:N$804,14,FALSE)&lt;&gt;"",VLOOKUP(A187,[1]Plan!A$1:N$804,14,FALSE),IF(VLOOKUP(A187,[1]Plan!A$1:O$804,15,FALSE)&lt;&gt;"",VLOOKUP(A187,[1]Plan!A$1:O$804,15,FALSE),""))</f>
        <v/>
      </c>
      <c r="K187" s="56" t="str">
        <f>IF(VLOOKUP(A187,[1]Plan!A$1:P$804,16,FALSE)&lt;&gt;"",VLOOKUP(A187,[1]Plan!A$1:P$804,16,FALSE),"")</f>
        <v/>
      </c>
      <c r="L187" s="55"/>
      <c r="M187" s="55"/>
      <c r="N187" s="55"/>
      <c r="O187" s="57">
        <f>IF(F187=0,E187,F187)</f>
        <v>0</v>
      </c>
      <c r="P187" s="57" t="b">
        <f>OR(H187="Y",I187="Y")</f>
        <v>0</v>
      </c>
      <c r="Q187" s="58">
        <f>IF(P187,O187*'[1]ETC Data'!$H$3*'[1]ETC Data'!$I$3,0)</f>
        <v>0</v>
      </c>
      <c r="R187" s="58">
        <f>Q187-(Q187*((VLOOKUP(A187,[1]Plan!A$1:Z$804,26,FALSE)/100)))</f>
        <v>0</v>
      </c>
      <c r="S187" s="58">
        <f>IF(P187,O187*'[1]ETC Data'!$H$3*'[1]ETC Data'!$J$3,0)</f>
        <v>0</v>
      </c>
      <c r="T187" s="58">
        <f>S187-(S187*((VLOOKUP(A187,[1]Plan!A$1:AA$804,27,FALSE)/100)))</f>
        <v>0</v>
      </c>
      <c r="U187" s="58">
        <f>IF(P187,O187*'[1]ETC Data'!$H$3*'[1]ETC Data'!$K$3,0)</f>
        <v>0</v>
      </c>
      <c r="V187" s="58">
        <f>U187-(U187*((VLOOKUP(A187,[1]Plan!A$1:AB$804,28,FALSE)/100)))</f>
        <v>0</v>
      </c>
      <c r="W187" s="58">
        <f>IF(P187,O187*'[1]ETC Data'!$H$3*'[1]ETC Data'!$L$3,0)</f>
        <v>0</v>
      </c>
      <c r="X187" s="58">
        <f>W187-(W187*((VLOOKUP(A187,[1]Plan!A$1:AC$804,29,FALSE)/100)))</f>
        <v>0</v>
      </c>
      <c r="Y187" s="59"/>
      <c r="Z187" s="60" t="b">
        <f>OR(H187="Y",J187="Y")</f>
        <v>0</v>
      </c>
      <c r="AA187" s="58">
        <f>IF(Z187,O187*'[1]ETC Data'!$H$4*'[1]ETC Data'!$I$4,0)</f>
        <v>0</v>
      </c>
      <c r="AB187" s="58">
        <f>AA187-(AA187*((VLOOKUP(A187,[1]Plan!A$1:AI$804,35,FALSE)/100)))</f>
        <v>0</v>
      </c>
      <c r="AC187" s="58">
        <f>IF(Z187,O187*'[1]ETC Data'!$H$4*'[1]ETC Data'!$J$4,0)</f>
        <v>0</v>
      </c>
      <c r="AD187" s="58">
        <f>AC187-(AC187*((VLOOKUP(A187,[1]Plan!A$1:AJ$804,36,FALSE)/100)))</f>
        <v>0</v>
      </c>
      <c r="AE187" s="58">
        <f>IF(Z187,O187*'[1]ETC Data'!$H$4*'[1]ETC Data'!$K$4,0)</f>
        <v>0</v>
      </c>
      <c r="AF187" s="58">
        <f>AE187-(AE187*((VLOOKUP(A187,[1]Plan!A$1:AK$804,37,FALSE)/100)))</f>
        <v>0</v>
      </c>
      <c r="AG187" s="58">
        <f>IF(Z187,O187*'[1]ETC Data'!$H$4*'[1]ETC Data'!$L$4,0)</f>
        <v>0</v>
      </c>
      <c r="AH187" s="58">
        <f>AG187-(AG187*((VLOOKUP(A187,[1]Plan!A$1:AP$804,42,FALSE)/100)))</f>
        <v>0</v>
      </c>
      <c r="AI187" s="60"/>
      <c r="AJ187" s="60" t="b">
        <f>OR(H187="Y",K187="Y")</f>
        <v>0</v>
      </c>
      <c r="AK187" s="61">
        <f>IF(AJ187,O187*'[1]ETC Data'!$H$5*'[1]ETC Data'!$I$5,0)</f>
        <v>0</v>
      </c>
      <c r="AL187" s="58">
        <f>AK187-(AK187*((VLOOKUP(A187,[1]Plan!A$1:AY$804,51,FALSE)/100)))</f>
        <v>0</v>
      </c>
      <c r="AM187" s="58">
        <f>IF(AJ187,O187*'[1]ETC Data'!$H$5*'[1]ETC Data'!$J$5,0)</f>
        <v>0</v>
      </c>
      <c r="AN187" s="58">
        <f>AM187-(AM187*((VLOOKUP(A187,[1]Plan!A$1:BA$804,53,FALSE)/100)))</f>
        <v>0</v>
      </c>
      <c r="AO187" s="61">
        <f>IF(AJ187,O187*'[1]ETC Data'!$H$5*'[1]ETC Data'!$K$5,0)</f>
        <v>0</v>
      </c>
      <c r="AP187" s="58">
        <f>AO187-(AO187*((VLOOKUP(A187,[1]Plan!A$1:BB$804,54,FALSE)/100)))</f>
        <v>0</v>
      </c>
      <c r="AQ187" s="58">
        <f>IF(AJ187,O187*'[1]ETC Data'!$H$5*'[1]ETC Data'!$L$5,0)</f>
        <v>0</v>
      </c>
      <c r="AR187" s="58">
        <f>AQ187-(AQ187*((VLOOKUP(A187,[1]Plan!A$1:BD$804,56,FALSE)/100)))</f>
        <v>0</v>
      </c>
      <c r="AS187" s="20">
        <f>VLOOKUP(A187,'[1]PR Matrix'!A:B,2,FALSE)</f>
        <v>0</v>
      </c>
      <c r="AT187" s="21">
        <f>R187+T187+V187+X187+AB187+AD187+AF187+AH187+AL187+AN187+AP187+AR187</f>
        <v>0</v>
      </c>
      <c r="AU187" s="21">
        <f>Q187+S187+U187+W187+AA187+AC187+AE187+AG187+AK187+AM187+AO187+AQ187</f>
        <v>0</v>
      </c>
      <c r="AV187" s="21">
        <f>R187+AB187+AL187</f>
        <v>0</v>
      </c>
      <c r="AW187" s="21">
        <f>T187+AD187+AN187</f>
        <v>0</v>
      </c>
      <c r="AX187" s="21">
        <f>V187+AF187+AP187</f>
        <v>0</v>
      </c>
      <c r="AY187" s="21">
        <f>X187+AH187+AR187</f>
        <v>0</v>
      </c>
    </row>
    <row r="188" spans="1:51" hidden="1" x14ac:dyDescent="0.2">
      <c r="A188" s="50" t="s">
        <v>395</v>
      </c>
      <c r="B188" s="51" t="s">
        <v>208</v>
      </c>
      <c r="C188" s="51"/>
      <c r="D188" s="51"/>
      <c r="E188" s="52">
        <f>IF(G188="Y",VLOOKUP(B188&amp;"|"&amp;C188,'[1]ETC Data'!$C$2:$D$16,2,FALSE),0)</f>
        <v>0</v>
      </c>
      <c r="F188" s="52">
        <f>IF(D188="",0,IF(G188="Y",VLOOKUP(B188&amp;"|"&amp;D188,'[1]ETC Data'!$C$2:$D$16,2,FALSE),0))</f>
        <v>0</v>
      </c>
      <c r="G188" s="53" t="str">
        <f>IF(VLOOKUP(A188,[1]Plan!A$1:H$804,8,FALSE)&lt;&gt;"",VLOOKUP(A188,[1]Plan!A$1:H$804,8,FALSE),"")</f>
        <v>N</v>
      </c>
      <c r="H188" s="54" t="str">
        <f>IF(VLOOKUP(A188,[1]Plan!A$1:L$804,12,FALSE)&lt;&gt;"",VLOOKUP(A188,[1]Plan!A$1:L$804,12,FALSE),"")</f>
        <v/>
      </c>
      <c r="I188" s="55" t="str">
        <f>IF(VLOOKUP(A188,[1]Plan!A$1:M$804,13,FALSE)&lt;&gt;"",VLOOKUP(A188,[1]Plan!A$1:M$804,13,FALSE),"")</f>
        <v/>
      </c>
      <c r="J188" s="55" t="str">
        <f>IF(VLOOKUP(A188,[1]Plan!A$1:N$804,14,FALSE)&lt;&gt;"",VLOOKUP(A188,[1]Plan!A$1:N$804,14,FALSE),IF(VLOOKUP(A188,[1]Plan!A$1:O$804,15,FALSE)&lt;&gt;"",VLOOKUP(A188,[1]Plan!A$1:O$804,15,FALSE),""))</f>
        <v/>
      </c>
      <c r="K188" s="56" t="str">
        <f>IF(VLOOKUP(A188,[1]Plan!A$1:P$804,16,FALSE)&lt;&gt;"",VLOOKUP(A188,[1]Plan!A$1:P$804,16,FALSE),"")</f>
        <v/>
      </c>
      <c r="L188" s="55"/>
      <c r="M188" s="55"/>
      <c r="N188" s="55"/>
      <c r="O188" s="57">
        <f>IF(F188=0,E188,F188)</f>
        <v>0</v>
      </c>
      <c r="P188" s="57" t="b">
        <f>OR(H188="Y",I188="Y")</f>
        <v>0</v>
      </c>
      <c r="Q188" s="58">
        <f>IF(P188,O188*'[1]ETC Data'!$H$3*'[1]ETC Data'!$I$3,0)</f>
        <v>0</v>
      </c>
      <c r="R188" s="58">
        <f>Q188-(Q188*((VLOOKUP(A188,[1]Plan!A$1:Z$804,26,FALSE)/100)))</f>
        <v>0</v>
      </c>
      <c r="S188" s="58">
        <f>IF(P188,O188*'[1]ETC Data'!$H$3*'[1]ETC Data'!$J$3,0)</f>
        <v>0</v>
      </c>
      <c r="T188" s="58">
        <f>S188-(S188*((VLOOKUP(A188,[1]Plan!A$1:AA$804,27,FALSE)/100)))</f>
        <v>0</v>
      </c>
      <c r="U188" s="58">
        <f>IF(P188,O188*'[1]ETC Data'!$H$3*'[1]ETC Data'!$K$3,0)</f>
        <v>0</v>
      </c>
      <c r="V188" s="58">
        <f>U188-(U188*((VLOOKUP(A188,[1]Plan!A$1:AB$804,28,FALSE)/100)))</f>
        <v>0</v>
      </c>
      <c r="W188" s="58">
        <f>IF(P188,O188*'[1]ETC Data'!$H$3*'[1]ETC Data'!$L$3,0)</f>
        <v>0</v>
      </c>
      <c r="X188" s="58">
        <f>W188-(W188*((VLOOKUP(A188,[1]Plan!A$1:AC$804,29,FALSE)/100)))</f>
        <v>0</v>
      </c>
      <c r="Y188" s="59"/>
      <c r="Z188" s="60" t="b">
        <f>OR(H188="Y",J188="Y")</f>
        <v>0</v>
      </c>
      <c r="AA188" s="58">
        <f>IF(Z188,O188*'[1]ETC Data'!$H$4*'[1]ETC Data'!$I$4,0)</f>
        <v>0</v>
      </c>
      <c r="AB188" s="58">
        <f>AA188-(AA188*((VLOOKUP(A188,[1]Plan!A$1:AI$804,35,FALSE)/100)))</f>
        <v>0</v>
      </c>
      <c r="AC188" s="58">
        <f>IF(Z188,O188*'[1]ETC Data'!$H$4*'[1]ETC Data'!$J$4,0)</f>
        <v>0</v>
      </c>
      <c r="AD188" s="58">
        <f>AC188-(AC188*((VLOOKUP(A188,[1]Plan!A$1:AJ$804,36,FALSE)/100)))</f>
        <v>0</v>
      </c>
      <c r="AE188" s="58">
        <f>IF(Z188,O188*'[1]ETC Data'!$H$4*'[1]ETC Data'!$K$4,0)</f>
        <v>0</v>
      </c>
      <c r="AF188" s="58">
        <f>AE188-(AE188*((VLOOKUP(A188,[1]Plan!A$1:AK$804,37,FALSE)/100)))</f>
        <v>0</v>
      </c>
      <c r="AG188" s="58">
        <f>IF(Z188,O188*'[1]ETC Data'!$H$4*'[1]ETC Data'!$L$4,0)</f>
        <v>0</v>
      </c>
      <c r="AH188" s="58">
        <f>AG188-(AG188*((VLOOKUP(A188,[1]Plan!A$1:AP$804,42,FALSE)/100)))</f>
        <v>0</v>
      </c>
      <c r="AI188" s="60"/>
      <c r="AJ188" s="60" t="b">
        <f>OR(H188="Y",K188="Y")</f>
        <v>0</v>
      </c>
      <c r="AK188" s="61">
        <f>IF(AJ188,O188*'[1]ETC Data'!$H$5*'[1]ETC Data'!$I$5,0)</f>
        <v>0</v>
      </c>
      <c r="AL188" s="58">
        <f>AK188-(AK188*((VLOOKUP(A188,[1]Plan!A$1:AY$804,51,FALSE)/100)))</f>
        <v>0</v>
      </c>
      <c r="AM188" s="58">
        <f>IF(AJ188,O188*'[1]ETC Data'!$H$5*'[1]ETC Data'!$J$5,0)</f>
        <v>0</v>
      </c>
      <c r="AN188" s="58">
        <f>AM188-(AM188*((VLOOKUP(A188,[1]Plan!A$1:BA$804,53,FALSE)/100)))</f>
        <v>0</v>
      </c>
      <c r="AO188" s="61">
        <f>IF(AJ188,O188*'[1]ETC Data'!$H$5*'[1]ETC Data'!$K$5,0)</f>
        <v>0</v>
      </c>
      <c r="AP188" s="58">
        <f>AO188-(AO188*((VLOOKUP(A188,[1]Plan!A$1:BB$804,54,FALSE)/100)))</f>
        <v>0</v>
      </c>
      <c r="AQ188" s="58">
        <f>IF(AJ188,O188*'[1]ETC Data'!$H$5*'[1]ETC Data'!$L$5,0)</f>
        <v>0</v>
      </c>
      <c r="AR188" s="58">
        <f>AQ188-(AQ188*((VLOOKUP(A188,[1]Plan!A$1:BD$804,56,FALSE)/100)))</f>
        <v>0</v>
      </c>
      <c r="AS188" s="20">
        <f>VLOOKUP(A188,'[1]PR Matrix'!A:B,2,FALSE)</f>
        <v>0</v>
      </c>
      <c r="AT188" s="21">
        <f>R188+T188+V188+X188+AB188+AD188+AF188+AH188+AL188+AN188+AP188+AR188</f>
        <v>0</v>
      </c>
      <c r="AU188" s="21">
        <f>Q188+S188+U188+W188+AA188+AC188+AE188+AG188+AK188+AM188+AO188+AQ188</f>
        <v>0</v>
      </c>
      <c r="AV188" s="21">
        <f>R188+AB188+AL188</f>
        <v>0</v>
      </c>
      <c r="AW188" s="21">
        <f>T188+AD188+AN188</f>
        <v>0</v>
      </c>
      <c r="AX188" s="21">
        <f>V188+AF188+AP188</f>
        <v>0</v>
      </c>
      <c r="AY188" s="21">
        <f>X188+AH188+AR188</f>
        <v>0</v>
      </c>
    </row>
    <row r="189" spans="1:51" hidden="1" x14ac:dyDescent="0.2">
      <c r="A189" s="50" t="s">
        <v>396</v>
      </c>
      <c r="B189" s="51" t="s">
        <v>208</v>
      </c>
      <c r="C189" s="51"/>
      <c r="D189" s="51"/>
      <c r="E189" s="52">
        <f>IF(G189="Y",VLOOKUP(B189&amp;"|"&amp;C189,'[1]ETC Data'!$C$2:$D$16,2,FALSE),0)</f>
        <v>0</v>
      </c>
      <c r="F189" s="52">
        <f>IF(D189="",0,IF(G189="Y",VLOOKUP(B189&amp;"|"&amp;D189,'[1]ETC Data'!$C$2:$D$16,2,FALSE),0))</f>
        <v>0</v>
      </c>
      <c r="G189" s="53" t="str">
        <f>IF(VLOOKUP(A189,[1]Plan!A$1:H$804,8,FALSE)&lt;&gt;"",VLOOKUP(A189,[1]Plan!A$1:H$804,8,FALSE),"")</f>
        <v>N</v>
      </c>
      <c r="H189" s="54" t="str">
        <f>IF(VLOOKUP(A189,[1]Plan!A$1:L$804,12,FALSE)&lt;&gt;"",VLOOKUP(A189,[1]Plan!A$1:L$804,12,FALSE),"")</f>
        <v/>
      </c>
      <c r="I189" s="55" t="str">
        <f>IF(VLOOKUP(A189,[1]Plan!A$1:M$804,13,FALSE)&lt;&gt;"",VLOOKUP(A189,[1]Plan!A$1:M$804,13,FALSE),"")</f>
        <v/>
      </c>
      <c r="J189" s="55" t="str">
        <f>IF(VLOOKUP(A189,[1]Plan!A$1:N$804,14,FALSE)&lt;&gt;"",VLOOKUP(A189,[1]Plan!A$1:N$804,14,FALSE),IF(VLOOKUP(A189,[1]Plan!A$1:O$804,15,FALSE)&lt;&gt;"",VLOOKUP(A189,[1]Plan!A$1:O$804,15,FALSE),""))</f>
        <v/>
      </c>
      <c r="K189" s="56" t="str">
        <f>IF(VLOOKUP(A189,[1]Plan!A$1:P$804,16,FALSE)&lt;&gt;"",VLOOKUP(A189,[1]Plan!A$1:P$804,16,FALSE),"")</f>
        <v/>
      </c>
      <c r="L189" s="55"/>
      <c r="M189" s="55"/>
      <c r="N189" s="55"/>
      <c r="O189" s="57">
        <f>IF(F189=0,E189,F189)</f>
        <v>0</v>
      </c>
      <c r="P189" s="57" t="b">
        <f>OR(H189="Y",I189="Y")</f>
        <v>0</v>
      </c>
      <c r="Q189" s="58">
        <f>IF(P189,O189*'[1]ETC Data'!$H$3*'[1]ETC Data'!$I$3,0)</f>
        <v>0</v>
      </c>
      <c r="R189" s="58">
        <f>Q189-(Q189*((VLOOKUP(A189,[1]Plan!A$1:Z$804,26,FALSE)/100)))</f>
        <v>0</v>
      </c>
      <c r="S189" s="58">
        <f>IF(P189,O189*'[1]ETC Data'!$H$3*'[1]ETC Data'!$J$3,0)</f>
        <v>0</v>
      </c>
      <c r="T189" s="58">
        <f>S189-(S189*((VLOOKUP(A189,[1]Plan!A$1:AA$804,27,FALSE)/100)))</f>
        <v>0</v>
      </c>
      <c r="U189" s="58">
        <f>IF(P189,O189*'[1]ETC Data'!$H$3*'[1]ETC Data'!$K$3,0)</f>
        <v>0</v>
      </c>
      <c r="V189" s="58">
        <f>U189-(U189*((VLOOKUP(A189,[1]Plan!A$1:AB$804,28,FALSE)/100)))</f>
        <v>0</v>
      </c>
      <c r="W189" s="58">
        <f>IF(P189,O189*'[1]ETC Data'!$H$3*'[1]ETC Data'!$L$3,0)</f>
        <v>0</v>
      </c>
      <c r="X189" s="58">
        <f>W189-(W189*((VLOOKUP(A189,[1]Plan!A$1:AC$804,29,FALSE)/100)))</f>
        <v>0</v>
      </c>
      <c r="Y189" s="59"/>
      <c r="Z189" s="60" t="b">
        <f>OR(H189="Y",J189="Y")</f>
        <v>0</v>
      </c>
      <c r="AA189" s="58">
        <f>IF(Z189,O189*'[1]ETC Data'!$H$4*'[1]ETC Data'!$I$4,0)</f>
        <v>0</v>
      </c>
      <c r="AB189" s="58">
        <f>AA189-(AA189*((VLOOKUP(A189,[1]Plan!A$1:AI$804,35,FALSE)/100)))</f>
        <v>0</v>
      </c>
      <c r="AC189" s="58">
        <f>IF(Z189,O189*'[1]ETC Data'!$H$4*'[1]ETC Data'!$J$4,0)</f>
        <v>0</v>
      </c>
      <c r="AD189" s="58">
        <f>AC189-(AC189*((VLOOKUP(A189,[1]Plan!A$1:AJ$804,36,FALSE)/100)))</f>
        <v>0</v>
      </c>
      <c r="AE189" s="58">
        <f>IF(Z189,O189*'[1]ETC Data'!$H$4*'[1]ETC Data'!$K$4,0)</f>
        <v>0</v>
      </c>
      <c r="AF189" s="58">
        <f>AE189-(AE189*((VLOOKUP(A189,[1]Plan!A$1:AK$804,37,FALSE)/100)))</f>
        <v>0</v>
      </c>
      <c r="AG189" s="58">
        <f>IF(Z189,O189*'[1]ETC Data'!$H$4*'[1]ETC Data'!$L$4,0)</f>
        <v>0</v>
      </c>
      <c r="AH189" s="58">
        <f>AG189-(AG189*((VLOOKUP(A189,[1]Plan!A$1:AP$804,42,FALSE)/100)))</f>
        <v>0</v>
      </c>
      <c r="AI189" s="60"/>
      <c r="AJ189" s="60" t="b">
        <f>OR(H189="Y",K189="Y")</f>
        <v>0</v>
      </c>
      <c r="AK189" s="61">
        <f>IF(AJ189,O189*'[1]ETC Data'!$H$5*'[1]ETC Data'!$I$5,0)</f>
        <v>0</v>
      </c>
      <c r="AL189" s="58">
        <f>AK189-(AK189*((VLOOKUP(A189,[1]Plan!A$1:AY$804,51,FALSE)/100)))</f>
        <v>0</v>
      </c>
      <c r="AM189" s="58">
        <f>IF(AJ189,O189*'[1]ETC Data'!$H$5*'[1]ETC Data'!$J$5,0)</f>
        <v>0</v>
      </c>
      <c r="AN189" s="58">
        <f>AM189-(AM189*((VLOOKUP(A189,[1]Plan!A$1:BA$804,53,FALSE)/100)))</f>
        <v>0</v>
      </c>
      <c r="AO189" s="61">
        <f>IF(AJ189,O189*'[1]ETC Data'!$H$5*'[1]ETC Data'!$K$5,0)</f>
        <v>0</v>
      </c>
      <c r="AP189" s="58">
        <f>AO189-(AO189*((VLOOKUP(A189,[1]Plan!A$1:BB$804,54,FALSE)/100)))</f>
        <v>0</v>
      </c>
      <c r="AQ189" s="58">
        <f>IF(AJ189,O189*'[1]ETC Data'!$H$5*'[1]ETC Data'!$L$5,0)</f>
        <v>0</v>
      </c>
      <c r="AR189" s="58">
        <f>AQ189-(AQ189*((VLOOKUP(A189,[1]Plan!A$1:BD$804,56,FALSE)/100)))</f>
        <v>0</v>
      </c>
      <c r="AS189" s="20">
        <f>VLOOKUP(A189,'[1]PR Matrix'!A:B,2,FALSE)</f>
        <v>0</v>
      </c>
      <c r="AT189" s="21">
        <f>R189+T189+V189+X189+AB189+AD189+AF189+AH189+AL189+AN189+AP189+AR189</f>
        <v>0</v>
      </c>
      <c r="AU189" s="21">
        <f>Q189+S189+U189+W189+AA189+AC189+AE189+AG189+AK189+AM189+AO189+AQ189</f>
        <v>0</v>
      </c>
      <c r="AV189" s="21">
        <f>R189+AB189+AL189</f>
        <v>0</v>
      </c>
      <c r="AW189" s="21">
        <f>T189+AD189+AN189</f>
        <v>0</v>
      </c>
      <c r="AX189" s="21">
        <f>V189+AF189+AP189</f>
        <v>0</v>
      </c>
      <c r="AY189" s="21">
        <f>X189+AH189+AR189</f>
        <v>0</v>
      </c>
    </row>
    <row r="190" spans="1:51" hidden="1" x14ac:dyDescent="0.2">
      <c r="A190" s="50" t="s">
        <v>397</v>
      </c>
      <c r="B190" s="51" t="s">
        <v>208</v>
      </c>
      <c r="C190" s="51"/>
      <c r="D190" s="51"/>
      <c r="E190" s="52">
        <f>IF(G190="Y",VLOOKUP(B190&amp;"|"&amp;C190,'[1]ETC Data'!$C$2:$D$16,2,FALSE),0)</f>
        <v>0</v>
      </c>
      <c r="F190" s="52">
        <f>IF(D190="",0,IF(G190="Y",VLOOKUP(B190&amp;"|"&amp;D190,'[1]ETC Data'!$C$2:$D$16,2,FALSE),0))</f>
        <v>0</v>
      </c>
      <c r="G190" s="53" t="str">
        <f>IF(VLOOKUP(A190,[1]Plan!A$1:H$804,8,FALSE)&lt;&gt;"",VLOOKUP(A190,[1]Plan!A$1:H$804,8,FALSE),"")</f>
        <v>N</v>
      </c>
      <c r="H190" s="54" t="str">
        <f>IF(VLOOKUP(A190,[1]Plan!A$1:L$804,12,FALSE)&lt;&gt;"",VLOOKUP(A190,[1]Plan!A$1:L$804,12,FALSE),"")</f>
        <v/>
      </c>
      <c r="I190" s="55" t="str">
        <f>IF(VLOOKUP(A190,[1]Plan!A$1:M$804,13,FALSE)&lt;&gt;"",VLOOKUP(A190,[1]Plan!A$1:M$804,13,FALSE),"")</f>
        <v/>
      </c>
      <c r="J190" s="55" t="str">
        <f>IF(VLOOKUP(A190,[1]Plan!A$1:N$804,14,FALSE)&lt;&gt;"",VLOOKUP(A190,[1]Plan!A$1:N$804,14,FALSE),IF(VLOOKUP(A190,[1]Plan!A$1:O$804,15,FALSE)&lt;&gt;"",VLOOKUP(A190,[1]Plan!A$1:O$804,15,FALSE),""))</f>
        <v/>
      </c>
      <c r="K190" s="56" t="str">
        <f>IF(VLOOKUP(A190,[1]Plan!A$1:P$804,16,FALSE)&lt;&gt;"",VLOOKUP(A190,[1]Plan!A$1:P$804,16,FALSE),"")</f>
        <v/>
      </c>
      <c r="L190" s="55"/>
      <c r="M190" s="55"/>
      <c r="N190" s="55"/>
      <c r="O190" s="57">
        <f>IF(F190=0,E190,F190)</f>
        <v>0</v>
      </c>
      <c r="P190" s="57" t="b">
        <f>OR(H190="Y",I190="Y")</f>
        <v>0</v>
      </c>
      <c r="Q190" s="58">
        <f>IF(P190,O190*'[1]ETC Data'!$H$3*'[1]ETC Data'!$I$3,0)</f>
        <v>0</v>
      </c>
      <c r="R190" s="58">
        <f>Q190-(Q190*((VLOOKUP(A190,[1]Plan!A$1:Z$804,26,FALSE)/100)))</f>
        <v>0</v>
      </c>
      <c r="S190" s="58">
        <f>IF(P190,O190*'[1]ETC Data'!$H$3*'[1]ETC Data'!$J$3,0)</f>
        <v>0</v>
      </c>
      <c r="T190" s="58">
        <f>S190-(S190*((VLOOKUP(A190,[1]Plan!A$1:AA$804,27,FALSE)/100)))</f>
        <v>0</v>
      </c>
      <c r="U190" s="58">
        <f>IF(P190,O190*'[1]ETC Data'!$H$3*'[1]ETC Data'!$K$3,0)</f>
        <v>0</v>
      </c>
      <c r="V190" s="58">
        <f>U190-(U190*((VLOOKUP(A190,[1]Plan!A$1:AB$804,28,FALSE)/100)))</f>
        <v>0</v>
      </c>
      <c r="W190" s="58">
        <f>IF(P190,O190*'[1]ETC Data'!$H$3*'[1]ETC Data'!$L$3,0)</f>
        <v>0</v>
      </c>
      <c r="X190" s="58">
        <f>W190-(W190*((VLOOKUP(A190,[1]Plan!A$1:AC$804,29,FALSE)/100)))</f>
        <v>0</v>
      </c>
      <c r="Y190" s="59"/>
      <c r="Z190" s="60" t="b">
        <f>OR(H190="Y",J190="Y")</f>
        <v>0</v>
      </c>
      <c r="AA190" s="58">
        <f>IF(Z190,O190*'[1]ETC Data'!$H$4*'[1]ETC Data'!$I$4,0)</f>
        <v>0</v>
      </c>
      <c r="AB190" s="58">
        <f>AA190-(AA190*((VLOOKUP(A190,[1]Plan!A$1:AI$804,35,FALSE)/100)))</f>
        <v>0</v>
      </c>
      <c r="AC190" s="58">
        <f>IF(Z190,O190*'[1]ETC Data'!$H$4*'[1]ETC Data'!$J$4,0)</f>
        <v>0</v>
      </c>
      <c r="AD190" s="58">
        <f>AC190-(AC190*((VLOOKUP(A190,[1]Plan!A$1:AJ$804,36,FALSE)/100)))</f>
        <v>0</v>
      </c>
      <c r="AE190" s="58">
        <f>IF(Z190,O190*'[1]ETC Data'!$H$4*'[1]ETC Data'!$K$4,0)</f>
        <v>0</v>
      </c>
      <c r="AF190" s="58">
        <f>AE190-(AE190*((VLOOKUP(A190,[1]Plan!A$1:AK$804,37,FALSE)/100)))</f>
        <v>0</v>
      </c>
      <c r="AG190" s="58">
        <f>IF(Z190,O190*'[1]ETC Data'!$H$4*'[1]ETC Data'!$L$4,0)</f>
        <v>0</v>
      </c>
      <c r="AH190" s="58">
        <f>AG190-(AG190*((VLOOKUP(A190,[1]Plan!A$1:AP$804,42,FALSE)/100)))</f>
        <v>0</v>
      </c>
      <c r="AI190" s="60"/>
      <c r="AJ190" s="60" t="b">
        <f>OR(H190="Y",K190="Y")</f>
        <v>0</v>
      </c>
      <c r="AK190" s="61">
        <f>IF(AJ190,O190*'[1]ETC Data'!$H$5*'[1]ETC Data'!$I$5,0)</f>
        <v>0</v>
      </c>
      <c r="AL190" s="58">
        <f>AK190-(AK190*((VLOOKUP(A190,[1]Plan!A$1:AY$804,51,FALSE)/100)))</f>
        <v>0</v>
      </c>
      <c r="AM190" s="58">
        <f>IF(AJ190,O190*'[1]ETC Data'!$H$5*'[1]ETC Data'!$J$5,0)</f>
        <v>0</v>
      </c>
      <c r="AN190" s="58">
        <f>AM190-(AM190*((VLOOKUP(A190,[1]Plan!A$1:BA$804,53,FALSE)/100)))</f>
        <v>0</v>
      </c>
      <c r="AO190" s="61">
        <f>IF(AJ190,O190*'[1]ETC Data'!$H$5*'[1]ETC Data'!$K$5,0)</f>
        <v>0</v>
      </c>
      <c r="AP190" s="58">
        <f>AO190-(AO190*((VLOOKUP(A190,[1]Plan!A$1:BB$804,54,FALSE)/100)))</f>
        <v>0</v>
      </c>
      <c r="AQ190" s="58">
        <f>IF(AJ190,O190*'[1]ETC Data'!$H$5*'[1]ETC Data'!$L$5,0)</f>
        <v>0</v>
      </c>
      <c r="AR190" s="58">
        <f>AQ190-(AQ190*((VLOOKUP(A190,[1]Plan!A$1:BD$804,56,FALSE)/100)))</f>
        <v>0</v>
      </c>
      <c r="AS190" s="20">
        <f>VLOOKUP(A190,'[1]PR Matrix'!A:B,2,FALSE)</f>
        <v>0</v>
      </c>
      <c r="AT190" s="21">
        <f>R190+T190+V190+X190+AB190+AD190+AF190+AH190+AL190+AN190+AP190+AR190</f>
        <v>0</v>
      </c>
      <c r="AU190" s="21">
        <f>Q190+S190+U190+W190+AA190+AC190+AE190+AG190+AK190+AM190+AO190+AQ190</f>
        <v>0</v>
      </c>
      <c r="AV190" s="21">
        <f>R190+AB190+AL190</f>
        <v>0</v>
      </c>
      <c r="AW190" s="21">
        <f>T190+AD190+AN190</f>
        <v>0</v>
      </c>
      <c r="AX190" s="21">
        <f>V190+AF190+AP190</f>
        <v>0</v>
      </c>
      <c r="AY190" s="21">
        <f>X190+AH190+AR190</f>
        <v>0</v>
      </c>
    </row>
    <row r="191" spans="1:51" hidden="1" x14ac:dyDescent="0.2">
      <c r="A191" s="50" t="s">
        <v>398</v>
      </c>
      <c r="B191" s="51" t="s">
        <v>208</v>
      </c>
      <c r="C191" s="51"/>
      <c r="D191" s="51"/>
      <c r="E191" s="52">
        <f>IF(G191="Y",VLOOKUP(B191&amp;"|"&amp;C191,'[1]ETC Data'!$C$2:$D$16,2,FALSE),0)</f>
        <v>0</v>
      </c>
      <c r="F191" s="52">
        <f>IF(D191="",0,IF(G191="Y",VLOOKUP(B191&amp;"|"&amp;D191,'[1]ETC Data'!$C$2:$D$16,2,FALSE),0))</f>
        <v>0</v>
      </c>
      <c r="G191" s="53" t="str">
        <f>IF(VLOOKUP(A191,[1]Plan!A$1:H$804,8,FALSE)&lt;&gt;"",VLOOKUP(A191,[1]Plan!A$1:H$804,8,FALSE),"")</f>
        <v>N</v>
      </c>
      <c r="H191" s="54" t="str">
        <f>IF(VLOOKUP(A191,[1]Plan!A$1:L$804,12,FALSE)&lt;&gt;"",VLOOKUP(A191,[1]Plan!A$1:L$804,12,FALSE),"")</f>
        <v/>
      </c>
      <c r="I191" s="55" t="str">
        <f>IF(VLOOKUP(A191,[1]Plan!A$1:M$804,13,FALSE)&lt;&gt;"",VLOOKUP(A191,[1]Plan!A$1:M$804,13,FALSE),"")</f>
        <v/>
      </c>
      <c r="J191" s="55" t="str">
        <f>IF(VLOOKUP(A191,[1]Plan!A$1:N$804,14,FALSE)&lt;&gt;"",VLOOKUP(A191,[1]Plan!A$1:N$804,14,FALSE),IF(VLOOKUP(A191,[1]Plan!A$1:O$804,15,FALSE)&lt;&gt;"",VLOOKUP(A191,[1]Plan!A$1:O$804,15,FALSE),""))</f>
        <v/>
      </c>
      <c r="K191" s="56" t="str">
        <f>IF(VLOOKUP(A191,[1]Plan!A$1:P$804,16,FALSE)&lt;&gt;"",VLOOKUP(A191,[1]Plan!A$1:P$804,16,FALSE),"")</f>
        <v/>
      </c>
      <c r="L191" s="55"/>
      <c r="M191" s="55"/>
      <c r="N191" s="55"/>
      <c r="O191" s="57">
        <f>IF(F191=0,E191,F191)</f>
        <v>0</v>
      </c>
      <c r="P191" s="57" t="b">
        <f>OR(H191="Y",I191="Y")</f>
        <v>0</v>
      </c>
      <c r="Q191" s="58">
        <f>IF(P191,O191*'[1]ETC Data'!$H$3*'[1]ETC Data'!$I$3,0)</f>
        <v>0</v>
      </c>
      <c r="R191" s="58">
        <f>Q191-(Q191*((VLOOKUP(A191,[1]Plan!A$1:Z$804,26,FALSE)/100)))</f>
        <v>0</v>
      </c>
      <c r="S191" s="58">
        <f>IF(P191,O191*'[1]ETC Data'!$H$3*'[1]ETC Data'!$J$3,0)</f>
        <v>0</v>
      </c>
      <c r="T191" s="58">
        <f>S191-(S191*((VLOOKUP(A191,[1]Plan!A$1:AA$804,27,FALSE)/100)))</f>
        <v>0</v>
      </c>
      <c r="U191" s="58">
        <f>IF(P191,O191*'[1]ETC Data'!$H$3*'[1]ETC Data'!$K$3,0)</f>
        <v>0</v>
      </c>
      <c r="V191" s="58">
        <f>U191-(U191*((VLOOKUP(A191,[1]Plan!A$1:AB$804,28,FALSE)/100)))</f>
        <v>0</v>
      </c>
      <c r="W191" s="58">
        <f>IF(P191,O191*'[1]ETC Data'!$H$3*'[1]ETC Data'!$L$3,0)</f>
        <v>0</v>
      </c>
      <c r="X191" s="58">
        <f>W191-(W191*((VLOOKUP(A191,[1]Plan!A$1:AC$804,29,FALSE)/100)))</f>
        <v>0</v>
      </c>
      <c r="Y191" s="59"/>
      <c r="Z191" s="60" t="b">
        <f>OR(H191="Y",J191="Y")</f>
        <v>0</v>
      </c>
      <c r="AA191" s="58">
        <f>IF(Z191,O191*'[1]ETC Data'!$H$4*'[1]ETC Data'!$I$4,0)</f>
        <v>0</v>
      </c>
      <c r="AB191" s="58">
        <f>AA191-(AA191*((VLOOKUP(A191,[1]Plan!A$1:AI$804,35,FALSE)/100)))</f>
        <v>0</v>
      </c>
      <c r="AC191" s="58">
        <f>IF(Z191,O191*'[1]ETC Data'!$H$4*'[1]ETC Data'!$J$4,0)</f>
        <v>0</v>
      </c>
      <c r="AD191" s="58">
        <f>AC191-(AC191*((VLOOKUP(A191,[1]Plan!A$1:AJ$804,36,FALSE)/100)))</f>
        <v>0</v>
      </c>
      <c r="AE191" s="58">
        <f>IF(Z191,O191*'[1]ETC Data'!$H$4*'[1]ETC Data'!$K$4,0)</f>
        <v>0</v>
      </c>
      <c r="AF191" s="58">
        <f>AE191-(AE191*((VLOOKUP(A191,[1]Plan!A$1:AK$804,37,FALSE)/100)))</f>
        <v>0</v>
      </c>
      <c r="AG191" s="58">
        <f>IF(Z191,O191*'[1]ETC Data'!$H$4*'[1]ETC Data'!$L$4,0)</f>
        <v>0</v>
      </c>
      <c r="AH191" s="58">
        <f>AG191-(AG191*((VLOOKUP(A191,[1]Plan!A$1:AP$804,42,FALSE)/100)))</f>
        <v>0</v>
      </c>
      <c r="AI191" s="60"/>
      <c r="AJ191" s="60" t="b">
        <f>OR(H191="Y",K191="Y")</f>
        <v>0</v>
      </c>
      <c r="AK191" s="61">
        <f>IF(AJ191,O191*'[1]ETC Data'!$H$5*'[1]ETC Data'!$I$5,0)</f>
        <v>0</v>
      </c>
      <c r="AL191" s="58">
        <f>AK191-(AK191*((VLOOKUP(A191,[1]Plan!A$1:AY$804,51,FALSE)/100)))</f>
        <v>0</v>
      </c>
      <c r="AM191" s="58">
        <f>IF(AJ191,O191*'[1]ETC Data'!$H$5*'[1]ETC Data'!$J$5,0)</f>
        <v>0</v>
      </c>
      <c r="AN191" s="58">
        <f>AM191-(AM191*((VLOOKUP(A191,[1]Plan!A$1:BA$804,53,FALSE)/100)))</f>
        <v>0</v>
      </c>
      <c r="AO191" s="61">
        <f>IF(AJ191,O191*'[1]ETC Data'!$H$5*'[1]ETC Data'!$K$5,0)</f>
        <v>0</v>
      </c>
      <c r="AP191" s="58">
        <f>AO191-(AO191*((VLOOKUP(A191,[1]Plan!A$1:BB$804,54,FALSE)/100)))</f>
        <v>0</v>
      </c>
      <c r="AQ191" s="58">
        <f>IF(AJ191,O191*'[1]ETC Data'!$H$5*'[1]ETC Data'!$L$5,0)</f>
        <v>0</v>
      </c>
      <c r="AR191" s="58">
        <f>AQ191-(AQ191*((VLOOKUP(A191,[1]Plan!A$1:BD$804,56,FALSE)/100)))</f>
        <v>0</v>
      </c>
      <c r="AS191" s="20">
        <f>VLOOKUP(A191,'[1]PR Matrix'!A:B,2,FALSE)</f>
        <v>0</v>
      </c>
      <c r="AT191" s="21">
        <f>R191+T191+V191+X191+AB191+AD191+AF191+AH191+AL191+AN191+AP191+AR191</f>
        <v>0</v>
      </c>
      <c r="AU191" s="21">
        <f>Q191+S191+U191+W191+AA191+AC191+AE191+AG191+AK191+AM191+AO191+AQ191</f>
        <v>0</v>
      </c>
      <c r="AV191" s="21">
        <f>R191+AB191+AL191</f>
        <v>0</v>
      </c>
      <c r="AW191" s="21">
        <f>T191+AD191+AN191</f>
        <v>0</v>
      </c>
      <c r="AX191" s="21">
        <f>V191+AF191+AP191</f>
        <v>0</v>
      </c>
      <c r="AY191" s="21">
        <f>X191+AH191+AR191</f>
        <v>0</v>
      </c>
    </row>
    <row r="192" spans="1:51" hidden="1" x14ac:dyDescent="0.2">
      <c r="A192" s="50" t="s">
        <v>399</v>
      </c>
      <c r="B192" s="51" t="s">
        <v>208</v>
      </c>
      <c r="C192" s="51"/>
      <c r="D192" s="51"/>
      <c r="E192" s="52">
        <f>IF(G192="Y",VLOOKUP(B192&amp;"|"&amp;C192,'[1]ETC Data'!$C$2:$D$16,2,FALSE),0)</f>
        <v>0</v>
      </c>
      <c r="F192" s="52">
        <f>IF(D192="",0,IF(G192="Y",VLOOKUP(B192&amp;"|"&amp;D192,'[1]ETC Data'!$C$2:$D$16,2,FALSE),0))</f>
        <v>0</v>
      </c>
      <c r="G192" s="53" t="str">
        <f>IF(VLOOKUP(A192,[1]Plan!A$1:H$804,8,FALSE)&lt;&gt;"",VLOOKUP(A192,[1]Plan!A$1:H$804,8,FALSE),"")</f>
        <v>N</v>
      </c>
      <c r="H192" s="54" t="str">
        <f>IF(VLOOKUP(A192,[1]Plan!A$1:L$804,12,FALSE)&lt;&gt;"",VLOOKUP(A192,[1]Plan!A$1:L$804,12,FALSE),"")</f>
        <v/>
      </c>
      <c r="I192" s="55" t="str">
        <f>IF(VLOOKUP(A192,[1]Plan!A$1:M$804,13,FALSE)&lt;&gt;"",VLOOKUP(A192,[1]Plan!A$1:M$804,13,FALSE),"")</f>
        <v/>
      </c>
      <c r="J192" s="55" t="str">
        <f>IF(VLOOKUP(A192,[1]Plan!A$1:N$804,14,FALSE)&lt;&gt;"",VLOOKUP(A192,[1]Plan!A$1:N$804,14,FALSE),IF(VLOOKUP(A192,[1]Plan!A$1:O$804,15,FALSE)&lt;&gt;"",VLOOKUP(A192,[1]Plan!A$1:O$804,15,FALSE),""))</f>
        <v/>
      </c>
      <c r="K192" s="56" t="str">
        <f>IF(VLOOKUP(A192,[1]Plan!A$1:P$804,16,FALSE)&lt;&gt;"",VLOOKUP(A192,[1]Plan!A$1:P$804,16,FALSE),"")</f>
        <v/>
      </c>
      <c r="L192" s="55"/>
      <c r="M192" s="55"/>
      <c r="N192" s="55"/>
      <c r="O192" s="57">
        <f>IF(F192=0,E192,F192)</f>
        <v>0</v>
      </c>
      <c r="P192" s="57" t="b">
        <f>OR(H192="Y",I192="Y")</f>
        <v>0</v>
      </c>
      <c r="Q192" s="58">
        <f>IF(P192,O192*'[1]ETC Data'!$H$3*'[1]ETC Data'!$I$3,0)</f>
        <v>0</v>
      </c>
      <c r="R192" s="58">
        <f>Q192-(Q192*((VLOOKUP(A192,[1]Plan!A$1:Z$804,26,FALSE)/100)))</f>
        <v>0</v>
      </c>
      <c r="S192" s="58">
        <f>IF(P192,O192*'[1]ETC Data'!$H$3*'[1]ETC Data'!$J$3,0)</f>
        <v>0</v>
      </c>
      <c r="T192" s="58">
        <f>S192-(S192*((VLOOKUP(A192,[1]Plan!A$1:AA$804,27,FALSE)/100)))</f>
        <v>0</v>
      </c>
      <c r="U192" s="58">
        <f>IF(P192,O192*'[1]ETC Data'!$H$3*'[1]ETC Data'!$K$3,0)</f>
        <v>0</v>
      </c>
      <c r="V192" s="58">
        <f>U192-(U192*((VLOOKUP(A192,[1]Plan!A$1:AB$804,28,FALSE)/100)))</f>
        <v>0</v>
      </c>
      <c r="W192" s="58">
        <f>IF(P192,O192*'[1]ETC Data'!$H$3*'[1]ETC Data'!$L$3,0)</f>
        <v>0</v>
      </c>
      <c r="X192" s="58">
        <f>W192-(W192*((VLOOKUP(A192,[1]Plan!A$1:AC$804,29,FALSE)/100)))</f>
        <v>0</v>
      </c>
      <c r="Y192" s="59"/>
      <c r="Z192" s="60" t="b">
        <f>OR(H192="Y",J192="Y")</f>
        <v>0</v>
      </c>
      <c r="AA192" s="58">
        <f>IF(Z192,O192*'[1]ETC Data'!$H$4*'[1]ETC Data'!$I$4,0)</f>
        <v>0</v>
      </c>
      <c r="AB192" s="58">
        <f>AA192-(AA192*((VLOOKUP(A192,[1]Plan!A$1:AI$804,35,FALSE)/100)))</f>
        <v>0</v>
      </c>
      <c r="AC192" s="58">
        <f>IF(Z192,O192*'[1]ETC Data'!$H$4*'[1]ETC Data'!$J$4,0)</f>
        <v>0</v>
      </c>
      <c r="AD192" s="58">
        <f>AC192-(AC192*((VLOOKUP(A192,[1]Plan!A$1:AJ$804,36,FALSE)/100)))</f>
        <v>0</v>
      </c>
      <c r="AE192" s="58">
        <f>IF(Z192,O192*'[1]ETC Data'!$H$4*'[1]ETC Data'!$K$4,0)</f>
        <v>0</v>
      </c>
      <c r="AF192" s="58">
        <f>AE192-(AE192*((VLOOKUP(A192,[1]Plan!A$1:AK$804,37,FALSE)/100)))</f>
        <v>0</v>
      </c>
      <c r="AG192" s="58">
        <f>IF(Z192,O192*'[1]ETC Data'!$H$4*'[1]ETC Data'!$L$4,0)</f>
        <v>0</v>
      </c>
      <c r="AH192" s="58">
        <f>AG192-(AG192*((VLOOKUP(A192,[1]Plan!A$1:AP$804,42,FALSE)/100)))</f>
        <v>0</v>
      </c>
      <c r="AI192" s="60"/>
      <c r="AJ192" s="60" t="b">
        <f>OR(H192="Y",K192="Y")</f>
        <v>0</v>
      </c>
      <c r="AK192" s="61">
        <f>IF(AJ192,O192*'[1]ETC Data'!$H$5*'[1]ETC Data'!$I$5,0)</f>
        <v>0</v>
      </c>
      <c r="AL192" s="58">
        <f>AK192-(AK192*((VLOOKUP(A192,[1]Plan!A$1:AY$804,51,FALSE)/100)))</f>
        <v>0</v>
      </c>
      <c r="AM192" s="58">
        <f>IF(AJ192,O192*'[1]ETC Data'!$H$5*'[1]ETC Data'!$J$5,0)</f>
        <v>0</v>
      </c>
      <c r="AN192" s="58">
        <f>AM192-(AM192*((VLOOKUP(A192,[1]Plan!A$1:BA$804,53,FALSE)/100)))</f>
        <v>0</v>
      </c>
      <c r="AO192" s="61">
        <f>IF(AJ192,O192*'[1]ETC Data'!$H$5*'[1]ETC Data'!$K$5,0)</f>
        <v>0</v>
      </c>
      <c r="AP192" s="58">
        <f>AO192-(AO192*((VLOOKUP(A192,[1]Plan!A$1:BB$804,54,FALSE)/100)))</f>
        <v>0</v>
      </c>
      <c r="AQ192" s="58">
        <f>IF(AJ192,O192*'[1]ETC Data'!$H$5*'[1]ETC Data'!$L$5,0)</f>
        <v>0</v>
      </c>
      <c r="AR192" s="58">
        <f>AQ192-(AQ192*((VLOOKUP(A192,[1]Plan!A$1:BD$804,56,FALSE)/100)))</f>
        <v>0</v>
      </c>
      <c r="AS192" s="20">
        <f>VLOOKUP(A192,'[1]PR Matrix'!A:B,2,FALSE)</f>
        <v>0</v>
      </c>
      <c r="AT192" s="21">
        <f>R192+T192+V192+X192+AB192+AD192+AF192+AH192+AL192+AN192+AP192+AR192</f>
        <v>0</v>
      </c>
      <c r="AU192" s="21">
        <f>Q192+S192+U192+W192+AA192+AC192+AE192+AG192+AK192+AM192+AO192+AQ192</f>
        <v>0</v>
      </c>
      <c r="AV192" s="21">
        <f>R192+AB192+AL192</f>
        <v>0</v>
      </c>
      <c r="AW192" s="21">
        <f>T192+AD192+AN192</f>
        <v>0</v>
      </c>
      <c r="AX192" s="21">
        <f>V192+AF192+AP192</f>
        <v>0</v>
      </c>
      <c r="AY192" s="21">
        <f>X192+AH192+AR192</f>
        <v>0</v>
      </c>
    </row>
    <row r="193" spans="1:51" hidden="1" x14ac:dyDescent="0.2">
      <c r="A193" s="50" t="s">
        <v>400</v>
      </c>
      <c r="B193" s="51" t="s">
        <v>208</v>
      </c>
      <c r="C193" s="51"/>
      <c r="D193" s="51"/>
      <c r="E193" s="52">
        <f>IF(G193="Y",VLOOKUP(B193&amp;"|"&amp;C193,'[1]ETC Data'!$C$2:$D$16,2,FALSE),0)</f>
        <v>0</v>
      </c>
      <c r="F193" s="52">
        <f>IF(D193="",0,IF(G193="Y",VLOOKUP(B193&amp;"|"&amp;D193,'[1]ETC Data'!$C$2:$D$16,2,FALSE),0))</f>
        <v>0</v>
      </c>
      <c r="G193" s="53" t="str">
        <f>IF(VLOOKUP(A193,[1]Plan!A$1:H$804,8,FALSE)&lt;&gt;"",VLOOKUP(A193,[1]Plan!A$1:H$804,8,FALSE),"")</f>
        <v>N</v>
      </c>
      <c r="H193" s="54" t="str">
        <f>IF(VLOOKUP(A193,[1]Plan!A$1:L$804,12,FALSE)&lt;&gt;"",VLOOKUP(A193,[1]Plan!A$1:L$804,12,FALSE),"")</f>
        <v/>
      </c>
      <c r="I193" s="55" t="str">
        <f>IF(VLOOKUP(A193,[1]Plan!A$1:M$804,13,FALSE)&lt;&gt;"",VLOOKUP(A193,[1]Plan!A$1:M$804,13,FALSE),"")</f>
        <v/>
      </c>
      <c r="J193" s="55" t="str">
        <f>IF(VLOOKUP(A193,[1]Plan!A$1:N$804,14,FALSE)&lt;&gt;"",VLOOKUP(A193,[1]Plan!A$1:N$804,14,FALSE),IF(VLOOKUP(A193,[1]Plan!A$1:O$804,15,FALSE)&lt;&gt;"",VLOOKUP(A193,[1]Plan!A$1:O$804,15,FALSE),""))</f>
        <v/>
      </c>
      <c r="K193" s="56" t="str">
        <f>IF(VLOOKUP(A193,[1]Plan!A$1:P$804,16,FALSE)&lt;&gt;"",VLOOKUP(A193,[1]Plan!A$1:P$804,16,FALSE),"")</f>
        <v/>
      </c>
      <c r="L193" s="55"/>
      <c r="M193" s="55"/>
      <c r="N193" s="55"/>
      <c r="O193" s="57">
        <f>IF(F193=0,E193,F193)</f>
        <v>0</v>
      </c>
      <c r="P193" s="57" t="b">
        <f>OR(H193="Y",I193="Y")</f>
        <v>0</v>
      </c>
      <c r="Q193" s="58">
        <f>IF(P193,O193*'[1]ETC Data'!$H$3*'[1]ETC Data'!$I$3,0)</f>
        <v>0</v>
      </c>
      <c r="R193" s="58">
        <f>Q193-(Q193*((VLOOKUP(A193,[1]Plan!A$1:Z$804,26,FALSE)/100)))</f>
        <v>0</v>
      </c>
      <c r="S193" s="58">
        <f>IF(P193,O193*'[1]ETC Data'!$H$3*'[1]ETC Data'!$J$3,0)</f>
        <v>0</v>
      </c>
      <c r="T193" s="58">
        <f>S193-(S193*((VLOOKUP(A193,[1]Plan!A$1:AA$804,27,FALSE)/100)))</f>
        <v>0</v>
      </c>
      <c r="U193" s="58">
        <f>IF(P193,O193*'[1]ETC Data'!$H$3*'[1]ETC Data'!$K$3,0)</f>
        <v>0</v>
      </c>
      <c r="V193" s="58">
        <f>U193-(U193*((VLOOKUP(A193,[1]Plan!A$1:AB$804,28,FALSE)/100)))</f>
        <v>0</v>
      </c>
      <c r="W193" s="58">
        <f>IF(P193,O193*'[1]ETC Data'!$H$3*'[1]ETC Data'!$L$3,0)</f>
        <v>0</v>
      </c>
      <c r="X193" s="58">
        <f>W193-(W193*((VLOOKUP(A193,[1]Plan!A$1:AC$804,29,FALSE)/100)))</f>
        <v>0</v>
      </c>
      <c r="Y193" s="59"/>
      <c r="Z193" s="60" t="b">
        <f>OR(H193="Y",J193="Y")</f>
        <v>0</v>
      </c>
      <c r="AA193" s="58">
        <f>IF(Z193,O193*'[1]ETC Data'!$H$4*'[1]ETC Data'!$I$4,0)</f>
        <v>0</v>
      </c>
      <c r="AB193" s="58">
        <f>AA193-(AA193*((VLOOKUP(A193,[1]Plan!A$1:AI$804,35,FALSE)/100)))</f>
        <v>0</v>
      </c>
      <c r="AC193" s="58">
        <f>IF(Z193,O193*'[1]ETC Data'!$H$4*'[1]ETC Data'!$J$4,0)</f>
        <v>0</v>
      </c>
      <c r="AD193" s="58">
        <f>AC193-(AC193*((VLOOKUP(A193,[1]Plan!A$1:AJ$804,36,FALSE)/100)))</f>
        <v>0</v>
      </c>
      <c r="AE193" s="58">
        <f>IF(Z193,O193*'[1]ETC Data'!$H$4*'[1]ETC Data'!$K$4,0)</f>
        <v>0</v>
      </c>
      <c r="AF193" s="58">
        <f>AE193-(AE193*((VLOOKUP(A193,[1]Plan!A$1:AK$804,37,FALSE)/100)))</f>
        <v>0</v>
      </c>
      <c r="AG193" s="58">
        <f>IF(Z193,O193*'[1]ETC Data'!$H$4*'[1]ETC Data'!$L$4,0)</f>
        <v>0</v>
      </c>
      <c r="AH193" s="58">
        <f>AG193-(AG193*((VLOOKUP(A193,[1]Plan!A$1:AP$804,42,FALSE)/100)))</f>
        <v>0</v>
      </c>
      <c r="AI193" s="60"/>
      <c r="AJ193" s="60" t="b">
        <f>OR(H193="Y",K193="Y")</f>
        <v>0</v>
      </c>
      <c r="AK193" s="61">
        <f>IF(AJ193,O193*'[1]ETC Data'!$H$5*'[1]ETC Data'!$I$5,0)</f>
        <v>0</v>
      </c>
      <c r="AL193" s="58">
        <f>AK193-(AK193*((VLOOKUP(A193,[1]Plan!A$1:AY$804,51,FALSE)/100)))</f>
        <v>0</v>
      </c>
      <c r="AM193" s="58">
        <f>IF(AJ193,O193*'[1]ETC Data'!$H$5*'[1]ETC Data'!$J$5,0)</f>
        <v>0</v>
      </c>
      <c r="AN193" s="58">
        <f>AM193-(AM193*((VLOOKUP(A193,[1]Plan!A$1:BA$804,53,FALSE)/100)))</f>
        <v>0</v>
      </c>
      <c r="AO193" s="61">
        <f>IF(AJ193,O193*'[1]ETC Data'!$H$5*'[1]ETC Data'!$K$5,0)</f>
        <v>0</v>
      </c>
      <c r="AP193" s="58">
        <f>AO193-(AO193*((VLOOKUP(A193,[1]Plan!A$1:BB$804,54,FALSE)/100)))</f>
        <v>0</v>
      </c>
      <c r="AQ193" s="58">
        <f>IF(AJ193,O193*'[1]ETC Data'!$H$5*'[1]ETC Data'!$L$5,0)</f>
        <v>0</v>
      </c>
      <c r="AR193" s="58">
        <f>AQ193-(AQ193*((VLOOKUP(A193,[1]Plan!A$1:BD$804,56,FALSE)/100)))</f>
        <v>0</v>
      </c>
      <c r="AS193" s="20">
        <f>VLOOKUP(A193,'[1]PR Matrix'!A:B,2,FALSE)</f>
        <v>0</v>
      </c>
      <c r="AT193" s="21">
        <f>R193+T193+V193+X193+AB193+AD193+AF193+AH193+AL193+AN193+AP193+AR193</f>
        <v>0</v>
      </c>
      <c r="AU193" s="21">
        <f>Q193+S193+U193+W193+AA193+AC193+AE193+AG193+AK193+AM193+AO193+AQ193</f>
        <v>0</v>
      </c>
      <c r="AV193" s="21">
        <f>R193+AB193+AL193</f>
        <v>0</v>
      </c>
      <c r="AW193" s="21">
        <f>T193+AD193+AN193</f>
        <v>0</v>
      </c>
      <c r="AX193" s="21">
        <f>V193+AF193+AP193</f>
        <v>0</v>
      </c>
      <c r="AY193" s="21">
        <f>X193+AH193+AR193</f>
        <v>0</v>
      </c>
    </row>
    <row r="194" spans="1:51" hidden="1" x14ac:dyDescent="0.2">
      <c r="A194" s="50" t="s">
        <v>401</v>
      </c>
      <c r="B194" s="51" t="s">
        <v>209</v>
      </c>
      <c r="C194" s="51"/>
      <c r="D194" s="51"/>
      <c r="E194" s="52">
        <f>IF(G194="Y",VLOOKUP(B194&amp;"|"&amp;C194,'[1]ETC Data'!$C$2:$D$16,2,FALSE),0)</f>
        <v>0</v>
      </c>
      <c r="F194" s="52">
        <f>IF(D194="",0,IF(G194="Y",VLOOKUP(B194&amp;"|"&amp;D194,'[1]ETC Data'!$C$2:$D$16,2,FALSE),0))</f>
        <v>0</v>
      </c>
      <c r="G194" s="53" t="str">
        <f>IF(VLOOKUP(A194,[1]Plan!A$1:H$804,8,FALSE)&lt;&gt;"",VLOOKUP(A194,[1]Plan!A$1:H$804,8,FALSE),"")</f>
        <v>N</v>
      </c>
      <c r="H194" s="54" t="str">
        <f>IF(VLOOKUP(A194,[1]Plan!A$1:L$804,12,FALSE)&lt;&gt;"",VLOOKUP(A194,[1]Plan!A$1:L$804,12,FALSE),"")</f>
        <v/>
      </c>
      <c r="I194" s="55" t="str">
        <f>IF(VLOOKUP(A194,[1]Plan!A$1:M$804,13,FALSE)&lt;&gt;"",VLOOKUP(A194,[1]Plan!A$1:M$804,13,FALSE),"")</f>
        <v/>
      </c>
      <c r="J194" s="55" t="str">
        <f>IF(VLOOKUP(A194,[1]Plan!A$1:N$804,14,FALSE)&lt;&gt;"",VLOOKUP(A194,[1]Plan!A$1:N$804,14,FALSE),IF(VLOOKUP(A194,[1]Plan!A$1:O$804,15,FALSE)&lt;&gt;"",VLOOKUP(A194,[1]Plan!A$1:O$804,15,FALSE),""))</f>
        <v/>
      </c>
      <c r="K194" s="56" t="str">
        <f>IF(VLOOKUP(A194,[1]Plan!A$1:P$804,16,FALSE)&lt;&gt;"",VLOOKUP(A194,[1]Plan!A$1:P$804,16,FALSE),"")</f>
        <v/>
      </c>
      <c r="L194" s="55"/>
      <c r="M194" s="55"/>
      <c r="N194" s="55"/>
      <c r="O194" s="57">
        <f>IF(F194=0,E194,F194)</f>
        <v>0</v>
      </c>
      <c r="P194" s="57" t="b">
        <f>OR(H194="Y",I194="Y")</f>
        <v>0</v>
      </c>
      <c r="Q194" s="58">
        <f>IF(P194,O194*'[1]ETC Data'!$H$3*'[1]ETC Data'!$I$3,0)</f>
        <v>0</v>
      </c>
      <c r="R194" s="58">
        <f>Q194-(Q194*((VLOOKUP(A194,[1]Plan!A$1:Z$804,26,FALSE)/100)))</f>
        <v>0</v>
      </c>
      <c r="S194" s="58">
        <f>IF(P194,O194*'[1]ETC Data'!$H$3*'[1]ETC Data'!$J$3,0)</f>
        <v>0</v>
      </c>
      <c r="T194" s="58">
        <f>S194-(S194*((VLOOKUP(A194,[1]Plan!A$1:AA$804,27,FALSE)/100)))</f>
        <v>0</v>
      </c>
      <c r="U194" s="58">
        <f>IF(P194,O194*'[1]ETC Data'!$H$3*'[1]ETC Data'!$K$3,0)</f>
        <v>0</v>
      </c>
      <c r="V194" s="58">
        <f>U194-(U194*((VLOOKUP(A194,[1]Plan!A$1:AB$804,28,FALSE)/100)))</f>
        <v>0</v>
      </c>
      <c r="W194" s="58">
        <f>IF(P194,O194*'[1]ETC Data'!$H$3*'[1]ETC Data'!$L$3,0)</f>
        <v>0</v>
      </c>
      <c r="X194" s="58">
        <f>W194-(W194*((VLOOKUP(A194,[1]Plan!A$1:AC$804,29,FALSE)/100)))</f>
        <v>0</v>
      </c>
      <c r="Y194" s="59"/>
      <c r="Z194" s="60" t="b">
        <f>OR(H194="Y",J194="Y")</f>
        <v>0</v>
      </c>
      <c r="AA194" s="58">
        <f>IF(Z194,O194*'[1]ETC Data'!$H$4*'[1]ETC Data'!$I$4,0)</f>
        <v>0</v>
      </c>
      <c r="AB194" s="58">
        <f>AA194-(AA194*((VLOOKUP(A194,[1]Plan!A$1:AI$804,35,FALSE)/100)))</f>
        <v>0</v>
      </c>
      <c r="AC194" s="58">
        <f>IF(Z194,O194*'[1]ETC Data'!$H$4*'[1]ETC Data'!$J$4,0)</f>
        <v>0</v>
      </c>
      <c r="AD194" s="58">
        <f>AC194-(AC194*((VLOOKUP(A194,[1]Plan!A$1:AJ$804,36,FALSE)/100)))</f>
        <v>0</v>
      </c>
      <c r="AE194" s="58">
        <f>IF(Z194,O194*'[1]ETC Data'!$H$4*'[1]ETC Data'!$K$4,0)</f>
        <v>0</v>
      </c>
      <c r="AF194" s="58">
        <f>AE194-(AE194*((VLOOKUP(A194,[1]Plan!A$1:AK$804,37,FALSE)/100)))</f>
        <v>0</v>
      </c>
      <c r="AG194" s="58">
        <f>IF(Z194,O194*'[1]ETC Data'!$H$4*'[1]ETC Data'!$L$4,0)</f>
        <v>0</v>
      </c>
      <c r="AH194" s="58">
        <f>AG194-(AG194*((VLOOKUP(A194,[1]Plan!A$1:AP$804,42,FALSE)/100)))</f>
        <v>0</v>
      </c>
      <c r="AI194" s="60"/>
      <c r="AJ194" s="60" t="b">
        <f>OR(H194="Y",K194="Y")</f>
        <v>0</v>
      </c>
      <c r="AK194" s="61">
        <f>IF(AJ194,O194*'[1]ETC Data'!$H$5*'[1]ETC Data'!$I$5,0)</f>
        <v>0</v>
      </c>
      <c r="AL194" s="58">
        <f>AK194-(AK194*((VLOOKUP(A194,[1]Plan!A$1:AY$804,51,FALSE)/100)))</f>
        <v>0</v>
      </c>
      <c r="AM194" s="58">
        <f>IF(AJ194,O194*'[1]ETC Data'!$H$5*'[1]ETC Data'!$J$5,0)</f>
        <v>0</v>
      </c>
      <c r="AN194" s="58">
        <f>AM194-(AM194*((VLOOKUP(A194,[1]Plan!A$1:BA$804,53,FALSE)/100)))</f>
        <v>0</v>
      </c>
      <c r="AO194" s="61">
        <f>IF(AJ194,O194*'[1]ETC Data'!$H$5*'[1]ETC Data'!$K$5,0)</f>
        <v>0</v>
      </c>
      <c r="AP194" s="58">
        <f>AO194-(AO194*((VLOOKUP(A194,[1]Plan!A$1:BB$804,54,FALSE)/100)))</f>
        <v>0</v>
      </c>
      <c r="AQ194" s="58">
        <f>IF(AJ194,O194*'[1]ETC Data'!$H$5*'[1]ETC Data'!$L$5,0)</f>
        <v>0</v>
      </c>
      <c r="AR194" s="58">
        <f>AQ194-(AQ194*((VLOOKUP(A194,[1]Plan!A$1:BD$804,56,FALSE)/100)))</f>
        <v>0</v>
      </c>
      <c r="AS194" s="20">
        <f>VLOOKUP(A194,'[1]PR Matrix'!A:B,2,FALSE)</f>
        <v>0</v>
      </c>
      <c r="AT194" s="21">
        <f>R194+T194+V194+X194+AB194+AD194+AF194+AH194+AL194+AN194+AP194+AR194</f>
        <v>0</v>
      </c>
      <c r="AU194" s="21">
        <f>Q194+S194+U194+W194+AA194+AC194+AE194+AG194+AK194+AM194+AO194+AQ194</f>
        <v>0</v>
      </c>
      <c r="AV194" s="21">
        <f>R194+AB194+AL194</f>
        <v>0</v>
      </c>
      <c r="AW194" s="21">
        <f>T194+AD194+AN194</f>
        <v>0</v>
      </c>
      <c r="AX194" s="21">
        <f>V194+AF194+AP194</f>
        <v>0</v>
      </c>
      <c r="AY194" s="21">
        <f>X194+AH194+AR194</f>
        <v>0</v>
      </c>
    </row>
    <row r="195" spans="1:51" hidden="1" x14ac:dyDescent="0.2">
      <c r="A195" s="50" t="s">
        <v>402</v>
      </c>
      <c r="B195" s="51" t="s">
        <v>208</v>
      </c>
      <c r="C195" s="51"/>
      <c r="D195" s="51"/>
      <c r="E195" s="52">
        <f>IF(G195="Y",VLOOKUP(B195&amp;"|"&amp;C195,'[1]ETC Data'!$C$2:$D$16,2,FALSE),0)</f>
        <v>0</v>
      </c>
      <c r="F195" s="52">
        <f>IF(D195="",0,IF(G195="Y",VLOOKUP(B195&amp;"|"&amp;D195,'[1]ETC Data'!$C$2:$D$16,2,FALSE),0))</f>
        <v>0</v>
      </c>
      <c r="G195" s="53" t="str">
        <f>IF(VLOOKUP(A195,[1]Plan!A$1:H$804,8,FALSE)&lt;&gt;"",VLOOKUP(A195,[1]Plan!A$1:H$804,8,FALSE),"")</f>
        <v>N</v>
      </c>
      <c r="H195" s="54" t="str">
        <f>IF(VLOOKUP(A195,[1]Plan!A$1:L$804,12,FALSE)&lt;&gt;"",VLOOKUP(A195,[1]Plan!A$1:L$804,12,FALSE),"")</f>
        <v/>
      </c>
      <c r="I195" s="55" t="str">
        <f>IF(VLOOKUP(A195,[1]Plan!A$1:M$804,13,FALSE)&lt;&gt;"",VLOOKUP(A195,[1]Plan!A$1:M$804,13,FALSE),"")</f>
        <v/>
      </c>
      <c r="J195" s="55" t="str">
        <f>IF(VLOOKUP(A195,[1]Plan!A$1:N$804,14,FALSE)&lt;&gt;"",VLOOKUP(A195,[1]Plan!A$1:N$804,14,FALSE),IF(VLOOKUP(A195,[1]Plan!A$1:O$804,15,FALSE)&lt;&gt;"",VLOOKUP(A195,[1]Plan!A$1:O$804,15,FALSE),""))</f>
        <v/>
      </c>
      <c r="K195" s="56" t="str">
        <f>IF(VLOOKUP(A195,[1]Plan!A$1:P$804,16,FALSE)&lt;&gt;"",VLOOKUP(A195,[1]Plan!A$1:P$804,16,FALSE),"")</f>
        <v/>
      </c>
      <c r="L195" s="55"/>
      <c r="M195" s="55"/>
      <c r="N195" s="55"/>
      <c r="O195" s="57">
        <f>IF(F195=0,E195,F195)</f>
        <v>0</v>
      </c>
      <c r="P195" s="57" t="b">
        <f>OR(H195="Y",I195="Y")</f>
        <v>0</v>
      </c>
      <c r="Q195" s="58">
        <f>IF(P195,O195*'[1]ETC Data'!$H$3*'[1]ETC Data'!$I$3,0)</f>
        <v>0</v>
      </c>
      <c r="R195" s="58">
        <f>Q195-(Q195*((VLOOKUP(A195,[1]Plan!A$1:Z$804,26,FALSE)/100)))</f>
        <v>0</v>
      </c>
      <c r="S195" s="58">
        <f>IF(P195,O195*'[1]ETC Data'!$H$3*'[1]ETC Data'!$J$3,0)</f>
        <v>0</v>
      </c>
      <c r="T195" s="58">
        <f>S195-(S195*((VLOOKUP(A195,[1]Plan!A$1:AA$804,27,FALSE)/100)))</f>
        <v>0</v>
      </c>
      <c r="U195" s="58">
        <f>IF(P195,O195*'[1]ETC Data'!$H$3*'[1]ETC Data'!$K$3,0)</f>
        <v>0</v>
      </c>
      <c r="V195" s="58">
        <f>U195-(U195*((VLOOKUP(A195,[1]Plan!A$1:AB$804,28,FALSE)/100)))</f>
        <v>0</v>
      </c>
      <c r="W195" s="58">
        <f>IF(P195,O195*'[1]ETC Data'!$H$3*'[1]ETC Data'!$L$3,0)</f>
        <v>0</v>
      </c>
      <c r="X195" s="58">
        <f>W195-(W195*((VLOOKUP(A195,[1]Plan!A$1:AC$804,29,FALSE)/100)))</f>
        <v>0</v>
      </c>
      <c r="Y195" s="59"/>
      <c r="Z195" s="60" t="b">
        <f>OR(H195="Y",J195="Y")</f>
        <v>0</v>
      </c>
      <c r="AA195" s="58">
        <f>IF(Z195,O195*'[1]ETC Data'!$H$4*'[1]ETC Data'!$I$4,0)</f>
        <v>0</v>
      </c>
      <c r="AB195" s="58">
        <f>AA195-(AA195*((VLOOKUP(A195,[1]Plan!A$1:AI$804,35,FALSE)/100)))</f>
        <v>0</v>
      </c>
      <c r="AC195" s="58">
        <f>IF(Z195,O195*'[1]ETC Data'!$H$4*'[1]ETC Data'!$J$4,0)</f>
        <v>0</v>
      </c>
      <c r="AD195" s="58">
        <f>AC195-(AC195*((VLOOKUP(A195,[1]Plan!A$1:AJ$804,36,FALSE)/100)))</f>
        <v>0</v>
      </c>
      <c r="AE195" s="58">
        <f>IF(Z195,O195*'[1]ETC Data'!$H$4*'[1]ETC Data'!$K$4,0)</f>
        <v>0</v>
      </c>
      <c r="AF195" s="58">
        <f>AE195-(AE195*((VLOOKUP(A195,[1]Plan!A$1:AK$804,37,FALSE)/100)))</f>
        <v>0</v>
      </c>
      <c r="AG195" s="58">
        <f>IF(Z195,O195*'[1]ETC Data'!$H$4*'[1]ETC Data'!$L$4,0)</f>
        <v>0</v>
      </c>
      <c r="AH195" s="58">
        <f>AG195-(AG195*((VLOOKUP(A195,[1]Plan!A$1:AP$804,42,FALSE)/100)))</f>
        <v>0</v>
      </c>
      <c r="AI195" s="60"/>
      <c r="AJ195" s="60" t="b">
        <f>OR(H195="Y",K195="Y")</f>
        <v>0</v>
      </c>
      <c r="AK195" s="61">
        <f>IF(AJ195,O195*'[1]ETC Data'!$H$5*'[1]ETC Data'!$I$5,0)</f>
        <v>0</v>
      </c>
      <c r="AL195" s="58">
        <f>AK195-(AK195*((VLOOKUP(A195,[1]Plan!A$1:AY$804,51,FALSE)/100)))</f>
        <v>0</v>
      </c>
      <c r="AM195" s="58">
        <f>IF(AJ195,O195*'[1]ETC Data'!$H$5*'[1]ETC Data'!$J$5,0)</f>
        <v>0</v>
      </c>
      <c r="AN195" s="58">
        <f>AM195-(AM195*((VLOOKUP(A195,[1]Plan!A$1:BA$804,53,FALSE)/100)))</f>
        <v>0</v>
      </c>
      <c r="AO195" s="61">
        <f>IF(AJ195,O195*'[1]ETC Data'!$H$5*'[1]ETC Data'!$K$5,0)</f>
        <v>0</v>
      </c>
      <c r="AP195" s="58">
        <f>AO195-(AO195*((VLOOKUP(A195,[1]Plan!A$1:BB$804,54,FALSE)/100)))</f>
        <v>0</v>
      </c>
      <c r="AQ195" s="58">
        <f>IF(AJ195,O195*'[1]ETC Data'!$H$5*'[1]ETC Data'!$L$5,0)</f>
        <v>0</v>
      </c>
      <c r="AR195" s="58">
        <f>AQ195-(AQ195*((VLOOKUP(A195,[1]Plan!A$1:BD$804,56,FALSE)/100)))</f>
        <v>0</v>
      </c>
      <c r="AS195" s="20">
        <f>VLOOKUP(A195,'[1]PR Matrix'!A:B,2,FALSE)</f>
        <v>0</v>
      </c>
      <c r="AT195" s="21">
        <f>R195+T195+V195+X195+AB195+AD195+AF195+AH195+AL195+AN195+AP195+AR195</f>
        <v>0</v>
      </c>
      <c r="AU195" s="21">
        <f>Q195+S195+U195+W195+AA195+AC195+AE195+AG195+AK195+AM195+AO195+AQ195</f>
        <v>0</v>
      </c>
      <c r="AV195" s="21">
        <f>R195+AB195+AL195</f>
        <v>0</v>
      </c>
      <c r="AW195" s="21">
        <f>T195+AD195+AN195</f>
        <v>0</v>
      </c>
      <c r="AX195" s="21">
        <f>V195+AF195+AP195</f>
        <v>0</v>
      </c>
      <c r="AY195" s="21">
        <f>X195+AH195+AR195</f>
        <v>0</v>
      </c>
    </row>
    <row r="196" spans="1:51" hidden="1" x14ac:dyDescent="0.2">
      <c r="A196" s="50" t="s">
        <v>403</v>
      </c>
      <c r="B196" s="51" t="s">
        <v>208</v>
      </c>
      <c r="C196" s="51"/>
      <c r="D196" s="51"/>
      <c r="E196" s="52">
        <f>IF(G196="Y",VLOOKUP(B196&amp;"|"&amp;C196,'[1]ETC Data'!$C$2:$D$16,2,FALSE),0)</f>
        <v>0</v>
      </c>
      <c r="F196" s="52">
        <f>IF(D196="",0,IF(G196="Y",VLOOKUP(B196&amp;"|"&amp;D196,'[1]ETC Data'!$C$2:$D$16,2,FALSE),0))</f>
        <v>0</v>
      </c>
      <c r="G196" s="53" t="str">
        <f>IF(VLOOKUP(A196,[1]Plan!A$1:H$804,8,FALSE)&lt;&gt;"",VLOOKUP(A196,[1]Plan!A$1:H$804,8,FALSE),"")</f>
        <v>N</v>
      </c>
      <c r="H196" s="54" t="str">
        <f>IF(VLOOKUP(A196,[1]Plan!A$1:L$804,12,FALSE)&lt;&gt;"",VLOOKUP(A196,[1]Plan!A$1:L$804,12,FALSE),"")</f>
        <v/>
      </c>
      <c r="I196" s="55" t="str">
        <f>IF(VLOOKUP(A196,[1]Plan!A$1:M$804,13,FALSE)&lt;&gt;"",VLOOKUP(A196,[1]Plan!A$1:M$804,13,FALSE),"")</f>
        <v/>
      </c>
      <c r="J196" s="55" t="str">
        <f>IF(VLOOKUP(A196,[1]Plan!A$1:N$804,14,FALSE)&lt;&gt;"",VLOOKUP(A196,[1]Plan!A$1:N$804,14,FALSE),IF(VLOOKUP(A196,[1]Plan!A$1:O$804,15,FALSE)&lt;&gt;"",VLOOKUP(A196,[1]Plan!A$1:O$804,15,FALSE),""))</f>
        <v/>
      </c>
      <c r="K196" s="56" t="str">
        <f>IF(VLOOKUP(A196,[1]Plan!A$1:P$804,16,FALSE)&lt;&gt;"",VLOOKUP(A196,[1]Plan!A$1:P$804,16,FALSE),"")</f>
        <v/>
      </c>
      <c r="L196" s="55"/>
      <c r="M196" s="55"/>
      <c r="N196" s="55"/>
      <c r="O196" s="57">
        <f>IF(F196=0,E196,F196)</f>
        <v>0</v>
      </c>
      <c r="P196" s="57" t="b">
        <f>OR(H196="Y",I196="Y")</f>
        <v>0</v>
      </c>
      <c r="Q196" s="58">
        <f>IF(P196,O196*'[1]ETC Data'!$H$3*'[1]ETC Data'!$I$3,0)</f>
        <v>0</v>
      </c>
      <c r="R196" s="58">
        <f>Q196-(Q196*((VLOOKUP(A196,[1]Plan!A$1:Z$804,26,FALSE)/100)))</f>
        <v>0</v>
      </c>
      <c r="S196" s="58">
        <f>IF(P196,O196*'[1]ETC Data'!$H$3*'[1]ETC Data'!$J$3,0)</f>
        <v>0</v>
      </c>
      <c r="T196" s="58">
        <f>S196-(S196*((VLOOKUP(A196,[1]Plan!A$1:AA$804,27,FALSE)/100)))</f>
        <v>0</v>
      </c>
      <c r="U196" s="58">
        <f>IF(P196,O196*'[1]ETC Data'!$H$3*'[1]ETC Data'!$K$3,0)</f>
        <v>0</v>
      </c>
      <c r="V196" s="58">
        <f>U196-(U196*((VLOOKUP(A196,[1]Plan!A$1:AB$804,28,FALSE)/100)))</f>
        <v>0</v>
      </c>
      <c r="W196" s="58">
        <f>IF(P196,O196*'[1]ETC Data'!$H$3*'[1]ETC Data'!$L$3,0)</f>
        <v>0</v>
      </c>
      <c r="X196" s="58">
        <f>W196-(W196*((VLOOKUP(A196,[1]Plan!A$1:AC$804,29,FALSE)/100)))</f>
        <v>0</v>
      </c>
      <c r="Y196" s="59"/>
      <c r="Z196" s="60" t="b">
        <f>OR(H196="Y",J196="Y")</f>
        <v>0</v>
      </c>
      <c r="AA196" s="58">
        <f>IF(Z196,O196*'[1]ETC Data'!$H$4*'[1]ETC Data'!$I$4,0)</f>
        <v>0</v>
      </c>
      <c r="AB196" s="58">
        <f>AA196-(AA196*((VLOOKUP(A196,[1]Plan!A$1:AI$804,35,FALSE)/100)))</f>
        <v>0</v>
      </c>
      <c r="AC196" s="58">
        <f>IF(Z196,O196*'[1]ETC Data'!$H$4*'[1]ETC Data'!$J$4,0)</f>
        <v>0</v>
      </c>
      <c r="AD196" s="58">
        <f>AC196-(AC196*((VLOOKUP(A196,[1]Plan!A$1:AJ$804,36,FALSE)/100)))</f>
        <v>0</v>
      </c>
      <c r="AE196" s="58">
        <f>IF(Z196,O196*'[1]ETC Data'!$H$4*'[1]ETC Data'!$K$4,0)</f>
        <v>0</v>
      </c>
      <c r="AF196" s="58">
        <f>AE196-(AE196*((VLOOKUP(A196,[1]Plan!A$1:AK$804,37,FALSE)/100)))</f>
        <v>0</v>
      </c>
      <c r="AG196" s="58">
        <f>IF(Z196,O196*'[1]ETC Data'!$H$4*'[1]ETC Data'!$L$4,0)</f>
        <v>0</v>
      </c>
      <c r="AH196" s="58">
        <f>AG196-(AG196*((VLOOKUP(A196,[1]Plan!A$1:AP$804,42,FALSE)/100)))</f>
        <v>0</v>
      </c>
      <c r="AI196" s="60"/>
      <c r="AJ196" s="60" t="b">
        <f>OR(H196="Y",K196="Y")</f>
        <v>0</v>
      </c>
      <c r="AK196" s="61">
        <f>IF(AJ196,O196*'[1]ETC Data'!$H$5*'[1]ETC Data'!$I$5,0)</f>
        <v>0</v>
      </c>
      <c r="AL196" s="58">
        <f>AK196-(AK196*((VLOOKUP(A196,[1]Plan!A$1:AY$804,51,FALSE)/100)))</f>
        <v>0</v>
      </c>
      <c r="AM196" s="58">
        <f>IF(AJ196,O196*'[1]ETC Data'!$H$5*'[1]ETC Data'!$J$5,0)</f>
        <v>0</v>
      </c>
      <c r="AN196" s="58">
        <f>AM196-(AM196*((VLOOKUP(A196,[1]Plan!A$1:BA$804,53,FALSE)/100)))</f>
        <v>0</v>
      </c>
      <c r="AO196" s="61">
        <f>IF(AJ196,O196*'[1]ETC Data'!$H$5*'[1]ETC Data'!$K$5,0)</f>
        <v>0</v>
      </c>
      <c r="AP196" s="58">
        <f>AO196-(AO196*((VLOOKUP(A196,[1]Plan!A$1:BB$804,54,FALSE)/100)))</f>
        <v>0</v>
      </c>
      <c r="AQ196" s="58">
        <f>IF(AJ196,O196*'[1]ETC Data'!$H$5*'[1]ETC Data'!$L$5,0)</f>
        <v>0</v>
      </c>
      <c r="AR196" s="58">
        <f>AQ196-(AQ196*((VLOOKUP(A196,[1]Plan!A$1:BD$804,56,FALSE)/100)))</f>
        <v>0</v>
      </c>
      <c r="AS196" s="20">
        <f>VLOOKUP(A196,'[1]PR Matrix'!A:B,2,FALSE)</f>
        <v>0</v>
      </c>
      <c r="AT196" s="21">
        <f>R196+T196+V196+X196+AB196+AD196+AF196+AH196+AL196+AN196+AP196+AR196</f>
        <v>0</v>
      </c>
      <c r="AU196" s="21">
        <f>Q196+S196+U196+W196+AA196+AC196+AE196+AG196+AK196+AM196+AO196+AQ196</f>
        <v>0</v>
      </c>
      <c r="AV196" s="21">
        <f>R196+AB196+AL196</f>
        <v>0</v>
      </c>
      <c r="AW196" s="21">
        <f>T196+AD196+AN196</f>
        <v>0</v>
      </c>
      <c r="AX196" s="21">
        <f>V196+AF196+AP196</f>
        <v>0</v>
      </c>
      <c r="AY196" s="21">
        <f>X196+AH196+AR196</f>
        <v>0</v>
      </c>
    </row>
    <row r="197" spans="1:51" hidden="1" x14ac:dyDescent="0.2">
      <c r="A197" s="50" t="s">
        <v>404</v>
      </c>
      <c r="B197" s="51" t="s">
        <v>208</v>
      </c>
      <c r="C197" s="51"/>
      <c r="D197" s="51"/>
      <c r="E197" s="52">
        <f>IF(G197="Y",VLOOKUP(B197&amp;"|"&amp;C197,'[1]ETC Data'!$C$2:$D$16,2,FALSE),0)</f>
        <v>0</v>
      </c>
      <c r="F197" s="52">
        <f>IF(D197="",0,IF(G197="Y",VLOOKUP(B197&amp;"|"&amp;D197,'[1]ETC Data'!$C$2:$D$16,2,FALSE),0))</f>
        <v>0</v>
      </c>
      <c r="G197" s="53" t="str">
        <f>IF(VLOOKUP(A197,[1]Plan!A$1:H$804,8,FALSE)&lt;&gt;"",VLOOKUP(A197,[1]Plan!A$1:H$804,8,FALSE),"")</f>
        <v>N</v>
      </c>
      <c r="H197" s="54" t="str">
        <f>IF(VLOOKUP(A197,[1]Plan!A$1:L$804,12,FALSE)&lt;&gt;"",VLOOKUP(A197,[1]Plan!A$1:L$804,12,FALSE),"")</f>
        <v/>
      </c>
      <c r="I197" s="55" t="str">
        <f>IF(VLOOKUP(A197,[1]Plan!A$1:M$804,13,FALSE)&lt;&gt;"",VLOOKUP(A197,[1]Plan!A$1:M$804,13,FALSE),"")</f>
        <v/>
      </c>
      <c r="J197" s="55" t="str">
        <f>IF(VLOOKUP(A197,[1]Plan!A$1:N$804,14,FALSE)&lt;&gt;"",VLOOKUP(A197,[1]Plan!A$1:N$804,14,FALSE),IF(VLOOKUP(A197,[1]Plan!A$1:O$804,15,FALSE)&lt;&gt;"",VLOOKUP(A197,[1]Plan!A$1:O$804,15,FALSE),""))</f>
        <v/>
      </c>
      <c r="K197" s="56" t="str">
        <f>IF(VLOOKUP(A197,[1]Plan!A$1:P$804,16,FALSE)&lt;&gt;"",VLOOKUP(A197,[1]Plan!A$1:P$804,16,FALSE),"")</f>
        <v/>
      </c>
      <c r="L197" s="55"/>
      <c r="M197" s="55"/>
      <c r="N197" s="55"/>
      <c r="O197" s="57">
        <f>IF(F197=0,E197,F197)</f>
        <v>0</v>
      </c>
      <c r="P197" s="57" t="b">
        <f>OR(H197="Y",I197="Y")</f>
        <v>0</v>
      </c>
      <c r="Q197" s="58">
        <f>IF(P197,O197*'[1]ETC Data'!$H$3*'[1]ETC Data'!$I$3,0)</f>
        <v>0</v>
      </c>
      <c r="R197" s="58">
        <f>Q197-(Q197*((VLOOKUP(A197,[1]Plan!A$1:Z$804,26,FALSE)/100)))</f>
        <v>0</v>
      </c>
      <c r="S197" s="58">
        <f>IF(P197,O197*'[1]ETC Data'!$H$3*'[1]ETC Data'!$J$3,0)</f>
        <v>0</v>
      </c>
      <c r="T197" s="58">
        <f>S197-(S197*((VLOOKUP(A197,[1]Plan!A$1:AA$804,27,FALSE)/100)))</f>
        <v>0</v>
      </c>
      <c r="U197" s="58">
        <f>IF(P197,O197*'[1]ETC Data'!$H$3*'[1]ETC Data'!$K$3,0)</f>
        <v>0</v>
      </c>
      <c r="V197" s="58">
        <f>U197-(U197*((VLOOKUP(A197,[1]Plan!A$1:AB$804,28,FALSE)/100)))</f>
        <v>0</v>
      </c>
      <c r="W197" s="58">
        <f>IF(P197,O197*'[1]ETC Data'!$H$3*'[1]ETC Data'!$L$3,0)</f>
        <v>0</v>
      </c>
      <c r="X197" s="58">
        <f>W197-(W197*((VLOOKUP(A197,[1]Plan!A$1:AC$804,29,FALSE)/100)))</f>
        <v>0</v>
      </c>
      <c r="Y197" s="59"/>
      <c r="Z197" s="60" t="b">
        <f>OR(H197="Y",J197="Y")</f>
        <v>0</v>
      </c>
      <c r="AA197" s="58">
        <f>IF(Z197,O197*'[1]ETC Data'!$H$4*'[1]ETC Data'!$I$4,0)</f>
        <v>0</v>
      </c>
      <c r="AB197" s="58">
        <f>AA197-(AA197*((VLOOKUP(A197,[1]Plan!A$1:AI$804,35,FALSE)/100)))</f>
        <v>0</v>
      </c>
      <c r="AC197" s="58">
        <f>IF(Z197,O197*'[1]ETC Data'!$H$4*'[1]ETC Data'!$J$4,0)</f>
        <v>0</v>
      </c>
      <c r="AD197" s="58">
        <f>AC197-(AC197*((VLOOKUP(A197,[1]Plan!A$1:AJ$804,36,FALSE)/100)))</f>
        <v>0</v>
      </c>
      <c r="AE197" s="58">
        <f>IF(Z197,O197*'[1]ETC Data'!$H$4*'[1]ETC Data'!$K$4,0)</f>
        <v>0</v>
      </c>
      <c r="AF197" s="58">
        <f>AE197-(AE197*((VLOOKUP(A197,[1]Plan!A$1:AK$804,37,FALSE)/100)))</f>
        <v>0</v>
      </c>
      <c r="AG197" s="58">
        <f>IF(Z197,O197*'[1]ETC Data'!$H$4*'[1]ETC Data'!$L$4,0)</f>
        <v>0</v>
      </c>
      <c r="AH197" s="58">
        <f>AG197-(AG197*((VLOOKUP(A197,[1]Plan!A$1:AP$804,42,FALSE)/100)))</f>
        <v>0</v>
      </c>
      <c r="AI197" s="60"/>
      <c r="AJ197" s="60" t="b">
        <f>OR(H197="Y",K197="Y")</f>
        <v>0</v>
      </c>
      <c r="AK197" s="61">
        <f>IF(AJ197,O197*'[1]ETC Data'!$H$5*'[1]ETC Data'!$I$5,0)</f>
        <v>0</v>
      </c>
      <c r="AL197" s="58">
        <f>AK197-(AK197*((VLOOKUP(A197,[1]Plan!A$1:AY$804,51,FALSE)/100)))</f>
        <v>0</v>
      </c>
      <c r="AM197" s="58">
        <f>IF(AJ197,O197*'[1]ETC Data'!$H$5*'[1]ETC Data'!$J$5,0)</f>
        <v>0</v>
      </c>
      <c r="AN197" s="58">
        <f>AM197-(AM197*((VLOOKUP(A197,[1]Plan!A$1:BA$804,53,FALSE)/100)))</f>
        <v>0</v>
      </c>
      <c r="AO197" s="61">
        <f>IF(AJ197,O197*'[1]ETC Data'!$H$5*'[1]ETC Data'!$K$5,0)</f>
        <v>0</v>
      </c>
      <c r="AP197" s="58">
        <f>AO197-(AO197*((VLOOKUP(A197,[1]Plan!A$1:BB$804,54,FALSE)/100)))</f>
        <v>0</v>
      </c>
      <c r="AQ197" s="58">
        <f>IF(AJ197,O197*'[1]ETC Data'!$H$5*'[1]ETC Data'!$L$5,0)</f>
        <v>0</v>
      </c>
      <c r="AR197" s="58">
        <f>AQ197-(AQ197*((VLOOKUP(A197,[1]Plan!A$1:BD$804,56,FALSE)/100)))</f>
        <v>0</v>
      </c>
      <c r="AS197" s="20">
        <f>VLOOKUP(A197,'[1]PR Matrix'!A:B,2,FALSE)</f>
        <v>0</v>
      </c>
      <c r="AT197" s="21">
        <f>R197+T197+V197+X197+AB197+AD197+AF197+AH197+AL197+AN197+AP197+AR197</f>
        <v>0</v>
      </c>
      <c r="AU197" s="21">
        <f>Q197+S197+U197+W197+AA197+AC197+AE197+AG197+AK197+AM197+AO197+AQ197</f>
        <v>0</v>
      </c>
      <c r="AV197" s="21">
        <f>R197+AB197+AL197</f>
        <v>0</v>
      </c>
      <c r="AW197" s="21">
        <f>T197+AD197+AN197</f>
        <v>0</v>
      </c>
      <c r="AX197" s="21">
        <f>V197+AF197+AP197</f>
        <v>0</v>
      </c>
      <c r="AY197" s="21">
        <f>X197+AH197+AR197</f>
        <v>0</v>
      </c>
    </row>
    <row r="198" spans="1:51" hidden="1" x14ac:dyDescent="0.2">
      <c r="A198" s="50" t="s">
        <v>405</v>
      </c>
      <c r="B198" s="51" t="s">
        <v>208</v>
      </c>
      <c r="C198" s="51"/>
      <c r="D198" s="51"/>
      <c r="E198" s="52">
        <f>IF(G198="Y",VLOOKUP(B198&amp;"|"&amp;C198,'[1]ETC Data'!$C$2:$D$16,2,FALSE),0)</f>
        <v>0</v>
      </c>
      <c r="F198" s="52">
        <f>IF(D198="",0,IF(G198="Y",VLOOKUP(B198&amp;"|"&amp;D198,'[1]ETC Data'!$C$2:$D$16,2,FALSE),0))</f>
        <v>0</v>
      </c>
      <c r="G198" s="53" t="str">
        <f>IF(VLOOKUP(A198,[1]Plan!A$1:H$804,8,FALSE)&lt;&gt;"",VLOOKUP(A198,[1]Plan!A$1:H$804,8,FALSE),"")</f>
        <v>N</v>
      </c>
      <c r="H198" s="54" t="str">
        <f>IF(VLOOKUP(A198,[1]Plan!A$1:L$804,12,FALSE)&lt;&gt;"",VLOOKUP(A198,[1]Plan!A$1:L$804,12,FALSE),"")</f>
        <v/>
      </c>
      <c r="I198" s="55" t="str">
        <f>IF(VLOOKUP(A198,[1]Plan!A$1:M$804,13,FALSE)&lt;&gt;"",VLOOKUP(A198,[1]Plan!A$1:M$804,13,FALSE),"")</f>
        <v/>
      </c>
      <c r="J198" s="55" t="str">
        <f>IF(VLOOKUP(A198,[1]Plan!A$1:N$804,14,FALSE)&lt;&gt;"",VLOOKUP(A198,[1]Plan!A$1:N$804,14,FALSE),IF(VLOOKUP(A198,[1]Plan!A$1:O$804,15,FALSE)&lt;&gt;"",VLOOKUP(A198,[1]Plan!A$1:O$804,15,FALSE),""))</f>
        <v/>
      </c>
      <c r="K198" s="56" t="str">
        <f>IF(VLOOKUP(A198,[1]Plan!A$1:P$804,16,FALSE)&lt;&gt;"",VLOOKUP(A198,[1]Plan!A$1:P$804,16,FALSE),"")</f>
        <v/>
      </c>
      <c r="L198" s="55"/>
      <c r="M198" s="55"/>
      <c r="N198" s="55"/>
      <c r="O198" s="57">
        <f>IF(F198=0,E198,F198)</f>
        <v>0</v>
      </c>
      <c r="P198" s="57" t="b">
        <f>OR(H198="Y",I198="Y")</f>
        <v>0</v>
      </c>
      <c r="Q198" s="58">
        <f>IF(P198,O198*'[1]ETC Data'!$H$3*'[1]ETC Data'!$I$3,0)</f>
        <v>0</v>
      </c>
      <c r="R198" s="58">
        <f>Q198-(Q198*((VLOOKUP(A198,[1]Plan!A$1:Z$804,26,FALSE)/100)))</f>
        <v>0</v>
      </c>
      <c r="S198" s="58">
        <f>IF(P198,O198*'[1]ETC Data'!$H$3*'[1]ETC Data'!$J$3,0)</f>
        <v>0</v>
      </c>
      <c r="T198" s="58">
        <f>S198-(S198*((VLOOKUP(A198,[1]Plan!A$1:AA$804,27,FALSE)/100)))</f>
        <v>0</v>
      </c>
      <c r="U198" s="58">
        <f>IF(P198,O198*'[1]ETC Data'!$H$3*'[1]ETC Data'!$K$3,0)</f>
        <v>0</v>
      </c>
      <c r="V198" s="58">
        <f>U198-(U198*((VLOOKUP(A198,[1]Plan!A$1:AB$804,28,FALSE)/100)))</f>
        <v>0</v>
      </c>
      <c r="W198" s="58">
        <f>IF(P198,O198*'[1]ETC Data'!$H$3*'[1]ETC Data'!$L$3,0)</f>
        <v>0</v>
      </c>
      <c r="X198" s="58">
        <f>W198-(W198*((VLOOKUP(A198,[1]Plan!A$1:AC$804,29,FALSE)/100)))</f>
        <v>0</v>
      </c>
      <c r="Y198" s="59"/>
      <c r="Z198" s="60" t="b">
        <f>OR(H198="Y",J198="Y")</f>
        <v>0</v>
      </c>
      <c r="AA198" s="58">
        <f>IF(Z198,O198*'[1]ETC Data'!$H$4*'[1]ETC Data'!$I$4,0)</f>
        <v>0</v>
      </c>
      <c r="AB198" s="58">
        <f>AA198-(AA198*((VLOOKUP(A198,[1]Plan!A$1:AI$804,35,FALSE)/100)))</f>
        <v>0</v>
      </c>
      <c r="AC198" s="58">
        <f>IF(Z198,O198*'[1]ETC Data'!$H$4*'[1]ETC Data'!$J$4,0)</f>
        <v>0</v>
      </c>
      <c r="AD198" s="58">
        <f>AC198-(AC198*((VLOOKUP(A198,[1]Plan!A$1:AJ$804,36,FALSE)/100)))</f>
        <v>0</v>
      </c>
      <c r="AE198" s="58">
        <f>IF(Z198,O198*'[1]ETC Data'!$H$4*'[1]ETC Data'!$K$4,0)</f>
        <v>0</v>
      </c>
      <c r="AF198" s="58">
        <f>AE198-(AE198*((VLOOKUP(A198,[1]Plan!A$1:AK$804,37,FALSE)/100)))</f>
        <v>0</v>
      </c>
      <c r="AG198" s="58">
        <f>IF(Z198,O198*'[1]ETC Data'!$H$4*'[1]ETC Data'!$L$4,0)</f>
        <v>0</v>
      </c>
      <c r="AH198" s="58">
        <f>AG198-(AG198*((VLOOKUP(A198,[1]Plan!A$1:AP$804,42,FALSE)/100)))</f>
        <v>0</v>
      </c>
      <c r="AI198" s="60"/>
      <c r="AJ198" s="60" t="b">
        <f>OR(H198="Y",K198="Y")</f>
        <v>0</v>
      </c>
      <c r="AK198" s="61">
        <f>IF(AJ198,O198*'[1]ETC Data'!$H$5*'[1]ETC Data'!$I$5,0)</f>
        <v>0</v>
      </c>
      <c r="AL198" s="58">
        <f>AK198-(AK198*((VLOOKUP(A198,[1]Plan!A$1:AY$804,51,FALSE)/100)))</f>
        <v>0</v>
      </c>
      <c r="AM198" s="58">
        <f>IF(AJ198,O198*'[1]ETC Data'!$H$5*'[1]ETC Data'!$J$5,0)</f>
        <v>0</v>
      </c>
      <c r="AN198" s="58">
        <f>AM198-(AM198*((VLOOKUP(A198,[1]Plan!A$1:BA$804,53,FALSE)/100)))</f>
        <v>0</v>
      </c>
      <c r="AO198" s="61">
        <f>IF(AJ198,O198*'[1]ETC Data'!$H$5*'[1]ETC Data'!$K$5,0)</f>
        <v>0</v>
      </c>
      <c r="AP198" s="58">
        <f>AO198-(AO198*((VLOOKUP(A198,[1]Plan!A$1:BB$804,54,FALSE)/100)))</f>
        <v>0</v>
      </c>
      <c r="AQ198" s="58">
        <f>IF(AJ198,O198*'[1]ETC Data'!$H$5*'[1]ETC Data'!$L$5,0)</f>
        <v>0</v>
      </c>
      <c r="AR198" s="58">
        <f>AQ198-(AQ198*((VLOOKUP(A198,[1]Plan!A$1:BD$804,56,FALSE)/100)))</f>
        <v>0</v>
      </c>
      <c r="AS198" s="20">
        <f>VLOOKUP(A198,'[1]PR Matrix'!A:B,2,FALSE)</f>
        <v>0</v>
      </c>
      <c r="AT198" s="21">
        <f>R198+T198+V198+X198+AB198+AD198+AF198+AH198+AL198+AN198+AP198+AR198</f>
        <v>0</v>
      </c>
      <c r="AU198" s="21">
        <f>Q198+S198+U198+W198+AA198+AC198+AE198+AG198+AK198+AM198+AO198+AQ198</f>
        <v>0</v>
      </c>
      <c r="AV198" s="21">
        <f>R198+AB198+AL198</f>
        <v>0</v>
      </c>
      <c r="AW198" s="21">
        <f>T198+AD198+AN198</f>
        <v>0</v>
      </c>
      <c r="AX198" s="21">
        <f>V198+AF198+AP198</f>
        <v>0</v>
      </c>
      <c r="AY198" s="21">
        <f>X198+AH198+AR198</f>
        <v>0</v>
      </c>
    </row>
    <row r="199" spans="1:51" hidden="1" x14ac:dyDescent="0.2">
      <c r="A199" s="50" t="s">
        <v>406</v>
      </c>
      <c r="B199" s="51" t="s">
        <v>208</v>
      </c>
      <c r="C199" s="51"/>
      <c r="D199" s="51"/>
      <c r="E199" s="52">
        <f>IF(G199="Y",VLOOKUP(B199&amp;"|"&amp;C199,'[1]ETC Data'!$C$2:$D$16,2,FALSE),0)</f>
        <v>0</v>
      </c>
      <c r="F199" s="52">
        <f>IF(D199="",0,IF(G199="Y",VLOOKUP(B199&amp;"|"&amp;D199,'[1]ETC Data'!$C$2:$D$16,2,FALSE),0))</f>
        <v>0</v>
      </c>
      <c r="G199" s="53" t="str">
        <f>IF(VLOOKUP(A199,[1]Plan!A$1:H$804,8,FALSE)&lt;&gt;"",VLOOKUP(A199,[1]Plan!A$1:H$804,8,FALSE),"")</f>
        <v>N</v>
      </c>
      <c r="H199" s="54" t="str">
        <f>IF(VLOOKUP(A199,[1]Plan!A$1:L$804,12,FALSE)&lt;&gt;"",VLOOKUP(A199,[1]Plan!A$1:L$804,12,FALSE),"")</f>
        <v/>
      </c>
      <c r="I199" s="55" t="str">
        <f>IF(VLOOKUP(A199,[1]Plan!A$1:M$804,13,FALSE)&lt;&gt;"",VLOOKUP(A199,[1]Plan!A$1:M$804,13,FALSE),"")</f>
        <v/>
      </c>
      <c r="J199" s="55" t="str">
        <f>IF(VLOOKUP(A199,[1]Plan!A$1:N$804,14,FALSE)&lt;&gt;"",VLOOKUP(A199,[1]Plan!A$1:N$804,14,FALSE),IF(VLOOKUP(A199,[1]Plan!A$1:O$804,15,FALSE)&lt;&gt;"",VLOOKUP(A199,[1]Plan!A$1:O$804,15,FALSE),""))</f>
        <v/>
      </c>
      <c r="K199" s="56" t="str">
        <f>IF(VLOOKUP(A199,[1]Plan!A$1:P$804,16,FALSE)&lt;&gt;"",VLOOKUP(A199,[1]Plan!A$1:P$804,16,FALSE),"")</f>
        <v/>
      </c>
      <c r="L199" s="55"/>
      <c r="M199" s="55"/>
      <c r="N199" s="55"/>
      <c r="O199" s="57">
        <f>IF(F199=0,E199,F199)</f>
        <v>0</v>
      </c>
      <c r="P199" s="57" t="b">
        <f>OR(H199="Y",I199="Y")</f>
        <v>0</v>
      </c>
      <c r="Q199" s="58">
        <f>IF(P199,O199*'[1]ETC Data'!$H$3*'[1]ETC Data'!$I$3,0)</f>
        <v>0</v>
      </c>
      <c r="R199" s="58">
        <f>Q199-(Q199*((VLOOKUP(A199,[1]Plan!A$1:Z$804,26,FALSE)/100)))</f>
        <v>0</v>
      </c>
      <c r="S199" s="58">
        <f>IF(P199,O199*'[1]ETC Data'!$H$3*'[1]ETC Data'!$J$3,0)</f>
        <v>0</v>
      </c>
      <c r="T199" s="58">
        <f>S199-(S199*((VLOOKUP(A199,[1]Plan!A$1:AA$804,27,FALSE)/100)))</f>
        <v>0</v>
      </c>
      <c r="U199" s="58">
        <f>IF(P199,O199*'[1]ETC Data'!$H$3*'[1]ETC Data'!$K$3,0)</f>
        <v>0</v>
      </c>
      <c r="V199" s="58">
        <f>U199-(U199*((VLOOKUP(A199,[1]Plan!A$1:AB$804,28,FALSE)/100)))</f>
        <v>0</v>
      </c>
      <c r="W199" s="58">
        <f>IF(P199,O199*'[1]ETC Data'!$H$3*'[1]ETC Data'!$L$3,0)</f>
        <v>0</v>
      </c>
      <c r="X199" s="58">
        <f>W199-(W199*((VLOOKUP(A199,[1]Plan!A$1:AC$804,29,FALSE)/100)))</f>
        <v>0</v>
      </c>
      <c r="Y199" s="59"/>
      <c r="Z199" s="60" t="b">
        <f>OR(H199="Y",J199="Y")</f>
        <v>0</v>
      </c>
      <c r="AA199" s="58">
        <f>IF(Z199,O199*'[1]ETC Data'!$H$4*'[1]ETC Data'!$I$4,0)</f>
        <v>0</v>
      </c>
      <c r="AB199" s="58">
        <f>AA199-(AA199*((VLOOKUP(A199,[1]Plan!A$1:AI$804,35,FALSE)/100)))</f>
        <v>0</v>
      </c>
      <c r="AC199" s="58">
        <f>IF(Z199,O199*'[1]ETC Data'!$H$4*'[1]ETC Data'!$J$4,0)</f>
        <v>0</v>
      </c>
      <c r="AD199" s="58">
        <f>AC199-(AC199*((VLOOKUP(A199,[1]Plan!A$1:AJ$804,36,FALSE)/100)))</f>
        <v>0</v>
      </c>
      <c r="AE199" s="58">
        <f>IF(Z199,O199*'[1]ETC Data'!$H$4*'[1]ETC Data'!$K$4,0)</f>
        <v>0</v>
      </c>
      <c r="AF199" s="58">
        <f>AE199-(AE199*((VLOOKUP(A199,[1]Plan!A$1:AK$804,37,FALSE)/100)))</f>
        <v>0</v>
      </c>
      <c r="AG199" s="58">
        <f>IF(Z199,O199*'[1]ETC Data'!$H$4*'[1]ETC Data'!$L$4,0)</f>
        <v>0</v>
      </c>
      <c r="AH199" s="58">
        <f>AG199-(AG199*((VLOOKUP(A199,[1]Plan!A$1:AP$804,42,FALSE)/100)))</f>
        <v>0</v>
      </c>
      <c r="AI199" s="60"/>
      <c r="AJ199" s="60" t="b">
        <f>OR(H199="Y",K199="Y")</f>
        <v>0</v>
      </c>
      <c r="AK199" s="61">
        <f>IF(AJ199,O199*'[1]ETC Data'!$H$5*'[1]ETC Data'!$I$5,0)</f>
        <v>0</v>
      </c>
      <c r="AL199" s="58">
        <f>AK199-(AK199*((VLOOKUP(A199,[1]Plan!A$1:AY$804,51,FALSE)/100)))</f>
        <v>0</v>
      </c>
      <c r="AM199" s="58">
        <f>IF(AJ199,O199*'[1]ETC Data'!$H$5*'[1]ETC Data'!$J$5,0)</f>
        <v>0</v>
      </c>
      <c r="AN199" s="58">
        <f>AM199-(AM199*((VLOOKUP(A199,[1]Plan!A$1:BA$804,53,FALSE)/100)))</f>
        <v>0</v>
      </c>
      <c r="AO199" s="61">
        <f>IF(AJ199,O199*'[1]ETC Data'!$H$5*'[1]ETC Data'!$K$5,0)</f>
        <v>0</v>
      </c>
      <c r="AP199" s="58">
        <f>AO199-(AO199*((VLOOKUP(A199,[1]Plan!A$1:BB$804,54,FALSE)/100)))</f>
        <v>0</v>
      </c>
      <c r="AQ199" s="58">
        <f>IF(AJ199,O199*'[1]ETC Data'!$H$5*'[1]ETC Data'!$L$5,0)</f>
        <v>0</v>
      </c>
      <c r="AR199" s="58">
        <f>AQ199-(AQ199*((VLOOKUP(A199,[1]Plan!A$1:BD$804,56,FALSE)/100)))</f>
        <v>0</v>
      </c>
      <c r="AS199" s="20">
        <f>VLOOKUP(A199,'[1]PR Matrix'!A:B,2,FALSE)</f>
        <v>0</v>
      </c>
      <c r="AT199" s="21">
        <f>R199+T199+V199+X199+AB199+AD199+AF199+AH199+AL199+AN199+AP199+AR199</f>
        <v>0</v>
      </c>
      <c r="AU199" s="21">
        <f>Q199+S199+U199+W199+AA199+AC199+AE199+AG199+AK199+AM199+AO199+AQ199</f>
        <v>0</v>
      </c>
      <c r="AV199" s="21">
        <f>R199+AB199+AL199</f>
        <v>0</v>
      </c>
      <c r="AW199" s="21">
        <f>T199+AD199+AN199</f>
        <v>0</v>
      </c>
      <c r="AX199" s="21">
        <f>V199+AF199+AP199</f>
        <v>0</v>
      </c>
      <c r="AY199" s="21">
        <f>X199+AH199+AR199</f>
        <v>0</v>
      </c>
    </row>
    <row r="200" spans="1:51" hidden="1" x14ac:dyDescent="0.2">
      <c r="A200" s="50" t="s">
        <v>407</v>
      </c>
      <c r="B200" s="51" t="s">
        <v>208</v>
      </c>
      <c r="C200" s="51"/>
      <c r="D200" s="51"/>
      <c r="E200" s="52">
        <f>IF(G200="Y",VLOOKUP(B200&amp;"|"&amp;C200,'[1]ETC Data'!$C$2:$D$16,2,FALSE),0)</f>
        <v>0</v>
      </c>
      <c r="F200" s="52">
        <f>IF(D200="",0,IF(G200="Y",VLOOKUP(B200&amp;"|"&amp;D200,'[1]ETC Data'!$C$2:$D$16,2,FALSE),0))</f>
        <v>0</v>
      </c>
      <c r="G200" s="53" t="str">
        <f>IF(VLOOKUP(A200,[1]Plan!A$1:H$804,8,FALSE)&lt;&gt;"",VLOOKUP(A200,[1]Plan!A$1:H$804,8,FALSE),"")</f>
        <v>N</v>
      </c>
      <c r="H200" s="54" t="str">
        <f>IF(VLOOKUP(A200,[1]Plan!A$1:L$804,12,FALSE)&lt;&gt;"",VLOOKUP(A200,[1]Plan!A$1:L$804,12,FALSE),"")</f>
        <v/>
      </c>
      <c r="I200" s="55" t="str">
        <f>IF(VLOOKUP(A200,[1]Plan!A$1:M$804,13,FALSE)&lt;&gt;"",VLOOKUP(A200,[1]Plan!A$1:M$804,13,FALSE),"")</f>
        <v/>
      </c>
      <c r="J200" s="55" t="str">
        <f>IF(VLOOKUP(A200,[1]Plan!A$1:N$804,14,FALSE)&lt;&gt;"",VLOOKUP(A200,[1]Plan!A$1:N$804,14,FALSE),IF(VLOOKUP(A200,[1]Plan!A$1:O$804,15,FALSE)&lt;&gt;"",VLOOKUP(A200,[1]Plan!A$1:O$804,15,FALSE),""))</f>
        <v/>
      </c>
      <c r="K200" s="56" t="str">
        <f>IF(VLOOKUP(A200,[1]Plan!A$1:P$804,16,FALSE)&lt;&gt;"",VLOOKUP(A200,[1]Plan!A$1:P$804,16,FALSE),"")</f>
        <v/>
      </c>
      <c r="L200" s="55"/>
      <c r="M200" s="55"/>
      <c r="N200" s="55"/>
      <c r="O200" s="57">
        <f>IF(F200=0,E200,F200)</f>
        <v>0</v>
      </c>
      <c r="P200" s="57" t="b">
        <f>OR(H200="Y",I200="Y")</f>
        <v>0</v>
      </c>
      <c r="Q200" s="58">
        <f>IF(P200,O200*'[1]ETC Data'!$H$3*'[1]ETC Data'!$I$3,0)</f>
        <v>0</v>
      </c>
      <c r="R200" s="58">
        <f>Q200-(Q200*((VLOOKUP(A200,[1]Plan!A$1:Z$804,26,FALSE)/100)))</f>
        <v>0</v>
      </c>
      <c r="S200" s="58">
        <f>IF(P200,O200*'[1]ETC Data'!$H$3*'[1]ETC Data'!$J$3,0)</f>
        <v>0</v>
      </c>
      <c r="T200" s="58">
        <f>S200-(S200*((VLOOKUP(A200,[1]Plan!A$1:AA$804,27,FALSE)/100)))</f>
        <v>0</v>
      </c>
      <c r="U200" s="58">
        <f>IF(P200,O200*'[1]ETC Data'!$H$3*'[1]ETC Data'!$K$3,0)</f>
        <v>0</v>
      </c>
      <c r="V200" s="58">
        <f>U200-(U200*((VLOOKUP(A200,[1]Plan!A$1:AB$804,28,FALSE)/100)))</f>
        <v>0</v>
      </c>
      <c r="W200" s="58">
        <f>IF(P200,O200*'[1]ETC Data'!$H$3*'[1]ETC Data'!$L$3,0)</f>
        <v>0</v>
      </c>
      <c r="X200" s="58">
        <f>W200-(W200*((VLOOKUP(A200,[1]Plan!A$1:AC$804,29,FALSE)/100)))</f>
        <v>0</v>
      </c>
      <c r="Y200" s="59"/>
      <c r="Z200" s="60" t="b">
        <f>OR(H200="Y",J200="Y")</f>
        <v>0</v>
      </c>
      <c r="AA200" s="58">
        <f>IF(Z200,O200*'[1]ETC Data'!$H$4*'[1]ETC Data'!$I$4,0)</f>
        <v>0</v>
      </c>
      <c r="AB200" s="58">
        <f>AA200-(AA200*((VLOOKUP(A200,[1]Plan!A$1:AI$804,35,FALSE)/100)))</f>
        <v>0</v>
      </c>
      <c r="AC200" s="58">
        <f>IF(Z200,O200*'[1]ETC Data'!$H$4*'[1]ETC Data'!$J$4,0)</f>
        <v>0</v>
      </c>
      <c r="AD200" s="58">
        <f>AC200-(AC200*((VLOOKUP(A200,[1]Plan!A$1:AJ$804,36,FALSE)/100)))</f>
        <v>0</v>
      </c>
      <c r="AE200" s="58">
        <f>IF(Z200,O200*'[1]ETC Data'!$H$4*'[1]ETC Data'!$K$4,0)</f>
        <v>0</v>
      </c>
      <c r="AF200" s="58">
        <f>AE200-(AE200*((VLOOKUP(A200,[1]Plan!A$1:AK$804,37,FALSE)/100)))</f>
        <v>0</v>
      </c>
      <c r="AG200" s="58">
        <f>IF(Z200,O200*'[1]ETC Data'!$H$4*'[1]ETC Data'!$L$4,0)</f>
        <v>0</v>
      </c>
      <c r="AH200" s="58">
        <f>AG200-(AG200*((VLOOKUP(A200,[1]Plan!A$1:AP$804,42,FALSE)/100)))</f>
        <v>0</v>
      </c>
      <c r="AI200" s="60"/>
      <c r="AJ200" s="60" t="b">
        <f>OR(H200="Y",K200="Y")</f>
        <v>0</v>
      </c>
      <c r="AK200" s="61">
        <f>IF(AJ200,O200*'[1]ETC Data'!$H$5*'[1]ETC Data'!$I$5,0)</f>
        <v>0</v>
      </c>
      <c r="AL200" s="58">
        <f>AK200-(AK200*((VLOOKUP(A200,[1]Plan!A$1:AY$804,51,FALSE)/100)))</f>
        <v>0</v>
      </c>
      <c r="AM200" s="58">
        <f>IF(AJ200,O200*'[1]ETC Data'!$H$5*'[1]ETC Data'!$J$5,0)</f>
        <v>0</v>
      </c>
      <c r="AN200" s="58">
        <f>AM200-(AM200*((VLOOKUP(A200,[1]Plan!A$1:BA$804,53,FALSE)/100)))</f>
        <v>0</v>
      </c>
      <c r="AO200" s="61">
        <f>IF(AJ200,O200*'[1]ETC Data'!$H$5*'[1]ETC Data'!$K$5,0)</f>
        <v>0</v>
      </c>
      <c r="AP200" s="58">
        <f>AO200-(AO200*((VLOOKUP(A200,[1]Plan!A$1:BB$804,54,FALSE)/100)))</f>
        <v>0</v>
      </c>
      <c r="AQ200" s="58">
        <f>IF(AJ200,O200*'[1]ETC Data'!$H$5*'[1]ETC Data'!$L$5,0)</f>
        <v>0</v>
      </c>
      <c r="AR200" s="58">
        <f>AQ200-(AQ200*((VLOOKUP(A200,[1]Plan!A$1:BD$804,56,FALSE)/100)))</f>
        <v>0</v>
      </c>
      <c r="AS200" s="20">
        <f>VLOOKUP(A200,'[1]PR Matrix'!A:B,2,FALSE)</f>
        <v>0</v>
      </c>
      <c r="AT200" s="21">
        <f>R200+T200+V200+X200+AB200+AD200+AF200+AH200+AL200+AN200+AP200+AR200</f>
        <v>0</v>
      </c>
      <c r="AU200" s="21">
        <f>Q200+S200+U200+W200+AA200+AC200+AE200+AG200+AK200+AM200+AO200+AQ200</f>
        <v>0</v>
      </c>
      <c r="AV200" s="21">
        <f>R200+AB200+AL200</f>
        <v>0</v>
      </c>
      <c r="AW200" s="21">
        <f>T200+AD200+AN200</f>
        <v>0</v>
      </c>
      <c r="AX200" s="21">
        <f>V200+AF200+AP200</f>
        <v>0</v>
      </c>
      <c r="AY200" s="21">
        <f>X200+AH200+AR200</f>
        <v>0</v>
      </c>
    </row>
    <row r="201" spans="1:51" hidden="1" x14ac:dyDescent="0.2">
      <c r="A201" s="50" t="s">
        <v>408</v>
      </c>
      <c r="B201" s="51" t="s">
        <v>208</v>
      </c>
      <c r="C201" s="51"/>
      <c r="D201" s="51"/>
      <c r="E201" s="52">
        <f>IF(G201="Y",VLOOKUP(B201&amp;"|"&amp;C201,'[1]ETC Data'!$C$2:$D$16,2,FALSE),0)</f>
        <v>0</v>
      </c>
      <c r="F201" s="52">
        <f>IF(D201="",0,IF(G201="Y",VLOOKUP(B201&amp;"|"&amp;D201,'[1]ETC Data'!$C$2:$D$16,2,FALSE),0))</f>
        <v>0</v>
      </c>
      <c r="G201" s="53" t="str">
        <f>IF(VLOOKUP(A201,[1]Plan!A$1:H$804,8,FALSE)&lt;&gt;"",VLOOKUP(A201,[1]Plan!A$1:H$804,8,FALSE),"")</f>
        <v>N</v>
      </c>
      <c r="H201" s="54" t="str">
        <f>IF(VLOOKUP(A201,[1]Plan!A$1:L$804,12,FALSE)&lt;&gt;"",VLOOKUP(A201,[1]Plan!A$1:L$804,12,FALSE),"")</f>
        <v/>
      </c>
      <c r="I201" s="55" t="str">
        <f>IF(VLOOKUP(A201,[1]Plan!A$1:M$804,13,FALSE)&lt;&gt;"",VLOOKUP(A201,[1]Plan!A$1:M$804,13,FALSE),"")</f>
        <v/>
      </c>
      <c r="J201" s="55" t="str">
        <f>IF(VLOOKUP(A201,[1]Plan!A$1:N$804,14,FALSE)&lt;&gt;"",VLOOKUP(A201,[1]Plan!A$1:N$804,14,FALSE),IF(VLOOKUP(A201,[1]Plan!A$1:O$804,15,FALSE)&lt;&gt;"",VLOOKUP(A201,[1]Plan!A$1:O$804,15,FALSE),""))</f>
        <v/>
      </c>
      <c r="K201" s="56" t="str">
        <f>IF(VLOOKUP(A201,[1]Plan!A$1:P$804,16,FALSE)&lt;&gt;"",VLOOKUP(A201,[1]Plan!A$1:P$804,16,FALSE),"")</f>
        <v/>
      </c>
      <c r="L201" s="55"/>
      <c r="M201" s="55"/>
      <c r="N201" s="55"/>
      <c r="O201" s="57">
        <f>IF(F201=0,E201,F201)</f>
        <v>0</v>
      </c>
      <c r="P201" s="57" t="b">
        <f>OR(H201="Y",I201="Y")</f>
        <v>0</v>
      </c>
      <c r="Q201" s="58">
        <f>IF(P201,O201*'[1]ETC Data'!$H$3*'[1]ETC Data'!$I$3,0)</f>
        <v>0</v>
      </c>
      <c r="R201" s="58">
        <f>Q201-(Q201*((VLOOKUP(A201,[1]Plan!A$1:Z$804,26,FALSE)/100)))</f>
        <v>0</v>
      </c>
      <c r="S201" s="58">
        <f>IF(P201,O201*'[1]ETC Data'!$H$3*'[1]ETC Data'!$J$3,0)</f>
        <v>0</v>
      </c>
      <c r="T201" s="58">
        <f>S201-(S201*((VLOOKUP(A201,[1]Plan!A$1:AA$804,27,FALSE)/100)))</f>
        <v>0</v>
      </c>
      <c r="U201" s="58">
        <f>IF(P201,O201*'[1]ETC Data'!$H$3*'[1]ETC Data'!$K$3,0)</f>
        <v>0</v>
      </c>
      <c r="V201" s="58">
        <f>U201-(U201*((VLOOKUP(A201,[1]Plan!A$1:AB$804,28,FALSE)/100)))</f>
        <v>0</v>
      </c>
      <c r="W201" s="58">
        <f>IF(P201,O201*'[1]ETC Data'!$H$3*'[1]ETC Data'!$L$3,0)</f>
        <v>0</v>
      </c>
      <c r="X201" s="58">
        <f>W201-(W201*((VLOOKUP(A201,[1]Plan!A$1:AC$804,29,FALSE)/100)))</f>
        <v>0</v>
      </c>
      <c r="Y201" s="59"/>
      <c r="Z201" s="60" t="b">
        <f>OR(H201="Y",J201="Y")</f>
        <v>0</v>
      </c>
      <c r="AA201" s="58">
        <f>IF(Z201,O201*'[1]ETC Data'!$H$4*'[1]ETC Data'!$I$4,0)</f>
        <v>0</v>
      </c>
      <c r="AB201" s="58">
        <f>AA201-(AA201*((VLOOKUP(A201,[1]Plan!A$1:AI$804,35,FALSE)/100)))</f>
        <v>0</v>
      </c>
      <c r="AC201" s="58">
        <f>IF(Z201,O201*'[1]ETC Data'!$H$4*'[1]ETC Data'!$J$4,0)</f>
        <v>0</v>
      </c>
      <c r="AD201" s="58">
        <f>AC201-(AC201*((VLOOKUP(A201,[1]Plan!A$1:AJ$804,36,FALSE)/100)))</f>
        <v>0</v>
      </c>
      <c r="AE201" s="58">
        <f>IF(Z201,O201*'[1]ETC Data'!$H$4*'[1]ETC Data'!$K$4,0)</f>
        <v>0</v>
      </c>
      <c r="AF201" s="58">
        <f>AE201-(AE201*((VLOOKUP(A201,[1]Plan!A$1:AK$804,37,FALSE)/100)))</f>
        <v>0</v>
      </c>
      <c r="AG201" s="58">
        <f>IF(Z201,O201*'[1]ETC Data'!$H$4*'[1]ETC Data'!$L$4,0)</f>
        <v>0</v>
      </c>
      <c r="AH201" s="58">
        <f>AG201-(AG201*((VLOOKUP(A201,[1]Plan!A$1:AP$804,42,FALSE)/100)))</f>
        <v>0</v>
      </c>
      <c r="AI201" s="60"/>
      <c r="AJ201" s="60" t="b">
        <f>OR(H201="Y",K201="Y")</f>
        <v>0</v>
      </c>
      <c r="AK201" s="61">
        <f>IF(AJ201,O201*'[1]ETC Data'!$H$5*'[1]ETC Data'!$I$5,0)</f>
        <v>0</v>
      </c>
      <c r="AL201" s="58">
        <f>AK201-(AK201*((VLOOKUP(A201,[1]Plan!A$1:AY$804,51,FALSE)/100)))</f>
        <v>0</v>
      </c>
      <c r="AM201" s="58">
        <f>IF(AJ201,O201*'[1]ETC Data'!$H$5*'[1]ETC Data'!$J$5,0)</f>
        <v>0</v>
      </c>
      <c r="AN201" s="58">
        <f>AM201-(AM201*((VLOOKUP(A201,[1]Plan!A$1:BA$804,53,FALSE)/100)))</f>
        <v>0</v>
      </c>
      <c r="AO201" s="61">
        <f>IF(AJ201,O201*'[1]ETC Data'!$H$5*'[1]ETC Data'!$K$5,0)</f>
        <v>0</v>
      </c>
      <c r="AP201" s="58">
        <f>AO201-(AO201*((VLOOKUP(A201,[1]Plan!A$1:BB$804,54,FALSE)/100)))</f>
        <v>0</v>
      </c>
      <c r="AQ201" s="58">
        <f>IF(AJ201,O201*'[1]ETC Data'!$H$5*'[1]ETC Data'!$L$5,0)</f>
        <v>0</v>
      </c>
      <c r="AR201" s="58">
        <f>AQ201-(AQ201*((VLOOKUP(A201,[1]Plan!A$1:BD$804,56,FALSE)/100)))</f>
        <v>0</v>
      </c>
      <c r="AS201" s="20">
        <f>VLOOKUP(A201,'[1]PR Matrix'!A:B,2,FALSE)</f>
        <v>0</v>
      </c>
      <c r="AT201" s="21">
        <f>R201+T201+V201+X201+AB201+AD201+AF201+AH201+AL201+AN201+AP201+AR201</f>
        <v>0</v>
      </c>
      <c r="AU201" s="21">
        <f>Q201+S201+U201+W201+AA201+AC201+AE201+AG201+AK201+AM201+AO201+AQ201</f>
        <v>0</v>
      </c>
      <c r="AV201" s="21">
        <f>R201+AB201+AL201</f>
        <v>0</v>
      </c>
      <c r="AW201" s="21">
        <f>T201+AD201+AN201</f>
        <v>0</v>
      </c>
      <c r="AX201" s="21">
        <f>V201+AF201+AP201</f>
        <v>0</v>
      </c>
      <c r="AY201" s="21">
        <f>X201+AH201+AR201</f>
        <v>0</v>
      </c>
    </row>
    <row r="202" spans="1:51" hidden="1" x14ac:dyDescent="0.2">
      <c r="A202" s="50" t="s">
        <v>409</v>
      </c>
      <c r="B202" s="51" t="s">
        <v>208</v>
      </c>
      <c r="C202" s="51"/>
      <c r="D202" s="51"/>
      <c r="E202" s="52">
        <f>IF(G202="Y",VLOOKUP(B202&amp;"|"&amp;C202,'[1]ETC Data'!$C$2:$D$16,2,FALSE),0)</f>
        <v>0</v>
      </c>
      <c r="F202" s="52">
        <f>IF(D202="",0,IF(G202="Y",VLOOKUP(B202&amp;"|"&amp;D202,'[1]ETC Data'!$C$2:$D$16,2,FALSE),0))</f>
        <v>0</v>
      </c>
      <c r="G202" s="53" t="str">
        <f>IF(VLOOKUP(A202,[1]Plan!A$1:H$804,8,FALSE)&lt;&gt;"",VLOOKUP(A202,[1]Plan!A$1:H$804,8,FALSE),"")</f>
        <v>N</v>
      </c>
      <c r="H202" s="54" t="str">
        <f>IF(VLOOKUP(A202,[1]Plan!A$1:L$804,12,FALSE)&lt;&gt;"",VLOOKUP(A202,[1]Plan!A$1:L$804,12,FALSE),"")</f>
        <v/>
      </c>
      <c r="I202" s="55" t="str">
        <f>IF(VLOOKUP(A202,[1]Plan!A$1:M$804,13,FALSE)&lt;&gt;"",VLOOKUP(A202,[1]Plan!A$1:M$804,13,FALSE),"")</f>
        <v/>
      </c>
      <c r="J202" s="55" t="str">
        <f>IF(VLOOKUP(A202,[1]Plan!A$1:N$804,14,FALSE)&lt;&gt;"",VLOOKUP(A202,[1]Plan!A$1:N$804,14,FALSE),IF(VLOOKUP(A202,[1]Plan!A$1:O$804,15,FALSE)&lt;&gt;"",VLOOKUP(A202,[1]Plan!A$1:O$804,15,FALSE),""))</f>
        <v/>
      </c>
      <c r="K202" s="56" t="str">
        <f>IF(VLOOKUP(A202,[1]Plan!A$1:P$804,16,FALSE)&lt;&gt;"",VLOOKUP(A202,[1]Plan!A$1:P$804,16,FALSE),"")</f>
        <v/>
      </c>
      <c r="L202" s="55"/>
      <c r="M202" s="55"/>
      <c r="N202" s="55"/>
      <c r="O202" s="57">
        <f>IF(F202=0,E202,F202)</f>
        <v>0</v>
      </c>
      <c r="P202" s="57" t="b">
        <f>OR(H202="Y",I202="Y")</f>
        <v>0</v>
      </c>
      <c r="Q202" s="58">
        <f>IF(P202,O202*'[1]ETC Data'!$H$3*'[1]ETC Data'!$I$3,0)</f>
        <v>0</v>
      </c>
      <c r="R202" s="58">
        <f>Q202-(Q202*((VLOOKUP(A202,[1]Plan!A$1:Z$804,26,FALSE)/100)))</f>
        <v>0</v>
      </c>
      <c r="S202" s="58">
        <f>IF(P202,O202*'[1]ETC Data'!$H$3*'[1]ETC Data'!$J$3,0)</f>
        <v>0</v>
      </c>
      <c r="T202" s="58">
        <f>S202-(S202*((VLOOKUP(A202,[1]Plan!A$1:AA$804,27,FALSE)/100)))</f>
        <v>0</v>
      </c>
      <c r="U202" s="58">
        <f>IF(P202,O202*'[1]ETC Data'!$H$3*'[1]ETC Data'!$K$3,0)</f>
        <v>0</v>
      </c>
      <c r="V202" s="58">
        <f>U202-(U202*((VLOOKUP(A202,[1]Plan!A$1:AB$804,28,FALSE)/100)))</f>
        <v>0</v>
      </c>
      <c r="W202" s="58">
        <f>IF(P202,O202*'[1]ETC Data'!$H$3*'[1]ETC Data'!$L$3,0)</f>
        <v>0</v>
      </c>
      <c r="X202" s="58">
        <f>W202-(W202*((VLOOKUP(A202,[1]Plan!A$1:AC$804,29,FALSE)/100)))</f>
        <v>0</v>
      </c>
      <c r="Y202" s="59"/>
      <c r="Z202" s="60" t="b">
        <f>OR(H202="Y",J202="Y")</f>
        <v>0</v>
      </c>
      <c r="AA202" s="58">
        <f>IF(Z202,O202*'[1]ETC Data'!$H$4*'[1]ETC Data'!$I$4,0)</f>
        <v>0</v>
      </c>
      <c r="AB202" s="58">
        <f>AA202-(AA202*((VLOOKUP(A202,[1]Plan!A$1:AI$804,35,FALSE)/100)))</f>
        <v>0</v>
      </c>
      <c r="AC202" s="58">
        <f>IF(Z202,O202*'[1]ETC Data'!$H$4*'[1]ETC Data'!$J$4,0)</f>
        <v>0</v>
      </c>
      <c r="AD202" s="58">
        <f>AC202-(AC202*((VLOOKUP(A202,[1]Plan!A$1:AJ$804,36,FALSE)/100)))</f>
        <v>0</v>
      </c>
      <c r="AE202" s="58">
        <f>IF(Z202,O202*'[1]ETC Data'!$H$4*'[1]ETC Data'!$K$4,0)</f>
        <v>0</v>
      </c>
      <c r="AF202" s="58">
        <f>AE202-(AE202*((VLOOKUP(A202,[1]Plan!A$1:AK$804,37,FALSE)/100)))</f>
        <v>0</v>
      </c>
      <c r="AG202" s="58">
        <f>IF(Z202,O202*'[1]ETC Data'!$H$4*'[1]ETC Data'!$L$4,0)</f>
        <v>0</v>
      </c>
      <c r="AH202" s="58">
        <f>AG202-(AG202*((VLOOKUP(A202,[1]Plan!A$1:AP$804,42,FALSE)/100)))</f>
        <v>0</v>
      </c>
      <c r="AI202" s="60"/>
      <c r="AJ202" s="60" t="b">
        <f>OR(H202="Y",K202="Y")</f>
        <v>0</v>
      </c>
      <c r="AK202" s="61">
        <f>IF(AJ202,O202*'[1]ETC Data'!$H$5*'[1]ETC Data'!$I$5,0)</f>
        <v>0</v>
      </c>
      <c r="AL202" s="58">
        <f>AK202-(AK202*((VLOOKUP(A202,[1]Plan!A$1:AY$804,51,FALSE)/100)))</f>
        <v>0</v>
      </c>
      <c r="AM202" s="58">
        <f>IF(AJ202,O202*'[1]ETC Data'!$H$5*'[1]ETC Data'!$J$5,0)</f>
        <v>0</v>
      </c>
      <c r="AN202" s="58">
        <f>AM202-(AM202*((VLOOKUP(A202,[1]Plan!A$1:BA$804,53,FALSE)/100)))</f>
        <v>0</v>
      </c>
      <c r="AO202" s="61">
        <f>IF(AJ202,O202*'[1]ETC Data'!$H$5*'[1]ETC Data'!$K$5,0)</f>
        <v>0</v>
      </c>
      <c r="AP202" s="58">
        <f>AO202-(AO202*((VLOOKUP(A202,[1]Plan!A$1:BB$804,54,FALSE)/100)))</f>
        <v>0</v>
      </c>
      <c r="AQ202" s="58">
        <f>IF(AJ202,O202*'[1]ETC Data'!$H$5*'[1]ETC Data'!$L$5,0)</f>
        <v>0</v>
      </c>
      <c r="AR202" s="58">
        <f>AQ202-(AQ202*((VLOOKUP(A202,[1]Plan!A$1:BD$804,56,FALSE)/100)))</f>
        <v>0</v>
      </c>
      <c r="AS202" s="20">
        <f>VLOOKUP(A202,'[1]PR Matrix'!A:B,2,FALSE)</f>
        <v>0</v>
      </c>
      <c r="AT202" s="21">
        <f>R202+T202+V202+X202+AB202+AD202+AF202+AH202+AL202+AN202+AP202+AR202</f>
        <v>0</v>
      </c>
      <c r="AU202" s="21">
        <f>Q202+S202+U202+W202+AA202+AC202+AE202+AG202+AK202+AM202+AO202+AQ202</f>
        <v>0</v>
      </c>
      <c r="AV202" s="21">
        <f>R202+AB202+AL202</f>
        <v>0</v>
      </c>
      <c r="AW202" s="21">
        <f>T202+AD202+AN202</f>
        <v>0</v>
      </c>
      <c r="AX202" s="21">
        <f>V202+AF202+AP202</f>
        <v>0</v>
      </c>
      <c r="AY202" s="21">
        <f>X202+AH202+AR202</f>
        <v>0</v>
      </c>
    </row>
    <row r="203" spans="1:51" x14ac:dyDescent="0.2">
      <c r="A203" s="50" t="s">
        <v>372</v>
      </c>
      <c r="B203" s="51" t="s">
        <v>208</v>
      </c>
      <c r="C203" s="51" t="s">
        <v>258</v>
      </c>
      <c r="D203" s="51"/>
      <c r="E203" s="63">
        <f>IF(G203="Y",VLOOKUP(B203&amp;"|"&amp;C203,'[1]ETC Data'!$C$2:$D$16,2,FALSE),0)</f>
        <v>169</v>
      </c>
      <c r="F203" s="63">
        <f>IF(D203="",0,IF(G203="Y",VLOOKUP(B203&amp;"|"&amp;D203,'[1]ETC Data'!$C$2:$D$16,2,FALSE),0))</f>
        <v>0</v>
      </c>
      <c r="G203" s="53" t="str">
        <f>IF(VLOOKUP(A203,[1]Plan!A$1:H$804,8,FALSE)&lt;&gt;"",VLOOKUP(A203,[1]Plan!A$1:H$804,8,FALSE),"")</f>
        <v>Y</v>
      </c>
      <c r="H203" s="54" t="str">
        <f>IF(VLOOKUP(A203,[1]Plan!A$1:L$804,12,FALSE)&lt;&gt;"",VLOOKUP(A203,[1]Plan!A$1:L$804,12,FALSE),"")</f>
        <v/>
      </c>
      <c r="I203" s="55" t="str">
        <f>IF(VLOOKUP(A203,[1]Plan!A$1:M$804,13,FALSE)&lt;&gt;"",VLOOKUP(A203,[1]Plan!A$1:M$804,13,FALSE),"")</f>
        <v/>
      </c>
      <c r="J203" s="55" t="str">
        <f>IF(VLOOKUP(A203,[1]Plan!A$1:N$804,14,FALSE)&lt;&gt;"",VLOOKUP(A203,[1]Plan!A$1:N$804,14,FALSE),IF(VLOOKUP(A203,[1]Plan!A$1:O$804,15,FALSE)&lt;&gt;"",VLOOKUP(A203,[1]Plan!A$1:O$804,15,FALSE),""))</f>
        <v>Y</v>
      </c>
      <c r="K203" s="56" t="str">
        <f>IF(VLOOKUP(A203,[1]Plan!A$1:P$804,16,FALSE)&lt;&gt;"",VLOOKUP(A203,[1]Plan!A$1:P$804,16,FALSE),"")</f>
        <v/>
      </c>
      <c r="L203" s="55"/>
      <c r="M203" s="55"/>
      <c r="N203" s="55"/>
      <c r="O203" s="57">
        <f>IF(F203=0,E203,F203)</f>
        <v>169</v>
      </c>
      <c r="P203" s="57" t="b">
        <f>OR(H203="Y",I203="Y")</f>
        <v>0</v>
      </c>
      <c r="Q203" s="58">
        <f>IF(P203,O203*'[1]ETC Data'!$H$3*'[1]ETC Data'!$I$3,0)</f>
        <v>0</v>
      </c>
      <c r="R203" s="58">
        <f>Q203-(Q203*((VLOOKUP(A203,[1]Plan!A$1:Z$804,26,FALSE)/100)))</f>
        <v>0</v>
      </c>
      <c r="S203" s="58">
        <f>IF(P203,O203*'[1]ETC Data'!$H$3*'[1]ETC Data'!$J$3,0)</f>
        <v>0</v>
      </c>
      <c r="T203" s="58">
        <f>S203-(S203*((VLOOKUP(A203,[1]Plan!A$1:AA$804,27,FALSE)/100)))</f>
        <v>0</v>
      </c>
      <c r="U203" s="58">
        <f>IF(P203,O203*'[1]ETC Data'!$H$3*'[1]ETC Data'!$K$3,0)</f>
        <v>0</v>
      </c>
      <c r="V203" s="58">
        <f>U203-(U203*((VLOOKUP(A203,[1]Plan!A$1:AB$804,28,FALSE)/100)))</f>
        <v>0</v>
      </c>
      <c r="W203" s="58">
        <f>IF(P203,O203*'[1]ETC Data'!$H$3*'[1]ETC Data'!$L$3,0)</f>
        <v>0</v>
      </c>
      <c r="X203" s="58">
        <f>W203-(W203*((VLOOKUP(A203,[1]Plan!A$1:AC$804,29,FALSE)/100)))</f>
        <v>0</v>
      </c>
      <c r="Y203" s="59"/>
      <c r="Z203" s="60" t="b">
        <f>OR(H203="Y",J203="Y")</f>
        <v>1</v>
      </c>
      <c r="AA203" s="58">
        <f>IF(Z203,O203*'[1]ETC Data'!$H$4*'[1]ETC Data'!$I$4,0)</f>
        <v>41.238099455199013</v>
      </c>
      <c r="AB203" s="58">
        <f>AA203-(AA203*((VLOOKUP(A203,[1]Plan!A$1:AI$804,35,FALSE)/100)))</f>
        <v>41.238099455199013</v>
      </c>
      <c r="AC203" s="58">
        <f>IF(Z203,O203*'[1]ETC Data'!$H$4*'[1]ETC Data'!$J$4,0)</f>
        <v>20.619049727599506</v>
      </c>
      <c r="AD203" s="58">
        <f>AC203-(AC203*((VLOOKUP(A203,[1]Plan!A$1:AJ$804,36,FALSE)/100)))</f>
        <v>20.619049727599506</v>
      </c>
      <c r="AE203" s="58">
        <f>IF(Z203,O203*'[1]ETC Data'!$H$4*'[1]ETC Data'!$K$4,0)</f>
        <v>14.845715803871643</v>
      </c>
      <c r="AF203" s="58">
        <f>AE203-(AE203*((VLOOKUP(A203,[1]Plan!A$1:AK$804,37,FALSE)/100)))</f>
        <v>14.845715803871643</v>
      </c>
      <c r="AG203" s="58">
        <f>IF(Z203,O203*'[1]ETC Data'!$H$4*'[1]ETC Data'!$L$4,0)</f>
        <v>5.7733339237278622</v>
      </c>
      <c r="AH203" s="58">
        <f>AG203-(AG203*((VLOOKUP(A203,[1]Plan!A$1:AP$804,42,FALSE)/100)))</f>
        <v>5.7733339237278622</v>
      </c>
      <c r="AI203" s="60"/>
      <c r="AJ203" s="60" t="b">
        <f>OR(H203="Y",K203="Y")</f>
        <v>0</v>
      </c>
      <c r="AK203" s="61">
        <f>IF(AJ203,O203*'[1]ETC Data'!$H$5*'[1]ETC Data'!$I$5,0)</f>
        <v>0</v>
      </c>
      <c r="AL203" s="58">
        <f>AK203-(AK203*((VLOOKUP(A203,[1]Plan!A$1:AY$804,51,FALSE)/100)))</f>
        <v>0</v>
      </c>
      <c r="AM203" s="58">
        <f>IF(AJ203,O203*'[1]ETC Data'!$H$5*'[1]ETC Data'!$J$5,0)</f>
        <v>0</v>
      </c>
      <c r="AN203" s="58">
        <f>AM203-(AM203*((VLOOKUP(A203,[1]Plan!A$1:BA$804,53,FALSE)/100)))</f>
        <v>0</v>
      </c>
      <c r="AO203" s="61">
        <f>IF(AJ203,O203*'[1]ETC Data'!$H$5*'[1]ETC Data'!$K$5,0)</f>
        <v>0</v>
      </c>
      <c r="AP203" s="58">
        <f>AO203-(AO203*((VLOOKUP(A203,[1]Plan!A$1:BB$804,54,FALSE)/100)))</f>
        <v>0</v>
      </c>
      <c r="AQ203" s="58">
        <f>IF(AJ203,O203*'[1]ETC Data'!$H$5*'[1]ETC Data'!$L$5,0)</f>
        <v>0</v>
      </c>
      <c r="AR203" s="58">
        <f>AQ203-(AQ203*((VLOOKUP(A203,[1]Plan!A$1:BD$804,56,FALSE)/100)))</f>
        <v>0</v>
      </c>
      <c r="AS203" s="20">
        <f>VLOOKUP(A203,'[1]PR Matrix'!A:B,2,FALSE)</f>
        <v>6233</v>
      </c>
      <c r="AT203" s="21">
        <f>R203+T203+V203+X203+AB203+AD203+AF203+AH203+AL203+AN203+AP203+AR203</f>
        <v>82.476198910398026</v>
      </c>
      <c r="AU203" s="21">
        <f>Q203+S203+U203+W203+AA203+AC203+AE203+AG203+AK203+AM203+AO203+AQ203</f>
        <v>82.476198910398026</v>
      </c>
      <c r="AV203" s="21">
        <f>R203+AB203+AL203</f>
        <v>41.238099455199013</v>
      </c>
      <c r="AW203" s="21">
        <f>T203+AD203+AN203</f>
        <v>20.619049727599506</v>
      </c>
      <c r="AX203" s="21">
        <f>V203+AF203+AP203</f>
        <v>14.845715803871643</v>
      </c>
      <c r="AY203" s="21">
        <f>X203+AH203+AR203</f>
        <v>5.7733339237278622</v>
      </c>
    </row>
    <row r="204" spans="1:51" hidden="1" x14ac:dyDescent="0.2">
      <c r="A204" s="50" t="s">
        <v>411</v>
      </c>
      <c r="B204" s="51" t="s">
        <v>208</v>
      </c>
      <c r="C204" s="51"/>
      <c r="D204" s="51"/>
      <c r="E204" s="52">
        <f>IF(G204="Y",VLOOKUP(B204&amp;"|"&amp;C204,'[1]ETC Data'!$C$2:$D$16,2,FALSE),0)</f>
        <v>0</v>
      </c>
      <c r="F204" s="52">
        <f>IF(D204="",0,IF(G204="Y",VLOOKUP(B204&amp;"|"&amp;D204,'[1]ETC Data'!$C$2:$D$16,2,FALSE),0))</f>
        <v>0</v>
      </c>
      <c r="G204" s="53" t="str">
        <f>IF(VLOOKUP(A204,[1]Plan!A$1:H$804,8,FALSE)&lt;&gt;"",VLOOKUP(A204,[1]Plan!A$1:H$804,8,FALSE),"")</f>
        <v>N</v>
      </c>
      <c r="H204" s="54" t="str">
        <f>IF(VLOOKUP(A204,[1]Plan!A$1:L$804,12,FALSE)&lt;&gt;"",VLOOKUP(A204,[1]Plan!A$1:L$804,12,FALSE),"")</f>
        <v/>
      </c>
      <c r="I204" s="55" t="str">
        <f>IF(VLOOKUP(A204,[1]Plan!A$1:M$804,13,FALSE)&lt;&gt;"",VLOOKUP(A204,[1]Plan!A$1:M$804,13,FALSE),"")</f>
        <v/>
      </c>
      <c r="J204" s="55" t="str">
        <f>IF(VLOOKUP(A204,[1]Plan!A$1:N$804,14,FALSE)&lt;&gt;"",VLOOKUP(A204,[1]Plan!A$1:N$804,14,FALSE),IF(VLOOKUP(A204,[1]Plan!A$1:O$804,15,FALSE)&lt;&gt;"",VLOOKUP(A204,[1]Plan!A$1:O$804,15,FALSE),""))</f>
        <v/>
      </c>
      <c r="K204" s="56" t="str">
        <f>IF(VLOOKUP(A204,[1]Plan!A$1:P$804,16,FALSE)&lt;&gt;"",VLOOKUP(A204,[1]Plan!A$1:P$804,16,FALSE),"")</f>
        <v/>
      </c>
      <c r="L204" s="55"/>
      <c r="M204" s="55"/>
      <c r="N204" s="55"/>
      <c r="O204" s="57">
        <f>IF(F204=0,E204,F204)</f>
        <v>0</v>
      </c>
      <c r="P204" s="57" t="b">
        <f>OR(H204="Y",I204="Y")</f>
        <v>0</v>
      </c>
      <c r="Q204" s="58">
        <f>IF(P204,O204*'[1]ETC Data'!$H$3*'[1]ETC Data'!$I$3,0)</f>
        <v>0</v>
      </c>
      <c r="R204" s="58">
        <f>Q204-(Q204*((VLOOKUP(A204,[1]Plan!A$1:Z$804,26,FALSE)/100)))</f>
        <v>0</v>
      </c>
      <c r="S204" s="58">
        <f>IF(P204,O204*'[1]ETC Data'!$H$3*'[1]ETC Data'!$J$3,0)</f>
        <v>0</v>
      </c>
      <c r="T204" s="58">
        <f>S204-(S204*((VLOOKUP(A204,[1]Plan!A$1:AA$804,27,FALSE)/100)))</f>
        <v>0</v>
      </c>
      <c r="U204" s="58">
        <f>IF(P204,O204*'[1]ETC Data'!$H$3*'[1]ETC Data'!$K$3,0)</f>
        <v>0</v>
      </c>
      <c r="V204" s="58">
        <f>U204-(U204*((VLOOKUP(A204,[1]Plan!A$1:AB$804,28,FALSE)/100)))</f>
        <v>0</v>
      </c>
      <c r="W204" s="58">
        <f>IF(P204,O204*'[1]ETC Data'!$H$3*'[1]ETC Data'!$L$3,0)</f>
        <v>0</v>
      </c>
      <c r="X204" s="58">
        <f>W204-(W204*((VLOOKUP(A204,[1]Plan!A$1:AC$804,29,FALSE)/100)))</f>
        <v>0</v>
      </c>
      <c r="Y204" s="59"/>
      <c r="Z204" s="60" t="b">
        <f>OR(H204="Y",J204="Y")</f>
        <v>0</v>
      </c>
      <c r="AA204" s="58">
        <f>IF(Z204,O204*'[1]ETC Data'!$H$4*'[1]ETC Data'!$I$4,0)</f>
        <v>0</v>
      </c>
      <c r="AB204" s="58">
        <f>AA204-(AA204*((VLOOKUP(A204,[1]Plan!A$1:AI$804,35,FALSE)/100)))</f>
        <v>0</v>
      </c>
      <c r="AC204" s="58">
        <f>IF(Z204,O204*'[1]ETC Data'!$H$4*'[1]ETC Data'!$J$4,0)</f>
        <v>0</v>
      </c>
      <c r="AD204" s="58">
        <f>AC204-(AC204*((VLOOKUP(A204,[1]Plan!A$1:AJ$804,36,FALSE)/100)))</f>
        <v>0</v>
      </c>
      <c r="AE204" s="58">
        <f>IF(Z204,O204*'[1]ETC Data'!$H$4*'[1]ETC Data'!$K$4,0)</f>
        <v>0</v>
      </c>
      <c r="AF204" s="58">
        <f>AE204-(AE204*((VLOOKUP(A204,[1]Plan!A$1:AK$804,37,FALSE)/100)))</f>
        <v>0</v>
      </c>
      <c r="AG204" s="58">
        <f>IF(Z204,O204*'[1]ETC Data'!$H$4*'[1]ETC Data'!$L$4,0)</f>
        <v>0</v>
      </c>
      <c r="AH204" s="58">
        <f>AG204-(AG204*((VLOOKUP(A204,[1]Plan!A$1:AP$804,42,FALSE)/100)))</f>
        <v>0</v>
      </c>
      <c r="AI204" s="60"/>
      <c r="AJ204" s="60" t="b">
        <f>OR(H204="Y",K204="Y")</f>
        <v>0</v>
      </c>
      <c r="AK204" s="61">
        <f>IF(AJ204,O204*'[1]ETC Data'!$H$5*'[1]ETC Data'!$I$5,0)</f>
        <v>0</v>
      </c>
      <c r="AL204" s="58">
        <f>AK204-(AK204*((VLOOKUP(A204,[1]Plan!A$1:AY$804,51,FALSE)/100)))</f>
        <v>0</v>
      </c>
      <c r="AM204" s="58">
        <f>IF(AJ204,O204*'[1]ETC Data'!$H$5*'[1]ETC Data'!$J$5,0)</f>
        <v>0</v>
      </c>
      <c r="AN204" s="58">
        <f>AM204-(AM204*((VLOOKUP(A204,[1]Plan!A$1:BA$804,53,FALSE)/100)))</f>
        <v>0</v>
      </c>
      <c r="AO204" s="61">
        <f>IF(AJ204,O204*'[1]ETC Data'!$H$5*'[1]ETC Data'!$K$5,0)</f>
        <v>0</v>
      </c>
      <c r="AP204" s="58">
        <f>AO204-(AO204*((VLOOKUP(A204,[1]Plan!A$1:BB$804,54,FALSE)/100)))</f>
        <v>0</v>
      </c>
      <c r="AQ204" s="58">
        <f>IF(AJ204,O204*'[1]ETC Data'!$H$5*'[1]ETC Data'!$L$5,0)</f>
        <v>0</v>
      </c>
      <c r="AR204" s="58">
        <f>AQ204-(AQ204*((VLOOKUP(A204,[1]Plan!A$1:BD$804,56,FALSE)/100)))</f>
        <v>0</v>
      </c>
      <c r="AS204" s="20">
        <f>VLOOKUP(A204,'[1]PR Matrix'!A:B,2,FALSE)</f>
        <v>0</v>
      </c>
      <c r="AT204" s="21">
        <f>R204+T204+V204+X204+AB204+AD204+AF204+AH204+AL204+AN204+AP204+AR204</f>
        <v>0</v>
      </c>
      <c r="AU204" s="21">
        <f>Q204+S204+U204+W204+AA204+AC204+AE204+AG204+AK204+AM204+AO204+AQ204</f>
        <v>0</v>
      </c>
      <c r="AV204" s="21">
        <f>R204+AB204+AL204</f>
        <v>0</v>
      </c>
      <c r="AW204" s="21">
        <f>T204+AD204+AN204</f>
        <v>0</v>
      </c>
      <c r="AX204" s="21">
        <f>V204+AF204+AP204</f>
        <v>0</v>
      </c>
      <c r="AY204" s="21">
        <f>X204+AH204+AR204</f>
        <v>0</v>
      </c>
    </row>
    <row r="205" spans="1:51" hidden="1" x14ac:dyDescent="0.2">
      <c r="A205" s="50" t="s">
        <v>412</v>
      </c>
      <c r="B205" s="51" t="s">
        <v>208</v>
      </c>
      <c r="C205" s="51"/>
      <c r="D205" s="51"/>
      <c r="E205" s="52">
        <f>IF(G205="Y",VLOOKUP(B205&amp;"|"&amp;C205,'[1]ETC Data'!$C$2:$D$16,2,FALSE),0)</f>
        <v>0</v>
      </c>
      <c r="F205" s="52">
        <f>IF(D205="",0,IF(G205="Y",VLOOKUP(B205&amp;"|"&amp;D205,'[1]ETC Data'!$C$2:$D$16,2,FALSE),0))</f>
        <v>0</v>
      </c>
      <c r="G205" s="53" t="str">
        <f>IF(VLOOKUP(A205,[1]Plan!A$1:H$804,8,FALSE)&lt;&gt;"",VLOOKUP(A205,[1]Plan!A$1:H$804,8,FALSE),"")</f>
        <v>N</v>
      </c>
      <c r="H205" s="54" t="str">
        <f>IF(VLOOKUP(A205,[1]Plan!A$1:L$804,12,FALSE)&lt;&gt;"",VLOOKUP(A205,[1]Plan!A$1:L$804,12,FALSE),"")</f>
        <v/>
      </c>
      <c r="I205" s="55" t="str">
        <f>IF(VLOOKUP(A205,[1]Plan!A$1:M$804,13,FALSE)&lt;&gt;"",VLOOKUP(A205,[1]Plan!A$1:M$804,13,FALSE),"")</f>
        <v/>
      </c>
      <c r="J205" s="55" t="str">
        <f>IF(VLOOKUP(A205,[1]Plan!A$1:N$804,14,FALSE)&lt;&gt;"",VLOOKUP(A205,[1]Plan!A$1:N$804,14,FALSE),IF(VLOOKUP(A205,[1]Plan!A$1:O$804,15,FALSE)&lt;&gt;"",VLOOKUP(A205,[1]Plan!A$1:O$804,15,FALSE),""))</f>
        <v/>
      </c>
      <c r="K205" s="56" t="str">
        <f>IF(VLOOKUP(A205,[1]Plan!A$1:P$804,16,FALSE)&lt;&gt;"",VLOOKUP(A205,[1]Plan!A$1:P$804,16,FALSE),"")</f>
        <v/>
      </c>
      <c r="L205" s="55"/>
      <c r="M205" s="55"/>
      <c r="N205" s="55"/>
      <c r="O205" s="57">
        <f>IF(F205=0,E205,F205)</f>
        <v>0</v>
      </c>
      <c r="P205" s="57" t="b">
        <f>OR(H205="Y",I205="Y")</f>
        <v>0</v>
      </c>
      <c r="Q205" s="58">
        <f>IF(P205,O205*'[1]ETC Data'!$H$3*'[1]ETC Data'!$I$3,0)</f>
        <v>0</v>
      </c>
      <c r="R205" s="58">
        <f>Q205-(Q205*((VLOOKUP(A205,[1]Plan!A$1:Z$804,26,FALSE)/100)))</f>
        <v>0</v>
      </c>
      <c r="S205" s="58">
        <f>IF(P205,O205*'[1]ETC Data'!$H$3*'[1]ETC Data'!$J$3,0)</f>
        <v>0</v>
      </c>
      <c r="T205" s="58">
        <f>S205-(S205*((VLOOKUP(A205,[1]Plan!A$1:AA$804,27,FALSE)/100)))</f>
        <v>0</v>
      </c>
      <c r="U205" s="58">
        <f>IF(P205,O205*'[1]ETC Data'!$H$3*'[1]ETC Data'!$K$3,0)</f>
        <v>0</v>
      </c>
      <c r="V205" s="58">
        <f>U205-(U205*((VLOOKUP(A205,[1]Plan!A$1:AB$804,28,FALSE)/100)))</f>
        <v>0</v>
      </c>
      <c r="W205" s="58">
        <f>IF(P205,O205*'[1]ETC Data'!$H$3*'[1]ETC Data'!$L$3,0)</f>
        <v>0</v>
      </c>
      <c r="X205" s="58">
        <f>W205-(W205*((VLOOKUP(A205,[1]Plan!A$1:AC$804,29,FALSE)/100)))</f>
        <v>0</v>
      </c>
      <c r="Y205" s="59"/>
      <c r="Z205" s="60" t="b">
        <f>OR(H205="Y",J205="Y")</f>
        <v>0</v>
      </c>
      <c r="AA205" s="58">
        <f>IF(Z205,O205*'[1]ETC Data'!$H$4*'[1]ETC Data'!$I$4,0)</f>
        <v>0</v>
      </c>
      <c r="AB205" s="58">
        <f>AA205-(AA205*((VLOOKUP(A205,[1]Plan!A$1:AI$804,35,FALSE)/100)))</f>
        <v>0</v>
      </c>
      <c r="AC205" s="58">
        <f>IF(Z205,O205*'[1]ETC Data'!$H$4*'[1]ETC Data'!$J$4,0)</f>
        <v>0</v>
      </c>
      <c r="AD205" s="58">
        <f>AC205-(AC205*((VLOOKUP(A205,[1]Plan!A$1:AJ$804,36,FALSE)/100)))</f>
        <v>0</v>
      </c>
      <c r="AE205" s="58">
        <f>IF(Z205,O205*'[1]ETC Data'!$H$4*'[1]ETC Data'!$K$4,0)</f>
        <v>0</v>
      </c>
      <c r="AF205" s="58">
        <f>AE205-(AE205*((VLOOKUP(A205,[1]Plan!A$1:AK$804,37,FALSE)/100)))</f>
        <v>0</v>
      </c>
      <c r="AG205" s="58">
        <f>IF(Z205,O205*'[1]ETC Data'!$H$4*'[1]ETC Data'!$L$4,0)</f>
        <v>0</v>
      </c>
      <c r="AH205" s="58">
        <f>AG205-(AG205*((VLOOKUP(A205,[1]Plan!A$1:AP$804,42,FALSE)/100)))</f>
        <v>0</v>
      </c>
      <c r="AI205" s="60"/>
      <c r="AJ205" s="60" t="b">
        <f>OR(H205="Y",K205="Y")</f>
        <v>0</v>
      </c>
      <c r="AK205" s="61">
        <f>IF(AJ205,O205*'[1]ETC Data'!$H$5*'[1]ETC Data'!$I$5,0)</f>
        <v>0</v>
      </c>
      <c r="AL205" s="58">
        <f>AK205-(AK205*((VLOOKUP(A205,[1]Plan!A$1:AY$804,51,FALSE)/100)))</f>
        <v>0</v>
      </c>
      <c r="AM205" s="58">
        <f>IF(AJ205,O205*'[1]ETC Data'!$H$5*'[1]ETC Data'!$J$5,0)</f>
        <v>0</v>
      </c>
      <c r="AN205" s="58">
        <f>AM205-(AM205*((VLOOKUP(A205,[1]Plan!A$1:BA$804,53,FALSE)/100)))</f>
        <v>0</v>
      </c>
      <c r="AO205" s="61">
        <f>IF(AJ205,O205*'[1]ETC Data'!$H$5*'[1]ETC Data'!$K$5,0)</f>
        <v>0</v>
      </c>
      <c r="AP205" s="58">
        <f>AO205-(AO205*((VLOOKUP(A205,[1]Plan!A$1:BB$804,54,FALSE)/100)))</f>
        <v>0</v>
      </c>
      <c r="AQ205" s="58">
        <f>IF(AJ205,O205*'[1]ETC Data'!$H$5*'[1]ETC Data'!$L$5,0)</f>
        <v>0</v>
      </c>
      <c r="AR205" s="58">
        <f>AQ205-(AQ205*((VLOOKUP(A205,[1]Plan!A$1:BD$804,56,FALSE)/100)))</f>
        <v>0</v>
      </c>
      <c r="AS205" s="20">
        <f>VLOOKUP(A205,'[1]PR Matrix'!A:B,2,FALSE)</f>
        <v>0</v>
      </c>
      <c r="AT205" s="21">
        <f>R205+T205+V205+X205+AB205+AD205+AF205+AH205+AL205+AN205+AP205+AR205</f>
        <v>0</v>
      </c>
      <c r="AU205" s="21">
        <f>Q205+S205+U205+W205+AA205+AC205+AE205+AG205+AK205+AM205+AO205+AQ205</f>
        <v>0</v>
      </c>
      <c r="AV205" s="21">
        <f>R205+AB205+AL205</f>
        <v>0</v>
      </c>
      <c r="AW205" s="21">
        <f>T205+AD205+AN205</f>
        <v>0</v>
      </c>
      <c r="AX205" s="21">
        <f>V205+AF205+AP205</f>
        <v>0</v>
      </c>
      <c r="AY205" s="21">
        <f>X205+AH205+AR205</f>
        <v>0</v>
      </c>
    </row>
    <row r="206" spans="1:51" hidden="1" x14ac:dyDescent="0.2">
      <c r="A206" s="50" t="s">
        <v>413</v>
      </c>
      <c r="B206" s="51" t="s">
        <v>208</v>
      </c>
      <c r="C206" s="51"/>
      <c r="D206" s="51"/>
      <c r="E206" s="52">
        <f>IF(G206="Y",VLOOKUP(B206&amp;"|"&amp;C206,'[1]ETC Data'!$C$2:$D$16,2,FALSE),0)</f>
        <v>0</v>
      </c>
      <c r="F206" s="52">
        <f>IF(D206="",0,IF(G206="Y",VLOOKUP(B206&amp;"|"&amp;D206,'[1]ETC Data'!$C$2:$D$16,2,FALSE),0))</f>
        <v>0</v>
      </c>
      <c r="G206" s="53" t="str">
        <f>IF(VLOOKUP(A206,[1]Plan!A$1:H$804,8,FALSE)&lt;&gt;"",VLOOKUP(A206,[1]Plan!A$1:H$804,8,FALSE),"")</f>
        <v>N</v>
      </c>
      <c r="H206" s="54" t="str">
        <f>IF(VLOOKUP(A206,[1]Plan!A$1:L$804,12,FALSE)&lt;&gt;"",VLOOKUP(A206,[1]Plan!A$1:L$804,12,FALSE),"")</f>
        <v/>
      </c>
      <c r="I206" s="55" t="str">
        <f>IF(VLOOKUP(A206,[1]Plan!A$1:M$804,13,FALSE)&lt;&gt;"",VLOOKUP(A206,[1]Plan!A$1:M$804,13,FALSE),"")</f>
        <v/>
      </c>
      <c r="J206" s="55" t="str">
        <f>IF(VLOOKUP(A206,[1]Plan!A$1:N$804,14,FALSE)&lt;&gt;"",VLOOKUP(A206,[1]Plan!A$1:N$804,14,FALSE),IF(VLOOKUP(A206,[1]Plan!A$1:O$804,15,FALSE)&lt;&gt;"",VLOOKUP(A206,[1]Plan!A$1:O$804,15,FALSE),""))</f>
        <v/>
      </c>
      <c r="K206" s="56" t="str">
        <f>IF(VLOOKUP(A206,[1]Plan!A$1:P$804,16,FALSE)&lt;&gt;"",VLOOKUP(A206,[1]Plan!A$1:P$804,16,FALSE),"")</f>
        <v/>
      </c>
      <c r="L206" s="55"/>
      <c r="M206" s="55"/>
      <c r="N206" s="55"/>
      <c r="O206" s="57">
        <f>IF(F206=0,E206,F206)</f>
        <v>0</v>
      </c>
      <c r="P206" s="57" t="b">
        <f>OR(H206="Y",I206="Y")</f>
        <v>0</v>
      </c>
      <c r="Q206" s="58">
        <f>IF(P206,O206*'[1]ETC Data'!$H$3*'[1]ETC Data'!$I$3,0)</f>
        <v>0</v>
      </c>
      <c r="R206" s="58">
        <f>Q206-(Q206*((VLOOKUP(A206,[1]Plan!A$1:Z$804,26,FALSE)/100)))</f>
        <v>0</v>
      </c>
      <c r="S206" s="58">
        <f>IF(P206,O206*'[1]ETC Data'!$H$3*'[1]ETC Data'!$J$3,0)</f>
        <v>0</v>
      </c>
      <c r="T206" s="58">
        <f>S206-(S206*((VLOOKUP(A206,[1]Plan!A$1:AA$804,27,FALSE)/100)))</f>
        <v>0</v>
      </c>
      <c r="U206" s="58">
        <f>IF(P206,O206*'[1]ETC Data'!$H$3*'[1]ETC Data'!$K$3,0)</f>
        <v>0</v>
      </c>
      <c r="V206" s="58">
        <f>U206-(U206*((VLOOKUP(A206,[1]Plan!A$1:AB$804,28,FALSE)/100)))</f>
        <v>0</v>
      </c>
      <c r="W206" s="58">
        <f>IF(P206,O206*'[1]ETC Data'!$H$3*'[1]ETC Data'!$L$3,0)</f>
        <v>0</v>
      </c>
      <c r="X206" s="58">
        <f>W206-(W206*((VLOOKUP(A206,[1]Plan!A$1:AC$804,29,FALSE)/100)))</f>
        <v>0</v>
      </c>
      <c r="Y206" s="59"/>
      <c r="Z206" s="60" t="b">
        <f>OR(H206="Y",J206="Y")</f>
        <v>0</v>
      </c>
      <c r="AA206" s="58">
        <f>IF(Z206,O206*'[1]ETC Data'!$H$4*'[1]ETC Data'!$I$4,0)</f>
        <v>0</v>
      </c>
      <c r="AB206" s="58">
        <f>AA206-(AA206*((VLOOKUP(A206,[1]Plan!A$1:AI$804,35,FALSE)/100)))</f>
        <v>0</v>
      </c>
      <c r="AC206" s="58">
        <f>IF(Z206,O206*'[1]ETC Data'!$H$4*'[1]ETC Data'!$J$4,0)</f>
        <v>0</v>
      </c>
      <c r="AD206" s="58">
        <f>AC206-(AC206*((VLOOKUP(A206,[1]Plan!A$1:AJ$804,36,FALSE)/100)))</f>
        <v>0</v>
      </c>
      <c r="AE206" s="58">
        <f>IF(Z206,O206*'[1]ETC Data'!$H$4*'[1]ETC Data'!$K$4,0)</f>
        <v>0</v>
      </c>
      <c r="AF206" s="58">
        <f>AE206-(AE206*((VLOOKUP(A206,[1]Plan!A$1:AK$804,37,FALSE)/100)))</f>
        <v>0</v>
      </c>
      <c r="AG206" s="58">
        <f>IF(Z206,O206*'[1]ETC Data'!$H$4*'[1]ETC Data'!$L$4,0)</f>
        <v>0</v>
      </c>
      <c r="AH206" s="58">
        <f>AG206-(AG206*((VLOOKUP(A206,[1]Plan!A$1:AP$804,42,FALSE)/100)))</f>
        <v>0</v>
      </c>
      <c r="AI206" s="60"/>
      <c r="AJ206" s="60" t="b">
        <f>OR(H206="Y",K206="Y")</f>
        <v>0</v>
      </c>
      <c r="AK206" s="61">
        <f>IF(AJ206,O206*'[1]ETC Data'!$H$5*'[1]ETC Data'!$I$5,0)</f>
        <v>0</v>
      </c>
      <c r="AL206" s="58">
        <f>AK206-(AK206*((VLOOKUP(A206,[1]Plan!A$1:AY$804,51,FALSE)/100)))</f>
        <v>0</v>
      </c>
      <c r="AM206" s="58">
        <f>IF(AJ206,O206*'[1]ETC Data'!$H$5*'[1]ETC Data'!$J$5,0)</f>
        <v>0</v>
      </c>
      <c r="AN206" s="58">
        <f>AM206-(AM206*((VLOOKUP(A206,[1]Plan!A$1:BA$804,53,FALSE)/100)))</f>
        <v>0</v>
      </c>
      <c r="AO206" s="61">
        <f>IF(AJ206,O206*'[1]ETC Data'!$H$5*'[1]ETC Data'!$K$5,0)</f>
        <v>0</v>
      </c>
      <c r="AP206" s="58">
        <f>AO206-(AO206*((VLOOKUP(A206,[1]Plan!A$1:BB$804,54,FALSE)/100)))</f>
        <v>0</v>
      </c>
      <c r="AQ206" s="58">
        <f>IF(AJ206,O206*'[1]ETC Data'!$H$5*'[1]ETC Data'!$L$5,0)</f>
        <v>0</v>
      </c>
      <c r="AR206" s="58">
        <f>AQ206-(AQ206*((VLOOKUP(A206,[1]Plan!A$1:BD$804,56,FALSE)/100)))</f>
        <v>0</v>
      </c>
      <c r="AS206" s="20">
        <f>VLOOKUP(A206,'[1]PR Matrix'!A:B,2,FALSE)</f>
        <v>0</v>
      </c>
      <c r="AT206" s="21">
        <f>R206+T206+V206+X206+AB206+AD206+AF206+AH206+AL206+AN206+AP206+AR206</f>
        <v>0</v>
      </c>
      <c r="AU206" s="21">
        <f>Q206+S206+U206+W206+AA206+AC206+AE206+AG206+AK206+AM206+AO206+AQ206</f>
        <v>0</v>
      </c>
      <c r="AV206" s="21">
        <f>R206+AB206+AL206</f>
        <v>0</v>
      </c>
      <c r="AW206" s="21">
        <f>T206+AD206+AN206</f>
        <v>0</v>
      </c>
      <c r="AX206" s="21">
        <f>V206+AF206+AP206</f>
        <v>0</v>
      </c>
      <c r="AY206" s="21">
        <f>X206+AH206+AR206</f>
        <v>0</v>
      </c>
    </row>
    <row r="207" spans="1:51" hidden="1" x14ac:dyDescent="0.2">
      <c r="A207" s="50" t="s">
        <v>414</v>
      </c>
      <c r="B207" s="51" t="s">
        <v>208</v>
      </c>
      <c r="C207" s="51"/>
      <c r="D207" s="51"/>
      <c r="E207" s="52">
        <f>IF(G207="Y",VLOOKUP(B207&amp;"|"&amp;C207,'[1]ETC Data'!$C$2:$D$16,2,FALSE),0)</f>
        <v>0</v>
      </c>
      <c r="F207" s="52">
        <f>IF(D207="",0,IF(G207="Y",VLOOKUP(B207&amp;"|"&amp;D207,'[1]ETC Data'!$C$2:$D$16,2,FALSE),0))</f>
        <v>0</v>
      </c>
      <c r="G207" s="53" t="str">
        <f>IF(VLOOKUP(A207,[1]Plan!A$1:H$804,8,FALSE)&lt;&gt;"",VLOOKUP(A207,[1]Plan!A$1:H$804,8,FALSE),"")</f>
        <v>N</v>
      </c>
      <c r="H207" s="54" t="str">
        <f>IF(VLOOKUP(A207,[1]Plan!A$1:L$804,12,FALSE)&lt;&gt;"",VLOOKUP(A207,[1]Plan!A$1:L$804,12,FALSE),"")</f>
        <v/>
      </c>
      <c r="I207" s="55" t="str">
        <f>IF(VLOOKUP(A207,[1]Plan!A$1:M$804,13,FALSE)&lt;&gt;"",VLOOKUP(A207,[1]Plan!A$1:M$804,13,FALSE),"")</f>
        <v/>
      </c>
      <c r="J207" s="55" t="str">
        <f>IF(VLOOKUP(A207,[1]Plan!A$1:N$804,14,FALSE)&lt;&gt;"",VLOOKUP(A207,[1]Plan!A$1:N$804,14,FALSE),IF(VLOOKUP(A207,[1]Plan!A$1:O$804,15,FALSE)&lt;&gt;"",VLOOKUP(A207,[1]Plan!A$1:O$804,15,FALSE),""))</f>
        <v/>
      </c>
      <c r="K207" s="56" t="str">
        <f>IF(VLOOKUP(A207,[1]Plan!A$1:P$804,16,FALSE)&lt;&gt;"",VLOOKUP(A207,[1]Plan!A$1:P$804,16,FALSE),"")</f>
        <v/>
      </c>
      <c r="L207" s="55"/>
      <c r="M207" s="55"/>
      <c r="N207" s="55"/>
      <c r="O207" s="57">
        <f>IF(F207=0,E207,F207)</f>
        <v>0</v>
      </c>
      <c r="P207" s="57" t="b">
        <f>OR(H207="Y",I207="Y")</f>
        <v>0</v>
      </c>
      <c r="Q207" s="58">
        <f>IF(P207,O207*'[1]ETC Data'!$H$3*'[1]ETC Data'!$I$3,0)</f>
        <v>0</v>
      </c>
      <c r="R207" s="58">
        <f>Q207-(Q207*((VLOOKUP(A207,[1]Plan!A$1:Z$804,26,FALSE)/100)))</f>
        <v>0</v>
      </c>
      <c r="S207" s="58">
        <f>IF(P207,O207*'[1]ETC Data'!$H$3*'[1]ETC Data'!$J$3,0)</f>
        <v>0</v>
      </c>
      <c r="T207" s="58">
        <f>S207-(S207*((VLOOKUP(A207,[1]Plan!A$1:AA$804,27,FALSE)/100)))</f>
        <v>0</v>
      </c>
      <c r="U207" s="58">
        <f>IF(P207,O207*'[1]ETC Data'!$H$3*'[1]ETC Data'!$K$3,0)</f>
        <v>0</v>
      </c>
      <c r="V207" s="58">
        <f>U207-(U207*((VLOOKUP(A207,[1]Plan!A$1:AB$804,28,FALSE)/100)))</f>
        <v>0</v>
      </c>
      <c r="W207" s="58">
        <f>IF(P207,O207*'[1]ETC Data'!$H$3*'[1]ETC Data'!$L$3,0)</f>
        <v>0</v>
      </c>
      <c r="X207" s="58">
        <f>W207-(W207*((VLOOKUP(A207,[1]Plan!A$1:AC$804,29,FALSE)/100)))</f>
        <v>0</v>
      </c>
      <c r="Y207" s="59"/>
      <c r="Z207" s="60" t="b">
        <f>OR(H207="Y",J207="Y")</f>
        <v>0</v>
      </c>
      <c r="AA207" s="58">
        <f>IF(Z207,O207*'[1]ETC Data'!$H$4*'[1]ETC Data'!$I$4,0)</f>
        <v>0</v>
      </c>
      <c r="AB207" s="58">
        <f>AA207-(AA207*((VLOOKUP(A207,[1]Plan!A$1:AI$804,35,FALSE)/100)))</f>
        <v>0</v>
      </c>
      <c r="AC207" s="58">
        <f>IF(Z207,O207*'[1]ETC Data'!$H$4*'[1]ETC Data'!$J$4,0)</f>
        <v>0</v>
      </c>
      <c r="AD207" s="58">
        <f>AC207-(AC207*((VLOOKUP(A207,[1]Plan!A$1:AJ$804,36,FALSE)/100)))</f>
        <v>0</v>
      </c>
      <c r="AE207" s="58">
        <f>IF(Z207,O207*'[1]ETC Data'!$H$4*'[1]ETC Data'!$K$4,0)</f>
        <v>0</v>
      </c>
      <c r="AF207" s="58">
        <f>AE207-(AE207*((VLOOKUP(A207,[1]Plan!A$1:AK$804,37,FALSE)/100)))</f>
        <v>0</v>
      </c>
      <c r="AG207" s="58">
        <f>IF(Z207,O207*'[1]ETC Data'!$H$4*'[1]ETC Data'!$L$4,0)</f>
        <v>0</v>
      </c>
      <c r="AH207" s="58">
        <f>AG207-(AG207*((VLOOKUP(A207,[1]Plan!A$1:AP$804,42,FALSE)/100)))</f>
        <v>0</v>
      </c>
      <c r="AI207" s="60"/>
      <c r="AJ207" s="60" t="b">
        <f>OR(H207="Y",K207="Y")</f>
        <v>0</v>
      </c>
      <c r="AK207" s="61">
        <f>IF(AJ207,O207*'[1]ETC Data'!$H$5*'[1]ETC Data'!$I$5,0)</f>
        <v>0</v>
      </c>
      <c r="AL207" s="58">
        <f>AK207-(AK207*((VLOOKUP(A207,[1]Plan!A$1:AY$804,51,FALSE)/100)))</f>
        <v>0</v>
      </c>
      <c r="AM207" s="58">
        <f>IF(AJ207,O207*'[1]ETC Data'!$H$5*'[1]ETC Data'!$J$5,0)</f>
        <v>0</v>
      </c>
      <c r="AN207" s="58">
        <f>AM207-(AM207*((VLOOKUP(A207,[1]Plan!A$1:BA$804,53,FALSE)/100)))</f>
        <v>0</v>
      </c>
      <c r="AO207" s="61">
        <f>IF(AJ207,O207*'[1]ETC Data'!$H$5*'[1]ETC Data'!$K$5,0)</f>
        <v>0</v>
      </c>
      <c r="AP207" s="58">
        <f>AO207-(AO207*((VLOOKUP(A207,[1]Plan!A$1:BB$804,54,FALSE)/100)))</f>
        <v>0</v>
      </c>
      <c r="AQ207" s="58">
        <f>IF(AJ207,O207*'[1]ETC Data'!$H$5*'[1]ETC Data'!$L$5,0)</f>
        <v>0</v>
      </c>
      <c r="AR207" s="58">
        <f>AQ207-(AQ207*((VLOOKUP(A207,[1]Plan!A$1:BD$804,56,FALSE)/100)))</f>
        <v>0</v>
      </c>
      <c r="AS207" s="20">
        <f>VLOOKUP(A207,'[1]PR Matrix'!A:B,2,FALSE)</f>
        <v>0</v>
      </c>
      <c r="AT207" s="21">
        <f>R207+T207+V207+X207+AB207+AD207+AF207+AH207+AL207+AN207+AP207+AR207</f>
        <v>0</v>
      </c>
      <c r="AU207" s="21">
        <f>Q207+S207+U207+W207+AA207+AC207+AE207+AG207+AK207+AM207+AO207+AQ207</f>
        <v>0</v>
      </c>
      <c r="AV207" s="21">
        <f>R207+AB207+AL207</f>
        <v>0</v>
      </c>
      <c r="AW207" s="21">
        <f>T207+AD207+AN207</f>
        <v>0</v>
      </c>
      <c r="AX207" s="21">
        <f>V207+AF207+AP207</f>
        <v>0</v>
      </c>
      <c r="AY207" s="21">
        <f>X207+AH207+AR207</f>
        <v>0</v>
      </c>
    </row>
    <row r="208" spans="1:51" hidden="1" x14ac:dyDescent="0.2">
      <c r="A208" s="50" t="s">
        <v>415</v>
      </c>
      <c r="B208" s="51" t="s">
        <v>208</v>
      </c>
      <c r="C208" s="51"/>
      <c r="D208" s="51"/>
      <c r="E208" s="52">
        <f>IF(G208="Y",VLOOKUP(B208&amp;"|"&amp;C208,'[1]ETC Data'!$C$2:$D$16,2,FALSE),0)</f>
        <v>0</v>
      </c>
      <c r="F208" s="52">
        <f>IF(D208="",0,IF(G208="Y",VLOOKUP(B208&amp;"|"&amp;D208,'[1]ETC Data'!$C$2:$D$16,2,FALSE),0))</f>
        <v>0</v>
      </c>
      <c r="G208" s="53" t="str">
        <f>IF(VLOOKUP(A208,[1]Plan!A$1:H$804,8,FALSE)&lt;&gt;"",VLOOKUP(A208,[1]Plan!A$1:H$804,8,FALSE),"")</f>
        <v>N</v>
      </c>
      <c r="H208" s="54" t="str">
        <f>IF(VLOOKUP(A208,[1]Plan!A$1:L$804,12,FALSE)&lt;&gt;"",VLOOKUP(A208,[1]Plan!A$1:L$804,12,FALSE),"")</f>
        <v/>
      </c>
      <c r="I208" s="55" t="str">
        <f>IF(VLOOKUP(A208,[1]Plan!A$1:M$804,13,FALSE)&lt;&gt;"",VLOOKUP(A208,[1]Plan!A$1:M$804,13,FALSE),"")</f>
        <v/>
      </c>
      <c r="J208" s="55" t="str">
        <f>IF(VLOOKUP(A208,[1]Plan!A$1:N$804,14,FALSE)&lt;&gt;"",VLOOKUP(A208,[1]Plan!A$1:N$804,14,FALSE),IF(VLOOKUP(A208,[1]Plan!A$1:O$804,15,FALSE)&lt;&gt;"",VLOOKUP(A208,[1]Plan!A$1:O$804,15,FALSE),""))</f>
        <v/>
      </c>
      <c r="K208" s="56" t="str">
        <f>IF(VLOOKUP(A208,[1]Plan!A$1:P$804,16,FALSE)&lt;&gt;"",VLOOKUP(A208,[1]Plan!A$1:P$804,16,FALSE),"")</f>
        <v/>
      </c>
      <c r="L208" s="55"/>
      <c r="M208" s="55"/>
      <c r="N208" s="55"/>
      <c r="O208" s="57">
        <f>IF(F208=0,E208,F208)</f>
        <v>0</v>
      </c>
      <c r="P208" s="57" t="b">
        <f>OR(H208="Y",I208="Y")</f>
        <v>0</v>
      </c>
      <c r="Q208" s="58">
        <f>IF(P208,O208*'[1]ETC Data'!$H$3*'[1]ETC Data'!$I$3,0)</f>
        <v>0</v>
      </c>
      <c r="R208" s="58">
        <f>Q208-(Q208*((VLOOKUP(A208,[1]Plan!A$1:Z$804,26,FALSE)/100)))</f>
        <v>0</v>
      </c>
      <c r="S208" s="58">
        <f>IF(P208,O208*'[1]ETC Data'!$H$3*'[1]ETC Data'!$J$3,0)</f>
        <v>0</v>
      </c>
      <c r="T208" s="58">
        <f>S208-(S208*((VLOOKUP(A208,[1]Plan!A$1:AA$804,27,FALSE)/100)))</f>
        <v>0</v>
      </c>
      <c r="U208" s="58">
        <f>IF(P208,O208*'[1]ETC Data'!$H$3*'[1]ETC Data'!$K$3,0)</f>
        <v>0</v>
      </c>
      <c r="V208" s="58">
        <f>U208-(U208*((VLOOKUP(A208,[1]Plan!A$1:AB$804,28,FALSE)/100)))</f>
        <v>0</v>
      </c>
      <c r="W208" s="58">
        <f>IF(P208,O208*'[1]ETC Data'!$H$3*'[1]ETC Data'!$L$3,0)</f>
        <v>0</v>
      </c>
      <c r="X208" s="58">
        <f>W208-(W208*((VLOOKUP(A208,[1]Plan!A$1:AC$804,29,FALSE)/100)))</f>
        <v>0</v>
      </c>
      <c r="Y208" s="59"/>
      <c r="Z208" s="60" t="b">
        <f>OR(H208="Y",J208="Y")</f>
        <v>0</v>
      </c>
      <c r="AA208" s="58">
        <f>IF(Z208,O208*'[1]ETC Data'!$H$4*'[1]ETC Data'!$I$4,0)</f>
        <v>0</v>
      </c>
      <c r="AB208" s="58">
        <f>AA208-(AA208*((VLOOKUP(A208,[1]Plan!A$1:AI$804,35,FALSE)/100)))</f>
        <v>0</v>
      </c>
      <c r="AC208" s="58">
        <f>IF(Z208,O208*'[1]ETC Data'!$H$4*'[1]ETC Data'!$J$4,0)</f>
        <v>0</v>
      </c>
      <c r="AD208" s="58">
        <f>AC208-(AC208*((VLOOKUP(A208,[1]Plan!A$1:AJ$804,36,FALSE)/100)))</f>
        <v>0</v>
      </c>
      <c r="AE208" s="58">
        <f>IF(Z208,O208*'[1]ETC Data'!$H$4*'[1]ETC Data'!$K$4,0)</f>
        <v>0</v>
      </c>
      <c r="AF208" s="58">
        <f>AE208-(AE208*((VLOOKUP(A208,[1]Plan!A$1:AK$804,37,FALSE)/100)))</f>
        <v>0</v>
      </c>
      <c r="AG208" s="58">
        <f>IF(Z208,O208*'[1]ETC Data'!$H$4*'[1]ETC Data'!$L$4,0)</f>
        <v>0</v>
      </c>
      <c r="AH208" s="58">
        <f>AG208-(AG208*((VLOOKUP(A208,[1]Plan!A$1:AP$804,42,FALSE)/100)))</f>
        <v>0</v>
      </c>
      <c r="AI208" s="60"/>
      <c r="AJ208" s="60" t="b">
        <f>OR(H208="Y",K208="Y")</f>
        <v>0</v>
      </c>
      <c r="AK208" s="61">
        <f>IF(AJ208,O208*'[1]ETC Data'!$H$5*'[1]ETC Data'!$I$5,0)</f>
        <v>0</v>
      </c>
      <c r="AL208" s="58">
        <f>AK208-(AK208*((VLOOKUP(A208,[1]Plan!A$1:AY$804,51,FALSE)/100)))</f>
        <v>0</v>
      </c>
      <c r="AM208" s="58">
        <f>IF(AJ208,O208*'[1]ETC Data'!$H$5*'[1]ETC Data'!$J$5,0)</f>
        <v>0</v>
      </c>
      <c r="AN208" s="58">
        <f>AM208-(AM208*((VLOOKUP(A208,[1]Plan!A$1:BA$804,53,FALSE)/100)))</f>
        <v>0</v>
      </c>
      <c r="AO208" s="61">
        <f>IF(AJ208,O208*'[1]ETC Data'!$H$5*'[1]ETC Data'!$K$5,0)</f>
        <v>0</v>
      </c>
      <c r="AP208" s="58">
        <f>AO208-(AO208*((VLOOKUP(A208,[1]Plan!A$1:BB$804,54,FALSE)/100)))</f>
        <v>0</v>
      </c>
      <c r="AQ208" s="58">
        <f>IF(AJ208,O208*'[1]ETC Data'!$H$5*'[1]ETC Data'!$L$5,0)</f>
        <v>0</v>
      </c>
      <c r="AR208" s="58">
        <f>AQ208-(AQ208*((VLOOKUP(A208,[1]Plan!A$1:BD$804,56,FALSE)/100)))</f>
        <v>0</v>
      </c>
      <c r="AS208" s="20">
        <f>VLOOKUP(A208,'[1]PR Matrix'!A:B,2,FALSE)</f>
        <v>0</v>
      </c>
      <c r="AT208" s="21">
        <f>R208+T208+V208+X208+AB208+AD208+AF208+AH208+AL208+AN208+AP208+AR208</f>
        <v>0</v>
      </c>
      <c r="AU208" s="21">
        <f>Q208+S208+U208+W208+AA208+AC208+AE208+AG208+AK208+AM208+AO208+AQ208</f>
        <v>0</v>
      </c>
      <c r="AV208" s="21">
        <f>R208+AB208+AL208</f>
        <v>0</v>
      </c>
      <c r="AW208" s="21">
        <f>T208+AD208+AN208</f>
        <v>0</v>
      </c>
      <c r="AX208" s="21">
        <f>V208+AF208+AP208</f>
        <v>0</v>
      </c>
      <c r="AY208" s="21">
        <f>X208+AH208+AR208</f>
        <v>0</v>
      </c>
    </row>
    <row r="209" spans="1:51" hidden="1" x14ac:dyDescent="0.2">
      <c r="A209" s="50" t="s">
        <v>416</v>
      </c>
      <c r="B209" s="51" t="s">
        <v>208</v>
      </c>
      <c r="C209" s="51"/>
      <c r="D209" s="51"/>
      <c r="E209" s="52">
        <f>IF(G209="Y",VLOOKUP(B209&amp;"|"&amp;C209,'[1]ETC Data'!$C$2:$D$16,2,FALSE),0)</f>
        <v>0</v>
      </c>
      <c r="F209" s="52">
        <f>IF(D209="",0,IF(G209="Y",VLOOKUP(B209&amp;"|"&amp;D209,'[1]ETC Data'!$C$2:$D$16,2,FALSE),0))</f>
        <v>0</v>
      </c>
      <c r="G209" s="53" t="str">
        <f>IF(VLOOKUP(A209,[1]Plan!A$1:H$804,8,FALSE)&lt;&gt;"",VLOOKUP(A209,[1]Plan!A$1:H$804,8,FALSE),"")</f>
        <v>N</v>
      </c>
      <c r="H209" s="54" t="str">
        <f>IF(VLOOKUP(A209,[1]Plan!A$1:L$804,12,FALSE)&lt;&gt;"",VLOOKUP(A209,[1]Plan!A$1:L$804,12,FALSE),"")</f>
        <v/>
      </c>
      <c r="I209" s="55" t="str">
        <f>IF(VLOOKUP(A209,[1]Plan!A$1:M$804,13,FALSE)&lt;&gt;"",VLOOKUP(A209,[1]Plan!A$1:M$804,13,FALSE),"")</f>
        <v/>
      </c>
      <c r="J209" s="55" t="str">
        <f>IF(VLOOKUP(A209,[1]Plan!A$1:N$804,14,FALSE)&lt;&gt;"",VLOOKUP(A209,[1]Plan!A$1:N$804,14,FALSE),IF(VLOOKUP(A209,[1]Plan!A$1:O$804,15,FALSE)&lt;&gt;"",VLOOKUP(A209,[1]Plan!A$1:O$804,15,FALSE),""))</f>
        <v/>
      </c>
      <c r="K209" s="56" t="str">
        <f>IF(VLOOKUP(A209,[1]Plan!A$1:P$804,16,FALSE)&lt;&gt;"",VLOOKUP(A209,[1]Plan!A$1:P$804,16,FALSE),"")</f>
        <v/>
      </c>
      <c r="L209" s="55"/>
      <c r="M209" s="55"/>
      <c r="N209" s="55"/>
      <c r="O209" s="57">
        <f>IF(F209=0,E209,F209)</f>
        <v>0</v>
      </c>
      <c r="P209" s="57" t="b">
        <f>OR(H209="Y",I209="Y")</f>
        <v>0</v>
      </c>
      <c r="Q209" s="58">
        <f>IF(P209,O209*'[1]ETC Data'!$H$3*'[1]ETC Data'!$I$3,0)</f>
        <v>0</v>
      </c>
      <c r="R209" s="58">
        <f>Q209-(Q209*((VLOOKUP(A209,[1]Plan!A$1:Z$804,26,FALSE)/100)))</f>
        <v>0</v>
      </c>
      <c r="S209" s="58">
        <f>IF(P209,O209*'[1]ETC Data'!$H$3*'[1]ETC Data'!$J$3,0)</f>
        <v>0</v>
      </c>
      <c r="T209" s="58">
        <f>S209-(S209*((VLOOKUP(A209,[1]Plan!A$1:AA$804,27,FALSE)/100)))</f>
        <v>0</v>
      </c>
      <c r="U209" s="58">
        <f>IF(P209,O209*'[1]ETC Data'!$H$3*'[1]ETC Data'!$K$3,0)</f>
        <v>0</v>
      </c>
      <c r="V209" s="58">
        <f>U209-(U209*((VLOOKUP(A209,[1]Plan!A$1:AB$804,28,FALSE)/100)))</f>
        <v>0</v>
      </c>
      <c r="W209" s="58">
        <f>IF(P209,O209*'[1]ETC Data'!$H$3*'[1]ETC Data'!$L$3,0)</f>
        <v>0</v>
      </c>
      <c r="X209" s="58">
        <f>W209-(W209*((VLOOKUP(A209,[1]Plan!A$1:AC$804,29,FALSE)/100)))</f>
        <v>0</v>
      </c>
      <c r="Y209" s="59"/>
      <c r="Z209" s="60" t="b">
        <f>OR(H209="Y",J209="Y")</f>
        <v>0</v>
      </c>
      <c r="AA209" s="58">
        <f>IF(Z209,O209*'[1]ETC Data'!$H$4*'[1]ETC Data'!$I$4,0)</f>
        <v>0</v>
      </c>
      <c r="AB209" s="58">
        <f>AA209-(AA209*((VLOOKUP(A209,[1]Plan!A$1:AI$804,35,FALSE)/100)))</f>
        <v>0</v>
      </c>
      <c r="AC209" s="58">
        <f>IF(Z209,O209*'[1]ETC Data'!$H$4*'[1]ETC Data'!$J$4,0)</f>
        <v>0</v>
      </c>
      <c r="AD209" s="58">
        <f>AC209-(AC209*((VLOOKUP(A209,[1]Plan!A$1:AJ$804,36,FALSE)/100)))</f>
        <v>0</v>
      </c>
      <c r="AE209" s="58">
        <f>IF(Z209,O209*'[1]ETC Data'!$H$4*'[1]ETC Data'!$K$4,0)</f>
        <v>0</v>
      </c>
      <c r="AF209" s="58">
        <f>AE209-(AE209*((VLOOKUP(A209,[1]Plan!A$1:AK$804,37,FALSE)/100)))</f>
        <v>0</v>
      </c>
      <c r="AG209" s="58">
        <f>IF(Z209,O209*'[1]ETC Data'!$H$4*'[1]ETC Data'!$L$4,0)</f>
        <v>0</v>
      </c>
      <c r="AH209" s="58">
        <f>AG209-(AG209*((VLOOKUP(A209,[1]Plan!A$1:AP$804,42,FALSE)/100)))</f>
        <v>0</v>
      </c>
      <c r="AI209" s="60"/>
      <c r="AJ209" s="60" t="b">
        <f>OR(H209="Y",K209="Y")</f>
        <v>0</v>
      </c>
      <c r="AK209" s="61">
        <f>IF(AJ209,O209*'[1]ETC Data'!$H$5*'[1]ETC Data'!$I$5,0)</f>
        <v>0</v>
      </c>
      <c r="AL209" s="58">
        <f>AK209-(AK209*((VLOOKUP(A209,[1]Plan!A$1:AY$804,51,FALSE)/100)))</f>
        <v>0</v>
      </c>
      <c r="AM209" s="58">
        <f>IF(AJ209,O209*'[1]ETC Data'!$H$5*'[1]ETC Data'!$J$5,0)</f>
        <v>0</v>
      </c>
      <c r="AN209" s="58">
        <f>AM209-(AM209*((VLOOKUP(A209,[1]Plan!A$1:BA$804,53,FALSE)/100)))</f>
        <v>0</v>
      </c>
      <c r="AO209" s="61">
        <f>IF(AJ209,O209*'[1]ETC Data'!$H$5*'[1]ETC Data'!$K$5,0)</f>
        <v>0</v>
      </c>
      <c r="AP209" s="58">
        <f>AO209-(AO209*((VLOOKUP(A209,[1]Plan!A$1:BB$804,54,FALSE)/100)))</f>
        <v>0</v>
      </c>
      <c r="AQ209" s="58">
        <f>IF(AJ209,O209*'[1]ETC Data'!$H$5*'[1]ETC Data'!$L$5,0)</f>
        <v>0</v>
      </c>
      <c r="AR209" s="58">
        <f>AQ209-(AQ209*((VLOOKUP(A209,[1]Plan!A$1:BD$804,56,FALSE)/100)))</f>
        <v>0</v>
      </c>
      <c r="AS209" s="20">
        <f>VLOOKUP(A209,'[1]PR Matrix'!A:B,2,FALSE)</f>
        <v>0</v>
      </c>
      <c r="AT209" s="21">
        <f>R209+T209+V209+X209+AB209+AD209+AF209+AH209+AL209+AN209+AP209+AR209</f>
        <v>0</v>
      </c>
      <c r="AU209" s="21">
        <f>Q209+S209+U209+W209+AA209+AC209+AE209+AG209+AK209+AM209+AO209+AQ209</f>
        <v>0</v>
      </c>
      <c r="AV209" s="21">
        <f>R209+AB209+AL209</f>
        <v>0</v>
      </c>
      <c r="AW209" s="21">
        <f>T209+AD209+AN209</f>
        <v>0</v>
      </c>
      <c r="AX209" s="21">
        <f>V209+AF209+AP209</f>
        <v>0</v>
      </c>
      <c r="AY209" s="21">
        <f>X209+AH209+AR209</f>
        <v>0</v>
      </c>
    </row>
    <row r="210" spans="1:51" hidden="1" x14ac:dyDescent="0.2">
      <c r="A210" s="50" t="s">
        <v>417</v>
      </c>
      <c r="B210" s="51" t="s">
        <v>208</v>
      </c>
      <c r="C210" s="51"/>
      <c r="D210" s="51"/>
      <c r="E210" s="52">
        <f>IF(G210="Y",VLOOKUP(B210&amp;"|"&amp;C210,'[1]ETC Data'!$C$2:$D$16,2,FALSE),0)</f>
        <v>0</v>
      </c>
      <c r="F210" s="52">
        <f>IF(D210="",0,IF(G210="Y",VLOOKUP(B210&amp;"|"&amp;D210,'[1]ETC Data'!$C$2:$D$16,2,FALSE),0))</f>
        <v>0</v>
      </c>
      <c r="G210" s="53" t="str">
        <f>IF(VLOOKUP(A210,[1]Plan!A$1:H$804,8,FALSE)&lt;&gt;"",VLOOKUP(A210,[1]Plan!A$1:H$804,8,FALSE),"")</f>
        <v>N</v>
      </c>
      <c r="H210" s="54" t="str">
        <f>IF(VLOOKUP(A210,[1]Plan!A$1:L$804,12,FALSE)&lt;&gt;"",VLOOKUP(A210,[1]Plan!A$1:L$804,12,FALSE),"")</f>
        <v/>
      </c>
      <c r="I210" s="55" t="str">
        <f>IF(VLOOKUP(A210,[1]Plan!A$1:M$804,13,FALSE)&lt;&gt;"",VLOOKUP(A210,[1]Plan!A$1:M$804,13,FALSE),"")</f>
        <v/>
      </c>
      <c r="J210" s="55" t="str">
        <f>IF(VLOOKUP(A210,[1]Plan!A$1:N$804,14,FALSE)&lt;&gt;"",VLOOKUP(A210,[1]Plan!A$1:N$804,14,FALSE),IF(VLOOKUP(A210,[1]Plan!A$1:O$804,15,FALSE)&lt;&gt;"",VLOOKUP(A210,[1]Plan!A$1:O$804,15,FALSE),""))</f>
        <v/>
      </c>
      <c r="K210" s="56" t="str">
        <f>IF(VLOOKUP(A210,[1]Plan!A$1:P$804,16,FALSE)&lt;&gt;"",VLOOKUP(A210,[1]Plan!A$1:P$804,16,FALSE),"")</f>
        <v/>
      </c>
      <c r="L210" s="55"/>
      <c r="M210" s="55"/>
      <c r="N210" s="55"/>
      <c r="O210" s="57">
        <f>IF(F210=0,E210,F210)</f>
        <v>0</v>
      </c>
      <c r="P210" s="57" t="b">
        <f>OR(H210="Y",I210="Y")</f>
        <v>0</v>
      </c>
      <c r="Q210" s="58">
        <f>IF(P210,O210*'[1]ETC Data'!$H$3*'[1]ETC Data'!$I$3,0)</f>
        <v>0</v>
      </c>
      <c r="R210" s="58">
        <f>Q210-(Q210*((VLOOKUP(A210,[1]Plan!A$1:Z$804,26,FALSE)/100)))</f>
        <v>0</v>
      </c>
      <c r="S210" s="58">
        <f>IF(P210,O210*'[1]ETC Data'!$H$3*'[1]ETC Data'!$J$3,0)</f>
        <v>0</v>
      </c>
      <c r="T210" s="58">
        <f>S210-(S210*((VLOOKUP(A210,[1]Plan!A$1:AA$804,27,FALSE)/100)))</f>
        <v>0</v>
      </c>
      <c r="U210" s="58">
        <f>IF(P210,O210*'[1]ETC Data'!$H$3*'[1]ETC Data'!$K$3,0)</f>
        <v>0</v>
      </c>
      <c r="V210" s="58">
        <f>U210-(U210*((VLOOKUP(A210,[1]Plan!A$1:AB$804,28,FALSE)/100)))</f>
        <v>0</v>
      </c>
      <c r="W210" s="58">
        <f>IF(P210,O210*'[1]ETC Data'!$H$3*'[1]ETC Data'!$L$3,0)</f>
        <v>0</v>
      </c>
      <c r="X210" s="58">
        <f>W210-(W210*((VLOOKUP(A210,[1]Plan!A$1:AC$804,29,FALSE)/100)))</f>
        <v>0</v>
      </c>
      <c r="Y210" s="59"/>
      <c r="Z210" s="60" t="b">
        <f>OR(H210="Y",J210="Y")</f>
        <v>0</v>
      </c>
      <c r="AA210" s="58">
        <f>IF(Z210,O210*'[1]ETC Data'!$H$4*'[1]ETC Data'!$I$4,0)</f>
        <v>0</v>
      </c>
      <c r="AB210" s="58">
        <f>AA210-(AA210*((VLOOKUP(A210,[1]Plan!A$1:AI$804,35,FALSE)/100)))</f>
        <v>0</v>
      </c>
      <c r="AC210" s="58">
        <f>IF(Z210,O210*'[1]ETC Data'!$H$4*'[1]ETC Data'!$J$4,0)</f>
        <v>0</v>
      </c>
      <c r="AD210" s="58">
        <f>AC210-(AC210*((VLOOKUP(A210,[1]Plan!A$1:AJ$804,36,FALSE)/100)))</f>
        <v>0</v>
      </c>
      <c r="AE210" s="58">
        <f>IF(Z210,O210*'[1]ETC Data'!$H$4*'[1]ETC Data'!$K$4,0)</f>
        <v>0</v>
      </c>
      <c r="AF210" s="58">
        <f>AE210-(AE210*((VLOOKUP(A210,[1]Plan!A$1:AK$804,37,FALSE)/100)))</f>
        <v>0</v>
      </c>
      <c r="AG210" s="58">
        <f>IF(Z210,O210*'[1]ETC Data'!$H$4*'[1]ETC Data'!$L$4,0)</f>
        <v>0</v>
      </c>
      <c r="AH210" s="58">
        <f>AG210-(AG210*((VLOOKUP(A210,[1]Plan!A$1:AP$804,42,FALSE)/100)))</f>
        <v>0</v>
      </c>
      <c r="AI210" s="60"/>
      <c r="AJ210" s="60" t="b">
        <f>OR(H210="Y",K210="Y")</f>
        <v>0</v>
      </c>
      <c r="AK210" s="61">
        <f>IF(AJ210,O210*'[1]ETC Data'!$H$5*'[1]ETC Data'!$I$5,0)</f>
        <v>0</v>
      </c>
      <c r="AL210" s="58">
        <f>AK210-(AK210*((VLOOKUP(A210,[1]Plan!A$1:AY$804,51,FALSE)/100)))</f>
        <v>0</v>
      </c>
      <c r="AM210" s="58">
        <f>IF(AJ210,O210*'[1]ETC Data'!$H$5*'[1]ETC Data'!$J$5,0)</f>
        <v>0</v>
      </c>
      <c r="AN210" s="58">
        <f>AM210-(AM210*((VLOOKUP(A210,[1]Plan!A$1:BA$804,53,FALSE)/100)))</f>
        <v>0</v>
      </c>
      <c r="AO210" s="61">
        <f>IF(AJ210,O210*'[1]ETC Data'!$H$5*'[1]ETC Data'!$K$5,0)</f>
        <v>0</v>
      </c>
      <c r="AP210" s="58">
        <f>AO210-(AO210*((VLOOKUP(A210,[1]Plan!A$1:BB$804,54,FALSE)/100)))</f>
        <v>0</v>
      </c>
      <c r="AQ210" s="58">
        <f>IF(AJ210,O210*'[1]ETC Data'!$H$5*'[1]ETC Data'!$L$5,0)</f>
        <v>0</v>
      </c>
      <c r="AR210" s="58">
        <f>AQ210-(AQ210*((VLOOKUP(A210,[1]Plan!A$1:BD$804,56,FALSE)/100)))</f>
        <v>0</v>
      </c>
      <c r="AS210" s="20">
        <f>VLOOKUP(A210,'[1]PR Matrix'!A:B,2,FALSE)</f>
        <v>0</v>
      </c>
      <c r="AT210" s="21">
        <f>R210+T210+V210+X210+AB210+AD210+AF210+AH210+AL210+AN210+AP210+AR210</f>
        <v>0</v>
      </c>
      <c r="AU210" s="21">
        <f>Q210+S210+U210+W210+AA210+AC210+AE210+AG210+AK210+AM210+AO210+AQ210</f>
        <v>0</v>
      </c>
      <c r="AV210" s="21">
        <f>R210+AB210+AL210</f>
        <v>0</v>
      </c>
      <c r="AW210" s="21">
        <f>T210+AD210+AN210</f>
        <v>0</v>
      </c>
      <c r="AX210" s="21">
        <f>V210+AF210+AP210</f>
        <v>0</v>
      </c>
      <c r="AY210" s="21">
        <f>X210+AH210+AR210</f>
        <v>0</v>
      </c>
    </row>
    <row r="211" spans="1:51" hidden="1" x14ac:dyDescent="0.2">
      <c r="A211" s="50" t="s">
        <v>418</v>
      </c>
      <c r="B211" s="51" t="s">
        <v>208</v>
      </c>
      <c r="C211" s="51"/>
      <c r="D211" s="51"/>
      <c r="E211" s="52">
        <f>IF(G211="Y",VLOOKUP(B211&amp;"|"&amp;C211,'[1]ETC Data'!$C$2:$D$16,2,FALSE),0)</f>
        <v>0</v>
      </c>
      <c r="F211" s="52">
        <f>IF(D211="",0,IF(G211="Y",VLOOKUP(B211&amp;"|"&amp;D211,'[1]ETC Data'!$C$2:$D$16,2,FALSE),0))</f>
        <v>0</v>
      </c>
      <c r="G211" s="53" t="str">
        <f>IF(VLOOKUP(A211,[1]Plan!A$1:H$804,8,FALSE)&lt;&gt;"",VLOOKUP(A211,[1]Plan!A$1:H$804,8,FALSE),"")</f>
        <v>N</v>
      </c>
      <c r="H211" s="54" t="str">
        <f>IF(VLOOKUP(A211,[1]Plan!A$1:L$804,12,FALSE)&lt;&gt;"",VLOOKUP(A211,[1]Plan!A$1:L$804,12,FALSE),"")</f>
        <v/>
      </c>
      <c r="I211" s="55" t="str">
        <f>IF(VLOOKUP(A211,[1]Plan!A$1:M$804,13,FALSE)&lt;&gt;"",VLOOKUP(A211,[1]Plan!A$1:M$804,13,FALSE),"")</f>
        <v/>
      </c>
      <c r="J211" s="55" t="str">
        <f>IF(VLOOKUP(A211,[1]Plan!A$1:N$804,14,FALSE)&lt;&gt;"",VLOOKUP(A211,[1]Plan!A$1:N$804,14,FALSE),IF(VLOOKUP(A211,[1]Plan!A$1:O$804,15,FALSE)&lt;&gt;"",VLOOKUP(A211,[1]Plan!A$1:O$804,15,FALSE),""))</f>
        <v/>
      </c>
      <c r="K211" s="56" t="str">
        <f>IF(VLOOKUP(A211,[1]Plan!A$1:P$804,16,FALSE)&lt;&gt;"",VLOOKUP(A211,[1]Plan!A$1:P$804,16,FALSE),"")</f>
        <v/>
      </c>
      <c r="L211" s="55"/>
      <c r="M211" s="55"/>
      <c r="N211" s="55"/>
      <c r="O211" s="57">
        <f>IF(F211=0,E211,F211)</f>
        <v>0</v>
      </c>
      <c r="P211" s="57" t="b">
        <f>OR(H211="Y",I211="Y")</f>
        <v>0</v>
      </c>
      <c r="Q211" s="58">
        <f>IF(P211,O211*'[1]ETC Data'!$H$3*'[1]ETC Data'!$I$3,0)</f>
        <v>0</v>
      </c>
      <c r="R211" s="58">
        <f>Q211-(Q211*((VLOOKUP(A211,[1]Plan!A$1:Z$804,26,FALSE)/100)))</f>
        <v>0</v>
      </c>
      <c r="S211" s="58">
        <f>IF(P211,O211*'[1]ETC Data'!$H$3*'[1]ETC Data'!$J$3,0)</f>
        <v>0</v>
      </c>
      <c r="T211" s="58">
        <f>S211-(S211*((VLOOKUP(A211,[1]Plan!A$1:AA$804,27,FALSE)/100)))</f>
        <v>0</v>
      </c>
      <c r="U211" s="58">
        <f>IF(P211,O211*'[1]ETC Data'!$H$3*'[1]ETC Data'!$K$3,0)</f>
        <v>0</v>
      </c>
      <c r="V211" s="58">
        <f>U211-(U211*((VLOOKUP(A211,[1]Plan!A$1:AB$804,28,FALSE)/100)))</f>
        <v>0</v>
      </c>
      <c r="W211" s="58">
        <f>IF(P211,O211*'[1]ETC Data'!$H$3*'[1]ETC Data'!$L$3,0)</f>
        <v>0</v>
      </c>
      <c r="X211" s="58">
        <f>W211-(W211*((VLOOKUP(A211,[1]Plan!A$1:AC$804,29,FALSE)/100)))</f>
        <v>0</v>
      </c>
      <c r="Y211" s="59"/>
      <c r="Z211" s="60" t="b">
        <f>OR(H211="Y",J211="Y")</f>
        <v>0</v>
      </c>
      <c r="AA211" s="58">
        <f>IF(Z211,O211*'[1]ETC Data'!$H$4*'[1]ETC Data'!$I$4,0)</f>
        <v>0</v>
      </c>
      <c r="AB211" s="58">
        <f>AA211-(AA211*((VLOOKUP(A211,[1]Plan!A$1:AI$804,35,FALSE)/100)))</f>
        <v>0</v>
      </c>
      <c r="AC211" s="58">
        <f>IF(Z211,O211*'[1]ETC Data'!$H$4*'[1]ETC Data'!$J$4,0)</f>
        <v>0</v>
      </c>
      <c r="AD211" s="58">
        <f>AC211-(AC211*((VLOOKUP(A211,[1]Plan!A$1:AJ$804,36,FALSE)/100)))</f>
        <v>0</v>
      </c>
      <c r="AE211" s="58">
        <f>IF(Z211,O211*'[1]ETC Data'!$H$4*'[1]ETC Data'!$K$4,0)</f>
        <v>0</v>
      </c>
      <c r="AF211" s="58">
        <f>AE211-(AE211*((VLOOKUP(A211,[1]Plan!A$1:AK$804,37,FALSE)/100)))</f>
        <v>0</v>
      </c>
      <c r="AG211" s="58">
        <f>IF(Z211,O211*'[1]ETC Data'!$H$4*'[1]ETC Data'!$L$4,0)</f>
        <v>0</v>
      </c>
      <c r="AH211" s="58">
        <f>AG211-(AG211*((VLOOKUP(A211,[1]Plan!A$1:AP$804,42,FALSE)/100)))</f>
        <v>0</v>
      </c>
      <c r="AI211" s="60"/>
      <c r="AJ211" s="60" t="b">
        <f>OR(H211="Y",K211="Y")</f>
        <v>0</v>
      </c>
      <c r="AK211" s="61">
        <f>IF(AJ211,O211*'[1]ETC Data'!$H$5*'[1]ETC Data'!$I$5,0)</f>
        <v>0</v>
      </c>
      <c r="AL211" s="58">
        <f>AK211-(AK211*((VLOOKUP(A211,[1]Plan!A$1:AY$804,51,FALSE)/100)))</f>
        <v>0</v>
      </c>
      <c r="AM211" s="58">
        <f>IF(AJ211,O211*'[1]ETC Data'!$H$5*'[1]ETC Data'!$J$5,0)</f>
        <v>0</v>
      </c>
      <c r="AN211" s="58">
        <f>AM211-(AM211*((VLOOKUP(A211,[1]Plan!A$1:BA$804,53,FALSE)/100)))</f>
        <v>0</v>
      </c>
      <c r="AO211" s="61">
        <f>IF(AJ211,O211*'[1]ETC Data'!$H$5*'[1]ETC Data'!$K$5,0)</f>
        <v>0</v>
      </c>
      <c r="AP211" s="58">
        <f>AO211-(AO211*((VLOOKUP(A211,[1]Plan!A$1:BB$804,54,FALSE)/100)))</f>
        <v>0</v>
      </c>
      <c r="AQ211" s="58">
        <f>IF(AJ211,O211*'[1]ETC Data'!$H$5*'[1]ETC Data'!$L$5,0)</f>
        <v>0</v>
      </c>
      <c r="AR211" s="58">
        <f>AQ211-(AQ211*((VLOOKUP(A211,[1]Plan!A$1:BD$804,56,FALSE)/100)))</f>
        <v>0</v>
      </c>
      <c r="AS211" s="20">
        <f>VLOOKUP(A211,'[1]PR Matrix'!A:B,2,FALSE)</f>
        <v>0</v>
      </c>
      <c r="AT211" s="21">
        <f>R211+T211+V211+X211+AB211+AD211+AF211+AH211+AL211+AN211+AP211+AR211</f>
        <v>0</v>
      </c>
      <c r="AU211" s="21">
        <f>Q211+S211+U211+W211+AA211+AC211+AE211+AG211+AK211+AM211+AO211+AQ211</f>
        <v>0</v>
      </c>
      <c r="AV211" s="21">
        <f>R211+AB211+AL211</f>
        <v>0</v>
      </c>
      <c r="AW211" s="21">
        <f>T211+AD211+AN211</f>
        <v>0</v>
      </c>
      <c r="AX211" s="21">
        <f>V211+AF211+AP211</f>
        <v>0</v>
      </c>
      <c r="AY211" s="21">
        <f>X211+AH211+AR211</f>
        <v>0</v>
      </c>
    </row>
    <row r="212" spans="1:51" hidden="1" x14ac:dyDescent="0.2">
      <c r="A212" s="50" t="s">
        <v>419</v>
      </c>
      <c r="B212" s="51" t="s">
        <v>208</v>
      </c>
      <c r="C212" s="51"/>
      <c r="D212" s="51"/>
      <c r="E212" s="52">
        <f>IF(G212="Y",VLOOKUP(B212&amp;"|"&amp;C212,'[1]ETC Data'!$C$2:$D$16,2,FALSE),0)</f>
        <v>0</v>
      </c>
      <c r="F212" s="52">
        <f>IF(D212="",0,IF(G212="Y",VLOOKUP(B212&amp;"|"&amp;D212,'[1]ETC Data'!$C$2:$D$16,2,FALSE),0))</f>
        <v>0</v>
      </c>
      <c r="G212" s="53" t="str">
        <f>IF(VLOOKUP(A212,[1]Plan!A$1:H$804,8,FALSE)&lt;&gt;"",VLOOKUP(A212,[1]Plan!A$1:H$804,8,FALSE),"")</f>
        <v>N</v>
      </c>
      <c r="H212" s="54" t="str">
        <f>IF(VLOOKUP(A212,[1]Plan!A$1:L$804,12,FALSE)&lt;&gt;"",VLOOKUP(A212,[1]Plan!A$1:L$804,12,FALSE),"")</f>
        <v/>
      </c>
      <c r="I212" s="55" t="str">
        <f>IF(VLOOKUP(A212,[1]Plan!A$1:M$804,13,FALSE)&lt;&gt;"",VLOOKUP(A212,[1]Plan!A$1:M$804,13,FALSE),"")</f>
        <v/>
      </c>
      <c r="J212" s="55" t="str">
        <f>IF(VLOOKUP(A212,[1]Plan!A$1:N$804,14,FALSE)&lt;&gt;"",VLOOKUP(A212,[1]Plan!A$1:N$804,14,FALSE),IF(VLOOKUP(A212,[1]Plan!A$1:O$804,15,FALSE)&lt;&gt;"",VLOOKUP(A212,[1]Plan!A$1:O$804,15,FALSE),""))</f>
        <v/>
      </c>
      <c r="K212" s="56" t="str">
        <f>IF(VLOOKUP(A212,[1]Plan!A$1:P$804,16,FALSE)&lt;&gt;"",VLOOKUP(A212,[1]Plan!A$1:P$804,16,FALSE),"")</f>
        <v/>
      </c>
      <c r="L212" s="55"/>
      <c r="M212" s="55"/>
      <c r="N212" s="55"/>
      <c r="O212" s="57">
        <f>IF(F212=0,E212,F212)</f>
        <v>0</v>
      </c>
      <c r="P212" s="57" t="b">
        <f>OR(H212="Y",I212="Y")</f>
        <v>0</v>
      </c>
      <c r="Q212" s="58">
        <f>IF(P212,O212*'[1]ETC Data'!$H$3*'[1]ETC Data'!$I$3,0)</f>
        <v>0</v>
      </c>
      <c r="R212" s="58">
        <f>Q212-(Q212*((VLOOKUP(A212,[1]Plan!A$1:Z$804,26,FALSE)/100)))</f>
        <v>0</v>
      </c>
      <c r="S212" s="58">
        <f>IF(P212,O212*'[1]ETC Data'!$H$3*'[1]ETC Data'!$J$3,0)</f>
        <v>0</v>
      </c>
      <c r="T212" s="58">
        <f>S212-(S212*((VLOOKUP(A212,[1]Plan!A$1:AA$804,27,FALSE)/100)))</f>
        <v>0</v>
      </c>
      <c r="U212" s="58">
        <f>IF(P212,O212*'[1]ETC Data'!$H$3*'[1]ETC Data'!$K$3,0)</f>
        <v>0</v>
      </c>
      <c r="V212" s="58">
        <f>U212-(U212*((VLOOKUP(A212,[1]Plan!A$1:AB$804,28,FALSE)/100)))</f>
        <v>0</v>
      </c>
      <c r="W212" s="58">
        <f>IF(P212,O212*'[1]ETC Data'!$H$3*'[1]ETC Data'!$L$3,0)</f>
        <v>0</v>
      </c>
      <c r="X212" s="58">
        <f>W212-(W212*((VLOOKUP(A212,[1]Plan!A$1:AC$804,29,FALSE)/100)))</f>
        <v>0</v>
      </c>
      <c r="Y212" s="59"/>
      <c r="Z212" s="60" t="b">
        <f>OR(H212="Y",J212="Y")</f>
        <v>0</v>
      </c>
      <c r="AA212" s="58">
        <f>IF(Z212,O212*'[1]ETC Data'!$H$4*'[1]ETC Data'!$I$4,0)</f>
        <v>0</v>
      </c>
      <c r="AB212" s="58">
        <f>AA212-(AA212*((VLOOKUP(A212,[1]Plan!A$1:AI$804,35,FALSE)/100)))</f>
        <v>0</v>
      </c>
      <c r="AC212" s="58">
        <f>IF(Z212,O212*'[1]ETC Data'!$H$4*'[1]ETC Data'!$J$4,0)</f>
        <v>0</v>
      </c>
      <c r="AD212" s="58">
        <f>AC212-(AC212*((VLOOKUP(A212,[1]Plan!A$1:AJ$804,36,FALSE)/100)))</f>
        <v>0</v>
      </c>
      <c r="AE212" s="58">
        <f>IF(Z212,O212*'[1]ETC Data'!$H$4*'[1]ETC Data'!$K$4,0)</f>
        <v>0</v>
      </c>
      <c r="AF212" s="58">
        <f>AE212-(AE212*((VLOOKUP(A212,[1]Plan!A$1:AK$804,37,FALSE)/100)))</f>
        <v>0</v>
      </c>
      <c r="AG212" s="58">
        <f>IF(Z212,O212*'[1]ETC Data'!$H$4*'[1]ETC Data'!$L$4,0)</f>
        <v>0</v>
      </c>
      <c r="AH212" s="58">
        <f>AG212-(AG212*((VLOOKUP(A212,[1]Plan!A$1:AP$804,42,FALSE)/100)))</f>
        <v>0</v>
      </c>
      <c r="AI212" s="60"/>
      <c r="AJ212" s="60" t="b">
        <f>OR(H212="Y",K212="Y")</f>
        <v>0</v>
      </c>
      <c r="AK212" s="61">
        <f>IF(AJ212,O212*'[1]ETC Data'!$H$5*'[1]ETC Data'!$I$5,0)</f>
        <v>0</v>
      </c>
      <c r="AL212" s="58">
        <f>AK212-(AK212*((VLOOKUP(A212,[1]Plan!A$1:AY$804,51,FALSE)/100)))</f>
        <v>0</v>
      </c>
      <c r="AM212" s="58">
        <f>IF(AJ212,O212*'[1]ETC Data'!$H$5*'[1]ETC Data'!$J$5,0)</f>
        <v>0</v>
      </c>
      <c r="AN212" s="58">
        <f>AM212-(AM212*((VLOOKUP(A212,[1]Plan!A$1:BA$804,53,FALSE)/100)))</f>
        <v>0</v>
      </c>
      <c r="AO212" s="61">
        <f>IF(AJ212,O212*'[1]ETC Data'!$H$5*'[1]ETC Data'!$K$5,0)</f>
        <v>0</v>
      </c>
      <c r="AP212" s="58">
        <f>AO212-(AO212*((VLOOKUP(A212,[1]Plan!A$1:BB$804,54,FALSE)/100)))</f>
        <v>0</v>
      </c>
      <c r="AQ212" s="58">
        <f>IF(AJ212,O212*'[1]ETC Data'!$H$5*'[1]ETC Data'!$L$5,0)</f>
        <v>0</v>
      </c>
      <c r="AR212" s="58">
        <f>AQ212-(AQ212*((VLOOKUP(A212,[1]Plan!A$1:BD$804,56,FALSE)/100)))</f>
        <v>0</v>
      </c>
      <c r="AS212" s="20">
        <f>VLOOKUP(A212,'[1]PR Matrix'!A:B,2,FALSE)</f>
        <v>0</v>
      </c>
      <c r="AT212" s="21">
        <f>R212+T212+V212+X212+AB212+AD212+AF212+AH212+AL212+AN212+AP212+AR212</f>
        <v>0</v>
      </c>
      <c r="AU212" s="21">
        <f>Q212+S212+U212+W212+AA212+AC212+AE212+AG212+AK212+AM212+AO212+AQ212</f>
        <v>0</v>
      </c>
      <c r="AV212" s="21">
        <f>R212+AB212+AL212</f>
        <v>0</v>
      </c>
      <c r="AW212" s="21">
        <f>T212+AD212+AN212</f>
        <v>0</v>
      </c>
      <c r="AX212" s="21">
        <f>V212+AF212+AP212</f>
        <v>0</v>
      </c>
      <c r="AY212" s="21">
        <f>X212+AH212+AR212</f>
        <v>0</v>
      </c>
    </row>
    <row r="213" spans="1:51" hidden="1" x14ac:dyDescent="0.2">
      <c r="A213" s="50" t="s">
        <v>420</v>
      </c>
      <c r="B213" s="51" t="s">
        <v>208</v>
      </c>
      <c r="C213" s="51"/>
      <c r="D213" s="51"/>
      <c r="E213" s="52">
        <f>IF(G213="Y",VLOOKUP(B213&amp;"|"&amp;C213,'[1]ETC Data'!$C$2:$D$16,2,FALSE),0)</f>
        <v>0</v>
      </c>
      <c r="F213" s="52">
        <f>IF(D213="",0,IF(G213="Y",VLOOKUP(B213&amp;"|"&amp;D213,'[1]ETC Data'!$C$2:$D$16,2,FALSE),0))</f>
        <v>0</v>
      </c>
      <c r="G213" s="53" t="str">
        <f>IF(VLOOKUP(A213,[1]Plan!A$1:H$804,8,FALSE)&lt;&gt;"",VLOOKUP(A213,[1]Plan!A$1:H$804,8,FALSE),"")</f>
        <v>N</v>
      </c>
      <c r="H213" s="54" t="str">
        <f>IF(VLOOKUP(A213,[1]Plan!A$1:L$804,12,FALSE)&lt;&gt;"",VLOOKUP(A213,[1]Plan!A$1:L$804,12,FALSE),"")</f>
        <v/>
      </c>
      <c r="I213" s="55" t="str">
        <f>IF(VLOOKUP(A213,[1]Plan!A$1:M$804,13,FALSE)&lt;&gt;"",VLOOKUP(A213,[1]Plan!A$1:M$804,13,FALSE),"")</f>
        <v/>
      </c>
      <c r="J213" s="55" t="str">
        <f>IF(VLOOKUP(A213,[1]Plan!A$1:N$804,14,FALSE)&lt;&gt;"",VLOOKUP(A213,[1]Plan!A$1:N$804,14,FALSE),IF(VLOOKUP(A213,[1]Plan!A$1:O$804,15,FALSE)&lt;&gt;"",VLOOKUP(A213,[1]Plan!A$1:O$804,15,FALSE),""))</f>
        <v/>
      </c>
      <c r="K213" s="56" t="str">
        <f>IF(VLOOKUP(A213,[1]Plan!A$1:P$804,16,FALSE)&lt;&gt;"",VLOOKUP(A213,[1]Plan!A$1:P$804,16,FALSE),"")</f>
        <v/>
      </c>
      <c r="L213" s="55"/>
      <c r="M213" s="55"/>
      <c r="N213" s="55"/>
      <c r="O213" s="57">
        <f>IF(F213=0,E213,F213)</f>
        <v>0</v>
      </c>
      <c r="P213" s="57" t="b">
        <f>OR(H213="Y",I213="Y")</f>
        <v>0</v>
      </c>
      <c r="Q213" s="58">
        <f>IF(P213,O213*'[1]ETC Data'!$H$3*'[1]ETC Data'!$I$3,0)</f>
        <v>0</v>
      </c>
      <c r="R213" s="58">
        <f>Q213-(Q213*((VLOOKUP(A213,[1]Plan!A$1:Z$804,26,FALSE)/100)))</f>
        <v>0</v>
      </c>
      <c r="S213" s="58">
        <f>IF(P213,O213*'[1]ETC Data'!$H$3*'[1]ETC Data'!$J$3,0)</f>
        <v>0</v>
      </c>
      <c r="T213" s="58">
        <f>S213-(S213*((VLOOKUP(A213,[1]Plan!A$1:AA$804,27,FALSE)/100)))</f>
        <v>0</v>
      </c>
      <c r="U213" s="58">
        <f>IF(P213,O213*'[1]ETC Data'!$H$3*'[1]ETC Data'!$K$3,0)</f>
        <v>0</v>
      </c>
      <c r="V213" s="58">
        <f>U213-(U213*((VLOOKUP(A213,[1]Plan!A$1:AB$804,28,FALSE)/100)))</f>
        <v>0</v>
      </c>
      <c r="W213" s="58">
        <f>IF(P213,O213*'[1]ETC Data'!$H$3*'[1]ETC Data'!$L$3,0)</f>
        <v>0</v>
      </c>
      <c r="X213" s="58">
        <f>W213-(W213*((VLOOKUP(A213,[1]Plan!A$1:AC$804,29,FALSE)/100)))</f>
        <v>0</v>
      </c>
      <c r="Y213" s="59"/>
      <c r="Z213" s="60" t="b">
        <f>OR(H213="Y",J213="Y")</f>
        <v>0</v>
      </c>
      <c r="AA213" s="58">
        <f>IF(Z213,O213*'[1]ETC Data'!$H$4*'[1]ETC Data'!$I$4,0)</f>
        <v>0</v>
      </c>
      <c r="AB213" s="58">
        <f>AA213-(AA213*((VLOOKUP(A213,[1]Plan!A$1:AI$804,35,FALSE)/100)))</f>
        <v>0</v>
      </c>
      <c r="AC213" s="58">
        <f>IF(Z213,O213*'[1]ETC Data'!$H$4*'[1]ETC Data'!$J$4,0)</f>
        <v>0</v>
      </c>
      <c r="AD213" s="58">
        <f>AC213-(AC213*((VLOOKUP(A213,[1]Plan!A$1:AJ$804,36,FALSE)/100)))</f>
        <v>0</v>
      </c>
      <c r="AE213" s="58">
        <f>IF(Z213,O213*'[1]ETC Data'!$H$4*'[1]ETC Data'!$K$4,0)</f>
        <v>0</v>
      </c>
      <c r="AF213" s="58">
        <f>AE213-(AE213*((VLOOKUP(A213,[1]Plan!A$1:AK$804,37,FALSE)/100)))</f>
        <v>0</v>
      </c>
      <c r="AG213" s="58">
        <f>IF(Z213,O213*'[1]ETC Data'!$H$4*'[1]ETC Data'!$L$4,0)</f>
        <v>0</v>
      </c>
      <c r="AH213" s="58">
        <f>AG213-(AG213*((VLOOKUP(A213,[1]Plan!A$1:AP$804,42,FALSE)/100)))</f>
        <v>0</v>
      </c>
      <c r="AI213" s="60"/>
      <c r="AJ213" s="60" t="b">
        <f>OR(H213="Y",K213="Y")</f>
        <v>0</v>
      </c>
      <c r="AK213" s="61">
        <f>IF(AJ213,O213*'[1]ETC Data'!$H$5*'[1]ETC Data'!$I$5,0)</f>
        <v>0</v>
      </c>
      <c r="AL213" s="58">
        <f>AK213-(AK213*((VLOOKUP(A213,[1]Plan!A$1:AY$804,51,FALSE)/100)))</f>
        <v>0</v>
      </c>
      <c r="AM213" s="58">
        <f>IF(AJ213,O213*'[1]ETC Data'!$H$5*'[1]ETC Data'!$J$5,0)</f>
        <v>0</v>
      </c>
      <c r="AN213" s="58">
        <f>AM213-(AM213*((VLOOKUP(A213,[1]Plan!A$1:BA$804,53,FALSE)/100)))</f>
        <v>0</v>
      </c>
      <c r="AO213" s="61">
        <f>IF(AJ213,O213*'[1]ETC Data'!$H$5*'[1]ETC Data'!$K$5,0)</f>
        <v>0</v>
      </c>
      <c r="AP213" s="58">
        <f>AO213-(AO213*((VLOOKUP(A213,[1]Plan!A$1:BB$804,54,FALSE)/100)))</f>
        <v>0</v>
      </c>
      <c r="AQ213" s="58">
        <f>IF(AJ213,O213*'[1]ETC Data'!$H$5*'[1]ETC Data'!$L$5,0)</f>
        <v>0</v>
      </c>
      <c r="AR213" s="58">
        <f>AQ213-(AQ213*((VLOOKUP(A213,[1]Plan!A$1:BD$804,56,FALSE)/100)))</f>
        <v>0</v>
      </c>
      <c r="AS213" s="20">
        <f>VLOOKUP(A213,'[1]PR Matrix'!A:B,2,FALSE)</f>
        <v>0</v>
      </c>
      <c r="AT213" s="21">
        <f>R213+T213+V213+X213+AB213+AD213+AF213+AH213+AL213+AN213+AP213+AR213</f>
        <v>0</v>
      </c>
      <c r="AU213" s="21">
        <f>Q213+S213+U213+W213+AA213+AC213+AE213+AG213+AK213+AM213+AO213+AQ213</f>
        <v>0</v>
      </c>
      <c r="AV213" s="21">
        <f>R213+AB213+AL213</f>
        <v>0</v>
      </c>
      <c r="AW213" s="21">
        <f>T213+AD213+AN213</f>
        <v>0</v>
      </c>
      <c r="AX213" s="21">
        <f>V213+AF213+AP213</f>
        <v>0</v>
      </c>
      <c r="AY213" s="21">
        <f>X213+AH213+AR213</f>
        <v>0</v>
      </c>
    </row>
    <row r="214" spans="1:51" hidden="1" x14ac:dyDescent="0.2">
      <c r="A214" s="50" t="s">
        <v>421</v>
      </c>
      <c r="B214" s="51" t="s">
        <v>208</v>
      </c>
      <c r="C214" s="51"/>
      <c r="D214" s="51"/>
      <c r="E214" s="52">
        <f>IF(G214="Y",VLOOKUP(B214&amp;"|"&amp;C214,'[1]ETC Data'!$C$2:$D$16,2,FALSE),0)</f>
        <v>0</v>
      </c>
      <c r="F214" s="52">
        <f>IF(D214="",0,IF(G214="Y",VLOOKUP(B214&amp;"|"&amp;D214,'[1]ETC Data'!$C$2:$D$16,2,FALSE),0))</f>
        <v>0</v>
      </c>
      <c r="G214" s="53" t="str">
        <f>IF(VLOOKUP(A214,[1]Plan!A$1:H$804,8,FALSE)&lt;&gt;"",VLOOKUP(A214,[1]Plan!A$1:H$804,8,FALSE),"")</f>
        <v>N</v>
      </c>
      <c r="H214" s="54" t="str">
        <f>IF(VLOOKUP(A214,[1]Plan!A$1:L$804,12,FALSE)&lt;&gt;"",VLOOKUP(A214,[1]Plan!A$1:L$804,12,FALSE),"")</f>
        <v/>
      </c>
      <c r="I214" s="55" t="str">
        <f>IF(VLOOKUP(A214,[1]Plan!A$1:M$804,13,FALSE)&lt;&gt;"",VLOOKUP(A214,[1]Plan!A$1:M$804,13,FALSE),"")</f>
        <v/>
      </c>
      <c r="J214" s="55" t="str">
        <f>IF(VLOOKUP(A214,[1]Plan!A$1:N$804,14,FALSE)&lt;&gt;"",VLOOKUP(A214,[1]Plan!A$1:N$804,14,FALSE),IF(VLOOKUP(A214,[1]Plan!A$1:O$804,15,FALSE)&lt;&gt;"",VLOOKUP(A214,[1]Plan!A$1:O$804,15,FALSE),""))</f>
        <v/>
      </c>
      <c r="K214" s="56" t="str">
        <f>IF(VLOOKUP(A214,[1]Plan!A$1:P$804,16,FALSE)&lt;&gt;"",VLOOKUP(A214,[1]Plan!A$1:P$804,16,FALSE),"")</f>
        <v/>
      </c>
      <c r="L214" s="55"/>
      <c r="M214" s="55"/>
      <c r="N214" s="55"/>
      <c r="O214" s="57">
        <f>IF(F214=0,E214,F214)</f>
        <v>0</v>
      </c>
      <c r="P214" s="57" t="b">
        <f>OR(H214="Y",I214="Y")</f>
        <v>0</v>
      </c>
      <c r="Q214" s="58">
        <f>IF(P214,O214*'[1]ETC Data'!$H$3*'[1]ETC Data'!$I$3,0)</f>
        <v>0</v>
      </c>
      <c r="R214" s="58">
        <f>Q214-(Q214*((VLOOKUP(A214,[1]Plan!A$1:Z$804,26,FALSE)/100)))</f>
        <v>0</v>
      </c>
      <c r="S214" s="58">
        <f>IF(P214,O214*'[1]ETC Data'!$H$3*'[1]ETC Data'!$J$3,0)</f>
        <v>0</v>
      </c>
      <c r="T214" s="58">
        <f>S214-(S214*((VLOOKUP(A214,[1]Plan!A$1:AA$804,27,FALSE)/100)))</f>
        <v>0</v>
      </c>
      <c r="U214" s="58">
        <f>IF(P214,O214*'[1]ETC Data'!$H$3*'[1]ETC Data'!$K$3,0)</f>
        <v>0</v>
      </c>
      <c r="V214" s="58">
        <f>U214-(U214*((VLOOKUP(A214,[1]Plan!A$1:AB$804,28,FALSE)/100)))</f>
        <v>0</v>
      </c>
      <c r="W214" s="58">
        <f>IF(P214,O214*'[1]ETC Data'!$H$3*'[1]ETC Data'!$L$3,0)</f>
        <v>0</v>
      </c>
      <c r="X214" s="58">
        <f>W214-(W214*((VLOOKUP(A214,[1]Plan!A$1:AC$804,29,FALSE)/100)))</f>
        <v>0</v>
      </c>
      <c r="Y214" s="59"/>
      <c r="Z214" s="60" t="b">
        <f>OR(H214="Y",J214="Y")</f>
        <v>0</v>
      </c>
      <c r="AA214" s="58">
        <f>IF(Z214,O214*'[1]ETC Data'!$H$4*'[1]ETC Data'!$I$4,0)</f>
        <v>0</v>
      </c>
      <c r="AB214" s="58">
        <f>AA214-(AA214*((VLOOKUP(A214,[1]Plan!A$1:AI$804,35,FALSE)/100)))</f>
        <v>0</v>
      </c>
      <c r="AC214" s="58">
        <f>IF(Z214,O214*'[1]ETC Data'!$H$4*'[1]ETC Data'!$J$4,0)</f>
        <v>0</v>
      </c>
      <c r="AD214" s="58">
        <f>AC214-(AC214*((VLOOKUP(A214,[1]Plan!A$1:AJ$804,36,FALSE)/100)))</f>
        <v>0</v>
      </c>
      <c r="AE214" s="58">
        <f>IF(Z214,O214*'[1]ETC Data'!$H$4*'[1]ETC Data'!$K$4,0)</f>
        <v>0</v>
      </c>
      <c r="AF214" s="58">
        <f>AE214-(AE214*((VLOOKUP(A214,[1]Plan!A$1:AK$804,37,FALSE)/100)))</f>
        <v>0</v>
      </c>
      <c r="AG214" s="58">
        <f>IF(Z214,O214*'[1]ETC Data'!$H$4*'[1]ETC Data'!$L$4,0)</f>
        <v>0</v>
      </c>
      <c r="AH214" s="58">
        <f>AG214-(AG214*((VLOOKUP(A214,[1]Plan!A$1:AP$804,42,FALSE)/100)))</f>
        <v>0</v>
      </c>
      <c r="AI214" s="60"/>
      <c r="AJ214" s="60" t="b">
        <f>OR(H214="Y",K214="Y")</f>
        <v>0</v>
      </c>
      <c r="AK214" s="61">
        <f>IF(AJ214,O214*'[1]ETC Data'!$H$5*'[1]ETC Data'!$I$5,0)</f>
        <v>0</v>
      </c>
      <c r="AL214" s="58">
        <f>AK214-(AK214*((VLOOKUP(A214,[1]Plan!A$1:AY$804,51,FALSE)/100)))</f>
        <v>0</v>
      </c>
      <c r="AM214" s="58">
        <f>IF(AJ214,O214*'[1]ETC Data'!$H$5*'[1]ETC Data'!$J$5,0)</f>
        <v>0</v>
      </c>
      <c r="AN214" s="58">
        <f>AM214-(AM214*((VLOOKUP(A214,[1]Plan!A$1:BA$804,53,FALSE)/100)))</f>
        <v>0</v>
      </c>
      <c r="AO214" s="61">
        <f>IF(AJ214,O214*'[1]ETC Data'!$H$5*'[1]ETC Data'!$K$5,0)</f>
        <v>0</v>
      </c>
      <c r="AP214" s="58">
        <f>AO214-(AO214*((VLOOKUP(A214,[1]Plan!A$1:BB$804,54,FALSE)/100)))</f>
        <v>0</v>
      </c>
      <c r="AQ214" s="58">
        <f>IF(AJ214,O214*'[1]ETC Data'!$H$5*'[1]ETC Data'!$L$5,0)</f>
        <v>0</v>
      </c>
      <c r="AR214" s="58">
        <f>AQ214-(AQ214*((VLOOKUP(A214,[1]Plan!A$1:BD$804,56,FALSE)/100)))</f>
        <v>0</v>
      </c>
      <c r="AS214" s="20">
        <f>VLOOKUP(A214,'[1]PR Matrix'!A:B,2,FALSE)</f>
        <v>0</v>
      </c>
      <c r="AT214" s="21">
        <f>R214+T214+V214+X214+AB214+AD214+AF214+AH214+AL214+AN214+AP214+AR214</f>
        <v>0</v>
      </c>
      <c r="AU214" s="21">
        <f>Q214+S214+U214+W214+AA214+AC214+AE214+AG214+AK214+AM214+AO214+AQ214</f>
        <v>0</v>
      </c>
      <c r="AV214" s="21">
        <f>R214+AB214+AL214</f>
        <v>0</v>
      </c>
      <c r="AW214" s="21">
        <f>T214+AD214+AN214</f>
        <v>0</v>
      </c>
      <c r="AX214" s="21">
        <f>V214+AF214+AP214</f>
        <v>0</v>
      </c>
      <c r="AY214" s="21">
        <f>X214+AH214+AR214</f>
        <v>0</v>
      </c>
    </row>
    <row r="215" spans="1:51" hidden="1" x14ac:dyDescent="0.2">
      <c r="A215" s="50" t="s">
        <v>422</v>
      </c>
      <c r="B215" s="51" t="s">
        <v>208</v>
      </c>
      <c r="C215" s="51"/>
      <c r="D215" s="51"/>
      <c r="E215" s="52">
        <f>IF(G215="Y",VLOOKUP(B215&amp;"|"&amp;C215,'[1]ETC Data'!$C$2:$D$16,2,FALSE),0)</f>
        <v>0</v>
      </c>
      <c r="F215" s="52">
        <f>IF(D215="",0,IF(G215="Y",VLOOKUP(B215&amp;"|"&amp;D215,'[1]ETC Data'!$C$2:$D$16,2,FALSE),0))</f>
        <v>0</v>
      </c>
      <c r="G215" s="53" t="str">
        <f>IF(VLOOKUP(A215,[1]Plan!A$1:H$804,8,FALSE)&lt;&gt;"",VLOOKUP(A215,[1]Plan!A$1:H$804,8,FALSE),"")</f>
        <v>N</v>
      </c>
      <c r="H215" s="54" t="str">
        <f>IF(VLOOKUP(A215,[1]Plan!A$1:L$804,12,FALSE)&lt;&gt;"",VLOOKUP(A215,[1]Plan!A$1:L$804,12,FALSE),"")</f>
        <v/>
      </c>
      <c r="I215" s="55" t="str">
        <f>IF(VLOOKUP(A215,[1]Plan!A$1:M$804,13,FALSE)&lt;&gt;"",VLOOKUP(A215,[1]Plan!A$1:M$804,13,FALSE),"")</f>
        <v/>
      </c>
      <c r="J215" s="55" t="str">
        <f>IF(VLOOKUP(A215,[1]Plan!A$1:N$804,14,FALSE)&lt;&gt;"",VLOOKUP(A215,[1]Plan!A$1:N$804,14,FALSE),IF(VLOOKUP(A215,[1]Plan!A$1:O$804,15,FALSE)&lt;&gt;"",VLOOKUP(A215,[1]Plan!A$1:O$804,15,FALSE),""))</f>
        <v/>
      </c>
      <c r="K215" s="56" t="str">
        <f>IF(VLOOKUP(A215,[1]Plan!A$1:P$804,16,FALSE)&lt;&gt;"",VLOOKUP(A215,[1]Plan!A$1:P$804,16,FALSE),"")</f>
        <v/>
      </c>
      <c r="L215" s="55"/>
      <c r="M215" s="55"/>
      <c r="N215" s="55"/>
      <c r="O215" s="57">
        <f>IF(F215=0,E215,F215)</f>
        <v>0</v>
      </c>
      <c r="P215" s="57" t="b">
        <f>OR(H215="Y",I215="Y")</f>
        <v>0</v>
      </c>
      <c r="Q215" s="58">
        <f>IF(P215,O215*'[1]ETC Data'!$H$3*'[1]ETC Data'!$I$3,0)</f>
        <v>0</v>
      </c>
      <c r="R215" s="58">
        <f>Q215-(Q215*((VLOOKUP(A215,[1]Plan!A$1:Z$804,26,FALSE)/100)))</f>
        <v>0</v>
      </c>
      <c r="S215" s="58">
        <f>IF(P215,O215*'[1]ETC Data'!$H$3*'[1]ETC Data'!$J$3,0)</f>
        <v>0</v>
      </c>
      <c r="T215" s="58">
        <f>S215-(S215*((VLOOKUP(A215,[1]Plan!A$1:AA$804,27,FALSE)/100)))</f>
        <v>0</v>
      </c>
      <c r="U215" s="58">
        <f>IF(P215,O215*'[1]ETC Data'!$H$3*'[1]ETC Data'!$K$3,0)</f>
        <v>0</v>
      </c>
      <c r="V215" s="58">
        <f>U215-(U215*((VLOOKUP(A215,[1]Plan!A$1:AB$804,28,FALSE)/100)))</f>
        <v>0</v>
      </c>
      <c r="W215" s="58">
        <f>IF(P215,O215*'[1]ETC Data'!$H$3*'[1]ETC Data'!$L$3,0)</f>
        <v>0</v>
      </c>
      <c r="X215" s="58">
        <f>W215-(W215*((VLOOKUP(A215,[1]Plan!A$1:AC$804,29,FALSE)/100)))</f>
        <v>0</v>
      </c>
      <c r="Y215" s="59"/>
      <c r="Z215" s="60" t="b">
        <f>OR(H215="Y",J215="Y")</f>
        <v>0</v>
      </c>
      <c r="AA215" s="58">
        <f>IF(Z215,O215*'[1]ETC Data'!$H$4*'[1]ETC Data'!$I$4,0)</f>
        <v>0</v>
      </c>
      <c r="AB215" s="58">
        <f>AA215-(AA215*((VLOOKUP(A215,[1]Plan!A$1:AI$804,35,FALSE)/100)))</f>
        <v>0</v>
      </c>
      <c r="AC215" s="58">
        <f>IF(Z215,O215*'[1]ETC Data'!$H$4*'[1]ETC Data'!$J$4,0)</f>
        <v>0</v>
      </c>
      <c r="AD215" s="58">
        <f>AC215-(AC215*((VLOOKUP(A215,[1]Plan!A$1:AJ$804,36,FALSE)/100)))</f>
        <v>0</v>
      </c>
      <c r="AE215" s="58">
        <f>IF(Z215,O215*'[1]ETC Data'!$H$4*'[1]ETC Data'!$K$4,0)</f>
        <v>0</v>
      </c>
      <c r="AF215" s="58">
        <f>AE215-(AE215*((VLOOKUP(A215,[1]Plan!A$1:AK$804,37,FALSE)/100)))</f>
        <v>0</v>
      </c>
      <c r="AG215" s="58">
        <f>IF(Z215,O215*'[1]ETC Data'!$H$4*'[1]ETC Data'!$L$4,0)</f>
        <v>0</v>
      </c>
      <c r="AH215" s="58">
        <f>AG215-(AG215*((VLOOKUP(A215,[1]Plan!A$1:AP$804,42,FALSE)/100)))</f>
        <v>0</v>
      </c>
      <c r="AI215" s="60"/>
      <c r="AJ215" s="60" t="b">
        <f>OR(H215="Y",K215="Y")</f>
        <v>0</v>
      </c>
      <c r="AK215" s="61">
        <f>IF(AJ215,O215*'[1]ETC Data'!$H$5*'[1]ETC Data'!$I$5,0)</f>
        <v>0</v>
      </c>
      <c r="AL215" s="58">
        <f>AK215-(AK215*((VLOOKUP(A215,[1]Plan!A$1:AY$804,51,FALSE)/100)))</f>
        <v>0</v>
      </c>
      <c r="AM215" s="58">
        <f>IF(AJ215,O215*'[1]ETC Data'!$H$5*'[1]ETC Data'!$J$5,0)</f>
        <v>0</v>
      </c>
      <c r="AN215" s="58">
        <f>AM215-(AM215*((VLOOKUP(A215,[1]Plan!A$1:BA$804,53,FALSE)/100)))</f>
        <v>0</v>
      </c>
      <c r="AO215" s="61">
        <f>IF(AJ215,O215*'[1]ETC Data'!$H$5*'[1]ETC Data'!$K$5,0)</f>
        <v>0</v>
      </c>
      <c r="AP215" s="58">
        <f>AO215-(AO215*((VLOOKUP(A215,[1]Plan!A$1:BB$804,54,FALSE)/100)))</f>
        <v>0</v>
      </c>
      <c r="AQ215" s="58">
        <f>IF(AJ215,O215*'[1]ETC Data'!$H$5*'[1]ETC Data'!$L$5,0)</f>
        <v>0</v>
      </c>
      <c r="AR215" s="58">
        <f>AQ215-(AQ215*((VLOOKUP(A215,[1]Plan!A$1:BD$804,56,FALSE)/100)))</f>
        <v>0</v>
      </c>
      <c r="AS215" s="20">
        <f>VLOOKUP(A215,'[1]PR Matrix'!A:B,2,FALSE)</f>
        <v>0</v>
      </c>
      <c r="AT215" s="21">
        <f>R215+T215+V215+X215+AB215+AD215+AF215+AH215+AL215+AN215+AP215+AR215</f>
        <v>0</v>
      </c>
      <c r="AU215" s="21">
        <f>Q215+S215+U215+W215+AA215+AC215+AE215+AG215+AK215+AM215+AO215+AQ215</f>
        <v>0</v>
      </c>
      <c r="AV215" s="21">
        <f>R215+AB215+AL215</f>
        <v>0</v>
      </c>
      <c r="AW215" s="21">
        <f>T215+AD215+AN215</f>
        <v>0</v>
      </c>
      <c r="AX215" s="21">
        <f>V215+AF215+AP215</f>
        <v>0</v>
      </c>
      <c r="AY215" s="21">
        <f>X215+AH215+AR215</f>
        <v>0</v>
      </c>
    </row>
    <row r="216" spans="1:51" hidden="1" x14ac:dyDescent="0.2">
      <c r="A216" s="50" t="s">
        <v>423</v>
      </c>
      <c r="B216" s="51" t="s">
        <v>208</v>
      </c>
      <c r="C216" s="51"/>
      <c r="D216" s="51"/>
      <c r="E216" s="52">
        <f>IF(G216="Y",VLOOKUP(B216&amp;"|"&amp;C216,'[1]ETC Data'!$C$2:$D$16,2,FALSE),0)</f>
        <v>0</v>
      </c>
      <c r="F216" s="52">
        <f>IF(D216="",0,IF(G216="Y",VLOOKUP(B216&amp;"|"&amp;D216,'[1]ETC Data'!$C$2:$D$16,2,FALSE),0))</f>
        <v>0</v>
      </c>
      <c r="G216" s="53" t="str">
        <f>IF(VLOOKUP(A216,[1]Plan!A$1:H$804,8,FALSE)&lt;&gt;"",VLOOKUP(A216,[1]Plan!A$1:H$804,8,FALSE),"")</f>
        <v>N</v>
      </c>
      <c r="H216" s="54" t="str">
        <f>IF(VLOOKUP(A216,[1]Plan!A$1:L$804,12,FALSE)&lt;&gt;"",VLOOKUP(A216,[1]Plan!A$1:L$804,12,FALSE),"")</f>
        <v/>
      </c>
      <c r="I216" s="55" t="str">
        <f>IF(VLOOKUP(A216,[1]Plan!A$1:M$804,13,FALSE)&lt;&gt;"",VLOOKUP(A216,[1]Plan!A$1:M$804,13,FALSE),"")</f>
        <v/>
      </c>
      <c r="J216" s="55" t="str">
        <f>IF(VLOOKUP(A216,[1]Plan!A$1:N$804,14,FALSE)&lt;&gt;"",VLOOKUP(A216,[1]Plan!A$1:N$804,14,FALSE),IF(VLOOKUP(A216,[1]Plan!A$1:O$804,15,FALSE)&lt;&gt;"",VLOOKUP(A216,[1]Plan!A$1:O$804,15,FALSE),""))</f>
        <v/>
      </c>
      <c r="K216" s="56" t="str">
        <f>IF(VLOOKUP(A216,[1]Plan!A$1:P$804,16,FALSE)&lt;&gt;"",VLOOKUP(A216,[1]Plan!A$1:P$804,16,FALSE),"")</f>
        <v/>
      </c>
      <c r="L216" s="55"/>
      <c r="M216" s="55"/>
      <c r="N216" s="55"/>
      <c r="O216" s="57">
        <f>IF(F216=0,E216,F216)</f>
        <v>0</v>
      </c>
      <c r="P216" s="57" t="b">
        <f>OR(H216="Y",I216="Y")</f>
        <v>0</v>
      </c>
      <c r="Q216" s="58">
        <f>IF(P216,O216*'[1]ETC Data'!$H$3*'[1]ETC Data'!$I$3,0)</f>
        <v>0</v>
      </c>
      <c r="R216" s="58">
        <f>Q216-(Q216*((VLOOKUP(A216,[1]Plan!A$1:Z$804,26,FALSE)/100)))</f>
        <v>0</v>
      </c>
      <c r="S216" s="58">
        <f>IF(P216,O216*'[1]ETC Data'!$H$3*'[1]ETC Data'!$J$3,0)</f>
        <v>0</v>
      </c>
      <c r="T216" s="58">
        <f>S216-(S216*((VLOOKUP(A216,[1]Plan!A$1:AA$804,27,FALSE)/100)))</f>
        <v>0</v>
      </c>
      <c r="U216" s="58">
        <f>IF(P216,O216*'[1]ETC Data'!$H$3*'[1]ETC Data'!$K$3,0)</f>
        <v>0</v>
      </c>
      <c r="V216" s="58">
        <f>U216-(U216*((VLOOKUP(A216,[1]Plan!A$1:AB$804,28,FALSE)/100)))</f>
        <v>0</v>
      </c>
      <c r="W216" s="58">
        <f>IF(P216,O216*'[1]ETC Data'!$H$3*'[1]ETC Data'!$L$3,0)</f>
        <v>0</v>
      </c>
      <c r="X216" s="58">
        <f>W216-(W216*((VLOOKUP(A216,[1]Plan!A$1:AC$804,29,FALSE)/100)))</f>
        <v>0</v>
      </c>
      <c r="Y216" s="59"/>
      <c r="Z216" s="60" t="b">
        <f>OR(H216="Y",J216="Y")</f>
        <v>0</v>
      </c>
      <c r="AA216" s="58">
        <f>IF(Z216,O216*'[1]ETC Data'!$H$4*'[1]ETC Data'!$I$4,0)</f>
        <v>0</v>
      </c>
      <c r="AB216" s="58">
        <f>AA216-(AA216*((VLOOKUP(A216,[1]Plan!A$1:AI$804,35,FALSE)/100)))</f>
        <v>0</v>
      </c>
      <c r="AC216" s="58">
        <f>IF(Z216,O216*'[1]ETC Data'!$H$4*'[1]ETC Data'!$J$4,0)</f>
        <v>0</v>
      </c>
      <c r="AD216" s="58">
        <f>AC216-(AC216*((VLOOKUP(A216,[1]Plan!A$1:AJ$804,36,FALSE)/100)))</f>
        <v>0</v>
      </c>
      <c r="AE216" s="58">
        <f>IF(Z216,O216*'[1]ETC Data'!$H$4*'[1]ETC Data'!$K$4,0)</f>
        <v>0</v>
      </c>
      <c r="AF216" s="58">
        <f>AE216-(AE216*((VLOOKUP(A216,[1]Plan!A$1:AK$804,37,FALSE)/100)))</f>
        <v>0</v>
      </c>
      <c r="AG216" s="58">
        <f>IF(Z216,O216*'[1]ETC Data'!$H$4*'[1]ETC Data'!$L$4,0)</f>
        <v>0</v>
      </c>
      <c r="AH216" s="58">
        <f>AG216-(AG216*((VLOOKUP(A216,[1]Plan!A$1:AP$804,42,FALSE)/100)))</f>
        <v>0</v>
      </c>
      <c r="AI216" s="60"/>
      <c r="AJ216" s="60" t="b">
        <f>OR(H216="Y",K216="Y")</f>
        <v>0</v>
      </c>
      <c r="AK216" s="61">
        <f>IF(AJ216,O216*'[1]ETC Data'!$H$5*'[1]ETC Data'!$I$5,0)</f>
        <v>0</v>
      </c>
      <c r="AL216" s="58">
        <f>AK216-(AK216*((VLOOKUP(A216,[1]Plan!A$1:AY$804,51,FALSE)/100)))</f>
        <v>0</v>
      </c>
      <c r="AM216" s="58">
        <f>IF(AJ216,O216*'[1]ETC Data'!$H$5*'[1]ETC Data'!$J$5,0)</f>
        <v>0</v>
      </c>
      <c r="AN216" s="58">
        <f>AM216-(AM216*((VLOOKUP(A216,[1]Plan!A$1:BA$804,53,FALSE)/100)))</f>
        <v>0</v>
      </c>
      <c r="AO216" s="61">
        <f>IF(AJ216,O216*'[1]ETC Data'!$H$5*'[1]ETC Data'!$K$5,0)</f>
        <v>0</v>
      </c>
      <c r="AP216" s="58">
        <f>AO216-(AO216*((VLOOKUP(A216,[1]Plan!A$1:BB$804,54,FALSE)/100)))</f>
        <v>0</v>
      </c>
      <c r="AQ216" s="58">
        <f>IF(AJ216,O216*'[1]ETC Data'!$H$5*'[1]ETC Data'!$L$5,0)</f>
        <v>0</v>
      </c>
      <c r="AR216" s="58">
        <f>AQ216-(AQ216*((VLOOKUP(A216,[1]Plan!A$1:BD$804,56,FALSE)/100)))</f>
        <v>0</v>
      </c>
      <c r="AS216" s="20">
        <f>VLOOKUP(A216,'[1]PR Matrix'!A:B,2,FALSE)</f>
        <v>0</v>
      </c>
      <c r="AT216" s="21">
        <f>R216+T216+V216+X216+AB216+AD216+AF216+AH216+AL216+AN216+AP216+AR216</f>
        <v>0</v>
      </c>
      <c r="AU216" s="21">
        <f>Q216+S216+U216+W216+AA216+AC216+AE216+AG216+AK216+AM216+AO216+AQ216</f>
        <v>0</v>
      </c>
      <c r="AV216" s="21">
        <f>R216+AB216+AL216</f>
        <v>0</v>
      </c>
      <c r="AW216" s="21">
        <f>T216+AD216+AN216</f>
        <v>0</v>
      </c>
      <c r="AX216" s="21">
        <f>V216+AF216+AP216</f>
        <v>0</v>
      </c>
      <c r="AY216" s="21">
        <f>X216+AH216+AR216</f>
        <v>0</v>
      </c>
    </row>
    <row r="217" spans="1:51" hidden="1" x14ac:dyDescent="0.2">
      <c r="A217" s="50" t="s">
        <v>424</v>
      </c>
      <c r="B217" s="51" t="s">
        <v>208</v>
      </c>
      <c r="C217" s="51"/>
      <c r="D217" s="51"/>
      <c r="E217" s="52">
        <f>IF(G217="Y",VLOOKUP(B217&amp;"|"&amp;C217,'[1]ETC Data'!$C$2:$D$16,2,FALSE),0)</f>
        <v>0</v>
      </c>
      <c r="F217" s="52">
        <f>IF(D217="",0,IF(G217="Y",VLOOKUP(B217&amp;"|"&amp;D217,'[1]ETC Data'!$C$2:$D$16,2,FALSE),0))</f>
        <v>0</v>
      </c>
      <c r="G217" s="53" t="str">
        <f>IF(VLOOKUP(A217,[1]Plan!A$1:H$804,8,FALSE)&lt;&gt;"",VLOOKUP(A217,[1]Plan!A$1:H$804,8,FALSE),"")</f>
        <v>N</v>
      </c>
      <c r="H217" s="54" t="str">
        <f>IF(VLOOKUP(A217,[1]Plan!A$1:L$804,12,FALSE)&lt;&gt;"",VLOOKUP(A217,[1]Plan!A$1:L$804,12,FALSE),"")</f>
        <v/>
      </c>
      <c r="I217" s="55" t="str">
        <f>IF(VLOOKUP(A217,[1]Plan!A$1:M$804,13,FALSE)&lt;&gt;"",VLOOKUP(A217,[1]Plan!A$1:M$804,13,FALSE),"")</f>
        <v/>
      </c>
      <c r="J217" s="55" t="str">
        <f>IF(VLOOKUP(A217,[1]Plan!A$1:N$804,14,FALSE)&lt;&gt;"",VLOOKUP(A217,[1]Plan!A$1:N$804,14,FALSE),IF(VLOOKUP(A217,[1]Plan!A$1:O$804,15,FALSE)&lt;&gt;"",VLOOKUP(A217,[1]Plan!A$1:O$804,15,FALSE),""))</f>
        <v/>
      </c>
      <c r="K217" s="56" t="str">
        <f>IF(VLOOKUP(A217,[1]Plan!A$1:P$804,16,FALSE)&lt;&gt;"",VLOOKUP(A217,[1]Plan!A$1:P$804,16,FALSE),"")</f>
        <v/>
      </c>
      <c r="L217" s="55"/>
      <c r="M217" s="55"/>
      <c r="N217" s="55"/>
      <c r="O217" s="57">
        <f>IF(F217=0,E217,F217)</f>
        <v>0</v>
      </c>
      <c r="P217" s="57" t="b">
        <f>OR(H217="Y",I217="Y")</f>
        <v>0</v>
      </c>
      <c r="Q217" s="58">
        <f>IF(P217,O217*'[1]ETC Data'!$H$3*'[1]ETC Data'!$I$3,0)</f>
        <v>0</v>
      </c>
      <c r="R217" s="58">
        <f>Q217-(Q217*((VLOOKUP(A217,[1]Plan!A$1:Z$804,26,FALSE)/100)))</f>
        <v>0</v>
      </c>
      <c r="S217" s="58">
        <f>IF(P217,O217*'[1]ETC Data'!$H$3*'[1]ETC Data'!$J$3,0)</f>
        <v>0</v>
      </c>
      <c r="T217" s="58">
        <f>S217-(S217*((VLOOKUP(A217,[1]Plan!A$1:AA$804,27,FALSE)/100)))</f>
        <v>0</v>
      </c>
      <c r="U217" s="58">
        <f>IF(P217,O217*'[1]ETC Data'!$H$3*'[1]ETC Data'!$K$3,0)</f>
        <v>0</v>
      </c>
      <c r="V217" s="58">
        <f>U217-(U217*((VLOOKUP(A217,[1]Plan!A$1:AB$804,28,FALSE)/100)))</f>
        <v>0</v>
      </c>
      <c r="W217" s="58">
        <f>IF(P217,O217*'[1]ETC Data'!$H$3*'[1]ETC Data'!$L$3,0)</f>
        <v>0</v>
      </c>
      <c r="X217" s="58">
        <f>W217-(W217*((VLOOKUP(A217,[1]Plan!A$1:AC$804,29,FALSE)/100)))</f>
        <v>0</v>
      </c>
      <c r="Y217" s="59"/>
      <c r="Z217" s="60" t="b">
        <f>OR(H217="Y",J217="Y")</f>
        <v>0</v>
      </c>
      <c r="AA217" s="58">
        <f>IF(Z217,O217*'[1]ETC Data'!$H$4*'[1]ETC Data'!$I$4,0)</f>
        <v>0</v>
      </c>
      <c r="AB217" s="58">
        <f>AA217-(AA217*((VLOOKUP(A217,[1]Plan!A$1:AI$804,35,FALSE)/100)))</f>
        <v>0</v>
      </c>
      <c r="AC217" s="58">
        <f>IF(Z217,O217*'[1]ETC Data'!$H$4*'[1]ETC Data'!$J$4,0)</f>
        <v>0</v>
      </c>
      <c r="AD217" s="58">
        <f>AC217-(AC217*((VLOOKUP(A217,[1]Plan!A$1:AJ$804,36,FALSE)/100)))</f>
        <v>0</v>
      </c>
      <c r="AE217" s="58">
        <f>IF(Z217,O217*'[1]ETC Data'!$H$4*'[1]ETC Data'!$K$4,0)</f>
        <v>0</v>
      </c>
      <c r="AF217" s="58">
        <f>AE217-(AE217*((VLOOKUP(A217,[1]Plan!A$1:AK$804,37,FALSE)/100)))</f>
        <v>0</v>
      </c>
      <c r="AG217" s="58">
        <f>IF(Z217,O217*'[1]ETC Data'!$H$4*'[1]ETC Data'!$L$4,0)</f>
        <v>0</v>
      </c>
      <c r="AH217" s="58">
        <f>AG217-(AG217*((VLOOKUP(A217,[1]Plan!A$1:AP$804,42,FALSE)/100)))</f>
        <v>0</v>
      </c>
      <c r="AI217" s="60"/>
      <c r="AJ217" s="60" t="b">
        <f>OR(H217="Y",K217="Y")</f>
        <v>0</v>
      </c>
      <c r="AK217" s="61">
        <f>IF(AJ217,O217*'[1]ETC Data'!$H$5*'[1]ETC Data'!$I$5,0)</f>
        <v>0</v>
      </c>
      <c r="AL217" s="58">
        <f>AK217-(AK217*((VLOOKUP(A217,[1]Plan!A$1:AY$804,51,FALSE)/100)))</f>
        <v>0</v>
      </c>
      <c r="AM217" s="58">
        <f>IF(AJ217,O217*'[1]ETC Data'!$H$5*'[1]ETC Data'!$J$5,0)</f>
        <v>0</v>
      </c>
      <c r="AN217" s="58">
        <f>AM217-(AM217*((VLOOKUP(A217,[1]Plan!A$1:BA$804,53,FALSE)/100)))</f>
        <v>0</v>
      </c>
      <c r="AO217" s="61">
        <f>IF(AJ217,O217*'[1]ETC Data'!$H$5*'[1]ETC Data'!$K$5,0)</f>
        <v>0</v>
      </c>
      <c r="AP217" s="58">
        <f>AO217-(AO217*((VLOOKUP(A217,[1]Plan!A$1:BB$804,54,FALSE)/100)))</f>
        <v>0</v>
      </c>
      <c r="AQ217" s="58">
        <f>IF(AJ217,O217*'[1]ETC Data'!$H$5*'[1]ETC Data'!$L$5,0)</f>
        <v>0</v>
      </c>
      <c r="AR217" s="58">
        <f>AQ217-(AQ217*((VLOOKUP(A217,[1]Plan!A$1:BD$804,56,FALSE)/100)))</f>
        <v>0</v>
      </c>
      <c r="AS217" s="20">
        <f>VLOOKUP(A217,'[1]PR Matrix'!A:B,2,FALSE)</f>
        <v>0</v>
      </c>
      <c r="AT217" s="21">
        <f>R217+T217+V217+X217+AB217+AD217+AF217+AH217+AL217+AN217+AP217+AR217</f>
        <v>0</v>
      </c>
      <c r="AU217" s="21">
        <f>Q217+S217+U217+W217+AA217+AC217+AE217+AG217+AK217+AM217+AO217+AQ217</f>
        <v>0</v>
      </c>
      <c r="AV217" s="21">
        <f>R217+AB217+AL217</f>
        <v>0</v>
      </c>
      <c r="AW217" s="21">
        <f>T217+AD217+AN217</f>
        <v>0</v>
      </c>
      <c r="AX217" s="21">
        <f>V217+AF217+AP217</f>
        <v>0</v>
      </c>
      <c r="AY217" s="21">
        <f>X217+AH217+AR217</f>
        <v>0</v>
      </c>
    </row>
    <row r="218" spans="1:51" hidden="1" x14ac:dyDescent="0.2">
      <c r="A218" s="50" t="s">
        <v>425</v>
      </c>
      <c r="B218" s="51" t="s">
        <v>208</v>
      </c>
      <c r="C218" s="51"/>
      <c r="D218" s="51"/>
      <c r="E218" s="52">
        <f>IF(G218="Y",VLOOKUP(B218&amp;"|"&amp;C218,'[1]ETC Data'!$C$2:$D$16,2,FALSE),0)</f>
        <v>0</v>
      </c>
      <c r="F218" s="52">
        <f>IF(D218="",0,IF(G218="Y",VLOOKUP(B218&amp;"|"&amp;D218,'[1]ETC Data'!$C$2:$D$16,2,FALSE),0))</f>
        <v>0</v>
      </c>
      <c r="G218" s="53" t="str">
        <f>IF(VLOOKUP(A218,[1]Plan!A$1:H$804,8,FALSE)&lt;&gt;"",VLOOKUP(A218,[1]Plan!A$1:H$804,8,FALSE),"")</f>
        <v>N</v>
      </c>
      <c r="H218" s="54" t="str">
        <f>IF(VLOOKUP(A218,[1]Plan!A$1:L$804,12,FALSE)&lt;&gt;"",VLOOKUP(A218,[1]Plan!A$1:L$804,12,FALSE),"")</f>
        <v/>
      </c>
      <c r="I218" s="55" t="str">
        <f>IF(VLOOKUP(A218,[1]Plan!A$1:M$804,13,FALSE)&lt;&gt;"",VLOOKUP(A218,[1]Plan!A$1:M$804,13,FALSE),"")</f>
        <v/>
      </c>
      <c r="J218" s="55" t="str">
        <f>IF(VLOOKUP(A218,[1]Plan!A$1:N$804,14,FALSE)&lt;&gt;"",VLOOKUP(A218,[1]Plan!A$1:N$804,14,FALSE),IF(VLOOKUP(A218,[1]Plan!A$1:O$804,15,FALSE)&lt;&gt;"",VLOOKUP(A218,[1]Plan!A$1:O$804,15,FALSE),""))</f>
        <v/>
      </c>
      <c r="K218" s="56" t="str">
        <f>IF(VLOOKUP(A218,[1]Plan!A$1:P$804,16,FALSE)&lt;&gt;"",VLOOKUP(A218,[1]Plan!A$1:P$804,16,FALSE),"")</f>
        <v/>
      </c>
      <c r="L218" s="55"/>
      <c r="M218" s="55"/>
      <c r="N218" s="55"/>
      <c r="O218" s="57">
        <f>IF(F218=0,E218,F218)</f>
        <v>0</v>
      </c>
      <c r="P218" s="57" t="b">
        <f>OR(H218="Y",I218="Y")</f>
        <v>0</v>
      </c>
      <c r="Q218" s="58">
        <f>IF(P218,O218*'[1]ETC Data'!$H$3*'[1]ETC Data'!$I$3,0)</f>
        <v>0</v>
      </c>
      <c r="R218" s="58">
        <f>Q218-(Q218*((VLOOKUP(A218,[1]Plan!A$1:Z$804,26,FALSE)/100)))</f>
        <v>0</v>
      </c>
      <c r="S218" s="58">
        <f>IF(P218,O218*'[1]ETC Data'!$H$3*'[1]ETC Data'!$J$3,0)</f>
        <v>0</v>
      </c>
      <c r="T218" s="58">
        <f>S218-(S218*((VLOOKUP(A218,[1]Plan!A$1:AA$804,27,FALSE)/100)))</f>
        <v>0</v>
      </c>
      <c r="U218" s="58">
        <f>IF(P218,O218*'[1]ETC Data'!$H$3*'[1]ETC Data'!$K$3,0)</f>
        <v>0</v>
      </c>
      <c r="V218" s="58">
        <f>U218-(U218*((VLOOKUP(A218,[1]Plan!A$1:AB$804,28,FALSE)/100)))</f>
        <v>0</v>
      </c>
      <c r="W218" s="58">
        <f>IF(P218,O218*'[1]ETC Data'!$H$3*'[1]ETC Data'!$L$3,0)</f>
        <v>0</v>
      </c>
      <c r="X218" s="58">
        <f>W218-(W218*((VLOOKUP(A218,[1]Plan!A$1:AC$804,29,FALSE)/100)))</f>
        <v>0</v>
      </c>
      <c r="Y218" s="59"/>
      <c r="Z218" s="60" t="b">
        <f>OR(H218="Y",J218="Y")</f>
        <v>0</v>
      </c>
      <c r="AA218" s="58">
        <f>IF(Z218,O218*'[1]ETC Data'!$H$4*'[1]ETC Data'!$I$4,0)</f>
        <v>0</v>
      </c>
      <c r="AB218" s="58">
        <f>AA218-(AA218*((VLOOKUP(A218,[1]Plan!A$1:AI$804,35,FALSE)/100)))</f>
        <v>0</v>
      </c>
      <c r="AC218" s="58">
        <f>IF(Z218,O218*'[1]ETC Data'!$H$4*'[1]ETC Data'!$J$4,0)</f>
        <v>0</v>
      </c>
      <c r="AD218" s="58">
        <f>AC218-(AC218*((VLOOKUP(A218,[1]Plan!A$1:AJ$804,36,FALSE)/100)))</f>
        <v>0</v>
      </c>
      <c r="AE218" s="58">
        <f>IF(Z218,O218*'[1]ETC Data'!$H$4*'[1]ETC Data'!$K$4,0)</f>
        <v>0</v>
      </c>
      <c r="AF218" s="58">
        <f>AE218-(AE218*((VLOOKUP(A218,[1]Plan!A$1:AK$804,37,FALSE)/100)))</f>
        <v>0</v>
      </c>
      <c r="AG218" s="58">
        <f>IF(Z218,O218*'[1]ETC Data'!$H$4*'[1]ETC Data'!$L$4,0)</f>
        <v>0</v>
      </c>
      <c r="AH218" s="58">
        <f>AG218-(AG218*((VLOOKUP(A218,[1]Plan!A$1:AP$804,42,FALSE)/100)))</f>
        <v>0</v>
      </c>
      <c r="AI218" s="60"/>
      <c r="AJ218" s="60" t="b">
        <f>OR(H218="Y",K218="Y")</f>
        <v>0</v>
      </c>
      <c r="AK218" s="61">
        <f>IF(AJ218,O218*'[1]ETC Data'!$H$5*'[1]ETC Data'!$I$5,0)</f>
        <v>0</v>
      </c>
      <c r="AL218" s="58">
        <f>AK218-(AK218*((VLOOKUP(A218,[1]Plan!A$1:AY$804,51,FALSE)/100)))</f>
        <v>0</v>
      </c>
      <c r="AM218" s="58">
        <f>IF(AJ218,O218*'[1]ETC Data'!$H$5*'[1]ETC Data'!$J$5,0)</f>
        <v>0</v>
      </c>
      <c r="AN218" s="58">
        <f>AM218-(AM218*((VLOOKUP(A218,[1]Plan!A$1:BA$804,53,FALSE)/100)))</f>
        <v>0</v>
      </c>
      <c r="AO218" s="61">
        <f>IF(AJ218,O218*'[1]ETC Data'!$H$5*'[1]ETC Data'!$K$5,0)</f>
        <v>0</v>
      </c>
      <c r="AP218" s="58">
        <f>AO218-(AO218*((VLOOKUP(A218,[1]Plan!A$1:BB$804,54,FALSE)/100)))</f>
        <v>0</v>
      </c>
      <c r="AQ218" s="58">
        <f>IF(AJ218,O218*'[1]ETC Data'!$H$5*'[1]ETC Data'!$L$5,0)</f>
        <v>0</v>
      </c>
      <c r="AR218" s="58">
        <f>AQ218-(AQ218*((VLOOKUP(A218,[1]Plan!A$1:BD$804,56,FALSE)/100)))</f>
        <v>0</v>
      </c>
      <c r="AS218" s="20">
        <f>VLOOKUP(A218,'[1]PR Matrix'!A:B,2,FALSE)</f>
        <v>0</v>
      </c>
      <c r="AT218" s="21">
        <f>R218+T218+V218+X218+AB218+AD218+AF218+AH218+AL218+AN218+AP218+AR218</f>
        <v>0</v>
      </c>
      <c r="AU218" s="21">
        <f>Q218+S218+U218+W218+AA218+AC218+AE218+AG218+AK218+AM218+AO218+AQ218</f>
        <v>0</v>
      </c>
      <c r="AV218" s="21">
        <f>R218+AB218+AL218</f>
        <v>0</v>
      </c>
      <c r="AW218" s="21">
        <f>T218+AD218+AN218</f>
        <v>0</v>
      </c>
      <c r="AX218" s="21">
        <f>V218+AF218+AP218</f>
        <v>0</v>
      </c>
      <c r="AY218" s="21">
        <f>X218+AH218+AR218</f>
        <v>0</v>
      </c>
    </row>
    <row r="219" spans="1:51" x14ac:dyDescent="0.2">
      <c r="A219" s="50" t="s">
        <v>373</v>
      </c>
      <c r="B219" s="51" t="s">
        <v>208</v>
      </c>
      <c r="C219" s="51" t="s">
        <v>258</v>
      </c>
      <c r="D219" s="51"/>
      <c r="E219" s="63">
        <f>IF(G219="Y",VLOOKUP(B219&amp;"|"&amp;C219,'[1]ETC Data'!$C$2:$D$16,2,FALSE),0)</f>
        <v>169</v>
      </c>
      <c r="F219" s="63">
        <f>IF(D219="",0,IF(G219="Y",VLOOKUP(B219&amp;"|"&amp;D219,'[1]ETC Data'!$C$2:$D$16,2,FALSE),0))</f>
        <v>0</v>
      </c>
      <c r="G219" s="53" t="str">
        <f>IF(VLOOKUP(A219,[1]Plan!A$1:H$804,8,FALSE)&lt;&gt;"",VLOOKUP(A219,[1]Plan!A$1:H$804,8,FALSE),"")</f>
        <v>Y</v>
      </c>
      <c r="H219" s="54" t="str">
        <f>IF(VLOOKUP(A219,[1]Plan!A$1:L$804,12,FALSE)&lt;&gt;"",VLOOKUP(A219,[1]Plan!A$1:L$804,12,FALSE),"")</f>
        <v/>
      </c>
      <c r="I219" s="55" t="str">
        <f>IF(VLOOKUP(A219,[1]Plan!A$1:M$804,13,FALSE)&lt;&gt;"",VLOOKUP(A219,[1]Plan!A$1:M$804,13,FALSE),"")</f>
        <v/>
      </c>
      <c r="J219" s="55" t="str">
        <f>IF(VLOOKUP(A219,[1]Plan!A$1:N$804,14,FALSE)&lt;&gt;"",VLOOKUP(A219,[1]Plan!A$1:N$804,14,FALSE),IF(VLOOKUP(A219,[1]Plan!A$1:O$804,15,FALSE)&lt;&gt;"",VLOOKUP(A219,[1]Plan!A$1:O$804,15,FALSE),""))</f>
        <v>Y</v>
      </c>
      <c r="K219" s="56" t="str">
        <f>IF(VLOOKUP(A219,[1]Plan!A$1:P$804,16,FALSE)&lt;&gt;"",VLOOKUP(A219,[1]Plan!A$1:P$804,16,FALSE),"")</f>
        <v/>
      </c>
      <c r="L219" s="55"/>
      <c r="M219" s="55"/>
      <c r="N219" s="55"/>
      <c r="O219" s="57">
        <f>IF(F219=0,E219,F219)</f>
        <v>169</v>
      </c>
      <c r="P219" s="57" t="b">
        <f>OR(H219="Y",I219="Y")</f>
        <v>0</v>
      </c>
      <c r="Q219" s="58">
        <f>IF(P219,O219*'[1]ETC Data'!$H$3*'[1]ETC Data'!$I$3,0)</f>
        <v>0</v>
      </c>
      <c r="R219" s="58">
        <f>Q219-(Q219*((VLOOKUP(A219,[1]Plan!A$1:Z$804,26,FALSE)/100)))</f>
        <v>0</v>
      </c>
      <c r="S219" s="58">
        <f>IF(P219,O219*'[1]ETC Data'!$H$3*'[1]ETC Data'!$J$3,0)</f>
        <v>0</v>
      </c>
      <c r="T219" s="58">
        <f>S219-(S219*((VLOOKUP(A219,[1]Plan!A$1:AA$804,27,FALSE)/100)))</f>
        <v>0</v>
      </c>
      <c r="U219" s="58">
        <f>IF(P219,O219*'[1]ETC Data'!$H$3*'[1]ETC Data'!$K$3,0)</f>
        <v>0</v>
      </c>
      <c r="V219" s="58">
        <f>U219-(U219*((VLOOKUP(A219,[1]Plan!A$1:AB$804,28,FALSE)/100)))</f>
        <v>0</v>
      </c>
      <c r="W219" s="58">
        <f>IF(P219,O219*'[1]ETC Data'!$H$3*'[1]ETC Data'!$L$3,0)</f>
        <v>0</v>
      </c>
      <c r="X219" s="58">
        <f>W219-(W219*((VLOOKUP(A219,[1]Plan!A$1:AC$804,29,FALSE)/100)))</f>
        <v>0</v>
      </c>
      <c r="Y219" s="59"/>
      <c r="Z219" s="60" t="b">
        <f>OR(H219="Y",J219="Y")</f>
        <v>1</v>
      </c>
      <c r="AA219" s="58">
        <f>IF(Z219,O219*'[1]ETC Data'!$H$4*'[1]ETC Data'!$I$4,0)</f>
        <v>41.238099455199013</v>
      </c>
      <c r="AB219" s="58">
        <f>AA219-(AA219*((VLOOKUP(A219,[1]Plan!A$1:AI$804,35,FALSE)/100)))</f>
        <v>41.238099455199013</v>
      </c>
      <c r="AC219" s="58">
        <f>IF(Z219,O219*'[1]ETC Data'!$H$4*'[1]ETC Data'!$J$4,0)</f>
        <v>20.619049727599506</v>
      </c>
      <c r="AD219" s="58">
        <f>AC219-(AC219*((VLOOKUP(A219,[1]Plan!A$1:AJ$804,36,FALSE)/100)))</f>
        <v>20.619049727599506</v>
      </c>
      <c r="AE219" s="58">
        <f>IF(Z219,O219*'[1]ETC Data'!$H$4*'[1]ETC Data'!$K$4,0)</f>
        <v>14.845715803871643</v>
      </c>
      <c r="AF219" s="58">
        <f>AE219-(AE219*((VLOOKUP(A219,[1]Plan!A$1:AK$804,37,FALSE)/100)))</f>
        <v>14.845715803871643</v>
      </c>
      <c r="AG219" s="58">
        <f>IF(Z219,O219*'[1]ETC Data'!$H$4*'[1]ETC Data'!$L$4,0)</f>
        <v>5.7733339237278622</v>
      </c>
      <c r="AH219" s="58">
        <f>AG219-(AG219*((VLOOKUP(A219,[1]Plan!A$1:AP$804,42,FALSE)/100)))</f>
        <v>5.7733339237278622</v>
      </c>
      <c r="AI219" s="60"/>
      <c r="AJ219" s="60" t="b">
        <f>OR(H219="Y",K219="Y")</f>
        <v>0</v>
      </c>
      <c r="AK219" s="61">
        <f>IF(AJ219,O219*'[1]ETC Data'!$H$5*'[1]ETC Data'!$I$5,0)</f>
        <v>0</v>
      </c>
      <c r="AL219" s="58">
        <f>AK219-(AK219*((VLOOKUP(A219,[1]Plan!A$1:AY$804,51,FALSE)/100)))</f>
        <v>0</v>
      </c>
      <c r="AM219" s="58">
        <f>IF(AJ219,O219*'[1]ETC Data'!$H$5*'[1]ETC Data'!$J$5,0)</f>
        <v>0</v>
      </c>
      <c r="AN219" s="58">
        <f>AM219-(AM219*((VLOOKUP(A219,[1]Plan!A$1:BA$804,53,FALSE)/100)))</f>
        <v>0</v>
      </c>
      <c r="AO219" s="61">
        <f>IF(AJ219,O219*'[1]ETC Data'!$H$5*'[1]ETC Data'!$K$5,0)</f>
        <v>0</v>
      </c>
      <c r="AP219" s="58">
        <f>AO219-(AO219*((VLOOKUP(A219,[1]Plan!A$1:BB$804,54,FALSE)/100)))</f>
        <v>0</v>
      </c>
      <c r="AQ219" s="58">
        <f>IF(AJ219,O219*'[1]ETC Data'!$H$5*'[1]ETC Data'!$L$5,0)</f>
        <v>0</v>
      </c>
      <c r="AR219" s="58">
        <f>AQ219-(AQ219*((VLOOKUP(A219,[1]Plan!A$1:BD$804,56,FALSE)/100)))</f>
        <v>0</v>
      </c>
      <c r="AS219" s="20">
        <f>VLOOKUP(A219,'[1]PR Matrix'!A:B,2,FALSE)</f>
        <v>6233</v>
      </c>
      <c r="AT219" s="21">
        <f>R219+T219+V219+X219+AB219+AD219+AF219+AH219+AL219+AN219+AP219+AR219</f>
        <v>82.476198910398026</v>
      </c>
      <c r="AU219" s="21">
        <f>Q219+S219+U219+W219+AA219+AC219+AE219+AG219+AK219+AM219+AO219+AQ219</f>
        <v>82.476198910398026</v>
      </c>
      <c r="AV219" s="21">
        <f>R219+AB219+AL219</f>
        <v>41.238099455199013</v>
      </c>
      <c r="AW219" s="21">
        <f>T219+AD219+AN219</f>
        <v>20.619049727599506</v>
      </c>
      <c r="AX219" s="21">
        <f>V219+AF219+AP219</f>
        <v>14.845715803871643</v>
      </c>
      <c r="AY219" s="21">
        <f>X219+AH219+AR219</f>
        <v>5.7733339237278622</v>
      </c>
    </row>
    <row r="220" spans="1:51" hidden="1" x14ac:dyDescent="0.2">
      <c r="A220" s="50" t="s">
        <v>427</v>
      </c>
      <c r="B220" s="51" t="s">
        <v>208</v>
      </c>
      <c r="C220" s="51"/>
      <c r="D220" s="51"/>
      <c r="E220" s="52">
        <f>IF(G220="Y",VLOOKUP(B220&amp;"|"&amp;C220,'[1]ETC Data'!$C$2:$D$16,2,FALSE),0)</f>
        <v>0</v>
      </c>
      <c r="F220" s="52">
        <f>IF(D220="",0,IF(G220="Y",VLOOKUP(B220&amp;"|"&amp;D220,'[1]ETC Data'!$C$2:$D$16,2,FALSE),0))</f>
        <v>0</v>
      </c>
      <c r="G220" s="53" t="str">
        <f>IF(VLOOKUP(A220,[1]Plan!A$1:H$804,8,FALSE)&lt;&gt;"",VLOOKUP(A220,[1]Plan!A$1:H$804,8,FALSE),"")</f>
        <v>N</v>
      </c>
      <c r="H220" s="54" t="str">
        <f>IF(VLOOKUP(A220,[1]Plan!A$1:L$804,12,FALSE)&lt;&gt;"",VLOOKUP(A220,[1]Plan!A$1:L$804,12,FALSE),"")</f>
        <v/>
      </c>
      <c r="I220" s="55" t="str">
        <f>IF(VLOOKUP(A220,[1]Plan!A$1:M$804,13,FALSE)&lt;&gt;"",VLOOKUP(A220,[1]Plan!A$1:M$804,13,FALSE),"")</f>
        <v/>
      </c>
      <c r="J220" s="55" t="str">
        <f>IF(VLOOKUP(A220,[1]Plan!A$1:N$804,14,FALSE)&lt;&gt;"",VLOOKUP(A220,[1]Plan!A$1:N$804,14,FALSE),IF(VLOOKUP(A220,[1]Plan!A$1:O$804,15,FALSE)&lt;&gt;"",VLOOKUP(A220,[1]Plan!A$1:O$804,15,FALSE),""))</f>
        <v/>
      </c>
      <c r="K220" s="56" t="str">
        <f>IF(VLOOKUP(A220,[1]Plan!A$1:P$804,16,FALSE)&lt;&gt;"",VLOOKUP(A220,[1]Plan!A$1:P$804,16,FALSE),"")</f>
        <v/>
      </c>
      <c r="L220" s="55"/>
      <c r="M220" s="55"/>
      <c r="N220" s="55"/>
      <c r="O220" s="57">
        <f>IF(F220=0,E220,F220)</f>
        <v>0</v>
      </c>
      <c r="P220" s="57" t="b">
        <f>OR(H220="Y",I220="Y")</f>
        <v>0</v>
      </c>
      <c r="Q220" s="58">
        <f>IF(P220,O220*'[1]ETC Data'!$H$3*'[1]ETC Data'!$I$3,0)</f>
        <v>0</v>
      </c>
      <c r="R220" s="58">
        <f>Q220-(Q220*((VLOOKUP(A220,[1]Plan!A$1:Z$804,26,FALSE)/100)))</f>
        <v>0</v>
      </c>
      <c r="S220" s="58">
        <f>IF(P220,O220*'[1]ETC Data'!$H$3*'[1]ETC Data'!$J$3,0)</f>
        <v>0</v>
      </c>
      <c r="T220" s="58">
        <f>S220-(S220*((VLOOKUP(A220,[1]Plan!A$1:AA$804,27,FALSE)/100)))</f>
        <v>0</v>
      </c>
      <c r="U220" s="58">
        <f>IF(P220,O220*'[1]ETC Data'!$H$3*'[1]ETC Data'!$K$3,0)</f>
        <v>0</v>
      </c>
      <c r="V220" s="58">
        <f>U220-(U220*((VLOOKUP(A220,[1]Plan!A$1:AB$804,28,FALSE)/100)))</f>
        <v>0</v>
      </c>
      <c r="W220" s="58">
        <f>IF(P220,O220*'[1]ETC Data'!$H$3*'[1]ETC Data'!$L$3,0)</f>
        <v>0</v>
      </c>
      <c r="X220" s="58">
        <f>W220-(W220*((VLOOKUP(A220,[1]Plan!A$1:AC$804,29,FALSE)/100)))</f>
        <v>0</v>
      </c>
      <c r="Y220" s="59"/>
      <c r="Z220" s="60" t="b">
        <f>OR(H220="Y",J220="Y")</f>
        <v>0</v>
      </c>
      <c r="AA220" s="58">
        <f>IF(Z220,O220*'[1]ETC Data'!$H$4*'[1]ETC Data'!$I$4,0)</f>
        <v>0</v>
      </c>
      <c r="AB220" s="58">
        <f>AA220-(AA220*((VLOOKUP(A220,[1]Plan!A$1:AI$804,35,FALSE)/100)))</f>
        <v>0</v>
      </c>
      <c r="AC220" s="58">
        <f>IF(Z220,O220*'[1]ETC Data'!$H$4*'[1]ETC Data'!$J$4,0)</f>
        <v>0</v>
      </c>
      <c r="AD220" s="58">
        <f>AC220-(AC220*((VLOOKUP(A220,[1]Plan!A$1:AJ$804,36,FALSE)/100)))</f>
        <v>0</v>
      </c>
      <c r="AE220" s="58">
        <f>IF(Z220,O220*'[1]ETC Data'!$H$4*'[1]ETC Data'!$K$4,0)</f>
        <v>0</v>
      </c>
      <c r="AF220" s="58">
        <f>AE220-(AE220*((VLOOKUP(A220,[1]Plan!A$1:AK$804,37,FALSE)/100)))</f>
        <v>0</v>
      </c>
      <c r="AG220" s="58">
        <f>IF(Z220,O220*'[1]ETC Data'!$H$4*'[1]ETC Data'!$L$4,0)</f>
        <v>0</v>
      </c>
      <c r="AH220" s="58">
        <f>AG220-(AG220*((VLOOKUP(A220,[1]Plan!A$1:AP$804,42,FALSE)/100)))</f>
        <v>0</v>
      </c>
      <c r="AI220" s="60"/>
      <c r="AJ220" s="60" t="b">
        <f>OR(H220="Y",K220="Y")</f>
        <v>0</v>
      </c>
      <c r="AK220" s="61">
        <f>IF(AJ220,O220*'[1]ETC Data'!$H$5*'[1]ETC Data'!$I$5,0)</f>
        <v>0</v>
      </c>
      <c r="AL220" s="58">
        <f>AK220-(AK220*((VLOOKUP(A220,[1]Plan!A$1:AY$804,51,FALSE)/100)))</f>
        <v>0</v>
      </c>
      <c r="AM220" s="58">
        <f>IF(AJ220,O220*'[1]ETC Data'!$H$5*'[1]ETC Data'!$J$5,0)</f>
        <v>0</v>
      </c>
      <c r="AN220" s="58">
        <f>AM220-(AM220*((VLOOKUP(A220,[1]Plan!A$1:BA$804,53,FALSE)/100)))</f>
        <v>0</v>
      </c>
      <c r="AO220" s="61">
        <f>IF(AJ220,O220*'[1]ETC Data'!$H$5*'[1]ETC Data'!$K$5,0)</f>
        <v>0</v>
      </c>
      <c r="AP220" s="58">
        <f>AO220-(AO220*((VLOOKUP(A220,[1]Plan!A$1:BB$804,54,FALSE)/100)))</f>
        <v>0</v>
      </c>
      <c r="AQ220" s="58">
        <f>IF(AJ220,O220*'[1]ETC Data'!$H$5*'[1]ETC Data'!$L$5,0)</f>
        <v>0</v>
      </c>
      <c r="AR220" s="58">
        <f>AQ220-(AQ220*((VLOOKUP(A220,[1]Plan!A$1:BD$804,56,FALSE)/100)))</f>
        <v>0</v>
      </c>
      <c r="AS220" s="20">
        <f>VLOOKUP(A220,'[1]PR Matrix'!A:B,2,FALSE)</f>
        <v>0</v>
      </c>
      <c r="AT220" s="21">
        <f>R220+T220+V220+X220+AB220+AD220+AF220+AH220+AL220+AN220+AP220+AR220</f>
        <v>0</v>
      </c>
      <c r="AU220" s="21">
        <f>Q220+S220+U220+W220+AA220+AC220+AE220+AG220+AK220+AM220+AO220+AQ220</f>
        <v>0</v>
      </c>
      <c r="AV220" s="21">
        <f>R220+AB220+AL220</f>
        <v>0</v>
      </c>
      <c r="AW220" s="21">
        <f>T220+AD220+AN220</f>
        <v>0</v>
      </c>
      <c r="AX220" s="21">
        <f>V220+AF220+AP220</f>
        <v>0</v>
      </c>
      <c r="AY220" s="21">
        <f>X220+AH220+AR220</f>
        <v>0</v>
      </c>
    </row>
    <row r="221" spans="1:51" hidden="1" x14ac:dyDescent="0.2">
      <c r="A221" s="50" t="s">
        <v>428</v>
      </c>
      <c r="B221" s="51" t="s">
        <v>208</v>
      </c>
      <c r="C221" s="51"/>
      <c r="D221" s="51"/>
      <c r="E221" s="52">
        <f>IF(G221="Y",VLOOKUP(B221&amp;"|"&amp;C221,'[1]ETC Data'!$C$2:$D$16,2,FALSE),0)</f>
        <v>0</v>
      </c>
      <c r="F221" s="52">
        <f>IF(D221="",0,IF(G221="Y",VLOOKUP(B221&amp;"|"&amp;D221,'[1]ETC Data'!$C$2:$D$16,2,FALSE),0))</f>
        <v>0</v>
      </c>
      <c r="G221" s="53" t="str">
        <f>IF(VLOOKUP(A221,[1]Plan!A$1:H$804,8,FALSE)&lt;&gt;"",VLOOKUP(A221,[1]Plan!A$1:H$804,8,FALSE),"")</f>
        <v>N</v>
      </c>
      <c r="H221" s="54" t="str">
        <f>IF(VLOOKUP(A221,[1]Plan!A$1:L$804,12,FALSE)&lt;&gt;"",VLOOKUP(A221,[1]Plan!A$1:L$804,12,FALSE),"")</f>
        <v/>
      </c>
      <c r="I221" s="55" t="str">
        <f>IF(VLOOKUP(A221,[1]Plan!A$1:M$804,13,FALSE)&lt;&gt;"",VLOOKUP(A221,[1]Plan!A$1:M$804,13,FALSE),"")</f>
        <v/>
      </c>
      <c r="J221" s="55" t="str">
        <f>IF(VLOOKUP(A221,[1]Plan!A$1:N$804,14,FALSE)&lt;&gt;"",VLOOKUP(A221,[1]Plan!A$1:N$804,14,FALSE),IF(VLOOKUP(A221,[1]Plan!A$1:O$804,15,FALSE)&lt;&gt;"",VLOOKUP(A221,[1]Plan!A$1:O$804,15,FALSE),""))</f>
        <v/>
      </c>
      <c r="K221" s="56" t="str">
        <f>IF(VLOOKUP(A221,[1]Plan!A$1:P$804,16,FALSE)&lt;&gt;"",VLOOKUP(A221,[1]Plan!A$1:P$804,16,FALSE),"")</f>
        <v/>
      </c>
      <c r="L221" s="55"/>
      <c r="M221" s="55"/>
      <c r="N221" s="55"/>
      <c r="O221" s="57">
        <f>IF(F221=0,E221,F221)</f>
        <v>0</v>
      </c>
      <c r="P221" s="57" t="b">
        <f>OR(H221="Y",I221="Y")</f>
        <v>0</v>
      </c>
      <c r="Q221" s="58">
        <f>IF(P221,O221*'[1]ETC Data'!$H$3*'[1]ETC Data'!$I$3,0)</f>
        <v>0</v>
      </c>
      <c r="R221" s="58">
        <f>Q221-(Q221*((VLOOKUP(A221,[1]Plan!A$1:Z$804,26,FALSE)/100)))</f>
        <v>0</v>
      </c>
      <c r="S221" s="58">
        <f>IF(P221,O221*'[1]ETC Data'!$H$3*'[1]ETC Data'!$J$3,0)</f>
        <v>0</v>
      </c>
      <c r="T221" s="58">
        <f>S221-(S221*((VLOOKUP(A221,[1]Plan!A$1:AA$804,27,FALSE)/100)))</f>
        <v>0</v>
      </c>
      <c r="U221" s="58">
        <f>IF(P221,O221*'[1]ETC Data'!$H$3*'[1]ETC Data'!$K$3,0)</f>
        <v>0</v>
      </c>
      <c r="V221" s="58">
        <f>U221-(U221*((VLOOKUP(A221,[1]Plan!A$1:AB$804,28,FALSE)/100)))</f>
        <v>0</v>
      </c>
      <c r="W221" s="58">
        <f>IF(P221,O221*'[1]ETC Data'!$H$3*'[1]ETC Data'!$L$3,0)</f>
        <v>0</v>
      </c>
      <c r="X221" s="58">
        <f>W221-(W221*((VLOOKUP(A221,[1]Plan!A$1:AC$804,29,FALSE)/100)))</f>
        <v>0</v>
      </c>
      <c r="Y221" s="59"/>
      <c r="Z221" s="60" t="b">
        <f>OR(H221="Y",J221="Y")</f>
        <v>0</v>
      </c>
      <c r="AA221" s="58">
        <f>IF(Z221,O221*'[1]ETC Data'!$H$4*'[1]ETC Data'!$I$4,0)</f>
        <v>0</v>
      </c>
      <c r="AB221" s="58">
        <f>AA221-(AA221*((VLOOKUP(A221,[1]Plan!A$1:AI$804,35,FALSE)/100)))</f>
        <v>0</v>
      </c>
      <c r="AC221" s="58">
        <f>IF(Z221,O221*'[1]ETC Data'!$H$4*'[1]ETC Data'!$J$4,0)</f>
        <v>0</v>
      </c>
      <c r="AD221" s="58">
        <f>AC221-(AC221*((VLOOKUP(A221,[1]Plan!A$1:AJ$804,36,FALSE)/100)))</f>
        <v>0</v>
      </c>
      <c r="AE221" s="58">
        <f>IF(Z221,O221*'[1]ETC Data'!$H$4*'[1]ETC Data'!$K$4,0)</f>
        <v>0</v>
      </c>
      <c r="AF221" s="58">
        <f>AE221-(AE221*((VLOOKUP(A221,[1]Plan!A$1:AK$804,37,FALSE)/100)))</f>
        <v>0</v>
      </c>
      <c r="AG221" s="58">
        <f>IF(Z221,O221*'[1]ETC Data'!$H$4*'[1]ETC Data'!$L$4,0)</f>
        <v>0</v>
      </c>
      <c r="AH221" s="58">
        <f>AG221-(AG221*((VLOOKUP(A221,[1]Plan!A$1:AP$804,42,FALSE)/100)))</f>
        <v>0</v>
      </c>
      <c r="AI221" s="60"/>
      <c r="AJ221" s="60" t="b">
        <f>OR(H221="Y",K221="Y")</f>
        <v>0</v>
      </c>
      <c r="AK221" s="61">
        <f>IF(AJ221,O221*'[1]ETC Data'!$H$5*'[1]ETC Data'!$I$5,0)</f>
        <v>0</v>
      </c>
      <c r="AL221" s="58">
        <f>AK221-(AK221*((VLOOKUP(A221,[1]Plan!A$1:AY$804,51,FALSE)/100)))</f>
        <v>0</v>
      </c>
      <c r="AM221" s="58">
        <f>IF(AJ221,O221*'[1]ETC Data'!$H$5*'[1]ETC Data'!$J$5,0)</f>
        <v>0</v>
      </c>
      <c r="AN221" s="58">
        <f>AM221-(AM221*((VLOOKUP(A221,[1]Plan!A$1:BA$804,53,FALSE)/100)))</f>
        <v>0</v>
      </c>
      <c r="AO221" s="61">
        <f>IF(AJ221,O221*'[1]ETC Data'!$H$5*'[1]ETC Data'!$K$5,0)</f>
        <v>0</v>
      </c>
      <c r="AP221" s="58">
        <f>AO221-(AO221*((VLOOKUP(A221,[1]Plan!A$1:BB$804,54,FALSE)/100)))</f>
        <v>0</v>
      </c>
      <c r="AQ221" s="58">
        <f>IF(AJ221,O221*'[1]ETC Data'!$H$5*'[1]ETC Data'!$L$5,0)</f>
        <v>0</v>
      </c>
      <c r="AR221" s="58">
        <f>AQ221-(AQ221*((VLOOKUP(A221,[1]Plan!A$1:BD$804,56,FALSE)/100)))</f>
        <v>0</v>
      </c>
      <c r="AS221" s="20">
        <f>VLOOKUP(A221,'[1]PR Matrix'!A:B,2,FALSE)</f>
        <v>0</v>
      </c>
      <c r="AT221" s="21">
        <f>R221+T221+V221+X221+AB221+AD221+AF221+AH221+AL221+AN221+AP221+AR221</f>
        <v>0</v>
      </c>
      <c r="AU221" s="21">
        <f>Q221+S221+U221+W221+AA221+AC221+AE221+AG221+AK221+AM221+AO221+AQ221</f>
        <v>0</v>
      </c>
      <c r="AV221" s="21">
        <f>R221+AB221+AL221</f>
        <v>0</v>
      </c>
      <c r="AW221" s="21">
        <f>T221+AD221+AN221</f>
        <v>0</v>
      </c>
      <c r="AX221" s="21">
        <f>V221+AF221+AP221</f>
        <v>0</v>
      </c>
      <c r="AY221" s="21">
        <f>X221+AH221+AR221</f>
        <v>0</v>
      </c>
    </row>
    <row r="222" spans="1:51" hidden="1" x14ac:dyDescent="0.2">
      <c r="A222" s="50" t="s">
        <v>429</v>
      </c>
      <c r="B222" s="51" t="s">
        <v>208</v>
      </c>
      <c r="C222" s="51"/>
      <c r="D222" s="51"/>
      <c r="E222" s="52">
        <f>IF(G222="Y",VLOOKUP(B222&amp;"|"&amp;C222,'[1]ETC Data'!$C$2:$D$16,2,FALSE),0)</f>
        <v>0</v>
      </c>
      <c r="F222" s="52">
        <f>IF(D222="",0,IF(G222="Y",VLOOKUP(B222&amp;"|"&amp;D222,'[1]ETC Data'!$C$2:$D$16,2,FALSE),0))</f>
        <v>0</v>
      </c>
      <c r="G222" s="53" t="str">
        <f>IF(VLOOKUP(A222,[1]Plan!A$1:H$804,8,FALSE)&lt;&gt;"",VLOOKUP(A222,[1]Plan!A$1:H$804,8,FALSE),"")</f>
        <v>N</v>
      </c>
      <c r="H222" s="54" t="str">
        <f>IF(VLOOKUP(A222,[1]Plan!A$1:L$804,12,FALSE)&lt;&gt;"",VLOOKUP(A222,[1]Plan!A$1:L$804,12,FALSE),"")</f>
        <v/>
      </c>
      <c r="I222" s="55" t="str">
        <f>IF(VLOOKUP(A222,[1]Plan!A$1:M$804,13,FALSE)&lt;&gt;"",VLOOKUP(A222,[1]Plan!A$1:M$804,13,FALSE),"")</f>
        <v/>
      </c>
      <c r="J222" s="55" t="str">
        <f>IF(VLOOKUP(A222,[1]Plan!A$1:N$804,14,FALSE)&lt;&gt;"",VLOOKUP(A222,[1]Plan!A$1:N$804,14,FALSE),IF(VLOOKUP(A222,[1]Plan!A$1:O$804,15,FALSE)&lt;&gt;"",VLOOKUP(A222,[1]Plan!A$1:O$804,15,FALSE),""))</f>
        <v/>
      </c>
      <c r="K222" s="56" t="str">
        <f>IF(VLOOKUP(A222,[1]Plan!A$1:P$804,16,FALSE)&lt;&gt;"",VLOOKUP(A222,[1]Plan!A$1:P$804,16,FALSE),"")</f>
        <v/>
      </c>
      <c r="L222" s="55"/>
      <c r="M222" s="55"/>
      <c r="N222" s="55"/>
      <c r="O222" s="57">
        <f>IF(F222=0,E222,F222)</f>
        <v>0</v>
      </c>
      <c r="P222" s="57" t="b">
        <f>OR(H222="Y",I222="Y")</f>
        <v>0</v>
      </c>
      <c r="Q222" s="58">
        <f>IF(P222,O222*'[1]ETC Data'!$H$3*'[1]ETC Data'!$I$3,0)</f>
        <v>0</v>
      </c>
      <c r="R222" s="58">
        <f>Q222-(Q222*((VLOOKUP(A222,[1]Plan!A$1:Z$804,26,FALSE)/100)))</f>
        <v>0</v>
      </c>
      <c r="S222" s="58">
        <f>IF(P222,O222*'[1]ETC Data'!$H$3*'[1]ETC Data'!$J$3,0)</f>
        <v>0</v>
      </c>
      <c r="T222" s="58">
        <f>S222-(S222*((VLOOKUP(A222,[1]Plan!A$1:AA$804,27,FALSE)/100)))</f>
        <v>0</v>
      </c>
      <c r="U222" s="58">
        <f>IF(P222,O222*'[1]ETC Data'!$H$3*'[1]ETC Data'!$K$3,0)</f>
        <v>0</v>
      </c>
      <c r="V222" s="58">
        <f>U222-(U222*((VLOOKUP(A222,[1]Plan!A$1:AB$804,28,FALSE)/100)))</f>
        <v>0</v>
      </c>
      <c r="W222" s="58">
        <f>IF(P222,O222*'[1]ETC Data'!$H$3*'[1]ETC Data'!$L$3,0)</f>
        <v>0</v>
      </c>
      <c r="X222" s="58">
        <f>W222-(W222*((VLOOKUP(A222,[1]Plan!A$1:AC$804,29,FALSE)/100)))</f>
        <v>0</v>
      </c>
      <c r="Y222" s="59"/>
      <c r="Z222" s="60" t="b">
        <f>OR(H222="Y",J222="Y")</f>
        <v>0</v>
      </c>
      <c r="AA222" s="58">
        <f>IF(Z222,O222*'[1]ETC Data'!$H$4*'[1]ETC Data'!$I$4,0)</f>
        <v>0</v>
      </c>
      <c r="AB222" s="58">
        <f>AA222-(AA222*((VLOOKUP(A222,[1]Plan!A$1:AI$804,35,FALSE)/100)))</f>
        <v>0</v>
      </c>
      <c r="AC222" s="58">
        <f>IF(Z222,O222*'[1]ETC Data'!$H$4*'[1]ETC Data'!$J$4,0)</f>
        <v>0</v>
      </c>
      <c r="AD222" s="58">
        <f>AC222-(AC222*((VLOOKUP(A222,[1]Plan!A$1:AJ$804,36,FALSE)/100)))</f>
        <v>0</v>
      </c>
      <c r="AE222" s="58">
        <f>IF(Z222,O222*'[1]ETC Data'!$H$4*'[1]ETC Data'!$K$4,0)</f>
        <v>0</v>
      </c>
      <c r="AF222" s="58">
        <f>AE222-(AE222*((VLOOKUP(A222,[1]Plan!A$1:AK$804,37,FALSE)/100)))</f>
        <v>0</v>
      </c>
      <c r="AG222" s="58">
        <f>IF(Z222,O222*'[1]ETC Data'!$H$4*'[1]ETC Data'!$L$4,0)</f>
        <v>0</v>
      </c>
      <c r="AH222" s="58">
        <f>AG222-(AG222*((VLOOKUP(A222,[1]Plan!A$1:AP$804,42,FALSE)/100)))</f>
        <v>0</v>
      </c>
      <c r="AI222" s="60"/>
      <c r="AJ222" s="60" t="b">
        <f>OR(H222="Y",K222="Y")</f>
        <v>0</v>
      </c>
      <c r="AK222" s="61">
        <f>IF(AJ222,O222*'[1]ETC Data'!$H$5*'[1]ETC Data'!$I$5,0)</f>
        <v>0</v>
      </c>
      <c r="AL222" s="58">
        <f>AK222-(AK222*((VLOOKUP(A222,[1]Plan!A$1:AY$804,51,FALSE)/100)))</f>
        <v>0</v>
      </c>
      <c r="AM222" s="58">
        <f>IF(AJ222,O222*'[1]ETC Data'!$H$5*'[1]ETC Data'!$J$5,0)</f>
        <v>0</v>
      </c>
      <c r="AN222" s="58">
        <f>AM222-(AM222*((VLOOKUP(A222,[1]Plan!A$1:BA$804,53,FALSE)/100)))</f>
        <v>0</v>
      </c>
      <c r="AO222" s="61">
        <f>IF(AJ222,O222*'[1]ETC Data'!$H$5*'[1]ETC Data'!$K$5,0)</f>
        <v>0</v>
      </c>
      <c r="AP222" s="58">
        <f>AO222-(AO222*((VLOOKUP(A222,[1]Plan!A$1:BB$804,54,FALSE)/100)))</f>
        <v>0</v>
      </c>
      <c r="AQ222" s="58">
        <f>IF(AJ222,O222*'[1]ETC Data'!$H$5*'[1]ETC Data'!$L$5,0)</f>
        <v>0</v>
      </c>
      <c r="AR222" s="58">
        <f>AQ222-(AQ222*((VLOOKUP(A222,[1]Plan!A$1:BD$804,56,FALSE)/100)))</f>
        <v>0</v>
      </c>
      <c r="AS222" s="20">
        <f>VLOOKUP(A222,'[1]PR Matrix'!A:B,2,FALSE)</f>
        <v>0</v>
      </c>
      <c r="AT222" s="21">
        <f>R222+T222+V222+X222+AB222+AD222+AF222+AH222+AL222+AN222+AP222+AR222</f>
        <v>0</v>
      </c>
      <c r="AU222" s="21">
        <f>Q222+S222+U222+W222+AA222+AC222+AE222+AG222+AK222+AM222+AO222+AQ222</f>
        <v>0</v>
      </c>
      <c r="AV222" s="21">
        <f>R222+AB222+AL222</f>
        <v>0</v>
      </c>
      <c r="AW222" s="21">
        <f>T222+AD222+AN222</f>
        <v>0</v>
      </c>
      <c r="AX222" s="21">
        <f>V222+AF222+AP222</f>
        <v>0</v>
      </c>
      <c r="AY222" s="21">
        <f>X222+AH222+AR222</f>
        <v>0</v>
      </c>
    </row>
    <row r="223" spans="1:51" hidden="1" x14ac:dyDescent="0.2">
      <c r="A223" s="50" t="s">
        <v>430</v>
      </c>
      <c r="B223" s="51" t="s">
        <v>209</v>
      </c>
      <c r="C223" s="51"/>
      <c r="D223" s="51"/>
      <c r="E223" s="52">
        <f>IF(G223="Y",VLOOKUP(B223&amp;"|"&amp;C223,'[1]ETC Data'!$C$2:$D$16,2,FALSE),0)</f>
        <v>0</v>
      </c>
      <c r="F223" s="52">
        <f>IF(D223="",0,IF(G223="Y",VLOOKUP(B223&amp;"|"&amp;D223,'[1]ETC Data'!$C$2:$D$16,2,FALSE),0))</f>
        <v>0</v>
      </c>
      <c r="G223" s="53" t="str">
        <f>IF(VLOOKUP(A223,[1]Plan!A$1:H$804,8,FALSE)&lt;&gt;"",VLOOKUP(A223,[1]Plan!A$1:H$804,8,FALSE),"")</f>
        <v>N</v>
      </c>
      <c r="H223" s="54" t="str">
        <f>IF(VLOOKUP(A223,[1]Plan!A$1:L$804,12,FALSE)&lt;&gt;"",VLOOKUP(A223,[1]Plan!A$1:L$804,12,FALSE),"")</f>
        <v/>
      </c>
      <c r="I223" s="55" t="str">
        <f>IF(VLOOKUP(A223,[1]Plan!A$1:M$804,13,FALSE)&lt;&gt;"",VLOOKUP(A223,[1]Plan!A$1:M$804,13,FALSE),"")</f>
        <v/>
      </c>
      <c r="J223" s="55" t="str">
        <f>IF(VLOOKUP(A223,[1]Plan!A$1:N$804,14,FALSE)&lt;&gt;"",VLOOKUP(A223,[1]Plan!A$1:N$804,14,FALSE),IF(VLOOKUP(A223,[1]Plan!A$1:O$804,15,FALSE)&lt;&gt;"",VLOOKUP(A223,[1]Plan!A$1:O$804,15,FALSE),""))</f>
        <v/>
      </c>
      <c r="K223" s="56" t="str">
        <f>IF(VLOOKUP(A223,[1]Plan!A$1:P$804,16,FALSE)&lt;&gt;"",VLOOKUP(A223,[1]Plan!A$1:P$804,16,FALSE),"")</f>
        <v/>
      </c>
      <c r="L223" s="55"/>
      <c r="M223" s="55"/>
      <c r="N223" s="55"/>
      <c r="O223" s="57">
        <f>IF(F223=0,E223,F223)</f>
        <v>0</v>
      </c>
      <c r="P223" s="57" t="b">
        <f>OR(H223="Y",I223="Y")</f>
        <v>0</v>
      </c>
      <c r="Q223" s="58">
        <f>IF(P223,O223*'[1]ETC Data'!$H$3*'[1]ETC Data'!$I$3,0)</f>
        <v>0</v>
      </c>
      <c r="R223" s="58">
        <f>Q223-(Q223*((VLOOKUP(A223,[1]Plan!A$1:Z$804,26,FALSE)/100)))</f>
        <v>0</v>
      </c>
      <c r="S223" s="58">
        <f>IF(P223,O223*'[1]ETC Data'!$H$3*'[1]ETC Data'!$J$3,0)</f>
        <v>0</v>
      </c>
      <c r="T223" s="58">
        <f>S223-(S223*((VLOOKUP(A223,[1]Plan!A$1:AA$804,27,FALSE)/100)))</f>
        <v>0</v>
      </c>
      <c r="U223" s="58">
        <f>IF(P223,O223*'[1]ETC Data'!$H$3*'[1]ETC Data'!$K$3,0)</f>
        <v>0</v>
      </c>
      <c r="V223" s="58">
        <f>U223-(U223*((VLOOKUP(A223,[1]Plan!A$1:AB$804,28,FALSE)/100)))</f>
        <v>0</v>
      </c>
      <c r="W223" s="58">
        <f>IF(P223,O223*'[1]ETC Data'!$H$3*'[1]ETC Data'!$L$3,0)</f>
        <v>0</v>
      </c>
      <c r="X223" s="58">
        <f>W223-(W223*((VLOOKUP(A223,[1]Plan!A$1:AC$804,29,FALSE)/100)))</f>
        <v>0</v>
      </c>
      <c r="Y223" s="59"/>
      <c r="Z223" s="60" t="b">
        <f>OR(H223="Y",J223="Y")</f>
        <v>0</v>
      </c>
      <c r="AA223" s="58">
        <f>IF(Z223,O223*'[1]ETC Data'!$H$4*'[1]ETC Data'!$I$4,0)</f>
        <v>0</v>
      </c>
      <c r="AB223" s="58">
        <f>AA223-(AA223*((VLOOKUP(A223,[1]Plan!A$1:AI$804,35,FALSE)/100)))</f>
        <v>0</v>
      </c>
      <c r="AC223" s="58">
        <f>IF(Z223,O223*'[1]ETC Data'!$H$4*'[1]ETC Data'!$J$4,0)</f>
        <v>0</v>
      </c>
      <c r="AD223" s="58">
        <f>AC223-(AC223*((VLOOKUP(A223,[1]Plan!A$1:AJ$804,36,FALSE)/100)))</f>
        <v>0</v>
      </c>
      <c r="AE223" s="58">
        <f>IF(Z223,O223*'[1]ETC Data'!$H$4*'[1]ETC Data'!$K$4,0)</f>
        <v>0</v>
      </c>
      <c r="AF223" s="58">
        <f>AE223-(AE223*((VLOOKUP(A223,[1]Plan!A$1:AK$804,37,FALSE)/100)))</f>
        <v>0</v>
      </c>
      <c r="AG223" s="58">
        <f>IF(Z223,O223*'[1]ETC Data'!$H$4*'[1]ETC Data'!$L$4,0)</f>
        <v>0</v>
      </c>
      <c r="AH223" s="58">
        <f>AG223-(AG223*((VLOOKUP(A223,[1]Plan!A$1:AP$804,42,FALSE)/100)))</f>
        <v>0</v>
      </c>
      <c r="AI223" s="60"/>
      <c r="AJ223" s="60" t="b">
        <f>OR(H223="Y",K223="Y")</f>
        <v>0</v>
      </c>
      <c r="AK223" s="61">
        <f>IF(AJ223,O223*'[1]ETC Data'!$H$5*'[1]ETC Data'!$I$5,0)</f>
        <v>0</v>
      </c>
      <c r="AL223" s="58">
        <f>AK223-(AK223*((VLOOKUP(A223,[1]Plan!A$1:AY$804,51,FALSE)/100)))</f>
        <v>0</v>
      </c>
      <c r="AM223" s="58">
        <f>IF(AJ223,O223*'[1]ETC Data'!$H$5*'[1]ETC Data'!$J$5,0)</f>
        <v>0</v>
      </c>
      <c r="AN223" s="58">
        <f>AM223-(AM223*((VLOOKUP(A223,[1]Plan!A$1:BA$804,53,FALSE)/100)))</f>
        <v>0</v>
      </c>
      <c r="AO223" s="61">
        <f>IF(AJ223,O223*'[1]ETC Data'!$H$5*'[1]ETC Data'!$K$5,0)</f>
        <v>0</v>
      </c>
      <c r="AP223" s="58">
        <f>AO223-(AO223*((VLOOKUP(A223,[1]Plan!A$1:BB$804,54,FALSE)/100)))</f>
        <v>0</v>
      </c>
      <c r="AQ223" s="58">
        <f>IF(AJ223,O223*'[1]ETC Data'!$H$5*'[1]ETC Data'!$L$5,0)</f>
        <v>0</v>
      </c>
      <c r="AR223" s="58">
        <f>AQ223-(AQ223*((VLOOKUP(A223,[1]Plan!A$1:BD$804,56,FALSE)/100)))</f>
        <v>0</v>
      </c>
      <c r="AS223" s="20">
        <f>VLOOKUP(A223,'[1]PR Matrix'!A:B,2,FALSE)</f>
        <v>0</v>
      </c>
      <c r="AT223" s="21">
        <f>R223+T223+V223+X223+AB223+AD223+AF223+AH223+AL223+AN223+AP223+AR223</f>
        <v>0</v>
      </c>
      <c r="AU223" s="21">
        <f>Q223+S223+U223+W223+AA223+AC223+AE223+AG223+AK223+AM223+AO223+AQ223</f>
        <v>0</v>
      </c>
      <c r="AV223" s="21">
        <f>R223+AB223+AL223</f>
        <v>0</v>
      </c>
      <c r="AW223" s="21">
        <f>T223+AD223+AN223</f>
        <v>0</v>
      </c>
      <c r="AX223" s="21">
        <f>V223+AF223+AP223</f>
        <v>0</v>
      </c>
      <c r="AY223" s="21">
        <f>X223+AH223+AR223</f>
        <v>0</v>
      </c>
    </row>
    <row r="224" spans="1:51" hidden="1" x14ac:dyDescent="0.2">
      <c r="A224" s="50" t="s">
        <v>431</v>
      </c>
      <c r="B224" s="51" t="s">
        <v>208</v>
      </c>
      <c r="C224" s="51"/>
      <c r="D224" s="51"/>
      <c r="E224" s="52">
        <f>IF(G224="Y",VLOOKUP(B224&amp;"|"&amp;C224,'[1]ETC Data'!$C$2:$D$16,2,FALSE),0)</f>
        <v>0</v>
      </c>
      <c r="F224" s="52">
        <f>IF(D224="",0,IF(G224="Y",VLOOKUP(B224&amp;"|"&amp;D224,'[1]ETC Data'!$C$2:$D$16,2,FALSE),0))</f>
        <v>0</v>
      </c>
      <c r="G224" s="53" t="str">
        <f>IF(VLOOKUP(A224,[1]Plan!A$1:H$804,8,FALSE)&lt;&gt;"",VLOOKUP(A224,[1]Plan!A$1:H$804,8,FALSE),"")</f>
        <v>N</v>
      </c>
      <c r="H224" s="54" t="str">
        <f>IF(VLOOKUP(A224,[1]Plan!A$1:L$804,12,FALSE)&lt;&gt;"",VLOOKUP(A224,[1]Plan!A$1:L$804,12,FALSE),"")</f>
        <v/>
      </c>
      <c r="I224" s="55" t="str">
        <f>IF(VLOOKUP(A224,[1]Plan!A$1:M$804,13,FALSE)&lt;&gt;"",VLOOKUP(A224,[1]Plan!A$1:M$804,13,FALSE),"")</f>
        <v/>
      </c>
      <c r="J224" s="55" t="str">
        <f>IF(VLOOKUP(A224,[1]Plan!A$1:N$804,14,FALSE)&lt;&gt;"",VLOOKUP(A224,[1]Plan!A$1:N$804,14,FALSE),IF(VLOOKUP(A224,[1]Plan!A$1:O$804,15,FALSE)&lt;&gt;"",VLOOKUP(A224,[1]Plan!A$1:O$804,15,FALSE),""))</f>
        <v/>
      </c>
      <c r="K224" s="56" t="str">
        <f>IF(VLOOKUP(A224,[1]Plan!A$1:P$804,16,FALSE)&lt;&gt;"",VLOOKUP(A224,[1]Plan!A$1:P$804,16,FALSE),"")</f>
        <v/>
      </c>
      <c r="L224" s="55"/>
      <c r="M224" s="55"/>
      <c r="N224" s="55"/>
      <c r="O224" s="57">
        <f>IF(F224=0,E224,F224)</f>
        <v>0</v>
      </c>
      <c r="P224" s="57" t="b">
        <f>OR(H224="Y",I224="Y")</f>
        <v>0</v>
      </c>
      <c r="Q224" s="58">
        <f>IF(P224,O224*'[1]ETC Data'!$H$3*'[1]ETC Data'!$I$3,0)</f>
        <v>0</v>
      </c>
      <c r="R224" s="58">
        <f>Q224-(Q224*((VLOOKUP(A224,[1]Plan!A$1:Z$804,26,FALSE)/100)))</f>
        <v>0</v>
      </c>
      <c r="S224" s="58">
        <f>IF(P224,O224*'[1]ETC Data'!$H$3*'[1]ETC Data'!$J$3,0)</f>
        <v>0</v>
      </c>
      <c r="T224" s="58">
        <f>S224-(S224*((VLOOKUP(A224,[1]Plan!A$1:AA$804,27,FALSE)/100)))</f>
        <v>0</v>
      </c>
      <c r="U224" s="58">
        <f>IF(P224,O224*'[1]ETC Data'!$H$3*'[1]ETC Data'!$K$3,0)</f>
        <v>0</v>
      </c>
      <c r="V224" s="58">
        <f>U224-(U224*((VLOOKUP(A224,[1]Plan!A$1:AB$804,28,FALSE)/100)))</f>
        <v>0</v>
      </c>
      <c r="W224" s="58">
        <f>IF(P224,O224*'[1]ETC Data'!$H$3*'[1]ETC Data'!$L$3,0)</f>
        <v>0</v>
      </c>
      <c r="X224" s="58">
        <f>W224-(W224*((VLOOKUP(A224,[1]Plan!A$1:AC$804,29,FALSE)/100)))</f>
        <v>0</v>
      </c>
      <c r="Y224" s="59"/>
      <c r="Z224" s="60" t="b">
        <f>OR(H224="Y",J224="Y")</f>
        <v>0</v>
      </c>
      <c r="AA224" s="58">
        <f>IF(Z224,O224*'[1]ETC Data'!$H$4*'[1]ETC Data'!$I$4,0)</f>
        <v>0</v>
      </c>
      <c r="AB224" s="58">
        <f>AA224-(AA224*((VLOOKUP(A224,[1]Plan!A$1:AI$804,35,FALSE)/100)))</f>
        <v>0</v>
      </c>
      <c r="AC224" s="58">
        <f>IF(Z224,O224*'[1]ETC Data'!$H$4*'[1]ETC Data'!$J$4,0)</f>
        <v>0</v>
      </c>
      <c r="AD224" s="58">
        <f>AC224-(AC224*((VLOOKUP(A224,[1]Plan!A$1:AJ$804,36,FALSE)/100)))</f>
        <v>0</v>
      </c>
      <c r="AE224" s="58">
        <f>IF(Z224,O224*'[1]ETC Data'!$H$4*'[1]ETC Data'!$K$4,0)</f>
        <v>0</v>
      </c>
      <c r="AF224" s="58">
        <f>AE224-(AE224*((VLOOKUP(A224,[1]Plan!A$1:AK$804,37,FALSE)/100)))</f>
        <v>0</v>
      </c>
      <c r="AG224" s="58">
        <f>IF(Z224,O224*'[1]ETC Data'!$H$4*'[1]ETC Data'!$L$4,0)</f>
        <v>0</v>
      </c>
      <c r="AH224" s="58">
        <f>AG224-(AG224*((VLOOKUP(A224,[1]Plan!A$1:AP$804,42,FALSE)/100)))</f>
        <v>0</v>
      </c>
      <c r="AI224" s="60"/>
      <c r="AJ224" s="60" t="b">
        <f>OR(H224="Y",K224="Y")</f>
        <v>0</v>
      </c>
      <c r="AK224" s="61">
        <f>IF(AJ224,O224*'[1]ETC Data'!$H$5*'[1]ETC Data'!$I$5,0)</f>
        <v>0</v>
      </c>
      <c r="AL224" s="58">
        <f>AK224-(AK224*((VLOOKUP(A224,[1]Plan!A$1:AY$804,51,FALSE)/100)))</f>
        <v>0</v>
      </c>
      <c r="AM224" s="58">
        <f>IF(AJ224,O224*'[1]ETC Data'!$H$5*'[1]ETC Data'!$J$5,0)</f>
        <v>0</v>
      </c>
      <c r="AN224" s="58">
        <f>AM224-(AM224*((VLOOKUP(A224,[1]Plan!A$1:BA$804,53,FALSE)/100)))</f>
        <v>0</v>
      </c>
      <c r="AO224" s="61">
        <f>IF(AJ224,O224*'[1]ETC Data'!$H$5*'[1]ETC Data'!$K$5,0)</f>
        <v>0</v>
      </c>
      <c r="AP224" s="58">
        <f>AO224-(AO224*((VLOOKUP(A224,[1]Plan!A$1:BB$804,54,FALSE)/100)))</f>
        <v>0</v>
      </c>
      <c r="AQ224" s="58">
        <f>IF(AJ224,O224*'[1]ETC Data'!$H$5*'[1]ETC Data'!$L$5,0)</f>
        <v>0</v>
      </c>
      <c r="AR224" s="58">
        <f>AQ224-(AQ224*((VLOOKUP(A224,[1]Plan!A$1:BD$804,56,FALSE)/100)))</f>
        <v>0</v>
      </c>
      <c r="AS224" s="20">
        <f>VLOOKUP(A224,'[1]PR Matrix'!A:B,2,FALSE)</f>
        <v>0</v>
      </c>
      <c r="AT224" s="21">
        <f>R224+T224+V224+X224+AB224+AD224+AF224+AH224+AL224+AN224+AP224+AR224</f>
        <v>0</v>
      </c>
      <c r="AU224" s="21">
        <f>Q224+S224+U224+W224+AA224+AC224+AE224+AG224+AK224+AM224+AO224+AQ224</f>
        <v>0</v>
      </c>
      <c r="AV224" s="21">
        <f>R224+AB224+AL224</f>
        <v>0</v>
      </c>
      <c r="AW224" s="21">
        <f>T224+AD224+AN224</f>
        <v>0</v>
      </c>
      <c r="AX224" s="21">
        <f>V224+AF224+AP224</f>
        <v>0</v>
      </c>
      <c r="AY224" s="21">
        <f>X224+AH224+AR224</f>
        <v>0</v>
      </c>
    </row>
    <row r="225" spans="1:51" hidden="1" x14ac:dyDescent="0.2">
      <c r="A225" s="50" t="s">
        <v>432</v>
      </c>
      <c r="B225" s="51" t="s">
        <v>208</v>
      </c>
      <c r="C225" s="51"/>
      <c r="D225" s="51"/>
      <c r="E225" s="52">
        <f>IF(G225="Y",VLOOKUP(B225&amp;"|"&amp;C225,'[1]ETC Data'!$C$2:$D$16,2,FALSE),0)</f>
        <v>0</v>
      </c>
      <c r="F225" s="52">
        <f>IF(D225="",0,IF(G225="Y",VLOOKUP(B225&amp;"|"&amp;D225,'[1]ETC Data'!$C$2:$D$16,2,FALSE),0))</f>
        <v>0</v>
      </c>
      <c r="G225" s="53" t="str">
        <f>IF(VLOOKUP(A225,[1]Plan!A$1:H$804,8,FALSE)&lt;&gt;"",VLOOKUP(A225,[1]Plan!A$1:H$804,8,FALSE),"")</f>
        <v>N</v>
      </c>
      <c r="H225" s="54" t="str">
        <f>IF(VLOOKUP(A225,[1]Plan!A$1:L$804,12,FALSE)&lt;&gt;"",VLOOKUP(A225,[1]Plan!A$1:L$804,12,FALSE),"")</f>
        <v/>
      </c>
      <c r="I225" s="55" t="str">
        <f>IF(VLOOKUP(A225,[1]Plan!A$1:M$804,13,FALSE)&lt;&gt;"",VLOOKUP(A225,[1]Plan!A$1:M$804,13,FALSE),"")</f>
        <v/>
      </c>
      <c r="J225" s="55" t="str">
        <f>IF(VLOOKUP(A225,[1]Plan!A$1:N$804,14,FALSE)&lt;&gt;"",VLOOKUP(A225,[1]Plan!A$1:N$804,14,FALSE),IF(VLOOKUP(A225,[1]Plan!A$1:O$804,15,FALSE)&lt;&gt;"",VLOOKUP(A225,[1]Plan!A$1:O$804,15,FALSE),""))</f>
        <v/>
      </c>
      <c r="K225" s="56" t="str">
        <f>IF(VLOOKUP(A225,[1]Plan!A$1:P$804,16,FALSE)&lt;&gt;"",VLOOKUP(A225,[1]Plan!A$1:P$804,16,FALSE),"")</f>
        <v/>
      </c>
      <c r="L225" s="55"/>
      <c r="M225" s="55"/>
      <c r="N225" s="55"/>
      <c r="O225" s="57">
        <f>IF(F225=0,E225,F225)</f>
        <v>0</v>
      </c>
      <c r="P225" s="57" t="b">
        <f>OR(H225="Y",I225="Y")</f>
        <v>0</v>
      </c>
      <c r="Q225" s="58">
        <f>IF(P225,O225*'[1]ETC Data'!$H$3*'[1]ETC Data'!$I$3,0)</f>
        <v>0</v>
      </c>
      <c r="R225" s="58">
        <f>Q225-(Q225*((VLOOKUP(A225,[1]Plan!A$1:Z$804,26,FALSE)/100)))</f>
        <v>0</v>
      </c>
      <c r="S225" s="58">
        <f>IF(P225,O225*'[1]ETC Data'!$H$3*'[1]ETC Data'!$J$3,0)</f>
        <v>0</v>
      </c>
      <c r="T225" s="58">
        <f>S225-(S225*((VLOOKUP(A225,[1]Plan!A$1:AA$804,27,FALSE)/100)))</f>
        <v>0</v>
      </c>
      <c r="U225" s="58">
        <f>IF(P225,O225*'[1]ETC Data'!$H$3*'[1]ETC Data'!$K$3,0)</f>
        <v>0</v>
      </c>
      <c r="V225" s="58">
        <f>U225-(U225*((VLOOKUP(A225,[1]Plan!A$1:AB$804,28,FALSE)/100)))</f>
        <v>0</v>
      </c>
      <c r="W225" s="58">
        <f>IF(P225,O225*'[1]ETC Data'!$H$3*'[1]ETC Data'!$L$3,0)</f>
        <v>0</v>
      </c>
      <c r="X225" s="58">
        <f>W225-(W225*((VLOOKUP(A225,[1]Plan!A$1:AC$804,29,FALSE)/100)))</f>
        <v>0</v>
      </c>
      <c r="Y225" s="59"/>
      <c r="Z225" s="60" t="b">
        <f>OR(H225="Y",J225="Y")</f>
        <v>0</v>
      </c>
      <c r="AA225" s="58">
        <f>IF(Z225,O225*'[1]ETC Data'!$H$4*'[1]ETC Data'!$I$4,0)</f>
        <v>0</v>
      </c>
      <c r="AB225" s="58">
        <f>AA225-(AA225*((VLOOKUP(A225,[1]Plan!A$1:AI$804,35,FALSE)/100)))</f>
        <v>0</v>
      </c>
      <c r="AC225" s="58">
        <f>IF(Z225,O225*'[1]ETC Data'!$H$4*'[1]ETC Data'!$J$4,0)</f>
        <v>0</v>
      </c>
      <c r="AD225" s="58">
        <f>AC225-(AC225*((VLOOKUP(A225,[1]Plan!A$1:AJ$804,36,FALSE)/100)))</f>
        <v>0</v>
      </c>
      <c r="AE225" s="58">
        <f>IF(Z225,O225*'[1]ETC Data'!$H$4*'[1]ETC Data'!$K$4,0)</f>
        <v>0</v>
      </c>
      <c r="AF225" s="58">
        <f>AE225-(AE225*((VLOOKUP(A225,[1]Plan!A$1:AK$804,37,FALSE)/100)))</f>
        <v>0</v>
      </c>
      <c r="AG225" s="58">
        <f>IF(Z225,O225*'[1]ETC Data'!$H$4*'[1]ETC Data'!$L$4,0)</f>
        <v>0</v>
      </c>
      <c r="AH225" s="58">
        <f>AG225-(AG225*((VLOOKUP(A225,[1]Plan!A$1:AP$804,42,FALSE)/100)))</f>
        <v>0</v>
      </c>
      <c r="AI225" s="60"/>
      <c r="AJ225" s="60" t="b">
        <f>OR(H225="Y",K225="Y")</f>
        <v>0</v>
      </c>
      <c r="AK225" s="61">
        <f>IF(AJ225,O225*'[1]ETC Data'!$H$5*'[1]ETC Data'!$I$5,0)</f>
        <v>0</v>
      </c>
      <c r="AL225" s="58">
        <f>AK225-(AK225*((VLOOKUP(A225,[1]Plan!A$1:AY$804,51,FALSE)/100)))</f>
        <v>0</v>
      </c>
      <c r="AM225" s="58">
        <f>IF(AJ225,O225*'[1]ETC Data'!$H$5*'[1]ETC Data'!$J$5,0)</f>
        <v>0</v>
      </c>
      <c r="AN225" s="58">
        <f>AM225-(AM225*((VLOOKUP(A225,[1]Plan!A$1:BA$804,53,FALSE)/100)))</f>
        <v>0</v>
      </c>
      <c r="AO225" s="61">
        <f>IF(AJ225,O225*'[1]ETC Data'!$H$5*'[1]ETC Data'!$K$5,0)</f>
        <v>0</v>
      </c>
      <c r="AP225" s="58">
        <f>AO225-(AO225*((VLOOKUP(A225,[1]Plan!A$1:BB$804,54,FALSE)/100)))</f>
        <v>0</v>
      </c>
      <c r="AQ225" s="58">
        <f>IF(AJ225,O225*'[1]ETC Data'!$H$5*'[1]ETC Data'!$L$5,0)</f>
        <v>0</v>
      </c>
      <c r="AR225" s="58">
        <f>AQ225-(AQ225*((VLOOKUP(A225,[1]Plan!A$1:BD$804,56,FALSE)/100)))</f>
        <v>0</v>
      </c>
      <c r="AS225" s="20">
        <f>VLOOKUP(A225,'[1]PR Matrix'!A:B,2,FALSE)</f>
        <v>0</v>
      </c>
      <c r="AT225" s="21">
        <f>R225+T225+V225+X225+AB225+AD225+AF225+AH225+AL225+AN225+AP225+AR225</f>
        <v>0</v>
      </c>
      <c r="AU225" s="21">
        <f>Q225+S225+U225+W225+AA225+AC225+AE225+AG225+AK225+AM225+AO225+AQ225</f>
        <v>0</v>
      </c>
      <c r="AV225" s="21">
        <f>R225+AB225+AL225</f>
        <v>0</v>
      </c>
      <c r="AW225" s="21">
        <f>T225+AD225+AN225</f>
        <v>0</v>
      </c>
      <c r="AX225" s="21">
        <f>V225+AF225+AP225</f>
        <v>0</v>
      </c>
      <c r="AY225" s="21">
        <f>X225+AH225+AR225</f>
        <v>0</v>
      </c>
    </row>
    <row r="226" spans="1:51" hidden="1" x14ac:dyDescent="0.2">
      <c r="A226" s="50" t="s">
        <v>433</v>
      </c>
      <c r="B226" s="51" t="s">
        <v>208</v>
      </c>
      <c r="C226" s="51"/>
      <c r="D226" s="51"/>
      <c r="E226" s="52">
        <f>IF(G226="Y",VLOOKUP(B226&amp;"|"&amp;C226,'[1]ETC Data'!$C$2:$D$16,2,FALSE),0)</f>
        <v>0</v>
      </c>
      <c r="F226" s="52">
        <f>IF(D226="",0,IF(G226="Y",VLOOKUP(B226&amp;"|"&amp;D226,'[1]ETC Data'!$C$2:$D$16,2,FALSE),0))</f>
        <v>0</v>
      </c>
      <c r="G226" s="53" t="str">
        <f>IF(VLOOKUP(A226,[1]Plan!A$1:H$804,8,FALSE)&lt;&gt;"",VLOOKUP(A226,[1]Plan!A$1:H$804,8,FALSE),"")</f>
        <v>N</v>
      </c>
      <c r="H226" s="54" t="str">
        <f>IF(VLOOKUP(A226,[1]Plan!A$1:L$804,12,FALSE)&lt;&gt;"",VLOOKUP(A226,[1]Plan!A$1:L$804,12,FALSE),"")</f>
        <v/>
      </c>
      <c r="I226" s="55" t="str">
        <f>IF(VLOOKUP(A226,[1]Plan!A$1:M$804,13,FALSE)&lt;&gt;"",VLOOKUP(A226,[1]Plan!A$1:M$804,13,FALSE),"")</f>
        <v/>
      </c>
      <c r="J226" s="55" t="str">
        <f>IF(VLOOKUP(A226,[1]Plan!A$1:N$804,14,FALSE)&lt;&gt;"",VLOOKUP(A226,[1]Plan!A$1:N$804,14,FALSE),IF(VLOOKUP(A226,[1]Plan!A$1:O$804,15,FALSE)&lt;&gt;"",VLOOKUP(A226,[1]Plan!A$1:O$804,15,FALSE),""))</f>
        <v/>
      </c>
      <c r="K226" s="56" t="str">
        <f>IF(VLOOKUP(A226,[1]Plan!A$1:P$804,16,FALSE)&lt;&gt;"",VLOOKUP(A226,[1]Plan!A$1:P$804,16,FALSE),"")</f>
        <v/>
      </c>
      <c r="L226" s="55"/>
      <c r="M226" s="55"/>
      <c r="N226" s="55"/>
      <c r="O226" s="57">
        <f>IF(F226=0,E226,F226)</f>
        <v>0</v>
      </c>
      <c r="P226" s="57" t="b">
        <f>OR(H226="Y",I226="Y")</f>
        <v>0</v>
      </c>
      <c r="Q226" s="58">
        <f>IF(P226,O226*'[1]ETC Data'!$H$3*'[1]ETC Data'!$I$3,0)</f>
        <v>0</v>
      </c>
      <c r="R226" s="58">
        <f>Q226-(Q226*((VLOOKUP(A226,[1]Plan!A$1:Z$804,26,FALSE)/100)))</f>
        <v>0</v>
      </c>
      <c r="S226" s="58">
        <f>IF(P226,O226*'[1]ETC Data'!$H$3*'[1]ETC Data'!$J$3,0)</f>
        <v>0</v>
      </c>
      <c r="T226" s="58">
        <f>S226-(S226*((VLOOKUP(A226,[1]Plan!A$1:AA$804,27,FALSE)/100)))</f>
        <v>0</v>
      </c>
      <c r="U226" s="58">
        <f>IF(P226,O226*'[1]ETC Data'!$H$3*'[1]ETC Data'!$K$3,0)</f>
        <v>0</v>
      </c>
      <c r="V226" s="58">
        <f>U226-(U226*((VLOOKUP(A226,[1]Plan!A$1:AB$804,28,FALSE)/100)))</f>
        <v>0</v>
      </c>
      <c r="W226" s="58">
        <f>IF(P226,O226*'[1]ETC Data'!$H$3*'[1]ETC Data'!$L$3,0)</f>
        <v>0</v>
      </c>
      <c r="X226" s="58">
        <f>W226-(W226*((VLOOKUP(A226,[1]Plan!A$1:AC$804,29,FALSE)/100)))</f>
        <v>0</v>
      </c>
      <c r="Y226" s="59"/>
      <c r="Z226" s="60" t="b">
        <f>OR(H226="Y",J226="Y")</f>
        <v>0</v>
      </c>
      <c r="AA226" s="58">
        <f>IF(Z226,O226*'[1]ETC Data'!$H$4*'[1]ETC Data'!$I$4,0)</f>
        <v>0</v>
      </c>
      <c r="AB226" s="58">
        <f>AA226-(AA226*((VLOOKUP(A226,[1]Plan!A$1:AI$804,35,FALSE)/100)))</f>
        <v>0</v>
      </c>
      <c r="AC226" s="58">
        <f>IF(Z226,O226*'[1]ETC Data'!$H$4*'[1]ETC Data'!$J$4,0)</f>
        <v>0</v>
      </c>
      <c r="AD226" s="58">
        <f>AC226-(AC226*((VLOOKUP(A226,[1]Plan!A$1:AJ$804,36,FALSE)/100)))</f>
        <v>0</v>
      </c>
      <c r="AE226" s="58">
        <f>IF(Z226,O226*'[1]ETC Data'!$H$4*'[1]ETC Data'!$K$4,0)</f>
        <v>0</v>
      </c>
      <c r="AF226" s="58">
        <f>AE226-(AE226*((VLOOKUP(A226,[1]Plan!A$1:AK$804,37,FALSE)/100)))</f>
        <v>0</v>
      </c>
      <c r="AG226" s="58">
        <f>IF(Z226,O226*'[1]ETC Data'!$H$4*'[1]ETC Data'!$L$4,0)</f>
        <v>0</v>
      </c>
      <c r="AH226" s="58">
        <f>AG226-(AG226*((VLOOKUP(A226,[1]Plan!A$1:AP$804,42,FALSE)/100)))</f>
        <v>0</v>
      </c>
      <c r="AI226" s="60"/>
      <c r="AJ226" s="60" t="b">
        <f>OR(H226="Y",K226="Y")</f>
        <v>0</v>
      </c>
      <c r="AK226" s="61">
        <f>IF(AJ226,O226*'[1]ETC Data'!$H$5*'[1]ETC Data'!$I$5,0)</f>
        <v>0</v>
      </c>
      <c r="AL226" s="58">
        <f>AK226-(AK226*((VLOOKUP(A226,[1]Plan!A$1:AY$804,51,FALSE)/100)))</f>
        <v>0</v>
      </c>
      <c r="AM226" s="58">
        <f>IF(AJ226,O226*'[1]ETC Data'!$H$5*'[1]ETC Data'!$J$5,0)</f>
        <v>0</v>
      </c>
      <c r="AN226" s="58">
        <f>AM226-(AM226*((VLOOKUP(A226,[1]Plan!A$1:BA$804,53,FALSE)/100)))</f>
        <v>0</v>
      </c>
      <c r="AO226" s="61">
        <f>IF(AJ226,O226*'[1]ETC Data'!$H$5*'[1]ETC Data'!$K$5,0)</f>
        <v>0</v>
      </c>
      <c r="AP226" s="58">
        <f>AO226-(AO226*((VLOOKUP(A226,[1]Plan!A$1:BB$804,54,FALSE)/100)))</f>
        <v>0</v>
      </c>
      <c r="AQ226" s="58">
        <f>IF(AJ226,O226*'[1]ETC Data'!$H$5*'[1]ETC Data'!$L$5,0)</f>
        <v>0</v>
      </c>
      <c r="AR226" s="58">
        <f>AQ226-(AQ226*((VLOOKUP(A226,[1]Plan!A$1:BD$804,56,FALSE)/100)))</f>
        <v>0</v>
      </c>
      <c r="AS226" s="20">
        <f>VLOOKUP(A226,'[1]PR Matrix'!A:B,2,FALSE)</f>
        <v>0</v>
      </c>
      <c r="AT226" s="21">
        <f>R226+T226+V226+X226+AB226+AD226+AF226+AH226+AL226+AN226+AP226+AR226</f>
        <v>0</v>
      </c>
      <c r="AU226" s="21">
        <f>Q226+S226+U226+W226+AA226+AC226+AE226+AG226+AK226+AM226+AO226+AQ226</f>
        <v>0</v>
      </c>
      <c r="AV226" s="21">
        <f>R226+AB226+AL226</f>
        <v>0</v>
      </c>
      <c r="AW226" s="21">
        <f>T226+AD226+AN226</f>
        <v>0</v>
      </c>
      <c r="AX226" s="21">
        <f>V226+AF226+AP226</f>
        <v>0</v>
      </c>
      <c r="AY226" s="21">
        <f>X226+AH226+AR226</f>
        <v>0</v>
      </c>
    </row>
    <row r="227" spans="1:51" hidden="1" x14ac:dyDescent="0.2">
      <c r="A227" s="50" t="s">
        <v>434</v>
      </c>
      <c r="B227" s="51" t="s">
        <v>208</v>
      </c>
      <c r="C227" s="51"/>
      <c r="D227" s="51"/>
      <c r="E227" s="52">
        <f>IF(G227="Y",VLOOKUP(B227&amp;"|"&amp;C227,'[1]ETC Data'!$C$2:$D$16,2,FALSE),0)</f>
        <v>0</v>
      </c>
      <c r="F227" s="52">
        <f>IF(D227="",0,IF(G227="Y",VLOOKUP(B227&amp;"|"&amp;D227,'[1]ETC Data'!$C$2:$D$16,2,FALSE),0))</f>
        <v>0</v>
      </c>
      <c r="G227" s="53" t="str">
        <f>IF(VLOOKUP(A227,[1]Plan!A$1:H$804,8,FALSE)&lt;&gt;"",VLOOKUP(A227,[1]Plan!A$1:H$804,8,FALSE),"")</f>
        <v>N</v>
      </c>
      <c r="H227" s="54" t="str">
        <f>IF(VLOOKUP(A227,[1]Plan!A$1:L$804,12,FALSE)&lt;&gt;"",VLOOKUP(A227,[1]Plan!A$1:L$804,12,FALSE),"")</f>
        <v/>
      </c>
      <c r="I227" s="55" t="str">
        <f>IF(VLOOKUP(A227,[1]Plan!A$1:M$804,13,FALSE)&lt;&gt;"",VLOOKUP(A227,[1]Plan!A$1:M$804,13,FALSE),"")</f>
        <v/>
      </c>
      <c r="J227" s="55" t="str">
        <f>IF(VLOOKUP(A227,[1]Plan!A$1:N$804,14,FALSE)&lt;&gt;"",VLOOKUP(A227,[1]Plan!A$1:N$804,14,FALSE),IF(VLOOKUP(A227,[1]Plan!A$1:O$804,15,FALSE)&lt;&gt;"",VLOOKUP(A227,[1]Plan!A$1:O$804,15,FALSE),""))</f>
        <v/>
      </c>
      <c r="K227" s="56" t="str">
        <f>IF(VLOOKUP(A227,[1]Plan!A$1:P$804,16,FALSE)&lt;&gt;"",VLOOKUP(A227,[1]Plan!A$1:P$804,16,FALSE),"")</f>
        <v/>
      </c>
      <c r="L227" s="55"/>
      <c r="M227" s="55"/>
      <c r="N227" s="55"/>
      <c r="O227" s="57">
        <f>IF(F227=0,E227,F227)</f>
        <v>0</v>
      </c>
      <c r="P227" s="57" t="b">
        <f>OR(H227="Y",I227="Y")</f>
        <v>0</v>
      </c>
      <c r="Q227" s="58">
        <f>IF(P227,O227*'[1]ETC Data'!$H$3*'[1]ETC Data'!$I$3,0)</f>
        <v>0</v>
      </c>
      <c r="R227" s="58">
        <f>Q227-(Q227*((VLOOKUP(A227,[1]Plan!A$1:Z$804,26,FALSE)/100)))</f>
        <v>0</v>
      </c>
      <c r="S227" s="58">
        <f>IF(P227,O227*'[1]ETC Data'!$H$3*'[1]ETC Data'!$J$3,0)</f>
        <v>0</v>
      </c>
      <c r="T227" s="58">
        <f>S227-(S227*((VLOOKUP(A227,[1]Plan!A$1:AA$804,27,FALSE)/100)))</f>
        <v>0</v>
      </c>
      <c r="U227" s="58">
        <f>IF(P227,O227*'[1]ETC Data'!$H$3*'[1]ETC Data'!$K$3,0)</f>
        <v>0</v>
      </c>
      <c r="V227" s="58">
        <f>U227-(U227*((VLOOKUP(A227,[1]Plan!A$1:AB$804,28,FALSE)/100)))</f>
        <v>0</v>
      </c>
      <c r="W227" s="58">
        <f>IF(P227,O227*'[1]ETC Data'!$H$3*'[1]ETC Data'!$L$3,0)</f>
        <v>0</v>
      </c>
      <c r="X227" s="58">
        <f>W227-(W227*((VLOOKUP(A227,[1]Plan!A$1:AC$804,29,FALSE)/100)))</f>
        <v>0</v>
      </c>
      <c r="Y227" s="59"/>
      <c r="Z227" s="60" t="b">
        <f>OR(H227="Y",J227="Y")</f>
        <v>0</v>
      </c>
      <c r="AA227" s="58">
        <f>IF(Z227,O227*'[1]ETC Data'!$H$4*'[1]ETC Data'!$I$4,0)</f>
        <v>0</v>
      </c>
      <c r="AB227" s="58">
        <f>AA227-(AA227*((VLOOKUP(A227,[1]Plan!A$1:AI$804,35,FALSE)/100)))</f>
        <v>0</v>
      </c>
      <c r="AC227" s="58">
        <f>IF(Z227,O227*'[1]ETC Data'!$H$4*'[1]ETC Data'!$J$4,0)</f>
        <v>0</v>
      </c>
      <c r="AD227" s="58">
        <f>AC227-(AC227*((VLOOKUP(A227,[1]Plan!A$1:AJ$804,36,FALSE)/100)))</f>
        <v>0</v>
      </c>
      <c r="AE227" s="58">
        <f>IF(Z227,O227*'[1]ETC Data'!$H$4*'[1]ETC Data'!$K$4,0)</f>
        <v>0</v>
      </c>
      <c r="AF227" s="58">
        <f>AE227-(AE227*((VLOOKUP(A227,[1]Plan!A$1:AK$804,37,FALSE)/100)))</f>
        <v>0</v>
      </c>
      <c r="AG227" s="58">
        <f>IF(Z227,O227*'[1]ETC Data'!$H$4*'[1]ETC Data'!$L$4,0)</f>
        <v>0</v>
      </c>
      <c r="AH227" s="58">
        <f>AG227-(AG227*((VLOOKUP(A227,[1]Plan!A$1:AP$804,42,FALSE)/100)))</f>
        <v>0</v>
      </c>
      <c r="AI227" s="60"/>
      <c r="AJ227" s="60" t="b">
        <f>OR(H227="Y",K227="Y")</f>
        <v>0</v>
      </c>
      <c r="AK227" s="61">
        <f>IF(AJ227,O227*'[1]ETC Data'!$H$5*'[1]ETC Data'!$I$5,0)</f>
        <v>0</v>
      </c>
      <c r="AL227" s="58">
        <f>AK227-(AK227*((VLOOKUP(A227,[1]Plan!A$1:AY$804,51,FALSE)/100)))</f>
        <v>0</v>
      </c>
      <c r="AM227" s="58">
        <f>IF(AJ227,O227*'[1]ETC Data'!$H$5*'[1]ETC Data'!$J$5,0)</f>
        <v>0</v>
      </c>
      <c r="AN227" s="58">
        <f>AM227-(AM227*((VLOOKUP(A227,[1]Plan!A$1:BA$804,53,FALSE)/100)))</f>
        <v>0</v>
      </c>
      <c r="AO227" s="61">
        <f>IF(AJ227,O227*'[1]ETC Data'!$H$5*'[1]ETC Data'!$K$5,0)</f>
        <v>0</v>
      </c>
      <c r="AP227" s="58">
        <f>AO227-(AO227*((VLOOKUP(A227,[1]Plan!A$1:BB$804,54,FALSE)/100)))</f>
        <v>0</v>
      </c>
      <c r="AQ227" s="58">
        <f>IF(AJ227,O227*'[1]ETC Data'!$H$5*'[1]ETC Data'!$L$5,0)</f>
        <v>0</v>
      </c>
      <c r="AR227" s="58">
        <f>AQ227-(AQ227*((VLOOKUP(A227,[1]Plan!A$1:BD$804,56,FALSE)/100)))</f>
        <v>0</v>
      </c>
      <c r="AS227" s="20">
        <f>VLOOKUP(A227,'[1]PR Matrix'!A:B,2,FALSE)</f>
        <v>0</v>
      </c>
      <c r="AT227" s="21">
        <f>R227+T227+V227+X227+AB227+AD227+AF227+AH227+AL227+AN227+AP227+AR227</f>
        <v>0</v>
      </c>
      <c r="AU227" s="21">
        <f>Q227+S227+U227+W227+AA227+AC227+AE227+AG227+AK227+AM227+AO227+AQ227</f>
        <v>0</v>
      </c>
      <c r="AV227" s="21">
        <f>R227+AB227+AL227</f>
        <v>0</v>
      </c>
      <c r="AW227" s="21">
        <f>T227+AD227+AN227</f>
        <v>0</v>
      </c>
      <c r="AX227" s="21">
        <f>V227+AF227+AP227</f>
        <v>0</v>
      </c>
      <c r="AY227" s="21">
        <f>X227+AH227+AR227</f>
        <v>0</v>
      </c>
    </row>
    <row r="228" spans="1:51" hidden="1" x14ac:dyDescent="0.2">
      <c r="A228" s="50" t="s">
        <v>435</v>
      </c>
      <c r="B228" s="51" t="s">
        <v>208</v>
      </c>
      <c r="C228" s="51"/>
      <c r="D228" s="51"/>
      <c r="E228" s="52">
        <f>IF(G228="Y",VLOOKUP(B228&amp;"|"&amp;C228,'[1]ETC Data'!$C$2:$D$16,2,FALSE),0)</f>
        <v>0</v>
      </c>
      <c r="F228" s="52">
        <f>IF(D228="",0,IF(G228="Y",VLOOKUP(B228&amp;"|"&amp;D228,'[1]ETC Data'!$C$2:$D$16,2,FALSE),0))</f>
        <v>0</v>
      </c>
      <c r="G228" s="53" t="str">
        <f>IF(VLOOKUP(A228,[1]Plan!A$1:H$804,8,FALSE)&lt;&gt;"",VLOOKUP(A228,[1]Plan!A$1:H$804,8,FALSE),"")</f>
        <v>N</v>
      </c>
      <c r="H228" s="54" t="str">
        <f>IF(VLOOKUP(A228,[1]Plan!A$1:L$804,12,FALSE)&lt;&gt;"",VLOOKUP(A228,[1]Plan!A$1:L$804,12,FALSE),"")</f>
        <v/>
      </c>
      <c r="I228" s="55" t="str">
        <f>IF(VLOOKUP(A228,[1]Plan!A$1:M$804,13,FALSE)&lt;&gt;"",VLOOKUP(A228,[1]Plan!A$1:M$804,13,FALSE),"")</f>
        <v/>
      </c>
      <c r="J228" s="55" t="str">
        <f>IF(VLOOKUP(A228,[1]Plan!A$1:N$804,14,FALSE)&lt;&gt;"",VLOOKUP(A228,[1]Plan!A$1:N$804,14,FALSE),IF(VLOOKUP(A228,[1]Plan!A$1:O$804,15,FALSE)&lt;&gt;"",VLOOKUP(A228,[1]Plan!A$1:O$804,15,FALSE),""))</f>
        <v/>
      </c>
      <c r="K228" s="56" t="str">
        <f>IF(VLOOKUP(A228,[1]Plan!A$1:P$804,16,FALSE)&lt;&gt;"",VLOOKUP(A228,[1]Plan!A$1:P$804,16,FALSE),"")</f>
        <v/>
      </c>
      <c r="L228" s="55"/>
      <c r="M228" s="55"/>
      <c r="N228" s="55"/>
      <c r="O228" s="57">
        <f>IF(F228=0,E228,F228)</f>
        <v>0</v>
      </c>
      <c r="P228" s="57" t="b">
        <f>OR(H228="Y",I228="Y")</f>
        <v>0</v>
      </c>
      <c r="Q228" s="58">
        <f>IF(P228,O228*'[1]ETC Data'!$H$3*'[1]ETC Data'!$I$3,0)</f>
        <v>0</v>
      </c>
      <c r="R228" s="58">
        <f>Q228-(Q228*((VLOOKUP(A228,[1]Plan!A$1:Z$804,26,FALSE)/100)))</f>
        <v>0</v>
      </c>
      <c r="S228" s="58">
        <f>IF(P228,O228*'[1]ETC Data'!$H$3*'[1]ETC Data'!$J$3,0)</f>
        <v>0</v>
      </c>
      <c r="T228" s="58">
        <f>S228-(S228*((VLOOKUP(A228,[1]Plan!A$1:AA$804,27,FALSE)/100)))</f>
        <v>0</v>
      </c>
      <c r="U228" s="58">
        <f>IF(P228,O228*'[1]ETC Data'!$H$3*'[1]ETC Data'!$K$3,0)</f>
        <v>0</v>
      </c>
      <c r="V228" s="58">
        <f>U228-(U228*((VLOOKUP(A228,[1]Plan!A$1:AB$804,28,FALSE)/100)))</f>
        <v>0</v>
      </c>
      <c r="W228" s="58">
        <f>IF(P228,O228*'[1]ETC Data'!$H$3*'[1]ETC Data'!$L$3,0)</f>
        <v>0</v>
      </c>
      <c r="X228" s="58">
        <f>W228-(W228*((VLOOKUP(A228,[1]Plan!A$1:AC$804,29,FALSE)/100)))</f>
        <v>0</v>
      </c>
      <c r="Y228" s="59"/>
      <c r="Z228" s="60" t="b">
        <f>OR(H228="Y",J228="Y")</f>
        <v>0</v>
      </c>
      <c r="AA228" s="58">
        <f>IF(Z228,O228*'[1]ETC Data'!$H$4*'[1]ETC Data'!$I$4,0)</f>
        <v>0</v>
      </c>
      <c r="AB228" s="58">
        <f>AA228-(AA228*((VLOOKUP(A228,[1]Plan!A$1:AI$804,35,FALSE)/100)))</f>
        <v>0</v>
      </c>
      <c r="AC228" s="58">
        <f>IF(Z228,O228*'[1]ETC Data'!$H$4*'[1]ETC Data'!$J$4,0)</f>
        <v>0</v>
      </c>
      <c r="AD228" s="58">
        <f>AC228-(AC228*((VLOOKUP(A228,[1]Plan!A$1:AJ$804,36,FALSE)/100)))</f>
        <v>0</v>
      </c>
      <c r="AE228" s="58">
        <f>IF(Z228,O228*'[1]ETC Data'!$H$4*'[1]ETC Data'!$K$4,0)</f>
        <v>0</v>
      </c>
      <c r="AF228" s="58">
        <f>AE228-(AE228*((VLOOKUP(A228,[1]Plan!A$1:AK$804,37,FALSE)/100)))</f>
        <v>0</v>
      </c>
      <c r="AG228" s="58">
        <f>IF(Z228,O228*'[1]ETC Data'!$H$4*'[1]ETC Data'!$L$4,0)</f>
        <v>0</v>
      </c>
      <c r="AH228" s="58">
        <f>AG228-(AG228*((VLOOKUP(A228,[1]Plan!A$1:AP$804,42,FALSE)/100)))</f>
        <v>0</v>
      </c>
      <c r="AI228" s="60"/>
      <c r="AJ228" s="60" t="b">
        <f>OR(H228="Y",K228="Y")</f>
        <v>0</v>
      </c>
      <c r="AK228" s="61">
        <f>IF(AJ228,O228*'[1]ETC Data'!$H$5*'[1]ETC Data'!$I$5,0)</f>
        <v>0</v>
      </c>
      <c r="AL228" s="58">
        <f>AK228-(AK228*((VLOOKUP(A228,[1]Plan!A$1:AY$804,51,FALSE)/100)))</f>
        <v>0</v>
      </c>
      <c r="AM228" s="58">
        <f>IF(AJ228,O228*'[1]ETC Data'!$H$5*'[1]ETC Data'!$J$5,0)</f>
        <v>0</v>
      </c>
      <c r="AN228" s="58">
        <f>AM228-(AM228*((VLOOKUP(A228,[1]Plan!A$1:BA$804,53,FALSE)/100)))</f>
        <v>0</v>
      </c>
      <c r="AO228" s="61">
        <f>IF(AJ228,O228*'[1]ETC Data'!$H$5*'[1]ETC Data'!$K$5,0)</f>
        <v>0</v>
      </c>
      <c r="AP228" s="58">
        <f>AO228-(AO228*((VLOOKUP(A228,[1]Plan!A$1:BB$804,54,FALSE)/100)))</f>
        <v>0</v>
      </c>
      <c r="AQ228" s="58">
        <f>IF(AJ228,O228*'[1]ETC Data'!$H$5*'[1]ETC Data'!$L$5,0)</f>
        <v>0</v>
      </c>
      <c r="AR228" s="58">
        <f>AQ228-(AQ228*((VLOOKUP(A228,[1]Plan!A$1:BD$804,56,FALSE)/100)))</f>
        <v>0</v>
      </c>
      <c r="AS228" s="20">
        <f>VLOOKUP(A228,'[1]PR Matrix'!A:B,2,FALSE)</f>
        <v>0</v>
      </c>
      <c r="AT228" s="21">
        <f>R228+T228+V228+X228+AB228+AD228+AF228+AH228+AL228+AN228+AP228+AR228</f>
        <v>0</v>
      </c>
      <c r="AU228" s="21">
        <f>Q228+S228+U228+W228+AA228+AC228+AE228+AG228+AK228+AM228+AO228+AQ228</f>
        <v>0</v>
      </c>
      <c r="AV228" s="21">
        <f>R228+AB228+AL228</f>
        <v>0</v>
      </c>
      <c r="AW228" s="21">
        <f>T228+AD228+AN228</f>
        <v>0</v>
      </c>
      <c r="AX228" s="21">
        <f>V228+AF228+AP228</f>
        <v>0</v>
      </c>
      <c r="AY228" s="21">
        <f>X228+AH228+AR228</f>
        <v>0</v>
      </c>
    </row>
    <row r="229" spans="1:51" hidden="1" x14ac:dyDescent="0.2">
      <c r="A229" s="50" t="s">
        <v>436</v>
      </c>
      <c r="B229" s="51" t="s">
        <v>208</v>
      </c>
      <c r="C229" s="51"/>
      <c r="D229" s="51"/>
      <c r="E229" s="52">
        <f>IF(G229="Y",VLOOKUP(B229&amp;"|"&amp;C229,'[1]ETC Data'!$C$2:$D$16,2,FALSE),0)</f>
        <v>0</v>
      </c>
      <c r="F229" s="52">
        <f>IF(D229="",0,IF(G229="Y",VLOOKUP(B229&amp;"|"&amp;D229,'[1]ETC Data'!$C$2:$D$16,2,FALSE),0))</f>
        <v>0</v>
      </c>
      <c r="G229" s="53" t="str">
        <f>IF(VLOOKUP(A229,[1]Plan!A$1:H$804,8,FALSE)&lt;&gt;"",VLOOKUP(A229,[1]Plan!A$1:H$804,8,FALSE),"")</f>
        <v>N</v>
      </c>
      <c r="H229" s="54" t="str">
        <f>IF(VLOOKUP(A229,[1]Plan!A$1:L$804,12,FALSE)&lt;&gt;"",VLOOKUP(A229,[1]Plan!A$1:L$804,12,FALSE),"")</f>
        <v/>
      </c>
      <c r="I229" s="55" t="str">
        <f>IF(VLOOKUP(A229,[1]Plan!A$1:M$804,13,FALSE)&lt;&gt;"",VLOOKUP(A229,[1]Plan!A$1:M$804,13,FALSE),"")</f>
        <v/>
      </c>
      <c r="J229" s="55" t="str">
        <f>IF(VLOOKUP(A229,[1]Plan!A$1:N$804,14,FALSE)&lt;&gt;"",VLOOKUP(A229,[1]Plan!A$1:N$804,14,FALSE),IF(VLOOKUP(A229,[1]Plan!A$1:O$804,15,FALSE)&lt;&gt;"",VLOOKUP(A229,[1]Plan!A$1:O$804,15,FALSE),""))</f>
        <v/>
      </c>
      <c r="K229" s="56" t="str">
        <f>IF(VLOOKUP(A229,[1]Plan!A$1:P$804,16,FALSE)&lt;&gt;"",VLOOKUP(A229,[1]Plan!A$1:P$804,16,FALSE),"")</f>
        <v/>
      </c>
      <c r="L229" s="55"/>
      <c r="M229" s="55"/>
      <c r="N229" s="55"/>
      <c r="O229" s="57">
        <f>IF(F229=0,E229,F229)</f>
        <v>0</v>
      </c>
      <c r="P229" s="57" t="b">
        <f>OR(H229="Y",I229="Y")</f>
        <v>0</v>
      </c>
      <c r="Q229" s="58">
        <f>IF(P229,O229*'[1]ETC Data'!$H$3*'[1]ETC Data'!$I$3,0)</f>
        <v>0</v>
      </c>
      <c r="R229" s="58">
        <f>Q229-(Q229*((VLOOKUP(A229,[1]Plan!A$1:Z$804,26,FALSE)/100)))</f>
        <v>0</v>
      </c>
      <c r="S229" s="58">
        <f>IF(P229,O229*'[1]ETC Data'!$H$3*'[1]ETC Data'!$J$3,0)</f>
        <v>0</v>
      </c>
      <c r="T229" s="58">
        <f>S229-(S229*((VLOOKUP(A229,[1]Plan!A$1:AA$804,27,FALSE)/100)))</f>
        <v>0</v>
      </c>
      <c r="U229" s="58">
        <f>IF(P229,O229*'[1]ETC Data'!$H$3*'[1]ETC Data'!$K$3,0)</f>
        <v>0</v>
      </c>
      <c r="V229" s="58">
        <f>U229-(U229*((VLOOKUP(A229,[1]Plan!A$1:AB$804,28,FALSE)/100)))</f>
        <v>0</v>
      </c>
      <c r="W229" s="58">
        <f>IF(P229,O229*'[1]ETC Data'!$H$3*'[1]ETC Data'!$L$3,0)</f>
        <v>0</v>
      </c>
      <c r="X229" s="58">
        <f>W229-(W229*((VLOOKUP(A229,[1]Plan!A$1:AC$804,29,FALSE)/100)))</f>
        <v>0</v>
      </c>
      <c r="Y229" s="59"/>
      <c r="Z229" s="60" t="b">
        <f>OR(H229="Y",J229="Y")</f>
        <v>0</v>
      </c>
      <c r="AA229" s="58">
        <f>IF(Z229,O229*'[1]ETC Data'!$H$4*'[1]ETC Data'!$I$4,0)</f>
        <v>0</v>
      </c>
      <c r="AB229" s="58">
        <f>AA229-(AA229*((VLOOKUP(A229,[1]Plan!A$1:AI$804,35,FALSE)/100)))</f>
        <v>0</v>
      </c>
      <c r="AC229" s="58">
        <f>IF(Z229,O229*'[1]ETC Data'!$H$4*'[1]ETC Data'!$J$4,0)</f>
        <v>0</v>
      </c>
      <c r="AD229" s="58">
        <f>AC229-(AC229*((VLOOKUP(A229,[1]Plan!A$1:AJ$804,36,FALSE)/100)))</f>
        <v>0</v>
      </c>
      <c r="AE229" s="58">
        <f>IF(Z229,O229*'[1]ETC Data'!$H$4*'[1]ETC Data'!$K$4,0)</f>
        <v>0</v>
      </c>
      <c r="AF229" s="58">
        <f>AE229-(AE229*((VLOOKUP(A229,[1]Plan!A$1:AK$804,37,FALSE)/100)))</f>
        <v>0</v>
      </c>
      <c r="AG229" s="58">
        <f>IF(Z229,O229*'[1]ETC Data'!$H$4*'[1]ETC Data'!$L$4,0)</f>
        <v>0</v>
      </c>
      <c r="AH229" s="58">
        <f>AG229-(AG229*((VLOOKUP(A229,[1]Plan!A$1:AP$804,42,FALSE)/100)))</f>
        <v>0</v>
      </c>
      <c r="AI229" s="60"/>
      <c r="AJ229" s="60" t="b">
        <f>OR(H229="Y",K229="Y")</f>
        <v>0</v>
      </c>
      <c r="AK229" s="61">
        <f>IF(AJ229,O229*'[1]ETC Data'!$H$5*'[1]ETC Data'!$I$5,0)</f>
        <v>0</v>
      </c>
      <c r="AL229" s="58">
        <f>AK229-(AK229*((VLOOKUP(A229,[1]Plan!A$1:AY$804,51,FALSE)/100)))</f>
        <v>0</v>
      </c>
      <c r="AM229" s="58">
        <f>IF(AJ229,O229*'[1]ETC Data'!$H$5*'[1]ETC Data'!$J$5,0)</f>
        <v>0</v>
      </c>
      <c r="AN229" s="58">
        <f>AM229-(AM229*((VLOOKUP(A229,[1]Plan!A$1:BA$804,53,FALSE)/100)))</f>
        <v>0</v>
      </c>
      <c r="AO229" s="61">
        <f>IF(AJ229,O229*'[1]ETC Data'!$H$5*'[1]ETC Data'!$K$5,0)</f>
        <v>0</v>
      </c>
      <c r="AP229" s="58">
        <f>AO229-(AO229*((VLOOKUP(A229,[1]Plan!A$1:BB$804,54,FALSE)/100)))</f>
        <v>0</v>
      </c>
      <c r="AQ229" s="58">
        <f>IF(AJ229,O229*'[1]ETC Data'!$H$5*'[1]ETC Data'!$L$5,0)</f>
        <v>0</v>
      </c>
      <c r="AR229" s="58">
        <f>AQ229-(AQ229*((VLOOKUP(A229,[1]Plan!A$1:BD$804,56,FALSE)/100)))</f>
        <v>0</v>
      </c>
      <c r="AS229" s="20">
        <f>VLOOKUP(A229,'[1]PR Matrix'!A:B,2,FALSE)</f>
        <v>0</v>
      </c>
      <c r="AT229" s="21">
        <f>R229+T229+V229+X229+AB229+AD229+AF229+AH229+AL229+AN229+AP229+AR229</f>
        <v>0</v>
      </c>
      <c r="AU229" s="21">
        <f>Q229+S229+U229+W229+AA229+AC229+AE229+AG229+AK229+AM229+AO229+AQ229</f>
        <v>0</v>
      </c>
      <c r="AV229" s="21">
        <f>R229+AB229+AL229</f>
        <v>0</v>
      </c>
      <c r="AW229" s="21">
        <f>T229+AD229+AN229</f>
        <v>0</v>
      </c>
      <c r="AX229" s="21">
        <f>V229+AF229+AP229</f>
        <v>0</v>
      </c>
      <c r="AY229" s="21">
        <f>X229+AH229+AR229</f>
        <v>0</v>
      </c>
    </row>
    <row r="230" spans="1:51" hidden="1" x14ac:dyDescent="0.2">
      <c r="A230" s="50" t="s">
        <v>437</v>
      </c>
      <c r="B230" s="51" t="s">
        <v>208</v>
      </c>
      <c r="C230" s="51"/>
      <c r="D230" s="51"/>
      <c r="E230" s="52">
        <f>IF(G230="Y",VLOOKUP(B230&amp;"|"&amp;C230,'[1]ETC Data'!$C$2:$D$16,2,FALSE),0)</f>
        <v>0</v>
      </c>
      <c r="F230" s="52">
        <f>IF(D230="",0,IF(G230="Y",VLOOKUP(B230&amp;"|"&amp;D230,'[1]ETC Data'!$C$2:$D$16,2,FALSE),0))</f>
        <v>0</v>
      </c>
      <c r="G230" s="53" t="str">
        <f>IF(VLOOKUP(A230,[1]Plan!A$1:H$804,8,FALSE)&lt;&gt;"",VLOOKUP(A230,[1]Plan!A$1:H$804,8,FALSE),"")</f>
        <v>N</v>
      </c>
      <c r="H230" s="54" t="str">
        <f>IF(VLOOKUP(A230,[1]Plan!A$1:L$804,12,FALSE)&lt;&gt;"",VLOOKUP(A230,[1]Plan!A$1:L$804,12,FALSE),"")</f>
        <v/>
      </c>
      <c r="I230" s="55" t="str">
        <f>IF(VLOOKUP(A230,[1]Plan!A$1:M$804,13,FALSE)&lt;&gt;"",VLOOKUP(A230,[1]Plan!A$1:M$804,13,FALSE),"")</f>
        <v/>
      </c>
      <c r="J230" s="55" t="str">
        <f>IF(VLOOKUP(A230,[1]Plan!A$1:N$804,14,FALSE)&lt;&gt;"",VLOOKUP(A230,[1]Plan!A$1:N$804,14,FALSE),IF(VLOOKUP(A230,[1]Plan!A$1:O$804,15,FALSE)&lt;&gt;"",VLOOKUP(A230,[1]Plan!A$1:O$804,15,FALSE),""))</f>
        <v/>
      </c>
      <c r="K230" s="56" t="str">
        <f>IF(VLOOKUP(A230,[1]Plan!A$1:P$804,16,FALSE)&lt;&gt;"",VLOOKUP(A230,[1]Plan!A$1:P$804,16,FALSE),"")</f>
        <v/>
      </c>
      <c r="L230" s="55"/>
      <c r="M230" s="55"/>
      <c r="N230" s="55"/>
      <c r="O230" s="57">
        <f>IF(F230=0,E230,F230)</f>
        <v>0</v>
      </c>
      <c r="P230" s="57" t="b">
        <f>OR(H230="Y",I230="Y")</f>
        <v>0</v>
      </c>
      <c r="Q230" s="58">
        <f>IF(P230,O230*'[1]ETC Data'!$H$3*'[1]ETC Data'!$I$3,0)</f>
        <v>0</v>
      </c>
      <c r="R230" s="58">
        <f>Q230-(Q230*((VLOOKUP(A230,[1]Plan!A$1:Z$804,26,FALSE)/100)))</f>
        <v>0</v>
      </c>
      <c r="S230" s="58">
        <f>IF(P230,O230*'[1]ETC Data'!$H$3*'[1]ETC Data'!$J$3,0)</f>
        <v>0</v>
      </c>
      <c r="T230" s="58">
        <f>S230-(S230*((VLOOKUP(A230,[1]Plan!A$1:AA$804,27,FALSE)/100)))</f>
        <v>0</v>
      </c>
      <c r="U230" s="58">
        <f>IF(P230,O230*'[1]ETC Data'!$H$3*'[1]ETC Data'!$K$3,0)</f>
        <v>0</v>
      </c>
      <c r="V230" s="58">
        <f>U230-(U230*((VLOOKUP(A230,[1]Plan!A$1:AB$804,28,FALSE)/100)))</f>
        <v>0</v>
      </c>
      <c r="W230" s="58">
        <f>IF(P230,O230*'[1]ETC Data'!$H$3*'[1]ETC Data'!$L$3,0)</f>
        <v>0</v>
      </c>
      <c r="X230" s="58">
        <f>W230-(W230*((VLOOKUP(A230,[1]Plan!A$1:AC$804,29,FALSE)/100)))</f>
        <v>0</v>
      </c>
      <c r="Y230" s="59"/>
      <c r="Z230" s="60" t="b">
        <f>OR(H230="Y",J230="Y")</f>
        <v>0</v>
      </c>
      <c r="AA230" s="58">
        <f>IF(Z230,O230*'[1]ETC Data'!$H$4*'[1]ETC Data'!$I$4,0)</f>
        <v>0</v>
      </c>
      <c r="AB230" s="58">
        <f>AA230-(AA230*((VLOOKUP(A230,[1]Plan!A$1:AI$804,35,FALSE)/100)))</f>
        <v>0</v>
      </c>
      <c r="AC230" s="58">
        <f>IF(Z230,O230*'[1]ETC Data'!$H$4*'[1]ETC Data'!$J$4,0)</f>
        <v>0</v>
      </c>
      <c r="AD230" s="58">
        <f>AC230-(AC230*((VLOOKUP(A230,[1]Plan!A$1:AJ$804,36,FALSE)/100)))</f>
        <v>0</v>
      </c>
      <c r="AE230" s="58">
        <f>IF(Z230,O230*'[1]ETC Data'!$H$4*'[1]ETC Data'!$K$4,0)</f>
        <v>0</v>
      </c>
      <c r="AF230" s="58">
        <f>AE230-(AE230*((VLOOKUP(A230,[1]Plan!A$1:AK$804,37,FALSE)/100)))</f>
        <v>0</v>
      </c>
      <c r="AG230" s="58">
        <f>IF(Z230,O230*'[1]ETC Data'!$H$4*'[1]ETC Data'!$L$4,0)</f>
        <v>0</v>
      </c>
      <c r="AH230" s="58">
        <f>AG230-(AG230*((VLOOKUP(A230,[1]Plan!A$1:AP$804,42,FALSE)/100)))</f>
        <v>0</v>
      </c>
      <c r="AI230" s="60"/>
      <c r="AJ230" s="60" t="b">
        <f>OR(H230="Y",K230="Y")</f>
        <v>0</v>
      </c>
      <c r="AK230" s="61">
        <f>IF(AJ230,O230*'[1]ETC Data'!$H$5*'[1]ETC Data'!$I$5,0)</f>
        <v>0</v>
      </c>
      <c r="AL230" s="58">
        <f>AK230-(AK230*((VLOOKUP(A230,[1]Plan!A$1:AY$804,51,FALSE)/100)))</f>
        <v>0</v>
      </c>
      <c r="AM230" s="58">
        <f>IF(AJ230,O230*'[1]ETC Data'!$H$5*'[1]ETC Data'!$J$5,0)</f>
        <v>0</v>
      </c>
      <c r="AN230" s="58">
        <f>AM230-(AM230*((VLOOKUP(A230,[1]Plan!A$1:BA$804,53,FALSE)/100)))</f>
        <v>0</v>
      </c>
      <c r="AO230" s="61">
        <f>IF(AJ230,O230*'[1]ETC Data'!$H$5*'[1]ETC Data'!$K$5,0)</f>
        <v>0</v>
      </c>
      <c r="AP230" s="58">
        <f>AO230-(AO230*((VLOOKUP(A230,[1]Plan!A$1:BB$804,54,FALSE)/100)))</f>
        <v>0</v>
      </c>
      <c r="AQ230" s="58">
        <f>IF(AJ230,O230*'[1]ETC Data'!$H$5*'[1]ETC Data'!$L$5,0)</f>
        <v>0</v>
      </c>
      <c r="AR230" s="58">
        <f>AQ230-(AQ230*((VLOOKUP(A230,[1]Plan!A$1:BD$804,56,FALSE)/100)))</f>
        <v>0</v>
      </c>
      <c r="AS230" s="20">
        <f>VLOOKUP(A230,'[1]PR Matrix'!A:B,2,FALSE)</f>
        <v>0</v>
      </c>
      <c r="AT230" s="21">
        <f>R230+T230+V230+X230+AB230+AD230+AF230+AH230+AL230+AN230+AP230+AR230</f>
        <v>0</v>
      </c>
      <c r="AU230" s="21">
        <f>Q230+S230+U230+W230+AA230+AC230+AE230+AG230+AK230+AM230+AO230+AQ230</f>
        <v>0</v>
      </c>
      <c r="AV230" s="21">
        <f>R230+AB230+AL230</f>
        <v>0</v>
      </c>
      <c r="AW230" s="21">
        <f>T230+AD230+AN230</f>
        <v>0</v>
      </c>
      <c r="AX230" s="21">
        <f>V230+AF230+AP230</f>
        <v>0</v>
      </c>
      <c r="AY230" s="21">
        <f>X230+AH230+AR230</f>
        <v>0</v>
      </c>
    </row>
    <row r="231" spans="1:51" hidden="1" x14ac:dyDescent="0.2">
      <c r="A231" s="50" t="s">
        <v>438</v>
      </c>
      <c r="B231" s="51" t="s">
        <v>208</v>
      </c>
      <c r="C231" s="51"/>
      <c r="D231" s="51"/>
      <c r="E231" s="52">
        <f>IF(G231="Y",VLOOKUP(B231&amp;"|"&amp;C231,'[1]ETC Data'!$C$2:$D$16,2,FALSE),0)</f>
        <v>0</v>
      </c>
      <c r="F231" s="52">
        <f>IF(D231="",0,IF(G231="Y",VLOOKUP(B231&amp;"|"&amp;D231,'[1]ETC Data'!$C$2:$D$16,2,FALSE),0))</f>
        <v>0</v>
      </c>
      <c r="G231" s="53" t="str">
        <f>IF(VLOOKUP(A231,[1]Plan!A$1:H$804,8,FALSE)&lt;&gt;"",VLOOKUP(A231,[1]Plan!A$1:H$804,8,FALSE),"")</f>
        <v>N</v>
      </c>
      <c r="H231" s="54" t="str">
        <f>IF(VLOOKUP(A231,[1]Plan!A$1:L$804,12,FALSE)&lt;&gt;"",VLOOKUP(A231,[1]Plan!A$1:L$804,12,FALSE),"")</f>
        <v/>
      </c>
      <c r="I231" s="55" t="str">
        <f>IF(VLOOKUP(A231,[1]Plan!A$1:M$804,13,FALSE)&lt;&gt;"",VLOOKUP(A231,[1]Plan!A$1:M$804,13,FALSE),"")</f>
        <v/>
      </c>
      <c r="J231" s="55" t="str">
        <f>IF(VLOOKUP(A231,[1]Plan!A$1:N$804,14,FALSE)&lt;&gt;"",VLOOKUP(A231,[1]Plan!A$1:N$804,14,FALSE),IF(VLOOKUP(A231,[1]Plan!A$1:O$804,15,FALSE)&lt;&gt;"",VLOOKUP(A231,[1]Plan!A$1:O$804,15,FALSE),""))</f>
        <v/>
      </c>
      <c r="K231" s="56" t="str">
        <f>IF(VLOOKUP(A231,[1]Plan!A$1:P$804,16,FALSE)&lt;&gt;"",VLOOKUP(A231,[1]Plan!A$1:P$804,16,FALSE),"")</f>
        <v/>
      </c>
      <c r="L231" s="55"/>
      <c r="M231" s="55"/>
      <c r="N231" s="55"/>
      <c r="O231" s="57">
        <f>IF(F231=0,E231,F231)</f>
        <v>0</v>
      </c>
      <c r="P231" s="57" t="b">
        <f>OR(H231="Y",I231="Y")</f>
        <v>0</v>
      </c>
      <c r="Q231" s="58">
        <f>IF(P231,O231*'[1]ETC Data'!$H$3*'[1]ETC Data'!$I$3,0)</f>
        <v>0</v>
      </c>
      <c r="R231" s="58">
        <f>Q231-(Q231*((VLOOKUP(A231,[1]Plan!A$1:Z$804,26,FALSE)/100)))</f>
        <v>0</v>
      </c>
      <c r="S231" s="58">
        <f>IF(P231,O231*'[1]ETC Data'!$H$3*'[1]ETC Data'!$J$3,0)</f>
        <v>0</v>
      </c>
      <c r="T231" s="58">
        <f>S231-(S231*((VLOOKUP(A231,[1]Plan!A$1:AA$804,27,FALSE)/100)))</f>
        <v>0</v>
      </c>
      <c r="U231" s="58">
        <f>IF(P231,O231*'[1]ETC Data'!$H$3*'[1]ETC Data'!$K$3,0)</f>
        <v>0</v>
      </c>
      <c r="V231" s="58">
        <f>U231-(U231*((VLOOKUP(A231,[1]Plan!A$1:AB$804,28,FALSE)/100)))</f>
        <v>0</v>
      </c>
      <c r="W231" s="58">
        <f>IF(P231,O231*'[1]ETC Data'!$H$3*'[1]ETC Data'!$L$3,0)</f>
        <v>0</v>
      </c>
      <c r="X231" s="58">
        <f>W231-(W231*((VLOOKUP(A231,[1]Plan!A$1:AC$804,29,FALSE)/100)))</f>
        <v>0</v>
      </c>
      <c r="Y231" s="59"/>
      <c r="Z231" s="60" t="b">
        <f>OR(H231="Y",J231="Y")</f>
        <v>0</v>
      </c>
      <c r="AA231" s="58">
        <f>IF(Z231,O231*'[1]ETC Data'!$H$4*'[1]ETC Data'!$I$4,0)</f>
        <v>0</v>
      </c>
      <c r="AB231" s="58">
        <f>AA231-(AA231*((VLOOKUP(A231,[1]Plan!A$1:AI$804,35,FALSE)/100)))</f>
        <v>0</v>
      </c>
      <c r="AC231" s="58">
        <f>IF(Z231,O231*'[1]ETC Data'!$H$4*'[1]ETC Data'!$J$4,0)</f>
        <v>0</v>
      </c>
      <c r="AD231" s="58">
        <f>AC231-(AC231*((VLOOKUP(A231,[1]Plan!A$1:AJ$804,36,FALSE)/100)))</f>
        <v>0</v>
      </c>
      <c r="AE231" s="58">
        <f>IF(Z231,O231*'[1]ETC Data'!$H$4*'[1]ETC Data'!$K$4,0)</f>
        <v>0</v>
      </c>
      <c r="AF231" s="58">
        <f>AE231-(AE231*((VLOOKUP(A231,[1]Plan!A$1:AK$804,37,FALSE)/100)))</f>
        <v>0</v>
      </c>
      <c r="AG231" s="58">
        <f>IF(Z231,O231*'[1]ETC Data'!$H$4*'[1]ETC Data'!$L$4,0)</f>
        <v>0</v>
      </c>
      <c r="AH231" s="58">
        <f>AG231-(AG231*((VLOOKUP(A231,[1]Plan!A$1:AP$804,42,FALSE)/100)))</f>
        <v>0</v>
      </c>
      <c r="AI231" s="60"/>
      <c r="AJ231" s="60" t="b">
        <f>OR(H231="Y",K231="Y")</f>
        <v>0</v>
      </c>
      <c r="AK231" s="61">
        <f>IF(AJ231,O231*'[1]ETC Data'!$H$5*'[1]ETC Data'!$I$5,0)</f>
        <v>0</v>
      </c>
      <c r="AL231" s="58">
        <f>AK231-(AK231*((VLOOKUP(A231,[1]Plan!A$1:AY$804,51,FALSE)/100)))</f>
        <v>0</v>
      </c>
      <c r="AM231" s="58">
        <f>IF(AJ231,O231*'[1]ETC Data'!$H$5*'[1]ETC Data'!$J$5,0)</f>
        <v>0</v>
      </c>
      <c r="AN231" s="58">
        <f>AM231-(AM231*((VLOOKUP(A231,[1]Plan!A$1:BA$804,53,FALSE)/100)))</f>
        <v>0</v>
      </c>
      <c r="AO231" s="61">
        <f>IF(AJ231,O231*'[1]ETC Data'!$H$5*'[1]ETC Data'!$K$5,0)</f>
        <v>0</v>
      </c>
      <c r="AP231" s="58">
        <f>AO231-(AO231*((VLOOKUP(A231,[1]Plan!A$1:BB$804,54,FALSE)/100)))</f>
        <v>0</v>
      </c>
      <c r="AQ231" s="58">
        <f>IF(AJ231,O231*'[1]ETC Data'!$H$5*'[1]ETC Data'!$L$5,0)</f>
        <v>0</v>
      </c>
      <c r="AR231" s="58">
        <f>AQ231-(AQ231*((VLOOKUP(A231,[1]Plan!A$1:BD$804,56,FALSE)/100)))</f>
        <v>0</v>
      </c>
      <c r="AS231" s="20">
        <f>VLOOKUP(A231,'[1]PR Matrix'!A:B,2,FALSE)</f>
        <v>0</v>
      </c>
      <c r="AT231" s="21">
        <f>R231+T231+V231+X231+AB231+AD231+AF231+AH231+AL231+AN231+AP231+AR231</f>
        <v>0</v>
      </c>
      <c r="AU231" s="21">
        <f>Q231+S231+U231+W231+AA231+AC231+AE231+AG231+AK231+AM231+AO231+AQ231</f>
        <v>0</v>
      </c>
      <c r="AV231" s="21">
        <f>R231+AB231+AL231</f>
        <v>0</v>
      </c>
      <c r="AW231" s="21">
        <f>T231+AD231+AN231</f>
        <v>0</v>
      </c>
      <c r="AX231" s="21">
        <f>V231+AF231+AP231</f>
        <v>0</v>
      </c>
      <c r="AY231" s="21">
        <f>X231+AH231+AR231</f>
        <v>0</v>
      </c>
    </row>
    <row r="232" spans="1:51" hidden="1" x14ac:dyDescent="0.2">
      <c r="A232" s="50" t="s">
        <v>439</v>
      </c>
      <c r="B232" s="51" t="s">
        <v>208</v>
      </c>
      <c r="C232" s="51" t="s">
        <v>209</v>
      </c>
      <c r="D232" s="51"/>
      <c r="E232" s="52">
        <f>IF(G232="Y",VLOOKUP(B232&amp;"|"&amp;C232,'[1]ETC Data'!$C$2:$D$16,2,FALSE),0)</f>
        <v>0</v>
      </c>
      <c r="F232" s="52">
        <f>IF(D232="",0,IF(G232="Y",VLOOKUP(B232&amp;"|"&amp;D232,'[1]ETC Data'!$C$2:$D$16,2,FALSE),0))</f>
        <v>0</v>
      </c>
      <c r="G232" s="53" t="str">
        <f>IF(VLOOKUP(A232,[1]Plan!A$1:H$804,8,FALSE)&lt;&gt;"",VLOOKUP(A232,[1]Plan!A$1:H$804,8,FALSE),"")</f>
        <v>N</v>
      </c>
      <c r="H232" s="54" t="str">
        <f>IF(VLOOKUP(A232,[1]Plan!A$1:L$804,12,FALSE)&lt;&gt;"",VLOOKUP(A232,[1]Plan!A$1:L$804,12,FALSE),"")</f>
        <v/>
      </c>
      <c r="I232" s="55" t="str">
        <f>IF(VLOOKUP(A232,[1]Plan!A$1:M$804,13,FALSE)&lt;&gt;"",VLOOKUP(A232,[1]Plan!A$1:M$804,13,FALSE),"")</f>
        <v/>
      </c>
      <c r="J232" s="55" t="str">
        <f>IF(VLOOKUP(A232,[1]Plan!A$1:N$804,14,FALSE)&lt;&gt;"",VLOOKUP(A232,[1]Plan!A$1:N$804,14,FALSE),IF(VLOOKUP(A232,[1]Plan!A$1:O$804,15,FALSE)&lt;&gt;"",VLOOKUP(A232,[1]Plan!A$1:O$804,15,FALSE),""))</f>
        <v/>
      </c>
      <c r="K232" s="56" t="str">
        <f>IF(VLOOKUP(A232,[1]Plan!A$1:P$804,16,FALSE)&lt;&gt;"",VLOOKUP(A232,[1]Plan!A$1:P$804,16,FALSE),"")</f>
        <v/>
      </c>
      <c r="L232" s="55"/>
      <c r="M232" s="55"/>
      <c r="N232" s="55"/>
      <c r="O232" s="57">
        <f>IF(F232=0,E232,F232)</f>
        <v>0</v>
      </c>
      <c r="P232" s="57" t="b">
        <f>OR(H232="Y",I232="Y")</f>
        <v>0</v>
      </c>
      <c r="Q232" s="58">
        <f>IF(P232,O232*'[1]ETC Data'!$H$3*'[1]ETC Data'!$I$3,0)</f>
        <v>0</v>
      </c>
      <c r="R232" s="58">
        <f>Q232-(Q232*((VLOOKUP(A232,[1]Plan!A$1:Z$804,26,FALSE)/100)))</f>
        <v>0</v>
      </c>
      <c r="S232" s="58">
        <f>IF(P232,O232*'[1]ETC Data'!$H$3*'[1]ETC Data'!$J$3,0)</f>
        <v>0</v>
      </c>
      <c r="T232" s="58">
        <f>S232-(S232*((VLOOKUP(A232,[1]Plan!A$1:AA$804,27,FALSE)/100)))</f>
        <v>0</v>
      </c>
      <c r="U232" s="58">
        <f>IF(P232,O232*'[1]ETC Data'!$H$3*'[1]ETC Data'!$K$3,0)</f>
        <v>0</v>
      </c>
      <c r="V232" s="58">
        <f>U232-(U232*((VLOOKUP(A232,[1]Plan!A$1:AB$804,28,FALSE)/100)))</f>
        <v>0</v>
      </c>
      <c r="W232" s="58">
        <f>IF(P232,O232*'[1]ETC Data'!$H$3*'[1]ETC Data'!$L$3,0)</f>
        <v>0</v>
      </c>
      <c r="X232" s="58">
        <f>W232-(W232*((VLOOKUP(A232,[1]Plan!A$1:AC$804,29,FALSE)/100)))</f>
        <v>0</v>
      </c>
      <c r="Y232" s="59"/>
      <c r="Z232" s="60" t="b">
        <f>OR(H232="Y",J232="Y")</f>
        <v>0</v>
      </c>
      <c r="AA232" s="58">
        <f>IF(Z232,O232*'[1]ETC Data'!$H$4*'[1]ETC Data'!$I$4,0)</f>
        <v>0</v>
      </c>
      <c r="AB232" s="58">
        <f>AA232-(AA232*((VLOOKUP(A232,[1]Plan!A$1:AI$804,35,FALSE)/100)))</f>
        <v>0</v>
      </c>
      <c r="AC232" s="58">
        <f>IF(Z232,O232*'[1]ETC Data'!$H$4*'[1]ETC Data'!$J$4,0)</f>
        <v>0</v>
      </c>
      <c r="AD232" s="58">
        <f>AC232-(AC232*((VLOOKUP(A232,[1]Plan!A$1:AJ$804,36,FALSE)/100)))</f>
        <v>0</v>
      </c>
      <c r="AE232" s="58">
        <f>IF(Z232,O232*'[1]ETC Data'!$H$4*'[1]ETC Data'!$K$4,0)</f>
        <v>0</v>
      </c>
      <c r="AF232" s="58">
        <f>AE232-(AE232*((VLOOKUP(A232,[1]Plan!A$1:AK$804,37,FALSE)/100)))</f>
        <v>0</v>
      </c>
      <c r="AG232" s="58">
        <f>IF(Z232,O232*'[1]ETC Data'!$H$4*'[1]ETC Data'!$L$4,0)</f>
        <v>0</v>
      </c>
      <c r="AH232" s="58">
        <f>AG232-(AG232*((VLOOKUP(A232,[1]Plan!A$1:AP$804,42,FALSE)/100)))</f>
        <v>0</v>
      </c>
      <c r="AI232" s="60"/>
      <c r="AJ232" s="60" t="b">
        <f>OR(H232="Y",K232="Y")</f>
        <v>0</v>
      </c>
      <c r="AK232" s="61">
        <f>IF(AJ232,O232*'[1]ETC Data'!$H$5*'[1]ETC Data'!$I$5,0)</f>
        <v>0</v>
      </c>
      <c r="AL232" s="58">
        <f>AK232-(AK232*((VLOOKUP(A232,[1]Plan!A$1:AY$804,51,FALSE)/100)))</f>
        <v>0</v>
      </c>
      <c r="AM232" s="58">
        <f>IF(AJ232,O232*'[1]ETC Data'!$H$5*'[1]ETC Data'!$J$5,0)</f>
        <v>0</v>
      </c>
      <c r="AN232" s="58">
        <f>AM232-(AM232*((VLOOKUP(A232,[1]Plan!A$1:BA$804,53,FALSE)/100)))</f>
        <v>0</v>
      </c>
      <c r="AO232" s="61">
        <f>IF(AJ232,O232*'[1]ETC Data'!$H$5*'[1]ETC Data'!$K$5,0)</f>
        <v>0</v>
      </c>
      <c r="AP232" s="58">
        <f>AO232-(AO232*((VLOOKUP(A232,[1]Plan!A$1:BB$804,54,FALSE)/100)))</f>
        <v>0</v>
      </c>
      <c r="AQ232" s="58">
        <f>IF(AJ232,O232*'[1]ETC Data'!$H$5*'[1]ETC Data'!$L$5,0)</f>
        <v>0</v>
      </c>
      <c r="AR232" s="58">
        <f>AQ232-(AQ232*((VLOOKUP(A232,[1]Plan!A$1:BD$804,56,FALSE)/100)))</f>
        <v>0</v>
      </c>
      <c r="AS232" s="20">
        <f>VLOOKUP(A232,'[1]PR Matrix'!A:B,2,FALSE)</f>
        <v>0</v>
      </c>
      <c r="AT232" s="21">
        <f>R232+T232+V232+X232+AB232+AD232+AF232+AH232+AL232+AN232+AP232+AR232</f>
        <v>0</v>
      </c>
      <c r="AU232" s="21">
        <f>Q232+S232+U232+W232+AA232+AC232+AE232+AG232+AK232+AM232+AO232+AQ232</f>
        <v>0</v>
      </c>
      <c r="AV232" s="21">
        <f>R232+AB232+AL232</f>
        <v>0</v>
      </c>
      <c r="AW232" s="21">
        <f>T232+AD232+AN232</f>
        <v>0</v>
      </c>
      <c r="AX232" s="21">
        <f>V232+AF232+AP232</f>
        <v>0</v>
      </c>
      <c r="AY232" s="21">
        <f>X232+AH232+AR232</f>
        <v>0</v>
      </c>
    </row>
    <row r="233" spans="1:51" hidden="1" x14ac:dyDescent="0.2">
      <c r="A233" s="50" t="s">
        <v>440</v>
      </c>
      <c r="B233" s="51" t="s">
        <v>208</v>
      </c>
      <c r="C233" s="51"/>
      <c r="D233" s="51"/>
      <c r="E233" s="52">
        <f>IF(G233="Y",VLOOKUP(B233&amp;"|"&amp;C233,'[1]ETC Data'!$C$2:$D$16,2,FALSE),0)</f>
        <v>0</v>
      </c>
      <c r="F233" s="52">
        <f>IF(D233="",0,IF(G233="Y",VLOOKUP(B233&amp;"|"&amp;D233,'[1]ETC Data'!$C$2:$D$16,2,FALSE),0))</f>
        <v>0</v>
      </c>
      <c r="G233" s="53" t="str">
        <f>IF(VLOOKUP(A233,[1]Plan!A$1:H$804,8,FALSE)&lt;&gt;"",VLOOKUP(A233,[1]Plan!A$1:H$804,8,FALSE),"")</f>
        <v>N</v>
      </c>
      <c r="H233" s="54" t="str">
        <f>IF(VLOOKUP(A233,[1]Plan!A$1:L$804,12,FALSE)&lt;&gt;"",VLOOKUP(A233,[1]Plan!A$1:L$804,12,FALSE),"")</f>
        <v/>
      </c>
      <c r="I233" s="55" t="str">
        <f>IF(VLOOKUP(A233,[1]Plan!A$1:M$804,13,FALSE)&lt;&gt;"",VLOOKUP(A233,[1]Plan!A$1:M$804,13,FALSE),"")</f>
        <v/>
      </c>
      <c r="J233" s="55" t="str">
        <f>IF(VLOOKUP(A233,[1]Plan!A$1:N$804,14,FALSE)&lt;&gt;"",VLOOKUP(A233,[1]Plan!A$1:N$804,14,FALSE),IF(VLOOKUP(A233,[1]Plan!A$1:O$804,15,FALSE)&lt;&gt;"",VLOOKUP(A233,[1]Plan!A$1:O$804,15,FALSE),""))</f>
        <v/>
      </c>
      <c r="K233" s="56" t="str">
        <f>IF(VLOOKUP(A233,[1]Plan!A$1:P$804,16,FALSE)&lt;&gt;"",VLOOKUP(A233,[1]Plan!A$1:P$804,16,FALSE),"")</f>
        <v/>
      </c>
      <c r="L233" s="55"/>
      <c r="M233" s="55"/>
      <c r="N233" s="55"/>
      <c r="O233" s="57">
        <f>IF(F233=0,E233,F233)</f>
        <v>0</v>
      </c>
      <c r="P233" s="57" t="b">
        <f>OR(H233="Y",I233="Y")</f>
        <v>0</v>
      </c>
      <c r="Q233" s="58">
        <f>IF(P233,O233*'[1]ETC Data'!$H$3*'[1]ETC Data'!$I$3,0)</f>
        <v>0</v>
      </c>
      <c r="R233" s="58">
        <f>Q233-(Q233*((VLOOKUP(A233,[1]Plan!A$1:Z$804,26,FALSE)/100)))</f>
        <v>0</v>
      </c>
      <c r="S233" s="58">
        <f>IF(P233,O233*'[1]ETC Data'!$H$3*'[1]ETC Data'!$J$3,0)</f>
        <v>0</v>
      </c>
      <c r="T233" s="58">
        <f>S233-(S233*((VLOOKUP(A233,[1]Plan!A$1:AA$804,27,FALSE)/100)))</f>
        <v>0</v>
      </c>
      <c r="U233" s="58">
        <f>IF(P233,O233*'[1]ETC Data'!$H$3*'[1]ETC Data'!$K$3,0)</f>
        <v>0</v>
      </c>
      <c r="V233" s="58">
        <f>U233-(U233*((VLOOKUP(A233,[1]Plan!A$1:AB$804,28,FALSE)/100)))</f>
        <v>0</v>
      </c>
      <c r="W233" s="58">
        <f>IF(P233,O233*'[1]ETC Data'!$H$3*'[1]ETC Data'!$L$3,0)</f>
        <v>0</v>
      </c>
      <c r="X233" s="58">
        <f>W233-(W233*((VLOOKUP(A233,[1]Plan!A$1:AC$804,29,FALSE)/100)))</f>
        <v>0</v>
      </c>
      <c r="Y233" s="59"/>
      <c r="Z233" s="60" t="b">
        <f>OR(H233="Y",J233="Y")</f>
        <v>0</v>
      </c>
      <c r="AA233" s="58">
        <f>IF(Z233,O233*'[1]ETC Data'!$H$4*'[1]ETC Data'!$I$4,0)</f>
        <v>0</v>
      </c>
      <c r="AB233" s="58">
        <f>AA233-(AA233*((VLOOKUP(A233,[1]Plan!A$1:AI$804,35,FALSE)/100)))</f>
        <v>0</v>
      </c>
      <c r="AC233" s="58">
        <f>IF(Z233,O233*'[1]ETC Data'!$H$4*'[1]ETC Data'!$J$4,0)</f>
        <v>0</v>
      </c>
      <c r="AD233" s="58">
        <f>AC233-(AC233*((VLOOKUP(A233,[1]Plan!A$1:AJ$804,36,FALSE)/100)))</f>
        <v>0</v>
      </c>
      <c r="AE233" s="58">
        <f>IF(Z233,O233*'[1]ETC Data'!$H$4*'[1]ETC Data'!$K$4,0)</f>
        <v>0</v>
      </c>
      <c r="AF233" s="58">
        <f>AE233-(AE233*((VLOOKUP(A233,[1]Plan!A$1:AK$804,37,FALSE)/100)))</f>
        <v>0</v>
      </c>
      <c r="AG233" s="58">
        <f>IF(Z233,O233*'[1]ETC Data'!$H$4*'[1]ETC Data'!$L$4,0)</f>
        <v>0</v>
      </c>
      <c r="AH233" s="58">
        <f>AG233-(AG233*((VLOOKUP(A233,[1]Plan!A$1:AP$804,42,FALSE)/100)))</f>
        <v>0</v>
      </c>
      <c r="AI233" s="60"/>
      <c r="AJ233" s="60" t="b">
        <f>OR(H233="Y",K233="Y")</f>
        <v>0</v>
      </c>
      <c r="AK233" s="61">
        <f>IF(AJ233,O233*'[1]ETC Data'!$H$5*'[1]ETC Data'!$I$5,0)</f>
        <v>0</v>
      </c>
      <c r="AL233" s="58">
        <f>AK233-(AK233*((VLOOKUP(A233,[1]Plan!A$1:AY$804,51,FALSE)/100)))</f>
        <v>0</v>
      </c>
      <c r="AM233" s="58">
        <f>IF(AJ233,O233*'[1]ETC Data'!$H$5*'[1]ETC Data'!$J$5,0)</f>
        <v>0</v>
      </c>
      <c r="AN233" s="58">
        <f>AM233-(AM233*((VLOOKUP(A233,[1]Plan!A$1:BA$804,53,FALSE)/100)))</f>
        <v>0</v>
      </c>
      <c r="AO233" s="61">
        <f>IF(AJ233,O233*'[1]ETC Data'!$H$5*'[1]ETC Data'!$K$5,0)</f>
        <v>0</v>
      </c>
      <c r="AP233" s="58">
        <f>AO233-(AO233*((VLOOKUP(A233,[1]Plan!A$1:BB$804,54,FALSE)/100)))</f>
        <v>0</v>
      </c>
      <c r="AQ233" s="58">
        <f>IF(AJ233,O233*'[1]ETC Data'!$H$5*'[1]ETC Data'!$L$5,0)</f>
        <v>0</v>
      </c>
      <c r="AR233" s="58">
        <f>AQ233-(AQ233*((VLOOKUP(A233,[1]Plan!A$1:BD$804,56,FALSE)/100)))</f>
        <v>0</v>
      </c>
      <c r="AS233" s="20">
        <f>VLOOKUP(A233,'[1]PR Matrix'!A:B,2,FALSE)</f>
        <v>0</v>
      </c>
      <c r="AT233" s="21">
        <f>R233+T233+V233+X233+AB233+AD233+AF233+AH233+AL233+AN233+AP233+AR233</f>
        <v>0</v>
      </c>
      <c r="AU233" s="21">
        <f>Q233+S233+U233+W233+AA233+AC233+AE233+AG233+AK233+AM233+AO233+AQ233</f>
        <v>0</v>
      </c>
      <c r="AV233" s="21">
        <f>R233+AB233+AL233</f>
        <v>0</v>
      </c>
      <c r="AW233" s="21">
        <f>T233+AD233+AN233</f>
        <v>0</v>
      </c>
      <c r="AX233" s="21">
        <f>V233+AF233+AP233</f>
        <v>0</v>
      </c>
      <c r="AY233" s="21">
        <f>X233+AH233+AR233</f>
        <v>0</v>
      </c>
    </row>
    <row r="234" spans="1:51" hidden="1" x14ac:dyDescent="0.2">
      <c r="A234" s="50" t="s">
        <v>441</v>
      </c>
      <c r="B234" s="51" t="s">
        <v>208</v>
      </c>
      <c r="C234" s="51"/>
      <c r="D234" s="51"/>
      <c r="E234" s="52">
        <f>IF(G234="Y",VLOOKUP(B234&amp;"|"&amp;C234,'[1]ETC Data'!$C$2:$D$16,2,FALSE),0)</f>
        <v>0</v>
      </c>
      <c r="F234" s="52">
        <f>IF(D234="",0,IF(G234="Y",VLOOKUP(B234&amp;"|"&amp;D234,'[1]ETC Data'!$C$2:$D$16,2,FALSE),0))</f>
        <v>0</v>
      </c>
      <c r="G234" s="53" t="str">
        <f>IF(VLOOKUP(A234,[1]Plan!A$1:H$804,8,FALSE)&lt;&gt;"",VLOOKUP(A234,[1]Plan!A$1:H$804,8,FALSE),"")</f>
        <v>N</v>
      </c>
      <c r="H234" s="54" t="str">
        <f>IF(VLOOKUP(A234,[1]Plan!A$1:L$804,12,FALSE)&lt;&gt;"",VLOOKUP(A234,[1]Plan!A$1:L$804,12,FALSE),"")</f>
        <v/>
      </c>
      <c r="I234" s="55" t="str">
        <f>IF(VLOOKUP(A234,[1]Plan!A$1:M$804,13,FALSE)&lt;&gt;"",VLOOKUP(A234,[1]Plan!A$1:M$804,13,FALSE),"")</f>
        <v/>
      </c>
      <c r="J234" s="55" t="str">
        <f>IF(VLOOKUP(A234,[1]Plan!A$1:N$804,14,FALSE)&lt;&gt;"",VLOOKUP(A234,[1]Plan!A$1:N$804,14,FALSE),IF(VLOOKUP(A234,[1]Plan!A$1:O$804,15,FALSE)&lt;&gt;"",VLOOKUP(A234,[1]Plan!A$1:O$804,15,FALSE),""))</f>
        <v/>
      </c>
      <c r="K234" s="56" t="str">
        <f>IF(VLOOKUP(A234,[1]Plan!A$1:P$804,16,FALSE)&lt;&gt;"",VLOOKUP(A234,[1]Plan!A$1:P$804,16,FALSE),"")</f>
        <v/>
      </c>
      <c r="L234" s="55"/>
      <c r="M234" s="55"/>
      <c r="N234" s="55"/>
      <c r="O234" s="57">
        <f>IF(F234=0,E234,F234)</f>
        <v>0</v>
      </c>
      <c r="P234" s="57" t="b">
        <f>OR(H234="Y",I234="Y")</f>
        <v>0</v>
      </c>
      <c r="Q234" s="58">
        <f>IF(P234,O234*'[1]ETC Data'!$H$3*'[1]ETC Data'!$I$3,0)</f>
        <v>0</v>
      </c>
      <c r="R234" s="58">
        <f>Q234-(Q234*((VLOOKUP(A234,[1]Plan!A$1:Z$804,26,FALSE)/100)))</f>
        <v>0</v>
      </c>
      <c r="S234" s="58">
        <f>IF(P234,O234*'[1]ETC Data'!$H$3*'[1]ETC Data'!$J$3,0)</f>
        <v>0</v>
      </c>
      <c r="T234" s="58">
        <f>S234-(S234*((VLOOKUP(A234,[1]Plan!A$1:AA$804,27,FALSE)/100)))</f>
        <v>0</v>
      </c>
      <c r="U234" s="58">
        <f>IF(P234,O234*'[1]ETC Data'!$H$3*'[1]ETC Data'!$K$3,0)</f>
        <v>0</v>
      </c>
      <c r="V234" s="58">
        <f>U234-(U234*((VLOOKUP(A234,[1]Plan!A$1:AB$804,28,FALSE)/100)))</f>
        <v>0</v>
      </c>
      <c r="W234" s="58">
        <f>IF(P234,O234*'[1]ETC Data'!$H$3*'[1]ETC Data'!$L$3,0)</f>
        <v>0</v>
      </c>
      <c r="X234" s="58">
        <f>W234-(W234*((VLOOKUP(A234,[1]Plan!A$1:AC$804,29,FALSE)/100)))</f>
        <v>0</v>
      </c>
      <c r="Y234" s="59"/>
      <c r="Z234" s="60" t="b">
        <f>OR(H234="Y",J234="Y")</f>
        <v>0</v>
      </c>
      <c r="AA234" s="58">
        <f>IF(Z234,O234*'[1]ETC Data'!$H$4*'[1]ETC Data'!$I$4,0)</f>
        <v>0</v>
      </c>
      <c r="AB234" s="58">
        <f>AA234-(AA234*((VLOOKUP(A234,[1]Plan!A$1:AI$804,35,FALSE)/100)))</f>
        <v>0</v>
      </c>
      <c r="AC234" s="58">
        <f>IF(Z234,O234*'[1]ETC Data'!$H$4*'[1]ETC Data'!$J$4,0)</f>
        <v>0</v>
      </c>
      <c r="AD234" s="58">
        <f>AC234-(AC234*((VLOOKUP(A234,[1]Plan!A$1:AJ$804,36,FALSE)/100)))</f>
        <v>0</v>
      </c>
      <c r="AE234" s="58">
        <f>IF(Z234,O234*'[1]ETC Data'!$H$4*'[1]ETC Data'!$K$4,0)</f>
        <v>0</v>
      </c>
      <c r="AF234" s="58">
        <f>AE234-(AE234*((VLOOKUP(A234,[1]Plan!A$1:AK$804,37,FALSE)/100)))</f>
        <v>0</v>
      </c>
      <c r="AG234" s="58">
        <f>IF(Z234,O234*'[1]ETC Data'!$H$4*'[1]ETC Data'!$L$4,0)</f>
        <v>0</v>
      </c>
      <c r="AH234" s="58">
        <f>AG234-(AG234*((VLOOKUP(A234,[1]Plan!A$1:AP$804,42,FALSE)/100)))</f>
        <v>0</v>
      </c>
      <c r="AI234" s="60"/>
      <c r="AJ234" s="60" t="b">
        <f>OR(H234="Y",K234="Y")</f>
        <v>0</v>
      </c>
      <c r="AK234" s="61">
        <f>IF(AJ234,O234*'[1]ETC Data'!$H$5*'[1]ETC Data'!$I$5,0)</f>
        <v>0</v>
      </c>
      <c r="AL234" s="58">
        <f>AK234-(AK234*((VLOOKUP(A234,[1]Plan!A$1:AY$804,51,FALSE)/100)))</f>
        <v>0</v>
      </c>
      <c r="AM234" s="58">
        <f>IF(AJ234,O234*'[1]ETC Data'!$H$5*'[1]ETC Data'!$J$5,0)</f>
        <v>0</v>
      </c>
      <c r="AN234" s="58">
        <f>AM234-(AM234*((VLOOKUP(A234,[1]Plan!A$1:BA$804,53,FALSE)/100)))</f>
        <v>0</v>
      </c>
      <c r="AO234" s="61">
        <f>IF(AJ234,O234*'[1]ETC Data'!$H$5*'[1]ETC Data'!$K$5,0)</f>
        <v>0</v>
      </c>
      <c r="AP234" s="58">
        <f>AO234-(AO234*((VLOOKUP(A234,[1]Plan!A$1:BB$804,54,FALSE)/100)))</f>
        <v>0</v>
      </c>
      <c r="AQ234" s="58">
        <f>IF(AJ234,O234*'[1]ETC Data'!$H$5*'[1]ETC Data'!$L$5,0)</f>
        <v>0</v>
      </c>
      <c r="AR234" s="58">
        <f>AQ234-(AQ234*((VLOOKUP(A234,[1]Plan!A$1:BD$804,56,FALSE)/100)))</f>
        <v>0</v>
      </c>
      <c r="AS234" s="20">
        <f>VLOOKUP(A234,'[1]PR Matrix'!A:B,2,FALSE)</f>
        <v>0</v>
      </c>
      <c r="AT234" s="21">
        <f>R234+T234+V234+X234+AB234+AD234+AF234+AH234+AL234+AN234+AP234+AR234</f>
        <v>0</v>
      </c>
      <c r="AU234" s="21">
        <f>Q234+S234+U234+W234+AA234+AC234+AE234+AG234+AK234+AM234+AO234+AQ234</f>
        <v>0</v>
      </c>
      <c r="AV234" s="21">
        <f>R234+AB234+AL234</f>
        <v>0</v>
      </c>
      <c r="AW234" s="21">
        <f>T234+AD234+AN234</f>
        <v>0</v>
      </c>
      <c r="AX234" s="21">
        <f>V234+AF234+AP234</f>
        <v>0</v>
      </c>
      <c r="AY234" s="21">
        <f>X234+AH234+AR234</f>
        <v>0</v>
      </c>
    </row>
    <row r="235" spans="1:51" hidden="1" x14ac:dyDescent="0.2">
      <c r="A235" s="50" t="s">
        <v>442</v>
      </c>
      <c r="B235" s="51" t="s">
        <v>258</v>
      </c>
      <c r="C235" s="51"/>
      <c r="D235" s="51"/>
      <c r="E235" s="52">
        <f>IF(G235="Y",VLOOKUP(B235&amp;"|"&amp;C235,'[1]ETC Data'!$C$2:$D$16,2,FALSE),0)</f>
        <v>0</v>
      </c>
      <c r="F235" s="52">
        <f>IF(D235="",0,IF(G235="Y",VLOOKUP(B235&amp;"|"&amp;D235,'[1]ETC Data'!$C$2:$D$16,2,FALSE),0))</f>
        <v>0</v>
      </c>
      <c r="G235" s="53" t="str">
        <f>IF(VLOOKUP(A235,[1]Plan!A$1:H$804,8,FALSE)&lt;&gt;"",VLOOKUP(A235,[1]Plan!A$1:H$804,8,FALSE),"")</f>
        <v>N</v>
      </c>
      <c r="H235" s="54" t="str">
        <f>IF(VLOOKUP(A235,[1]Plan!A$1:L$804,12,FALSE)&lt;&gt;"",VLOOKUP(A235,[1]Plan!A$1:L$804,12,FALSE),"")</f>
        <v/>
      </c>
      <c r="I235" s="55" t="str">
        <f>IF(VLOOKUP(A235,[1]Plan!A$1:M$804,13,FALSE)&lt;&gt;"",VLOOKUP(A235,[1]Plan!A$1:M$804,13,FALSE),"")</f>
        <v/>
      </c>
      <c r="J235" s="55" t="str">
        <f>IF(VLOOKUP(A235,[1]Plan!A$1:N$804,14,FALSE)&lt;&gt;"",VLOOKUP(A235,[1]Plan!A$1:N$804,14,FALSE),IF(VLOOKUP(A235,[1]Plan!A$1:O$804,15,FALSE)&lt;&gt;"",VLOOKUP(A235,[1]Plan!A$1:O$804,15,FALSE),""))</f>
        <v/>
      </c>
      <c r="K235" s="56" t="str">
        <f>IF(VLOOKUP(A235,[1]Plan!A$1:P$804,16,FALSE)&lt;&gt;"",VLOOKUP(A235,[1]Plan!A$1:P$804,16,FALSE),"")</f>
        <v/>
      </c>
      <c r="L235" s="55"/>
      <c r="M235" s="55"/>
      <c r="N235" s="55"/>
      <c r="O235" s="57">
        <f>IF(F235=0,E235,F235)</f>
        <v>0</v>
      </c>
      <c r="P235" s="57" t="b">
        <f>OR(H235="Y",I235="Y")</f>
        <v>0</v>
      </c>
      <c r="Q235" s="58">
        <f>IF(P235,O235*'[1]ETC Data'!$H$3*'[1]ETC Data'!$I$3,0)</f>
        <v>0</v>
      </c>
      <c r="R235" s="58">
        <f>Q235-(Q235*((VLOOKUP(A235,[1]Plan!A$1:Z$804,26,FALSE)/100)))</f>
        <v>0</v>
      </c>
      <c r="S235" s="58">
        <f>IF(P235,O235*'[1]ETC Data'!$H$3*'[1]ETC Data'!$J$3,0)</f>
        <v>0</v>
      </c>
      <c r="T235" s="58">
        <f>S235-(S235*((VLOOKUP(A235,[1]Plan!A$1:AA$804,27,FALSE)/100)))</f>
        <v>0</v>
      </c>
      <c r="U235" s="58">
        <f>IF(P235,O235*'[1]ETC Data'!$H$3*'[1]ETC Data'!$K$3,0)</f>
        <v>0</v>
      </c>
      <c r="V235" s="58">
        <f>U235-(U235*((VLOOKUP(A235,[1]Plan!A$1:AB$804,28,FALSE)/100)))</f>
        <v>0</v>
      </c>
      <c r="W235" s="58">
        <f>IF(P235,O235*'[1]ETC Data'!$H$3*'[1]ETC Data'!$L$3,0)</f>
        <v>0</v>
      </c>
      <c r="X235" s="58">
        <f>W235-(W235*((VLOOKUP(A235,[1]Plan!A$1:AC$804,29,FALSE)/100)))</f>
        <v>0</v>
      </c>
      <c r="Y235" s="59"/>
      <c r="Z235" s="60" t="b">
        <f>OR(H235="Y",J235="Y")</f>
        <v>0</v>
      </c>
      <c r="AA235" s="58">
        <f>IF(Z235,O235*'[1]ETC Data'!$H$4*'[1]ETC Data'!$I$4,0)</f>
        <v>0</v>
      </c>
      <c r="AB235" s="58">
        <f>AA235-(AA235*((VLOOKUP(A235,[1]Plan!A$1:AI$804,35,FALSE)/100)))</f>
        <v>0</v>
      </c>
      <c r="AC235" s="58">
        <f>IF(Z235,O235*'[1]ETC Data'!$H$4*'[1]ETC Data'!$J$4,0)</f>
        <v>0</v>
      </c>
      <c r="AD235" s="58">
        <f>AC235-(AC235*((VLOOKUP(A235,[1]Plan!A$1:AJ$804,36,FALSE)/100)))</f>
        <v>0</v>
      </c>
      <c r="AE235" s="58">
        <f>IF(Z235,O235*'[1]ETC Data'!$H$4*'[1]ETC Data'!$K$4,0)</f>
        <v>0</v>
      </c>
      <c r="AF235" s="58">
        <f>AE235-(AE235*((VLOOKUP(A235,[1]Plan!A$1:AK$804,37,FALSE)/100)))</f>
        <v>0</v>
      </c>
      <c r="AG235" s="58">
        <f>IF(Z235,O235*'[1]ETC Data'!$H$4*'[1]ETC Data'!$L$4,0)</f>
        <v>0</v>
      </c>
      <c r="AH235" s="58">
        <f>AG235-(AG235*((VLOOKUP(A235,[1]Plan!A$1:AP$804,42,FALSE)/100)))</f>
        <v>0</v>
      </c>
      <c r="AI235" s="60"/>
      <c r="AJ235" s="60" t="b">
        <f>OR(H235="Y",K235="Y")</f>
        <v>0</v>
      </c>
      <c r="AK235" s="61">
        <f>IF(AJ235,O235*'[1]ETC Data'!$H$5*'[1]ETC Data'!$I$5,0)</f>
        <v>0</v>
      </c>
      <c r="AL235" s="58">
        <f>AK235-(AK235*((VLOOKUP(A235,[1]Plan!A$1:AY$804,51,FALSE)/100)))</f>
        <v>0</v>
      </c>
      <c r="AM235" s="58">
        <f>IF(AJ235,O235*'[1]ETC Data'!$H$5*'[1]ETC Data'!$J$5,0)</f>
        <v>0</v>
      </c>
      <c r="AN235" s="58">
        <f>AM235-(AM235*((VLOOKUP(A235,[1]Plan!A$1:BA$804,53,FALSE)/100)))</f>
        <v>0</v>
      </c>
      <c r="AO235" s="61">
        <f>IF(AJ235,O235*'[1]ETC Data'!$H$5*'[1]ETC Data'!$K$5,0)</f>
        <v>0</v>
      </c>
      <c r="AP235" s="58">
        <f>AO235-(AO235*((VLOOKUP(A235,[1]Plan!A$1:BB$804,54,FALSE)/100)))</f>
        <v>0</v>
      </c>
      <c r="AQ235" s="58">
        <f>IF(AJ235,O235*'[1]ETC Data'!$H$5*'[1]ETC Data'!$L$5,0)</f>
        <v>0</v>
      </c>
      <c r="AR235" s="58">
        <f>AQ235-(AQ235*((VLOOKUP(A235,[1]Plan!A$1:BD$804,56,FALSE)/100)))</f>
        <v>0</v>
      </c>
      <c r="AS235" s="20">
        <f>VLOOKUP(A235,'[1]PR Matrix'!A:B,2,FALSE)</f>
        <v>0</v>
      </c>
      <c r="AT235" s="21">
        <f>R235+T235+V235+X235+AB235+AD235+AF235+AH235+AL235+AN235+AP235+AR235</f>
        <v>0</v>
      </c>
      <c r="AU235" s="21">
        <f>Q235+S235+U235+W235+AA235+AC235+AE235+AG235+AK235+AM235+AO235+AQ235</f>
        <v>0</v>
      </c>
      <c r="AV235" s="21">
        <f>R235+AB235+AL235</f>
        <v>0</v>
      </c>
      <c r="AW235" s="21">
        <f>T235+AD235+AN235</f>
        <v>0</v>
      </c>
      <c r="AX235" s="21">
        <f>V235+AF235+AP235</f>
        <v>0</v>
      </c>
      <c r="AY235" s="21">
        <f>X235+AH235+AR235</f>
        <v>0</v>
      </c>
    </row>
    <row r="236" spans="1:51" hidden="1" x14ac:dyDescent="0.2">
      <c r="A236" s="50" t="s">
        <v>443</v>
      </c>
      <c r="B236" s="51" t="s">
        <v>208</v>
      </c>
      <c r="C236" s="51"/>
      <c r="D236" s="51"/>
      <c r="E236" s="52">
        <f>IF(G236="Y",VLOOKUP(B236&amp;"|"&amp;C236,'[1]ETC Data'!$C$2:$D$16,2,FALSE),0)</f>
        <v>0</v>
      </c>
      <c r="F236" s="52">
        <f>IF(D236="",0,IF(G236="Y",VLOOKUP(B236&amp;"|"&amp;D236,'[1]ETC Data'!$C$2:$D$16,2,FALSE),0))</f>
        <v>0</v>
      </c>
      <c r="G236" s="53" t="str">
        <f>IF(VLOOKUP(A236,[1]Plan!A$1:H$804,8,FALSE)&lt;&gt;"",VLOOKUP(A236,[1]Plan!A$1:H$804,8,FALSE),"")</f>
        <v>N</v>
      </c>
      <c r="H236" s="54" t="str">
        <f>IF(VLOOKUP(A236,[1]Plan!A$1:L$804,12,FALSE)&lt;&gt;"",VLOOKUP(A236,[1]Plan!A$1:L$804,12,FALSE),"")</f>
        <v/>
      </c>
      <c r="I236" s="55" t="str">
        <f>IF(VLOOKUP(A236,[1]Plan!A$1:M$804,13,FALSE)&lt;&gt;"",VLOOKUP(A236,[1]Plan!A$1:M$804,13,FALSE),"")</f>
        <v/>
      </c>
      <c r="J236" s="55" t="str">
        <f>IF(VLOOKUP(A236,[1]Plan!A$1:N$804,14,FALSE)&lt;&gt;"",VLOOKUP(A236,[1]Plan!A$1:N$804,14,FALSE),IF(VLOOKUP(A236,[1]Plan!A$1:O$804,15,FALSE)&lt;&gt;"",VLOOKUP(A236,[1]Plan!A$1:O$804,15,FALSE),""))</f>
        <v/>
      </c>
      <c r="K236" s="56" t="str">
        <f>IF(VLOOKUP(A236,[1]Plan!A$1:P$804,16,FALSE)&lt;&gt;"",VLOOKUP(A236,[1]Plan!A$1:P$804,16,FALSE),"")</f>
        <v/>
      </c>
      <c r="L236" s="55"/>
      <c r="M236" s="55"/>
      <c r="N236" s="55"/>
      <c r="O236" s="57">
        <f>IF(F236=0,E236,F236)</f>
        <v>0</v>
      </c>
      <c r="P236" s="57" t="b">
        <f>OR(H236="Y",I236="Y")</f>
        <v>0</v>
      </c>
      <c r="Q236" s="58">
        <f>IF(P236,O236*'[1]ETC Data'!$H$3*'[1]ETC Data'!$I$3,0)</f>
        <v>0</v>
      </c>
      <c r="R236" s="58">
        <f>Q236-(Q236*((VLOOKUP(A236,[1]Plan!A$1:Z$804,26,FALSE)/100)))</f>
        <v>0</v>
      </c>
      <c r="S236" s="58">
        <f>IF(P236,O236*'[1]ETC Data'!$H$3*'[1]ETC Data'!$J$3,0)</f>
        <v>0</v>
      </c>
      <c r="T236" s="58">
        <f>S236-(S236*((VLOOKUP(A236,[1]Plan!A$1:AA$804,27,FALSE)/100)))</f>
        <v>0</v>
      </c>
      <c r="U236" s="58">
        <f>IF(P236,O236*'[1]ETC Data'!$H$3*'[1]ETC Data'!$K$3,0)</f>
        <v>0</v>
      </c>
      <c r="V236" s="58">
        <f>U236-(U236*((VLOOKUP(A236,[1]Plan!A$1:AB$804,28,FALSE)/100)))</f>
        <v>0</v>
      </c>
      <c r="W236" s="58">
        <f>IF(P236,O236*'[1]ETC Data'!$H$3*'[1]ETC Data'!$L$3,0)</f>
        <v>0</v>
      </c>
      <c r="X236" s="58">
        <f>W236-(W236*((VLOOKUP(A236,[1]Plan!A$1:AC$804,29,FALSE)/100)))</f>
        <v>0</v>
      </c>
      <c r="Y236" s="59"/>
      <c r="Z236" s="60" t="b">
        <f>OR(H236="Y",J236="Y")</f>
        <v>0</v>
      </c>
      <c r="AA236" s="58">
        <f>IF(Z236,O236*'[1]ETC Data'!$H$4*'[1]ETC Data'!$I$4,0)</f>
        <v>0</v>
      </c>
      <c r="AB236" s="58">
        <f>AA236-(AA236*((VLOOKUP(A236,[1]Plan!A$1:AI$804,35,FALSE)/100)))</f>
        <v>0</v>
      </c>
      <c r="AC236" s="58">
        <f>IF(Z236,O236*'[1]ETC Data'!$H$4*'[1]ETC Data'!$J$4,0)</f>
        <v>0</v>
      </c>
      <c r="AD236" s="58">
        <f>AC236-(AC236*((VLOOKUP(A236,[1]Plan!A$1:AJ$804,36,FALSE)/100)))</f>
        <v>0</v>
      </c>
      <c r="AE236" s="58">
        <f>IF(Z236,O236*'[1]ETC Data'!$H$4*'[1]ETC Data'!$K$4,0)</f>
        <v>0</v>
      </c>
      <c r="AF236" s="58">
        <f>AE236-(AE236*((VLOOKUP(A236,[1]Plan!A$1:AK$804,37,FALSE)/100)))</f>
        <v>0</v>
      </c>
      <c r="AG236" s="58">
        <f>IF(Z236,O236*'[1]ETC Data'!$H$4*'[1]ETC Data'!$L$4,0)</f>
        <v>0</v>
      </c>
      <c r="AH236" s="58">
        <f>AG236-(AG236*((VLOOKUP(A236,[1]Plan!A$1:AP$804,42,FALSE)/100)))</f>
        <v>0</v>
      </c>
      <c r="AI236" s="60"/>
      <c r="AJ236" s="60" t="b">
        <f>OR(H236="Y",K236="Y")</f>
        <v>0</v>
      </c>
      <c r="AK236" s="61">
        <f>IF(AJ236,O236*'[1]ETC Data'!$H$5*'[1]ETC Data'!$I$5,0)</f>
        <v>0</v>
      </c>
      <c r="AL236" s="58">
        <f>AK236-(AK236*((VLOOKUP(A236,[1]Plan!A$1:AY$804,51,FALSE)/100)))</f>
        <v>0</v>
      </c>
      <c r="AM236" s="58">
        <f>IF(AJ236,O236*'[1]ETC Data'!$H$5*'[1]ETC Data'!$J$5,0)</f>
        <v>0</v>
      </c>
      <c r="AN236" s="58">
        <f>AM236-(AM236*((VLOOKUP(A236,[1]Plan!A$1:BA$804,53,FALSE)/100)))</f>
        <v>0</v>
      </c>
      <c r="AO236" s="61">
        <f>IF(AJ236,O236*'[1]ETC Data'!$H$5*'[1]ETC Data'!$K$5,0)</f>
        <v>0</v>
      </c>
      <c r="AP236" s="58">
        <f>AO236-(AO236*((VLOOKUP(A236,[1]Plan!A$1:BB$804,54,FALSE)/100)))</f>
        <v>0</v>
      </c>
      <c r="AQ236" s="58">
        <f>IF(AJ236,O236*'[1]ETC Data'!$H$5*'[1]ETC Data'!$L$5,0)</f>
        <v>0</v>
      </c>
      <c r="AR236" s="58">
        <f>AQ236-(AQ236*((VLOOKUP(A236,[1]Plan!A$1:BD$804,56,FALSE)/100)))</f>
        <v>0</v>
      </c>
      <c r="AS236" s="20">
        <f>VLOOKUP(A236,'[1]PR Matrix'!A:B,2,FALSE)</f>
        <v>0</v>
      </c>
      <c r="AT236" s="21">
        <f>R236+T236+V236+X236+AB236+AD236+AF236+AH236+AL236+AN236+AP236+AR236</f>
        <v>0</v>
      </c>
      <c r="AU236" s="21">
        <f>Q236+S236+U236+W236+AA236+AC236+AE236+AG236+AK236+AM236+AO236+AQ236</f>
        <v>0</v>
      </c>
      <c r="AV236" s="21">
        <f>R236+AB236+AL236</f>
        <v>0</v>
      </c>
      <c r="AW236" s="21">
        <f>T236+AD236+AN236</f>
        <v>0</v>
      </c>
      <c r="AX236" s="21">
        <f>V236+AF236+AP236</f>
        <v>0</v>
      </c>
      <c r="AY236" s="21">
        <f>X236+AH236+AR236</f>
        <v>0</v>
      </c>
    </row>
    <row r="237" spans="1:51" hidden="1" x14ac:dyDescent="0.2">
      <c r="A237" s="50" t="s">
        <v>444</v>
      </c>
      <c r="B237" s="51" t="s">
        <v>208</v>
      </c>
      <c r="C237" s="51"/>
      <c r="D237" s="51"/>
      <c r="E237" s="52">
        <f>IF(G237="Y",VLOOKUP(B237&amp;"|"&amp;C237,'[1]ETC Data'!$C$2:$D$16,2,FALSE),0)</f>
        <v>0</v>
      </c>
      <c r="F237" s="52">
        <f>IF(D237="",0,IF(G237="Y",VLOOKUP(B237&amp;"|"&amp;D237,'[1]ETC Data'!$C$2:$D$16,2,FALSE),0))</f>
        <v>0</v>
      </c>
      <c r="G237" s="53" t="str">
        <f>IF(VLOOKUP(A237,[1]Plan!A$1:H$804,8,FALSE)&lt;&gt;"",VLOOKUP(A237,[1]Plan!A$1:H$804,8,FALSE),"")</f>
        <v>N</v>
      </c>
      <c r="H237" s="54" t="str">
        <f>IF(VLOOKUP(A237,[1]Plan!A$1:L$804,12,FALSE)&lt;&gt;"",VLOOKUP(A237,[1]Plan!A$1:L$804,12,FALSE),"")</f>
        <v/>
      </c>
      <c r="I237" s="55" t="str">
        <f>IF(VLOOKUP(A237,[1]Plan!A$1:M$804,13,FALSE)&lt;&gt;"",VLOOKUP(A237,[1]Plan!A$1:M$804,13,FALSE),"")</f>
        <v/>
      </c>
      <c r="J237" s="55" t="str">
        <f>IF(VLOOKUP(A237,[1]Plan!A$1:N$804,14,FALSE)&lt;&gt;"",VLOOKUP(A237,[1]Plan!A$1:N$804,14,FALSE),IF(VLOOKUP(A237,[1]Plan!A$1:O$804,15,FALSE)&lt;&gt;"",VLOOKUP(A237,[1]Plan!A$1:O$804,15,FALSE),""))</f>
        <v/>
      </c>
      <c r="K237" s="56" t="str">
        <f>IF(VLOOKUP(A237,[1]Plan!A$1:P$804,16,FALSE)&lt;&gt;"",VLOOKUP(A237,[1]Plan!A$1:P$804,16,FALSE),"")</f>
        <v/>
      </c>
      <c r="L237" s="55"/>
      <c r="M237" s="55"/>
      <c r="N237" s="55"/>
      <c r="O237" s="57">
        <f>IF(F237=0,E237,F237)</f>
        <v>0</v>
      </c>
      <c r="P237" s="57" t="b">
        <f>OR(H237="Y",I237="Y")</f>
        <v>0</v>
      </c>
      <c r="Q237" s="58">
        <f>IF(P237,O237*'[1]ETC Data'!$H$3*'[1]ETC Data'!$I$3,0)</f>
        <v>0</v>
      </c>
      <c r="R237" s="58">
        <f>Q237-(Q237*((VLOOKUP(A237,[1]Plan!A$1:Z$804,26,FALSE)/100)))</f>
        <v>0</v>
      </c>
      <c r="S237" s="58">
        <f>IF(P237,O237*'[1]ETC Data'!$H$3*'[1]ETC Data'!$J$3,0)</f>
        <v>0</v>
      </c>
      <c r="T237" s="58">
        <f>S237-(S237*((VLOOKUP(A237,[1]Plan!A$1:AA$804,27,FALSE)/100)))</f>
        <v>0</v>
      </c>
      <c r="U237" s="58">
        <f>IF(P237,O237*'[1]ETC Data'!$H$3*'[1]ETC Data'!$K$3,0)</f>
        <v>0</v>
      </c>
      <c r="V237" s="58">
        <f>U237-(U237*((VLOOKUP(A237,[1]Plan!A$1:AB$804,28,FALSE)/100)))</f>
        <v>0</v>
      </c>
      <c r="W237" s="58">
        <f>IF(P237,O237*'[1]ETC Data'!$H$3*'[1]ETC Data'!$L$3,0)</f>
        <v>0</v>
      </c>
      <c r="X237" s="58">
        <f>W237-(W237*((VLOOKUP(A237,[1]Plan!A$1:AC$804,29,FALSE)/100)))</f>
        <v>0</v>
      </c>
      <c r="Y237" s="59"/>
      <c r="Z237" s="60" t="b">
        <f>OR(H237="Y",J237="Y")</f>
        <v>0</v>
      </c>
      <c r="AA237" s="58">
        <f>IF(Z237,O237*'[1]ETC Data'!$H$4*'[1]ETC Data'!$I$4,0)</f>
        <v>0</v>
      </c>
      <c r="AB237" s="58">
        <f>AA237-(AA237*((VLOOKUP(A237,[1]Plan!A$1:AI$804,35,FALSE)/100)))</f>
        <v>0</v>
      </c>
      <c r="AC237" s="58">
        <f>IF(Z237,O237*'[1]ETC Data'!$H$4*'[1]ETC Data'!$J$4,0)</f>
        <v>0</v>
      </c>
      <c r="AD237" s="58">
        <f>AC237-(AC237*((VLOOKUP(A237,[1]Plan!A$1:AJ$804,36,FALSE)/100)))</f>
        <v>0</v>
      </c>
      <c r="AE237" s="58">
        <f>IF(Z237,O237*'[1]ETC Data'!$H$4*'[1]ETC Data'!$K$4,0)</f>
        <v>0</v>
      </c>
      <c r="AF237" s="58">
        <f>AE237-(AE237*((VLOOKUP(A237,[1]Plan!A$1:AK$804,37,FALSE)/100)))</f>
        <v>0</v>
      </c>
      <c r="AG237" s="58">
        <f>IF(Z237,O237*'[1]ETC Data'!$H$4*'[1]ETC Data'!$L$4,0)</f>
        <v>0</v>
      </c>
      <c r="AH237" s="58">
        <f>AG237-(AG237*((VLOOKUP(A237,[1]Plan!A$1:AP$804,42,FALSE)/100)))</f>
        <v>0</v>
      </c>
      <c r="AI237" s="60"/>
      <c r="AJ237" s="60" t="b">
        <f>OR(H237="Y",K237="Y")</f>
        <v>0</v>
      </c>
      <c r="AK237" s="61">
        <f>IF(AJ237,O237*'[1]ETC Data'!$H$5*'[1]ETC Data'!$I$5,0)</f>
        <v>0</v>
      </c>
      <c r="AL237" s="58">
        <f>AK237-(AK237*((VLOOKUP(A237,[1]Plan!A$1:AY$804,51,FALSE)/100)))</f>
        <v>0</v>
      </c>
      <c r="AM237" s="58">
        <f>IF(AJ237,O237*'[1]ETC Data'!$H$5*'[1]ETC Data'!$J$5,0)</f>
        <v>0</v>
      </c>
      <c r="AN237" s="58">
        <f>AM237-(AM237*((VLOOKUP(A237,[1]Plan!A$1:BA$804,53,FALSE)/100)))</f>
        <v>0</v>
      </c>
      <c r="AO237" s="61">
        <f>IF(AJ237,O237*'[1]ETC Data'!$H$5*'[1]ETC Data'!$K$5,0)</f>
        <v>0</v>
      </c>
      <c r="AP237" s="58">
        <f>AO237-(AO237*((VLOOKUP(A237,[1]Plan!A$1:BB$804,54,FALSE)/100)))</f>
        <v>0</v>
      </c>
      <c r="AQ237" s="58">
        <f>IF(AJ237,O237*'[1]ETC Data'!$H$5*'[1]ETC Data'!$L$5,0)</f>
        <v>0</v>
      </c>
      <c r="AR237" s="58">
        <f>AQ237-(AQ237*((VLOOKUP(A237,[1]Plan!A$1:BD$804,56,FALSE)/100)))</f>
        <v>0</v>
      </c>
      <c r="AS237" s="20">
        <f>VLOOKUP(A237,'[1]PR Matrix'!A:B,2,FALSE)</f>
        <v>0</v>
      </c>
      <c r="AT237" s="21">
        <f>R237+T237+V237+X237+AB237+AD237+AF237+AH237+AL237+AN237+AP237+AR237</f>
        <v>0</v>
      </c>
      <c r="AU237" s="21">
        <f>Q237+S237+U237+W237+AA237+AC237+AE237+AG237+AK237+AM237+AO237+AQ237</f>
        <v>0</v>
      </c>
      <c r="AV237" s="21">
        <f>R237+AB237+AL237</f>
        <v>0</v>
      </c>
      <c r="AW237" s="21">
        <f>T237+AD237+AN237</f>
        <v>0</v>
      </c>
      <c r="AX237" s="21">
        <f>V237+AF237+AP237</f>
        <v>0</v>
      </c>
      <c r="AY237" s="21">
        <f>X237+AH237+AR237</f>
        <v>0</v>
      </c>
    </row>
    <row r="238" spans="1:51" hidden="1" x14ac:dyDescent="0.2">
      <c r="A238" s="50" t="s">
        <v>445</v>
      </c>
      <c r="B238" s="51" t="s">
        <v>209</v>
      </c>
      <c r="C238" s="51"/>
      <c r="D238" s="51"/>
      <c r="E238" s="52">
        <f>IF(G238="Y",VLOOKUP(B238&amp;"|"&amp;C238,'[1]ETC Data'!$C$2:$D$16,2,FALSE),0)</f>
        <v>0</v>
      </c>
      <c r="F238" s="52">
        <f>IF(D238="",0,IF(G238="Y",VLOOKUP(B238&amp;"|"&amp;D238,'[1]ETC Data'!$C$2:$D$16,2,FALSE),0))</f>
        <v>0</v>
      </c>
      <c r="G238" s="53" t="str">
        <f>IF(VLOOKUP(A238,[1]Plan!A$1:H$804,8,FALSE)&lt;&gt;"",VLOOKUP(A238,[1]Plan!A$1:H$804,8,FALSE),"")</f>
        <v>N</v>
      </c>
      <c r="H238" s="54" t="str">
        <f>IF(VLOOKUP(A238,[1]Plan!A$1:L$804,12,FALSE)&lt;&gt;"",VLOOKUP(A238,[1]Plan!A$1:L$804,12,FALSE),"")</f>
        <v/>
      </c>
      <c r="I238" s="55" t="str">
        <f>IF(VLOOKUP(A238,[1]Plan!A$1:M$804,13,FALSE)&lt;&gt;"",VLOOKUP(A238,[1]Plan!A$1:M$804,13,FALSE),"")</f>
        <v/>
      </c>
      <c r="J238" s="55" t="str">
        <f>IF(VLOOKUP(A238,[1]Plan!A$1:N$804,14,FALSE)&lt;&gt;"",VLOOKUP(A238,[1]Plan!A$1:N$804,14,FALSE),IF(VLOOKUP(A238,[1]Plan!A$1:O$804,15,FALSE)&lt;&gt;"",VLOOKUP(A238,[1]Plan!A$1:O$804,15,FALSE),""))</f>
        <v/>
      </c>
      <c r="K238" s="56" t="str">
        <f>IF(VLOOKUP(A238,[1]Plan!A$1:P$804,16,FALSE)&lt;&gt;"",VLOOKUP(A238,[1]Plan!A$1:P$804,16,FALSE),"")</f>
        <v/>
      </c>
      <c r="L238" s="55"/>
      <c r="M238" s="55"/>
      <c r="N238" s="55"/>
      <c r="O238" s="57">
        <f>IF(F238=0,E238,F238)</f>
        <v>0</v>
      </c>
      <c r="P238" s="57" t="b">
        <f>OR(H238="Y",I238="Y")</f>
        <v>0</v>
      </c>
      <c r="Q238" s="58">
        <f>IF(P238,O238*'[1]ETC Data'!$H$3*'[1]ETC Data'!$I$3,0)</f>
        <v>0</v>
      </c>
      <c r="R238" s="58">
        <f>Q238-(Q238*((VLOOKUP(A238,[1]Plan!A$1:Z$804,26,FALSE)/100)))</f>
        <v>0</v>
      </c>
      <c r="S238" s="58">
        <f>IF(P238,O238*'[1]ETC Data'!$H$3*'[1]ETC Data'!$J$3,0)</f>
        <v>0</v>
      </c>
      <c r="T238" s="58">
        <f>S238-(S238*((VLOOKUP(A238,[1]Plan!A$1:AA$804,27,FALSE)/100)))</f>
        <v>0</v>
      </c>
      <c r="U238" s="58">
        <f>IF(P238,O238*'[1]ETC Data'!$H$3*'[1]ETC Data'!$K$3,0)</f>
        <v>0</v>
      </c>
      <c r="V238" s="58">
        <f>U238-(U238*((VLOOKUP(A238,[1]Plan!A$1:AB$804,28,FALSE)/100)))</f>
        <v>0</v>
      </c>
      <c r="W238" s="58">
        <f>IF(P238,O238*'[1]ETC Data'!$H$3*'[1]ETC Data'!$L$3,0)</f>
        <v>0</v>
      </c>
      <c r="X238" s="58">
        <f>W238-(W238*((VLOOKUP(A238,[1]Plan!A$1:AC$804,29,FALSE)/100)))</f>
        <v>0</v>
      </c>
      <c r="Y238" s="59"/>
      <c r="Z238" s="60" t="b">
        <f>OR(H238="Y",J238="Y")</f>
        <v>0</v>
      </c>
      <c r="AA238" s="58">
        <f>IF(Z238,O238*'[1]ETC Data'!$H$4*'[1]ETC Data'!$I$4,0)</f>
        <v>0</v>
      </c>
      <c r="AB238" s="58">
        <f>AA238-(AA238*((VLOOKUP(A238,[1]Plan!A$1:AI$804,35,FALSE)/100)))</f>
        <v>0</v>
      </c>
      <c r="AC238" s="58">
        <f>IF(Z238,O238*'[1]ETC Data'!$H$4*'[1]ETC Data'!$J$4,0)</f>
        <v>0</v>
      </c>
      <c r="AD238" s="58">
        <f>AC238-(AC238*((VLOOKUP(A238,[1]Plan!A$1:AJ$804,36,FALSE)/100)))</f>
        <v>0</v>
      </c>
      <c r="AE238" s="58">
        <f>IF(Z238,O238*'[1]ETC Data'!$H$4*'[1]ETC Data'!$K$4,0)</f>
        <v>0</v>
      </c>
      <c r="AF238" s="58">
        <f>AE238-(AE238*((VLOOKUP(A238,[1]Plan!A$1:AK$804,37,FALSE)/100)))</f>
        <v>0</v>
      </c>
      <c r="AG238" s="58">
        <f>IF(Z238,O238*'[1]ETC Data'!$H$4*'[1]ETC Data'!$L$4,0)</f>
        <v>0</v>
      </c>
      <c r="AH238" s="58">
        <f>AG238-(AG238*((VLOOKUP(A238,[1]Plan!A$1:AP$804,42,FALSE)/100)))</f>
        <v>0</v>
      </c>
      <c r="AI238" s="60"/>
      <c r="AJ238" s="60" t="b">
        <f>OR(H238="Y",K238="Y")</f>
        <v>0</v>
      </c>
      <c r="AK238" s="61">
        <f>IF(AJ238,O238*'[1]ETC Data'!$H$5*'[1]ETC Data'!$I$5,0)</f>
        <v>0</v>
      </c>
      <c r="AL238" s="58">
        <f>AK238-(AK238*((VLOOKUP(A238,[1]Plan!A$1:AY$804,51,FALSE)/100)))</f>
        <v>0</v>
      </c>
      <c r="AM238" s="58">
        <f>IF(AJ238,O238*'[1]ETC Data'!$H$5*'[1]ETC Data'!$J$5,0)</f>
        <v>0</v>
      </c>
      <c r="AN238" s="58">
        <f>AM238-(AM238*((VLOOKUP(A238,[1]Plan!A$1:BA$804,53,FALSE)/100)))</f>
        <v>0</v>
      </c>
      <c r="AO238" s="61">
        <f>IF(AJ238,O238*'[1]ETC Data'!$H$5*'[1]ETC Data'!$K$5,0)</f>
        <v>0</v>
      </c>
      <c r="AP238" s="58">
        <f>AO238-(AO238*((VLOOKUP(A238,[1]Plan!A$1:BB$804,54,FALSE)/100)))</f>
        <v>0</v>
      </c>
      <c r="AQ238" s="58">
        <f>IF(AJ238,O238*'[1]ETC Data'!$H$5*'[1]ETC Data'!$L$5,0)</f>
        <v>0</v>
      </c>
      <c r="AR238" s="58">
        <f>AQ238-(AQ238*((VLOOKUP(A238,[1]Plan!A$1:BD$804,56,FALSE)/100)))</f>
        <v>0</v>
      </c>
      <c r="AS238" s="20">
        <f>VLOOKUP(A238,'[1]PR Matrix'!A:B,2,FALSE)</f>
        <v>0</v>
      </c>
      <c r="AT238" s="21">
        <f>R238+T238+V238+X238+AB238+AD238+AF238+AH238+AL238+AN238+AP238+AR238</f>
        <v>0</v>
      </c>
      <c r="AU238" s="21">
        <f>Q238+S238+U238+W238+AA238+AC238+AE238+AG238+AK238+AM238+AO238+AQ238</f>
        <v>0</v>
      </c>
      <c r="AV238" s="21">
        <f>R238+AB238+AL238</f>
        <v>0</v>
      </c>
      <c r="AW238" s="21">
        <f>T238+AD238+AN238</f>
        <v>0</v>
      </c>
      <c r="AX238" s="21">
        <f>V238+AF238+AP238</f>
        <v>0</v>
      </c>
      <c r="AY238" s="21">
        <f>X238+AH238+AR238</f>
        <v>0</v>
      </c>
    </row>
    <row r="239" spans="1:51" hidden="1" x14ac:dyDescent="0.2">
      <c r="A239" s="50" t="s">
        <v>446</v>
      </c>
      <c r="B239" s="51" t="s">
        <v>209</v>
      </c>
      <c r="C239" s="51"/>
      <c r="D239" s="51"/>
      <c r="E239" s="52">
        <f>IF(G239="Y",VLOOKUP(B239&amp;"|"&amp;C239,'[1]ETC Data'!$C$2:$D$16,2,FALSE),0)</f>
        <v>0</v>
      </c>
      <c r="F239" s="52">
        <f>IF(D239="",0,IF(G239="Y",VLOOKUP(B239&amp;"|"&amp;D239,'[1]ETC Data'!$C$2:$D$16,2,FALSE),0))</f>
        <v>0</v>
      </c>
      <c r="G239" s="53" t="str">
        <f>IF(VLOOKUP(A239,[1]Plan!A$1:H$804,8,FALSE)&lt;&gt;"",VLOOKUP(A239,[1]Plan!A$1:H$804,8,FALSE),"")</f>
        <v>N</v>
      </c>
      <c r="H239" s="54" t="str">
        <f>IF(VLOOKUP(A239,[1]Plan!A$1:L$804,12,FALSE)&lt;&gt;"",VLOOKUP(A239,[1]Plan!A$1:L$804,12,FALSE),"")</f>
        <v/>
      </c>
      <c r="I239" s="55" t="str">
        <f>IF(VLOOKUP(A239,[1]Plan!A$1:M$804,13,FALSE)&lt;&gt;"",VLOOKUP(A239,[1]Plan!A$1:M$804,13,FALSE),"")</f>
        <v/>
      </c>
      <c r="J239" s="55" t="str">
        <f>IF(VLOOKUP(A239,[1]Plan!A$1:N$804,14,FALSE)&lt;&gt;"",VLOOKUP(A239,[1]Plan!A$1:N$804,14,FALSE),IF(VLOOKUP(A239,[1]Plan!A$1:O$804,15,FALSE)&lt;&gt;"",VLOOKUP(A239,[1]Plan!A$1:O$804,15,FALSE),""))</f>
        <v/>
      </c>
      <c r="K239" s="56" t="str">
        <f>IF(VLOOKUP(A239,[1]Plan!A$1:P$804,16,FALSE)&lt;&gt;"",VLOOKUP(A239,[1]Plan!A$1:P$804,16,FALSE),"")</f>
        <v/>
      </c>
      <c r="L239" s="55"/>
      <c r="M239" s="55"/>
      <c r="N239" s="55"/>
      <c r="O239" s="57">
        <f>IF(F239=0,E239,F239)</f>
        <v>0</v>
      </c>
      <c r="P239" s="57" t="b">
        <f>OR(H239="Y",I239="Y")</f>
        <v>0</v>
      </c>
      <c r="Q239" s="58">
        <f>IF(P239,O239*'[1]ETC Data'!$H$3*'[1]ETC Data'!$I$3,0)</f>
        <v>0</v>
      </c>
      <c r="R239" s="58">
        <f>Q239-(Q239*((VLOOKUP(A239,[1]Plan!A$1:Z$804,26,FALSE)/100)))</f>
        <v>0</v>
      </c>
      <c r="S239" s="58">
        <f>IF(P239,O239*'[1]ETC Data'!$H$3*'[1]ETC Data'!$J$3,0)</f>
        <v>0</v>
      </c>
      <c r="T239" s="58">
        <f>S239-(S239*((VLOOKUP(A239,[1]Plan!A$1:AA$804,27,FALSE)/100)))</f>
        <v>0</v>
      </c>
      <c r="U239" s="58">
        <f>IF(P239,O239*'[1]ETC Data'!$H$3*'[1]ETC Data'!$K$3,0)</f>
        <v>0</v>
      </c>
      <c r="V239" s="58">
        <f>U239-(U239*((VLOOKUP(A239,[1]Plan!A$1:AB$804,28,FALSE)/100)))</f>
        <v>0</v>
      </c>
      <c r="W239" s="58">
        <f>IF(P239,O239*'[1]ETC Data'!$H$3*'[1]ETC Data'!$L$3,0)</f>
        <v>0</v>
      </c>
      <c r="X239" s="58">
        <f>W239-(W239*((VLOOKUP(A239,[1]Plan!A$1:AC$804,29,FALSE)/100)))</f>
        <v>0</v>
      </c>
      <c r="Y239" s="59"/>
      <c r="Z239" s="60" t="b">
        <f>OR(H239="Y",J239="Y")</f>
        <v>0</v>
      </c>
      <c r="AA239" s="58">
        <f>IF(Z239,O239*'[1]ETC Data'!$H$4*'[1]ETC Data'!$I$4,0)</f>
        <v>0</v>
      </c>
      <c r="AB239" s="58">
        <f>AA239-(AA239*((VLOOKUP(A239,[1]Plan!A$1:AI$804,35,FALSE)/100)))</f>
        <v>0</v>
      </c>
      <c r="AC239" s="58">
        <f>IF(Z239,O239*'[1]ETC Data'!$H$4*'[1]ETC Data'!$J$4,0)</f>
        <v>0</v>
      </c>
      <c r="AD239" s="58">
        <f>AC239-(AC239*((VLOOKUP(A239,[1]Plan!A$1:AJ$804,36,FALSE)/100)))</f>
        <v>0</v>
      </c>
      <c r="AE239" s="58">
        <f>IF(Z239,O239*'[1]ETC Data'!$H$4*'[1]ETC Data'!$K$4,0)</f>
        <v>0</v>
      </c>
      <c r="AF239" s="58">
        <f>AE239-(AE239*((VLOOKUP(A239,[1]Plan!A$1:AK$804,37,FALSE)/100)))</f>
        <v>0</v>
      </c>
      <c r="AG239" s="58">
        <f>IF(Z239,O239*'[1]ETC Data'!$H$4*'[1]ETC Data'!$L$4,0)</f>
        <v>0</v>
      </c>
      <c r="AH239" s="58">
        <f>AG239-(AG239*((VLOOKUP(A239,[1]Plan!A$1:AP$804,42,FALSE)/100)))</f>
        <v>0</v>
      </c>
      <c r="AI239" s="60"/>
      <c r="AJ239" s="60" t="b">
        <f>OR(H239="Y",K239="Y")</f>
        <v>0</v>
      </c>
      <c r="AK239" s="61">
        <f>IF(AJ239,O239*'[1]ETC Data'!$H$5*'[1]ETC Data'!$I$5,0)</f>
        <v>0</v>
      </c>
      <c r="AL239" s="58">
        <f>AK239-(AK239*((VLOOKUP(A239,[1]Plan!A$1:AY$804,51,FALSE)/100)))</f>
        <v>0</v>
      </c>
      <c r="AM239" s="58">
        <f>IF(AJ239,O239*'[1]ETC Data'!$H$5*'[1]ETC Data'!$J$5,0)</f>
        <v>0</v>
      </c>
      <c r="AN239" s="58">
        <f>AM239-(AM239*((VLOOKUP(A239,[1]Plan!A$1:BA$804,53,FALSE)/100)))</f>
        <v>0</v>
      </c>
      <c r="AO239" s="61">
        <f>IF(AJ239,O239*'[1]ETC Data'!$H$5*'[1]ETC Data'!$K$5,0)</f>
        <v>0</v>
      </c>
      <c r="AP239" s="58">
        <f>AO239-(AO239*((VLOOKUP(A239,[1]Plan!A$1:BB$804,54,FALSE)/100)))</f>
        <v>0</v>
      </c>
      <c r="AQ239" s="58">
        <f>IF(AJ239,O239*'[1]ETC Data'!$H$5*'[1]ETC Data'!$L$5,0)</f>
        <v>0</v>
      </c>
      <c r="AR239" s="58">
        <f>AQ239-(AQ239*((VLOOKUP(A239,[1]Plan!A$1:BD$804,56,FALSE)/100)))</f>
        <v>0</v>
      </c>
      <c r="AS239" s="20">
        <f>VLOOKUP(A239,'[1]PR Matrix'!A:B,2,FALSE)</f>
        <v>0</v>
      </c>
      <c r="AT239" s="21">
        <f>R239+T239+V239+X239+AB239+AD239+AF239+AH239+AL239+AN239+AP239+AR239</f>
        <v>0</v>
      </c>
      <c r="AU239" s="21">
        <f>Q239+S239+U239+W239+AA239+AC239+AE239+AG239+AK239+AM239+AO239+AQ239</f>
        <v>0</v>
      </c>
      <c r="AV239" s="21">
        <f>R239+AB239+AL239</f>
        <v>0</v>
      </c>
      <c r="AW239" s="21">
        <f>T239+AD239+AN239</f>
        <v>0</v>
      </c>
      <c r="AX239" s="21">
        <f>V239+AF239+AP239</f>
        <v>0</v>
      </c>
      <c r="AY239" s="21">
        <f>X239+AH239+AR239</f>
        <v>0</v>
      </c>
    </row>
    <row r="240" spans="1:51" hidden="1" x14ac:dyDescent="0.2">
      <c r="A240" s="50" t="s">
        <v>447</v>
      </c>
      <c r="B240" s="51" t="s">
        <v>208</v>
      </c>
      <c r="C240" s="51"/>
      <c r="D240" s="51"/>
      <c r="E240" s="52">
        <f>IF(G240="Y",VLOOKUP(B240&amp;"|"&amp;C240,'[1]ETC Data'!$C$2:$D$16,2,FALSE),0)</f>
        <v>0</v>
      </c>
      <c r="F240" s="52">
        <f>IF(D240="",0,IF(G240="Y",VLOOKUP(B240&amp;"|"&amp;D240,'[1]ETC Data'!$C$2:$D$16,2,FALSE),0))</f>
        <v>0</v>
      </c>
      <c r="G240" s="53" t="str">
        <f>IF(VLOOKUP(A240,[1]Plan!A$1:H$804,8,FALSE)&lt;&gt;"",VLOOKUP(A240,[1]Plan!A$1:H$804,8,FALSE),"")</f>
        <v>N</v>
      </c>
      <c r="H240" s="54" t="str">
        <f>IF(VLOOKUP(A240,[1]Plan!A$1:L$804,12,FALSE)&lt;&gt;"",VLOOKUP(A240,[1]Plan!A$1:L$804,12,FALSE),"")</f>
        <v/>
      </c>
      <c r="I240" s="55" t="str">
        <f>IF(VLOOKUP(A240,[1]Plan!A$1:M$804,13,FALSE)&lt;&gt;"",VLOOKUP(A240,[1]Plan!A$1:M$804,13,FALSE),"")</f>
        <v/>
      </c>
      <c r="J240" s="55" t="str">
        <f>IF(VLOOKUP(A240,[1]Plan!A$1:N$804,14,FALSE)&lt;&gt;"",VLOOKUP(A240,[1]Plan!A$1:N$804,14,FALSE),IF(VLOOKUP(A240,[1]Plan!A$1:O$804,15,FALSE)&lt;&gt;"",VLOOKUP(A240,[1]Plan!A$1:O$804,15,FALSE),""))</f>
        <v/>
      </c>
      <c r="K240" s="56" t="str">
        <f>IF(VLOOKUP(A240,[1]Plan!A$1:P$804,16,FALSE)&lt;&gt;"",VLOOKUP(A240,[1]Plan!A$1:P$804,16,FALSE),"")</f>
        <v/>
      </c>
      <c r="L240" s="55"/>
      <c r="M240" s="55"/>
      <c r="N240" s="55"/>
      <c r="O240" s="57">
        <f>IF(F240=0,E240,F240)</f>
        <v>0</v>
      </c>
      <c r="P240" s="57" t="b">
        <f>OR(H240="Y",I240="Y")</f>
        <v>0</v>
      </c>
      <c r="Q240" s="58">
        <f>IF(P240,O240*'[1]ETC Data'!$H$3*'[1]ETC Data'!$I$3,0)</f>
        <v>0</v>
      </c>
      <c r="R240" s="58">
        <f>Q240-(Q240*((VLOOKUP(A240,[1]Plan!A$1:Z$804,26,FALSE)/100)))</f>
        <v>0</v>
      </c>
      <c r="S240" s="58">
        <f>IF(P240,O240*'[1]ETC Data'!$H$3*'[1]ETC Data'!$J$3,0)</f>
        <v>0</v>
      </c>
      <c r="T240" s="58">
        <f>S240-(S240*((VLOOKUP(A240,[1]Plan!A$1:AA$804,27,FALSE)/100)))</f>
        <v>0</v>
      </c>
      <c r="U240" s="58">
        <f>IF(P240,O240*'[1]ETC Data'!$H$3*'[1]ETC Data'!$K$3,0)</f>
        <v>0</v>
      </c>
      <c r="V240" s="58">
        <f>U240-(U240*((VLOOKUP(A240,[1]Plan!A$1:AB$804,28,FALSE)/100)))</f>
        <v>0</v>
      </c>
      <c r="W240" s="58">
        <f>IF(P240,O240*'[1]ETC Data'!$H$3*'[1]ETC Data'!$L$3,0)</f>
        <v>0</v>
      </c>
      <c r="X240" s="58">
        <f>W240-(W240*((VLOOKUP(A240,[1]Plan!A$1:AC$804,29,FALSE)/100)))</f>
        <v>0</v>
      </c>
      <c r="Y240" s="59"/>
      <c r="Z240" s="60" t="b">
        <f>OR(H240="Y",J240="Y")</f>
        <v>0</v>
      </c>
      <c r="AA240" s="58">
        <f>IF(Z240,O240*'[1]ETC Data'!$H$4*'[1]ETC Data'!$I$4,0)</f>
        <v>0</v>
      </c>
      <c r="AB240" s="58">
        <f>AA240-(AA240*((VLOOKUP(A240,[1]Plan!A$1:AI$804,35,FALSE)/100)))</f>
        <v>0</v>
      </c>
      <c r="AC240" s="58">
        <f>IF(Z240,O240*'[1]ETC Data'!$H$4*'[1]ETC Data'!$J$4,0)</f>
        <v>0</v>
      </c>
      <c r="AD240" s="58">
        <f>AC240-(AC240*((VLOOKUP(A240,[1]Plan!A$1:AJ$804,36,FALSE)/100)))</f>
        <v>0</v>
      </c>
      <c r="AE240" s="58">
        <f>IF(Z240,O240*'[1]ETC Data'!$H$4*'[1]ETC Data'!$K$4,0)</f>
        <v>0</v>
      </c>
      <c r="AF240" s="58">
        <f>AE240-(AE240*((VLOOKUP(A240,[1]Plan!A$1:AK$804,37,FALSE)/100)))</f>
        <v>0</v>
      </c>
      <c r="AG240" s="58">
        <f>IF(Z240,O240*'[1]ETC Data'!$H$4*'[1]ETC Data'!$L$4,0)</f>
        <v>0</v>
      </c>
      <c r="AH240" s="58">
        <f>AG240-(AG240*((VLOOKUP(A240,[1]Plan!A$1:AP$804,42,FALSE)/100)))</f>
        <v>0</v>
      </c>
      <c r="AI240" s="60"/>
      <c r="AJ240" s="60" t="b">
        <f>OR(H240="Y",K240="Y")</f>
        <v>0</v>
      </c>
      <c r="AK240" s="61">
        <f>IF(AJ240,O240*'[1]ETC Data'!$H$5*'[1]ETC Data'!$I$5,0)</f>
        <v>0</v>
      </c>
      <c r="AL240" s="58">
        <f>AK240-(AK240*((VLOOKUP(A240,[1]Plan!A$1:AY$804,51,FALSE)/100)))</f>
        <v>0</v>
      </c>
      <c r="AM240" s="58">
        <f>IF(AJ240,O240*'[1]ETC Data'!$H$5*'[1]ETC Data'!$J$5,0)</f>
        <v>0</v>
      </c>
      <c r="AN240" s="58">
        <f>AM240-(AM240*((VLOOKUP(A240,[1]Plan!A$1:BA$804,53,FALSE)/100)))</f>
        <v>0</v>
      </c>
      <c r="AO240" s="61">
        <f>IF(AJ240,O240*'[1]ETC Data'!$H$5*'[1]ETC Data'!$K$5,0)</f>
        <v>0</v>
      </c>
      <c r="AP240" s="58">
        <f>AO240-(AO240*((VLOOKUP(A240,[1]Plan!A$1:BB$804,54,FALSE)/100)))</f>
        <v>0</v>
      </c>
      <c r="AQ240" s="58">
        <f>IF(AJ240,O240*'[1]ETC Data'!$H$5*'[1]ETC Data'!$L$5,0)</f>
        <v>0</v>
      </c>
      <c r="AR240" s="58">
        <f>AQ240-(AQ240*((VLOOKUP(A240,[1]Plan!A$1:BD$804,56,FALSE)/100)))</f>
        <v>0</v>
      </c>
      <c r="AS240" s="20">
        <f>VLOOKUP(A240,'[1]PR Matrix'!A:B,2,FALSE)</f>
        <v>0</v>
      </c>
      <c r="AT240" s="21">
        <f>R240+T240+V240+X240+AB240+AD240+AF240+AH240+AL240+AN240+AP240+AR240</f>
        <v>0</v>
      </c>
      <c r="AU240" s="21">
        <f>Q240+S240+U240+W240+AA240+AC240+AE240+AG240+AK240+AM240+AO240+AQ240</f>
        <v>0</v>
      </c>
      <c r="AV240" s="21">
        <f>R240+AB240+AL240</f>
        <v>0</v>
      </c>
      <c r="AW240" s="21">
        <f>T240+AD240+AN240</f>
        <v>0</v>
      </c>
      <c r="AX240" s="21">
        <f>V240+AF240+AP240</f>
        <v>0</v>
      </c>
      <c r="AY240" s="21">
        <f>X240+AH240+AR240</f>
        <v>0</v>
      </c>
    </row>
    <row r="241" spans="1:55" hidden="1" x14ac:dyDescent="0.2">
      <c r="A241" s="50" t="s">
        <v>448</v>
      </c>
      <c r="B241" s="51" t="s">
        <v>209</v>
      </c>
      <c r="C241" s="51"/>
      <c r="D241" s="51"/>
      <c r="E241" s="52">
        <f>IF(G241="Y",VLOOKUP(B241&amp;"|"&amp;C241,'[1]ETC Data'!$C$2:$D$16,2,FALSE),0)</f>
        <v>0</v>
      </c>
      <c r="F241" s="52">
        <f>IF(D241="",0,IF(G241="Y",VLOOKUP(B241&amp;"|"&amp;D241,'[1]ETC Data'!$C$2:$D$16,2,FALSE),0))</f>
        <v>0</v>
      </c>
      <c r="G241" s="53" t="str">
        <f>IF(VLOOKUP(A241,[1]Plan!A$1:H$804,8,FALSE)&lt;&gt;"",VLOOKUP(A241,[1]Plan!A$1:H$804,8,FALSE),"")</f>
        <v>N</v>
      </c>
      <c r="H241" s="54" t="str">
        <f>IF(VLOOKUP(A241,[1]Plan!A$1:L$804,12,FALSE)&lt;&gt;"",VLOOKUP(A241,[1]Plan!A$1:L$804,12,FALSE),"")</f>
        <v/>
      </c>
      <c r="I241" s="55" t="str">
        <f>IF(VLOOKUP(A241,[1]Plan!A$1:M$804,13,FALSE)&lt;&gt;"",VLOOKUP(A241,[1]Plan!A$1:M$804,13,FALSE),"")</f>
        <v/>
      </c>
      <c r="J241" s="55" t="str">
        <f>IF(VLOOKUP(A241,[1]Plan!A$1:N$804,14,FALSE)&lt;&gt;"",VLOOKUP(A241,[1]Plan!A$1:N$804,14,FALSE),IF(VLOOKUP(A241,[1]Plan!A$1:O$804,15,FALSE)&lt;&gt;"",VLOOKUP(A241,[1]Plan!A$1:O$804,15,FALSE),""))</f>
        <v/>
      </c>
      <c r="K241" s="56" t="str">
        <f>IF(VLOOKUP(A241,[1]Plan!A$1:P$804,16,FALSE)&lt;&gt;"",VLOOKUP(A241,[1]Plan!A$1:P$804,16,FALSE),"")</f>
        <v/>
      </c>
      <c r="L241" s="55"/>
      <c r="M241" s="55"/>
      <c r="N241" s="55"/>
      <c r="O241" s="57">
        <f>IF(F241=0,E241,F241)</f>
        <v>0</v>
      </c>
      <c r="P241" s="57" t="b">
        <f>OR(H241="Y",I241="Y")</f>
        <v>0</v>
      </c>
      <c r="Q241" s="58">
        <f>IF(P241,O241*'[1]ETC Data'!$H$3*'[1]ETC Data'!$I$3,0)</f>
        <v>0</v>
      </c>
      <c r="R241" s="58">
        <f>Q241-(Q241*((VLOOKUP(A241,[1]Plan!A$1:Z$804,26,FALSE)/100)))</f>
        <v>0</v>
      </c>
      <c r="S241" s="58">
        <f>IF(P241,O241*'[1]ETC Data'!$H$3*'[1]ETC Data'!$J$3,0)</f>
        <v>0</v>
      </c>
      <c r="T241" s="58">
        <f>S241-(S241*((VLOOKUP(A241,[1]Plan!A$1:AA$804,27,FALSE)/100)))</f>
        <v>0</v>
      </c>
      <c r="U241" s="58">
        <f>IF(P241,O241*'[1]ETC Data'!$H$3*'[1]ETC Data'!$K$3,0)</f>
        <v>0</v>
      </c>
      <c r="V241" s="58">
        <f>U241-(U241*((VLOOKUP(A241,[1]Plan!A$1:AB$804,28,FALSE)/100)))</f>
        <v>0</v>
      </c>
      <c r="W241" s="58">
        <f>IF(P241,O241*'[1]ETC Data'!$H$3*'[1]ETC Data'!$L$3,0)</f>
        <v>0</v>
      </c>
      <c r="X241" s="58">
        <f>W241-(W241*((VLOOKUP(A241,[1]Plan!A$1:AC$804,29,FALSE)/100)))</f>
        <v>0</v>
      </c>
      <c r="Y241" s="59"/>
      <c r="Z241" s="60" t="b">
        <f>OR(H241="Y",J241="Y")</f>
        <v>0</v>
      </c>
      <c r="AA241" s="58">
        <f>IF(Z241,O241*'[1]ETC Data'!$H$4*'[1]ETC Data'!$I$4,0)</f>
        <v>0</v>
      </c>
      <c r="AB241" s="58">
        <f>AA241-(AA241*((VLOOKUP(A241,[1]Plan!A$1:AI$804,35,FALSE)/100)))</f>
        <v>0</v>
      </c>
      <c r="AC241" s="58">
        <f>IF(Z241,O241*'[1]ETC Data'!$H$4*'[1]ETC Data'!$J$4,0)</f>
        <v>0</v>
      </c>
      <c r="AD241" s="58">
        <f>AC241-(AC241*((VLOOKUP(A241,[1]Plan!A$1:AJ$804,36,FALSE)/100)))</f>
        <v>0</v>
      </c>
      <c r="AE241" s="58">
        <f>IF(Z241,O241*'[1]ETC Data'!$H$4*'[1]ETC Data'!$K$4,0)</f>
        <v>0</v>
      </c>
      <c r="AF241" s="58">
        <f>AE241-(AE241*((VLOOKUP(A241,[1]Plan!A$1:AK$804,37,FALSE)/100)))</f>
        <v>0</v>
      </c>
      <c r="AG241" s="58">
        <f>IF(Z241,O241*'[1]ETC Data'!$H$4*'[1]ETC Data'!$L$4,0)</f>
        <v>0</v>
      </c>
      <c r="AH241" s="58">
        <f>AG241-(AG241*((VLOOKUP(A241,[1]Plan!A$1:AP$804,42,FALSE)/100)))</f>
        <v>0</v>
      </c>
      <c r="AI241" s="60"/>
      <c r="AJ241" s="60" t="b">
        <f>OR(H241="Y",K241="Y")</f>
        <v>0</v>
      </c>
      <c r="AK241" s="61">
        <f>IF(AJ241,O241*'[1]ETC Data'!$H$5*'[1]ETC Data'!$I$5,0)</f>
        <v>0</v>
      </c>
      <c r="AL241" s="58">
        <f>AK241-(AK241*((VLOOKUP(A241,[1]Plan!A$1:AY$804,51,FALSE)/100)))</f>
        <v>0</v>
      </c>
      <c r="AM241" s="58">
        <f>IF(AJ241,O241*'[1]ETC Data'!$H$5*'[1]ETC Data'!$J$5,0)</f>
        <v>0</v>
      </c>
      <c r="AN241" s="58">
        <f>AM241-(AM241*((VLOOKUP(A241,[1]Plan!A$1:BA$804,53,FALSE)/100)))</f>
        <v>0</v>
      </c>
      <c r="AO241" s="61">
        <f>IF(AJ241,O241*'[1]ETC Data'!$H$5*'[1]ETC Data'!$K$5,0)</f>
        <v>0</v>
      </c>
      <c r="AP241" s="58">
        <f>AO241-(AO241*((VLOOKUP(A241,[1]Plan!A$1:BB$804,54,FALSE)/100)))</f>
        <v>0</v>
      </c>
      <c r="AQ241" s="58">
        <f>IF(AJ241,O241*'[1]ETC Data'!$H$5*'[1]ETC Data'!$L$5,0)</f>
        <v>0</v>
      </c>
      <c r="AR241" s="58">
        <f>AQ241-(AQ241*((VLOOKUP(A241,[1]Plan!A$1:BD$804,56,FALSE)/100)))</f>
        <v>0</v>
      </c>
      <c r="AS241" s="20">
        <f>VLOOKUP(A241,'[1]PR Matrix'!A:B,2,FALSE)</f>
        <v>0</v>
      </c>
      <c r="AT241" s="21">
        <f>R241+T241+V241+X241+AB241+AD241+AF241+AH241+AL241+AN241+AP241+AR241</f>
        <v>0</v>
      </c>
      <c r="AU241" s="21">
        <f>Q241+S241+U241+W241+AA241+AC241+AE241+AG241+AK241+AM241+AO241+AQ241</f>
        <v>0</v>
      </c>
      <c r="AV241" s="21">
        <f>R241+AB241+AL241</f>
        <v>0</v>
      </c>
      <c r="AW241" s="21">
        <f>T241+AD241+AN241</f>
        <v>0</v>
      </c>
      <c r="AX241" s="21">
        <f>V241+AF241+AP241</f>
        <v>0</v>
      </c>
      <c r="AY241" s="21">
        <f>X241+AH241+AR241</f>
        <v>0</v>
      </c>
    </row>
    <row r="242" spans="1:55" hidden="1" x14ac:dyDescent="0.2">
      <c r="A242" s="50" t="s">
        <v>449</v>
      </c>
      <c r="B242" s="51" t="s">
        <v>208</v>
      </c>
      <c r="C242" s="51"/>
      <c r="D242" s="51"/>
      <c r="E242" s="52">
        <f>IF(G242="Y",VLOOKUP(B242&amp;"|"&amp;C242,'[1]ETC Data'!$C$2:$D$16,2,FALSE),0)</f>
        <v>0</v>
      </c>
      <c r="F242" s="52">
        <f>IF(D242="",0,IF(G242="Y",VLOOKUP(B242&amp;"|"&amp;D242,'[1]ETC Data'!$C$2:$D$16,2,FALSE),0))</f>
        <v>0</v>
      </c>
      <c r="G242" s="53" t="str">
        <f>IF(VLOOKUP(A242,[1]Plan!A$1:H$804,8,FALSE)&lt;&gt;"",VLOOKUP(A242,[1]Plan!A$1:H$804,8,FALSE),"")</f>
        <v>N</v>
      </c>
      <c r="H242" s="54" t="str">
        <f>IF(VLOOKUP(A242,[1]Plan!A$1:L$804,12,FALSE)&lt;&gt;"",VLOOKUP(A242,[1]Plan!A$1:L$804,12,FALSE),"")</f>
        <v/>
      </c>
      <c r="I242" s="55" t="str">
        <f>IF(VLOOKUP(A242,[1]Plan!A$1:M$804,13,FALSE)&lt;&gt;"",VLOOKUP(A242,[1]Plan!A$1:M$804,13,FALSE),"")</f>
        <v/>
      </c>
      <c r="J242" s="55" t="str">
        <f>IF(VLOOKUP(A242,[1]Plan!A$1:N$804,14,FALSE)&lt;&gt;"",VLOOKUP(A242,[1]Plan!A$1:N$804,14,FALSE),IF(VLOOKUP(A242,[1]Plan!A$1:O$804,15,FALSE)&lt;&gt;"",VLOOKUP(A242,[1]Plan!A$1:O$804,15,FALSE),""))</f>
        <v/>
      </c>
      <c r="K242" s="56" t="str">
        <f>IF(VLOOKUP(A242,[1]Plan!A$1:P$804,16,FALSE)&lt;&gt;"",VLOOKUP(A242,[1]Plan!A$1:P$804,16,FALSE),"")</f>
        <v/>
      </c>
      <c r="L242" s="55"/>
      <c r="M242" s="55"/>
      <c r="N242" s="55"/>
      <c r="O242" s="57">
        <f>IF(F242=0,E242,F242)</f>
        <v>0</v>
      </c>
      <c r="P242" s="57" t="b">
        <f>OR(H242="Y",I242="Y")</f>
        <v>0</v>
      </c>
      <c r="Q242" s="58">
        <f>IF(P242,O242*'[1]ETC Data'!$H$3*'[1]ETC Data'!$I$3,0)</f>
        <v>0</v>
      </c>
      <c r="R242" s="58">
        <f>Q242-(Q242*((VLOOKUP(A242,[1]Plan!A$1:Z$804,26,FALSE)/100)))</f>
        <v>0</v>
      </c>
      <c r="S242" s="58">
        <f>IF(P242,O242*'[1]ETC Data'!$H$3*'[1]ETC Data'!$J$3,0)</f>
        <v>0</v>
      </c>
      <c r="T242" s="58">
        <f>S242-(S242*((VLOOKUP(A242,[1]Plan!A$1:AA$804,27,FALSE)/100)))</f>
        <v>0</v>
      </c>
      <c r="U242" s="58">
        <f>IF(P242,O242*'[1]ETC Data'!$H$3*'[1]ETC Data'!$K$3,0)</f>
        <v>0</v>
      </c>
      <c r="V242" s="58">
        <f>U242-(U242*((VLOOKUP(A242,[1]Plan!A$1:AB$804,28,FALSE)/100)))</f>
        <v>0</v>
      </c>
      <c r="W242" s="58">
        <f>IF(P242,O242*'[1]ETC Data'!$H$3*'[1]ETC Data'!$L$3,0)</f>
        <v>0</v>
      </c>
      <c r="X242" s="58">
        <f>W242-(W242*((VLOOKUP(A242,[1]Plan!A$1:AC$804,29,FALSE)/100)))</f>
        <v>0</v>
      </c>
      <c r="Y242" s="59"/>
      <c r="Z242" s="60" t="b">
        <f>OR(H242="Y",J242="Y")</f>
        <v>0</v>
      </c>
      <c r="AA242" s="58">
        <f>IF(Z242,O242*'[1]ETC Data'!$H$4*'[1]ETC Data'!$I$4,0)</f>
        <v>0</v>
      </c>
      <c r="AB242" s="58">
        <f>AA242-(AA242*((VLOOKUP(A242,[1]Plan!A$1:AI$804,35,FALSE)/100)))</f>
        <v>0</v>
      </c>
      <c r="AC242" s="58">
        <f>IF(Z242,O242*'[1]ETC Data'!$H$4*'[1]ETC Data'!$J$4,0)</f>
        <v>0</v>
      </c>
      <c r="AD242" s="58">
        <f>AC242-(AC242*((VLOOKUP(A242,[1]Plan!A$1:AJ$804,36,FALSE)/100)))</f>
        <v>0</v>
      </c>
      <c r="AE242" s="58">
        <f>IF(Z242,O242*'[1]ETC Data'!$H$4*'[1]ETC Data'!$K$4,0)</f>
        <v>0</v>
      </c>
      <c r="AF242" s="58">
        <f>AE242-(AE242*((VLOOKUP(A242,[1]Plan!A$1:AK$804,37,FALSE)/100)))</f>
        <v>0</v>
      </c>
      <c r="AG242" s="58">
        <f>IF(Z242,O242*'[1]ETC Data'!$H$4*'[1]ETC Data'!$L$4,0)</f>
        <v>0</v>
      </c>
      <c r="AH242" s="58">
        <f>AG242-(AG242*((VLOOKUP(A242,[1]Plan!A$1:AP$804,42,FALSE)/100)))</f>
        <v>0</v>
      </c>
      <c r="AI242" s="60"/>
      <c r="AJ242" s="60" t="b">
        <f>OR(H242="Y",K242="Y")</f>
        <v>0</v>
      </c>
      <c r="AK242" s="61">
        <f>IF(AJ242,O242*'[1]ETC Data'!$H$5*'[1]ETC Data'!$I$5,0)</f>
        <v>0</v>
      </c>
      <c r="AL242" s="58">
        <f>AK242-(AK242*((VLOOKUP(A242,[1]Plan!A$1:AY$804,51,FALSE)/100)))</f>
        <v>0</v>
      </c>
      <c r="AM242" s="58">
        <f>IF(AJ242,O242*'[1]ETC Data'!$H$5*'[1]ETC Data'!$J$5,0)</f>
        <v>0</v>
      </c>
      <c r="AN242" s="58">
        <f>AM242-(AM242*((VLOOKUP(A242,[1]Plan!A$1:BA$804,53,FALSE)/100)))</f>
        <v>0</v>
      </c>
      <c r="AO242" s="61">
        <f>IF(AJ242,O242*'[1]ETC Data'!$H$5*'[1]ETC Data'!$K$5,0)</f>
        <v>0</v>
      </c>
      <c r="AP242" s="58">
        <f>AO242-(AO242*((VLOOKUP(A242,[1]Plan!A$1:BB$804,54,FALSE)/100)))</f>
        <v>0</v>
      </c>
      <c r="AQ242" s="58">
        <f>IF(AJ242,O242*'[1]ETC Data'!$H$5*'[1]ETC Data'!$L$5,0)</f>
        <v>0</v>
      </c>
      <c r="AR242" s="58">
        <f>AQ242-(AQ242*((VLOOKUP(A242,[1]Plan!A$1:BD$804,56,FALSE)/100)))</f>
        <v>0</v>
      </c>
      <c r="AS242" s="20">
        <f>VLOOKUP(A242,'[1]PR Matrix'!A:B,2,FALSE)</f>
        <v>0</v>
      </c>
      <c r="AT242" s="21">
        <f>R242+T242+V242+X242+AB242+AD242+AF242+AH242+AL242+AN242+AP242+AR242</f>
        <v>0</v>
      </c>
      <c r="AU242" s="21">
        <f>Q242+S242+U242+W242+AA242+AC242+AE242+AG242+AK242+AM242+AO242+AQ242</f>
        <v>0</v>
      </c>
      <c r="AV242" s="21">
        <f>R242+AB242+AL242</f>
        <v>0</v>
      </c>
      <c r="AW242" s="21">
        <f>T242+AD242+AN242</f>
        <v>0</v>
      </c>
      <c r="AX242" s="21">
        <f>V242+AF242+AP242</f>
        <v>0</v>
      </c>
      <c r="AY242" s="21">
        <f>X242+AH242+AR242</f>
        <v>0</v>
      </c>
    </row>
    <row r="243" spans="1:55" hidden="1" x14ac:dyDescent="0.2">
      <c r="A243" s="50" t="s">
        <v>450</v>
      </c>
      <c r="B243" s="51" t="s">
        <v>208</v>
      </c>
      <c r="C243" s="51"/>
      <c r="D243" s="51"/>
      <c r="E243" s="52">
        <f>IF(G243="Y",VLOOKUP(B243&amp;"|"&amp;C243,'[1]ETC Data'!$C$2:$D$16,2,FALSE),0)</f>
        <v>0</v>
      </c>
      <c r="F243" s="52">
        <f>IF(D243="",0,IF(G243="Y",VLOOKUP(B243&amp;"|"&amp;D243,'[1]ETC Data'!$C$2:$D$16,2,FALSE),0))</f>
        <v>0</v>
      </c>
      <c r="G243" s="53" t="str">
        <f>IF(VLOOKUP(A243,[1]Plan!A$1:H$804,8,FALSE)&lt;&gt;"",VLOOKUP(A243,[1]Plan!A$1:H$804,8,FALSE),"")</f>
        <v>N</v>
      </c>
      <c r="H243" s="54" t="str">
        <f>IF(VLOOKUP(A243,[1]Plan!A$1:L$804,12,FALSE)&lt;&gt;"",VLOOKUP(A243,[1]Plan!A$1:L$804,12,FALSE),"")</f>
        <v/>
      </c>
      <c r="I243" s="55" t="str">
        <f>IF(VLOOKUP(A243,[1]Plan!A$1:M$804,13,FALSE)&lt;&gt;"",VLOOKUP(A243,[1]Plan!A$1:M$804,13,FALSE),"")</f>
        <v/>
      </c>
      <c r="J243" s="55" t="str">
        <f>IF(VLOOKUP(A243,[1]Plan!A$1:N$804,14,FALSE)&lt;&gt;"",VLOOKUP(A243,[1]Plan!A$1:N$804,14,FALSE),IF(VLOOKUP(A243,[1]Plan!A$1:O$804,15,FALSE)&lt;&gt;"",VLOOKUP(A243,[1]Plan!A$1:O$804,15,FALSE),""))</f>
        <v/>
      </c>
      <c r="K243" s="56" t="str">
        <f>IF(VLOOKUP(A243,[1]Plan!A$1:P$804,16,FALSE)&lt;&gt;"",VLOOKUP(A243,[1]Plan!A$1:P$804,16,FALSE),"")</f>
        <v/>
      </c>
      <c r="L243" s="55"/>
      <c r="M243" s="55"/>
      <c r="N243" s="55"/>
      <c r="O243" s="57">
        <f>IF(F243=0,E243,F243)</f>
        <v>0</v>
      </c>
      <c r="P243" s="57" t="b">
        <f>OR(H243="Y",I243="Y")</f>
        <v>0</v>
      </c>
      <c r="Q243" s="58">
        <f>IF(P243,O243*'[1]ETC Data'!$H$3*'[1]ETC Data'!$I$3,0)</f>
        <v>0</v>
      </c>
      <c r="R243" s="58">
        <f>Q243-(Q243*((VLOOKUP(A243,[1]Plan!A$1:Z$804,26,FALSE)/100)))</f>
        <v>0</v>
      </c>
      <c r="S243" s="58">
        <f>IF(P243,O243*'[1]ETC Data'!$H$3*'[1]ETC Data'!$J$3,0)</f>
        <v>0</v>
      </c>
      <c r="T243" s="58">
        <f>S243-(S243*((VLOOKUP(A243,[1]Plan!A$1:AA$804,27,FALSE)/100)))</f>
        <v>0</v>
      </c>
      <c r="U243" s="58">
        <f>IF(P243,O243*'[1]ETC Data'!$H$3*'[1]ETC Data'!$K$3,0)</f>
        <v>0</v>
      </c>
      <c r="V243" s="58">
        <f>U243-(U243*((VLOOKUP(A243,[1]Plan!A$1:AB$804,28,FALSE)/100)))</f>
        <v>0</v>
      </c>
      <c r="W243" s="58">
        <f>IF(P243,O243*'[1]ETC Data'!$H$3*'[1]ETC Data'!$L$3,0)</f>
        <v>0</v>
      </c>
      <c r="X243" s="58">
        <f>W243-(W243*((VLOOKUP(A243,[1]Plan!A$1:AC$804,29,FALSE)/100)))</f>
        <v>0</v>
      </c>
      <c r="Y243" s="59"/>
      <c r="Z243" s="60" t="b">
        <f>OR(H243="Y",J243="Y")</f>
        <v>0</v>
      </c>
      <c r="AA243" s="58">
        <f>IF(Z243,O243*'[1]ETC Data'!$H$4*'[1]ETC Data'!$I$4,0)</f>
        <v>0</v>
      </c>
      <c r="AB243" s="58">
        <f>AA243-(AA243*((VLOOKUP(A243,[1]Plan!A$1:AI$804,35,FALSE)/100)))</f>
        <v>0</v>
      </c>
      <c r="AC243" s="58">
        <f>IF(Z243,O243*'[1]ETC Data'!$H$4*'[1]ETC Data'!$J$4,0)</f>
        <v>0</v>
      </c>
      <c r="AD243" s="58">
        <f>AC243-(AC243*((VLOOKUP(A243,[1]Plan!A$1:AJ$804,36,FALSE)/100)))</f>
        <v>0</v>
      </c>
      <c r="AE243" s="58">
        <f>IF(Z243,O243*'[1]ETC Data'!$H$4*'[1]ETC Data'!$K$4,0)</f>
        <v>0</v>
      </c>
      <c r="AF243" s="58">
        <f>AE243-(AE243*((VLOOKUP(A243,[1]Plan!A$1:AK$804,37,FALSE)/100)))</f>
        <v>0</v>
      </c>
      <c r="AG243" s="58">
        <f>IF(Z243,O243*'[1]ETC Data'!$H$4*'[1]ETC Data'!$L$4,0)</f>
        <v>0</v>
      </c>
      <c r="AH243" s="58">
        <f>AG243-(AG243*((VLOOKUP(A243,[1]Plan!A$1:AP$804,42,FALSE)/100)))</f>
        <v>0</v>
      </c>
      <c r="AI243" s="60"/>
      <c r="AJ243" s="60" t="b">
        <f>OR(H243="Y",K243="Y")</f>
        <v>0</v>
      </c>
      <c r="AK243" s="61">
        <f>IF(AJ243,O243*'[1]ETC Data'!$H$5*'[1]ETC Data'!$I$5,0)</f>
        <v>0</v>
      </c>
      <c r="AL243" s="58">
        <f>AK243-(AK243*((VLOOKUP(A243,[1]Plan!A$1:AY$804,51,FALSE)/100)))</f>
        <v>0</v>
      </c>
      <c r="AM243" s="58">
        <f>IF(AJ243,O243*'[1]ETC Data'!$H$5*'[1]ETC Data'!$J$5,0)</f>
        <v>0</v>
      </c>
      <c r="AN243" s="58">
        <f>AM243-(AM243*((VLOOKUP(A243,[1]Plan!A$1:BA$804,53,FALSE)/100)))</f>
        <v>0</v>
      </c>
      <c r="AO243" s="61">
        <f>IF(AJ243,O243*'[1]ETC Data'!$H$5*'[1]ETC Data'!$K$5,0)</f>
        <v>0</v>
      </c>
      <c r="AP243" s="58">
        <f>AO243-(AO243*((VLOOKUP(A243,[1]Plan!A$1:BB$804,54,FALSE)/100)))</f>
        <v>0</v>
      </c>
      <c r="AQ243" s="58">
        <f>IF(AJ243,O243*'[1]ETC Data'!$H$5*'[1]ETC Data'!$L$5,0)</f>
        <v>0</v>
      </c>
      <c r="AR243" s="58">
        <f>AQ243-(AQ243*((VLOOKUP(A243,[1]Plan!A$1:BD$804,56,FALSE)/100)))</f>
        <v>0</v>
      </c>
      <c r="AS243" s="20">
        <f>VLOOKUP(A243,'[1]PR Matrix'!A:B,2,FALSE)</f>
        <v>0</v>
      </c>
      <c r="AT243" s="21">
        <f>R243+T243+V243+X243+AB243+AD243+AF243+AH243+AL243+AN243+AP243+AR243</f>
        <v>0</v>
      </c>
      <c r="AU243" s="21">
        <f>Q243+S243+U243+W243+AA243+AC243+AE243+AG243+AK243+AM243+AO243+AQ243</f>
        <v>0</v>
      </c>
      <c r="AV243" s="21">
        <f>R243+AB243+AL243</f>
        <v>0</v>
      </c>
      <c r="AW243" s="21">
        <f>T243+AD243+AN243</f>
        <v>0</v>
      </c>
      <c r="AX243" s="21">
        <f>V243+AF243+AP243</f>
        <v>0</v>
      </c>
      <c r="AY243" s="21">
        <f>X243+AH243+AR243</f>
        <v>0</v>
      </c>
    </row>
    <row r="244" spans="1:55" hidden="1" x14ac:dyDescent="0.2">
      <c r="A244" s="50" t="s">
        <v>451</v>
      </c>
      <c r="B244" s="51" t="s">
        <v>208</v>
      </c>
      <c r="C244" s="51"/>
      <c r="D244" s="51"/>
      <c r="E244" s="52">
        <f>IF(G244="Y",VLOOKUP(B244&amp;"|"&amp;C244,'[1]ETC Data'!$C$2:$D$16,2,FALSE),0)</f>
        <v>0</v>
      </c>
      <c r="F244" s="52">
        <f>IF(D244="",0,IF(G244="Y",VLOOKUP(B244&amp;"|"&amp;D244,'[1]ETC Data'!$C$2:$D$16,2,FALSE),0))</f>
        <v>0</v>
      </c>
      <c r="G244" s="53" t="str">
        <f>IF(VLOOKUP(A244,[1]Plan!A$1:H$804,8,FALSE)&lt;&gt;"",VLOOKUP(A244,[1]Plan!A$1:H$804,8,FALSE),"")</f>
        <v>N</v>
      </c>
      <c r="H244" s="54" t="str">
        <f>IF(VLOOKUP(A244,[1]Plan!A$1:L$804,12,FALSE)&lt;&gt;"",VLOOKUP(A244,[1]Plan!A$1:L$804,12,FALSE),"")</f>
        <v/>
      </c>
      <c r="I244" s="55" t="str">
        <f>IF(VLOOKUP(A244,[1]Plan!A$1:M$804,13,FALSE)&lt;&gt;"",VLOOKUP(A244,[1]Plan!A$1:M$804,13,FALSE),"")</f>
        <v/>
      </c>
      <c r="J244" s="55" t="str">
        <f>IF(VLOOKUP(A244,[1]Plan!A$1:N$804,14,FALSE)&lt;&gt;"",VLOOKUP(A244,[1]Plan!A$1:N$804,14,FALSE),IF(VLOOKUP(A244,[1]Plan!A$1:O$804,15,FALSE)&lt;&gt;"",VLOOKUP(A244,[1]Plan!A$1:O$804,15,FALSE),""))</f>
        <v/>
      </c>
      <c r="K244" s="56" t="str">
        <f>IF(VLOOKUP(A244,[1]Plan!A$1:P$804,16,FALSE)&lt;&gt;"",VLOOKUP(A244,[1]Plan!A$1:P$804,16,FALSE),"")</f>
        <v/>
      </c>
      <c r="L244" s="55"/>
      <c r="M244" s="55"/>
      <c r="N244" s="55"/>
      <c r="O244" s="57">
        <f>IF(F244=0,E244,F244)</f>
        <v>0</v>
      </c>
      <c r="P244" s="57" t="b">
        <f>OR(H244="Y",I244="Y")</f>
        <v>0</v>
      </c>
      <c r="Q244" s="58">
        <f>IF(P244,O244*'[1]ETC Data'!$H$3*'[1]ETC Data'!$I$3,0)</f>
        <v>0</v>
      </c>
      <c r="R244" s="58">
        <f>Q244-(Q244*((VLOOKUP(A244,[1]Plan!A$1:Z$804,26,FALSE)/100)))</f>
        <v>0</v>
      </c>
      <c r="S244" s="58">
        <f>IF(P244,O244*'[1]ETC Data'!$H$3*'[1]ETC Data'!$J$3,0)</f>
        <v>0</v>
      </c>
      <c r="T244" s="58">
        <f>S244-(S244*((VLOOKUP(A244,[1]Plan!A$1:AA$804,27,FALSE)/100)))</f>
        <v>0</v>
      </c>
      <c r="U244" s="58">
        <f>IF(P244,O244*'[1]ETC Data'!$H$3*'[1]ETC Data'!$K$3,0)</f>
        <v>0</v>
      </c>
      <c r="V244" s="58">
        <f>U244-(U244*((VLOOKUP(A244,[1]Plan!A$1:AB$804,28,FALSE)/100)))</f>
        <v>0</v>
      </c>
      <c r="W244" s="58">
        <f>IF(P244,O244*'[1]ETC Data'!$H$3*'[1]ETC Data'!$L$3,0)</f>
        <v>0</v>
      </c>
      <c r="X244" s="58">
        <f>W244-(W244*((VLOOKUP(A244,[1]Plan!A$1:AC$804,29,FALSE)/100)))</f>
        <v>0</v>
      </c>
      <c r="Y244" s="59"/>
      <c r="Z244" s="60" t="b">
        <f>OR(H244="Y",J244="Y")</f>
        <v>0</v>
      </c>
      <c r="AA244" s="58">
        <f>IF(Z244,O244*'[1]ETC Data'!$H$4*'[1]ETC Data'!$I$4,0)</f>
        <v>0</v>
      </c>
      <c r="AB244" s="58">
        <f>AA244-(AA244*((VLOOKUP(A244,[1]Plan!A$1:AI$804,35,FALSE)/100)))</f>
        <v>0</v>
      </c>
      <c r="AC244" s="58">
        <f>IF(Z244,O244*'[1]ETC Data'!$H$4*'[1]ETC Data'!$J$4,0)</f>
        <v>0</v>
      </c>
      <c r="AD244" s="58">
        <f>AC244-(AC244*((VLOOKUP(A244,[1]Plan!A$1:AJ$804,36,FALSE)/100)))</f>
        <v>0</v>
      </c>
      <c r="AE244" s="58">
        <f>IF(Z244,O244*'[1]ETC Data'!$H$4*'[1]ETC Data'!$K$4,0)</f>
        <v>0</v>
      </c>
      <c r="AF244" s="58">
        <f>AE244-(AE244*((VLOOKUP(A244,[1]Plan!A$1:AK$804,37,FALSE)/100)))</f>
        <v>0</v>
      </c>
      <c r="AG244" s="58">
        <f>IF(Z244,O244*'[1]ETC Data'!$H$4*'[1]ETC Data'!$L$4,0)</f>
        <v>0</v>
      </c>
      <c r="AH244" s="58">
        <f>AG244-(AG244*((VLOOKUP(A244,[1]Plan!A$1:AP$804,42,FALSE)/100)))</f>
        <v>0</v>
      </c>
      <c r="AI244" s="60"/>
      <c r="AJ244" s="60" t="b">
        <f>OR(H244="Y",K244="Y")</f>
        <v>0</v>
      </c>
      <c r="AK244" s="61">
        <f>IF(AJ244,O244*'[1]ETC Data'!$H$5*'[1]ETC Data'!$I$5,0)</f>
        <v>0</v>
      </c>
      <c r="AL244" s="58">
        <f>AK244-(AK244*((VLOOKUP(A244,[1]Plan!A$1:AY$804,51,FALSE)/100)))</f>
        <v>0</v>
      </c>
      <c r="AM244" s="58">
        <f>IF(AJ244,O244*'[1]ETC Data'!$H$5*'[1]ETC Data'!$J$5,0)</f>
        <v>0</v>
      </c>
      <c r="AN244" s="58">
        <f>AM244-(AM244*((VLOOKUP(A244,[1]Plan!A$1:BA$804,53,FALSE)/100)))</f>
        <v>0</v>
      </c>
      <c r="AO244" s="61">
        <f>IF(AJ244,O244*'[1]ETC Data'!$H$5*'[1]ETC Data'!$K$5,0)</f>
        <v>0</v>
      </c>
      <c r="AP244" s="58">
        <f>AO244-(AO244*((VLOOKUP(A244,[1]Plan!A$1:BB$804,54,FALSE)/100)))</f>
        <v>0</v>
      </c>
      <c r="AQ244" s="58">
        <f>IF(AJ244,O244*'[1]ETC Data'!$H$5*'[1]ETC Data'!$L$5,0)</f>
        <v>0</v>
      </c>
      <c r="AR244" s="58">
        <f>AQ244-(AQ244*((VLOOKUP(A244,[1]Plan!A$1:BD$804,56,FALSE)/100)))</f>
        <v>0</v>
      </c>
      <c r="AS244" s="20">
        <f>VLOOKUP(A244,'[1]PR Matrix'!A:B,2,FALSE)</f>
        <v>0</v>
      </c>
      <c r="AT244" s="21">
        <f>R244+T244+V244+X244+AB244+AD244+AF244+AH244+AL244+AN244+AP244+AR244</f>
        <v>0</v>
      </c>
      <c r="AU244" s="21">
        <f>Q244+S244+U244+W244+AA244+AC244+AE244+AG244+AK244+AM244+AO244+AQ244</f>
        <v>0</v>
      </c>
      <c r="AV244" s="21">
        <f>R244+AB244+AL244</f>
        <v>0</v>
      </c>
      <c r="AW244" s="21">
        <f>T244+AD244+AN244</f>
        <v>0</v>
      </c>
      <c r="AX244" s="21">
        <f>V244+AF244+AP244</f>
        <v>0</v>
      </c>
      <c r="AY244" s="21">
        <f>X244+AH244+AR244</f>
        <v>0</v>
      </c>
    </row>
    <row r="245" spans="1:55" hidden="1" x14ac:dyDescent="0.2">
      <c r="A245" s="50" t="s">
        <v>452</v>
      </c>
      <c r="B245" s="51" t="s">
        <v>208</v>
      </c>
      <c r="C245" s="51"/>
      <c r="D245" s="51"/>
      <c r="E245" s="52">
        <f>IF(G245="Y",VLOOKUP(B245&amp;"|"&amp;C245,'[1]ETC Data'!$C$2:$D$16,2,FALSE),0)</f>
        <v>0</v>
      </c>
      <c r="F245" s="52">
        <f>IF(D245="",0,IF(G245="Y",VLOOKUP(B245&amp;"|"&amp;D245,'[1]ETC Data'!$C$2:$D$16,2,FALSE),0))</f>
        <v>0</v>
      </c>
      <c r="G245" s="53" t="str">
        <f>IF(VLOOKUP(A245,[1]Plan!A$1:H$804,8,FALSE)&lt;&gt;"",VLOOKUP(A245,[1]Plan!A$1:H$804,8,FALSE),"")</f>
        <v>N</v>
      </c>
      <c r="H245" s="54" t="str">
        <f>IF(VLOOKUP(A245,[1]Plan!A$1:L$804,12,FALSE)&lt;&gt;"",VLOOKUP(A245,[1]Plan!A$1:L$804,12,FALSE),"")</f>
        <v/>
      </c>
      <c r="I245" s="55" t="str">
        <f>IF(VLOOKUP(A245,[1]Plan!A$1:M$804,13,FALSE)&lt;&gt;"",VLOOKUP(A245,[1]Plan!A$1:M$804,13,FALSE),"")</f>
        <v/>
      </c>
      <c r="J245" s="55" t="str">
        <f>IF(VLOOKUP(A245,[1]Plan!A$1:N$804,14,FALSE)&lt;&gt;"",VLOOKUP(A245,[1]Plan!A$1:N$804,14,FALSE),IF(VLOOKUP(A245,[1]Plan!A$1:O$804,15,FALSE)&lt;&gt;"",VLOOKUP(A245,[1]Plan!A$1:O$804,15,FALSE),""))</f>
        <v/>
      </c>
      <c r="K245" s="56" t="str">
        <f>IF(VLOOKUP(A245,[1]Plan!A$1:P$804,16,FALSE)&lt;&gt;"",VLOOKUP(A245,[1]Plan!A$1:P$804,16,FALSE),"")</f>
        <v/>
      </c>
      <c r="L245" s="55"/>
      <c r="M245" s="55"/>
      <c r="N245" s="55"/>
      <c r="O245" s="57">
        <f>IF(F245=0,E245,F245)</f>
        <v>0</v>
      </c>
      <c r="P245" s="57" t="b">
        <f>OR(H245="Y",I245="Y")</f>
        <v>0</v>
      </c>
      <c r="Q245" s="58">
        <f>IF(P245,O245*'[1]ETC Data'!$H$3*'[1]ETC Data'!$I$3,0)</f>
        <v>0</v>
      </c>
      <c r="R245" s="58">
        <f>Q245-(Q245*((VLOOKUP(A245,[1]Plan!A$1:Z$804,26,FALSE)/100)))</f>
        <v>0</v>
      </c>
      <c r="S245" s="58">
        <f>IF(P245,O245*'[1]ETC Data'!$H$3*'[1]ETC Data'!$J$3,0)</f>
        <v>0</v>
      </c>
      <c r="T245" s="58">
        <f>S245-(S245*((VLOOKUP(A245,[1]Plan!A$1:AA$804,27,FALSE)/100)))</f>
        <v>0</v>
      </c>
      <c r="U245" s="58">
        <f>IF(P245,O245*'[1]ETC Data'!$H$3*'[1]ETC Data'!$K$3,0)</f>
        <v>0</v>
      </c>
      <c r="V245" s="58">
        <f>U245-(U245*((VLOOKUP(A245,[1]Plan!A$1:AB$804,28,FALSE)/100)))</f>
        <v>0</v>
      </c>
      <c r="W245" s="58">
        <f>IF(P245,O245*'[1]ETC Data'!$H$3*'[1]ETC Data'!$L$3,0)</f>
        <v>0</v>
      </c>
      <c r="X245" s="58">
        <f>W245-(W245*((VLOOKUP(A245,[1]Plan!A$1:AC$804,29,FALSE)/100)))</f>
        <v>0</v>
      </c>
      <c r="Y245" s="59"/>
      <c r="Z245" s="60" t="b">
        <f>OR(H245="Y",J245="Y")</f>
        <v>0</v>
      </c>
      <c r="AA245" s="58">
        <f>IF(Z245,O245*'[1]ETC Data'!$H$4*'[1]ETC Data'!$I$4,0)</f>
        <v>0</v>
      </c>
      <c r="AB245" s="58">
        <f>AA245-(AA245*((VLOOKUP(A245,[1]Plan!A$1:AI$804,35,FALSE)/100)))</f>
        <v>0</v>
      </c>
      <c r="AC245" s="58">
        <f>IF(Z245,O245*'[1]ETC Data'!$H$4*'[1]ETC Data'!$J$4,0)</f>
        <v>0</v>
      </c>
      <c r="AD245" s="58">
        <f>AC245-(AC245*((VLOOKUP(A245,[1]Plan!A$1:AJ$804,36,FALSE)/100)))</f>
        <v>0</v>
      </c>
      <c r="AE245" s="58">
        <f>IF(Z245,O245*'[1]ETC Data'!$H$4*'[1]ETC Data'!$K$4,0)</f>
        <v>0</v>
      </c>
      <c r="AF245" s="58">
        <f>AE245-(AE245*((VLOOKUP(A245,[1]Plan!A$1:AK$804,37,FALSE)/100)))</f>
        <v>0</v>
      </c>
      <c r="AG245" s="58">
        <f>IF(Z245,O245*'[1]ETC Data'!$H$4*'[1]ETC Data'!$L$4,0)</f>
        <v>0</v>
      </c>
      <c r="AH245" s="58">
        <f>AG245-(AG245*((VLOOKUP(A245,[1]Plan!A$1:AP$804,42,FALSE)/100)))</f>
        <v>0</v>
      </c>
      <c r="AI245" s="60"/>
      <c r="AJ245" s="60" t="b">
        <f>OR(H245="Y",K245="Y")</f>
        <v>0</v>
      </c>
      <c r="AK245" s="61">
        <f>IF(AJ245,O245*'[1]ETC Data'!$H$5*'[1]ETC Data'!$I$5,0)</f>
        <v>0</v>
      </c>
      <c r="AL245" s="58">
        <f>AK245-(AK245*((VLOOKUP(A245,[1]Plan!A$1:AY$804,51,FALSE)/100)))</f>
        <v>0</v>
      </c>
      <c r="AM245" s="58">
        <f>IF(AJ245,O245*'[1]ETC Data'!$H$5*'[1]ETC Data'!$J$5,0)</f>
        <v>0</v>
      </c>
      <c r="AN245" s="58">
        <f>AM245-(AM245*((VLOOKUP(A245,[1]Plan!A$1:BA$804,53,FALSE)/100)))</f>
        <v>0</v>
      </c>
      <c r="AO245" s="61">
        <f>IF(AJ245,O245*'[1]ETC Data'!$H$5*'[1]ETC Data'!$K$5,0)</f>
        <v>0</v>
      </c>
      <c r="AP245" s="58">
        <f>AO245-(AO245*((VLOOKUP(A245,[1]Plan!A$1:BB$804,54,FALSE)/100)))</f>
        <v>0</v>
      </c>
      <c r="AQ245" s="58">
        <f>IF(AJ245,O245*'[1]ETC Data'!$H$5*'[1]ETC Data'!$L$5,0)</f>
        <v>0</v>
      </c>
      <c r="AR245" s="58">
        <f>AQ245-(AQ245*((VLOOKUP(A245,[1]Plan!A$1:BD$804,56,FALSE)/100)))</f>
        <v>0</v>
      </c>
      <c r="AS245" s="20">
        <f>VLOOKUP(A245,'[1]PR Matrix'!A:B,2,FALSE)</f>
        <v>0</v>
      </c>
      <c r="AT245" s="21">
        <f>R245+T245+V245+X245+AB245+AD245+AF245+AH245+AL245+AN245+AP245+AR245</f>
        <v>0</v>
      </c>
      <c r="AU245" s="21">
        <f>Q245+S245+U245+W245+AA245+AC245+AE245+AG245+AK245+AM245+AO245+AQ245</f>
        <v>0</v>
      </c>
      <c r="AV245" s="21">
        <f>R245+AB245+AL245</f>
        <v>0</v>
      </c>
      <c r="AW245" s="21">
        <f>T245+AD245+AN245</f>
        <v>0</v>
      </c>
      <c r="AX245" s="21">
        <f>V245+AF245+AP245</f>
        <v>0</v>
      </c>
      <c r="AY245" s="21">
        <f>X245+AH245+AR245</f>
        <v>0</v>
      </c>
    </row>
    <row r="246" spans="1:55" hidden="1" x14ac:dyDescent="0.2">
      <c r="A246" s="50" t="s">
        <v>453</v>
      </c>
      <c r="B246" s="51" t="s">
        <v>209</v>
      </c>
      <c r="C246" s="51"/>
      <c r="D246" s="51"/>
      <c r="E246" s="52">
        <f>IF(G246="Y",VLOOKUP(B246&amp;"|"&amp;C246,'[1]ETC Data'!$C$2:$D$16,2,FALSE),0)</f>
        <v>0</v>
      </c>
      <c r="F246" s="52">
        <f>IF(D246="",0,IF(G246="Y",VLOOKUP(B246&amp;"|"&amp;D246,'[1]ETC Data'!$C$2:$D$16,2,FALSE),0))</f>
        <v>0</v>
      </c>
      <c r="G246" s="53" t="str">
        <f>IF(VLOOKUP(A246,[1]Plan!A$1:H$804,8,FALSE)&lt;&gt;"",VLOOKUP(A246,[1]Plan!A$1:H$804,8,FALSE),"")</f>
        <v>N</v>
      </c>
      <c r="H246" s="54" t="str">
        <f>IF(VLOOKUP(A246,[1]Plan!A$1:L$804,12,FALSE)&lt;&gt;"",VLOOKUP(A246,[1]Plan!A$1:L$804,12,FALSE),"")</f>
        <v/>
      </c>
      <c r="I246" s="55" t="str">
        <f>IF(VLOOKUP(A246,[1]Plan!A$1:M$804,13,FALSE)&lt;&gt;"",VLOOKUP(A246,[1]Plan!A$1:M$804,13,FALSE),"")</f>
        <v/>
      </c>
      <c r="J246" s="55" t="str">
        <f>IF(VLOOKUP(A246,[1]Plan!A$1:N$804,14,FALSE)&lt;&gt;"",VLOOKUP(A246,[1]Plan!A$1:N$804,14,FALSE),IF(VLOOKUP(A246,[1]Plan!A$1:O$804,15,FALSE)&lt;&gt;"",VLOOKUP(A246,[1]Plan!A$1:O$804,15,FALSE),""))</f>
        <v/>
      </c>
      <c r="K246" s="56" t="str">
        <f>IF(VLOOKUP(A246,[1]Plan!A$1:P$804,16,FALSE)&lt;&gt;"",VLOOKUP(A246,[1]Plan!A$1:P$804,16,FALSE),"")</f>
        <v/>
      </c>
      <c r="L246" s="55"/>
      <c r="M246" s="55"/>
      <c r="N246" s="55"/>
      <c r="O246" s="57">
        <f>IF(F246=0,E246,F246)</f>
        <v>0</v>
      </c>
      <c r="P246" s="57" t="b">
        <f>OR(H246="Y",I246="Y")</f>
        <v>0</v>
      </c>
      <c r="Q246" s="58">
        <f>IF(P246,O246*'[1]ETC Data'!$H$3*'[1]ETC Data'!$I$3,0)</f>
        <v>0</v>
      </c>
      <c r="R246" s="58">
        <f>Q246-(Q246*((VLOOKUP(A246,[1]Plan!A$1:Z$804,26,FALSE)/100)))</f>
        <v>0</v>
      </c>
      <c r="S246" s="58">
        <f>IF(P246,O246*'[1]ETC Data'!$H$3*'[1]ETC Data'!$J$3,0)</f>
        <v>0</v>
      </c>
      <c r="T246" s="58">
        <f>S246-(S246*((VLOOKUP(A246,[1]Plan!A$1:AA$804,27,FALSE)/100)))</f>
        <v>0</v>
      </c>
      <c r="U246" s="58">
        <f>IF(P246,O246*'[1]ETC Data'!$H$3*'[1]ETC Data'!$K$3,0)</f>
        <v>0</v>
      </c>
      <c r="V246" s="58">
        <f>U246-(U246*((VLOOKUP(A246,[1]Plan!A$1:AB$804,28,FALSE)/100)))</f>
        <v>0</v>
      </c>
      <c r="W246" s="58">
        <f>IF(P246,O246*'[1]ETC Data'!$H$3*'[1]ETC Data'!$L$3,0)</f>
        <v>0</v>
      </c>
      <c r="X246" s="58">
        <f>W246-(W246*((VLOOKUP(A246,[1]Plan!A$1:AC$804,29,FALSE)/100)))</f>
        <v>0</v>
      </c>
      <c r="Y246" s="59"/>
      <c r="Z246" s="60" t="b">
        <f>OR(H246="Y",J246="Y")</f>
        <v>0</v>
      </c>
      <c r="AA246" s="58">
        <f>IF(Z246,O246*'[1]ETC Data'!$H$4*'[1]ETC Data'!$I$4,0)</f>
        <v>0</v>
      </c>
      <c r="AB246" s="58">
        <f>AA246-(AA246*((VLOOKUP(A246,[1]Plan!A$1:AI$804,35,FALSE)/100)))</f>
        <v>0</v>
      </c>
      <c r="AC246" s="58">
        <f>IF(Z246,O246*'[1]ETC Data'!$H$4*'[1]ETC Data'!$J$4,0)</f>
        <v>0</v>
      </c>
      <c r="AD246" s="58">
        <f>AC246-(AC246*((VLOOKUP(A246,[1]Plan!A$1:AJ$804,36,FALSE)/100)))</f>
        <v>0</v>
      </c>
      <c r="AE246" s="58">
        <f>IF(Z246,O246*'[1]ETC Data'!$H$4*'[1]ETC Data'!$K$4,0)</f>
        <v>0</v>
      </c>
      <c r="AF246" s="58">
        <f>AE246-(AE246*((VLOOKUP(A246,[1]Plan!A$1:AK$804,37,FALSE)/100)))</f>
        <v>0</v>
      </c>
      <c r="AG246" s="58">
        <f>IF(Z246,O246*'[1]ETC Data'!$H$4*'[1]ETC Data'!$L$4,0)</f>
        <v>0</v>
      </c>
      <c r="AH246" s="58">
        <f>AG246-(AG246*((VLOOKUP(A246,[1]Plan!A$1:AP$804,42,FALSE)/100)))</f>
        <v>0</v>
      </c>
      <c r="AI246" s="60"/>
      <c r="AJ246" s="60" t="b">
        <f>OR(H246="Y",K246="Y")</f>
        <v>0</v>
      </c>
      <c r="AK246" s="61">
        <f>IF(AJ246,O246*'[1]ETC Data'!$H$5*'[1]ETC Data'!$I$5,0)</f>
        <v>0</v>
      </c>
      <c r="AL246" s="58">
        <f>AK246-(AK246*((VLOOKUP(A246,[1]Plan!A$1:AY$804,51,FALSE)/100)))</f>
        <v>0</v>
      </c>
      <c r="AM246" s="58">
        <f>IF(AJ246,O246*'[1]ETC Data'!$H$5*'[1]ETC Data'!$J$5,0)</f>
        <v>0</v>
      </c>
      <c r="AN246" s="58">
        <f>AM246-(AM246*((VLOOKUP(A246,[1]Plan!A$1:BA$804,53,FALSE)/100)))</f>
        <v>0</v>
      </c>
      <c r="AO246" s="61">
        <f>IF(AJ246,O246*'[1]ETC Data'!$H$5*'[1]ETC Data'!$K$5,0)</f>
        <v>0</v>
      </c>
      <c r="AP246" s="58">
        <f>AO246-(AO246*((VLOOKUP(A246,[1]Plan!A$1:BB$804,54,FALSE)/100)))</f>
        <v>0</v>
      </c>
      <c r="AQ246" s="58">
        <f>IF(AJ246,O246*'[1]ETC Data'!$H$5*'[1]ETC Data'!$L$5,0)</f>
        <v>0</v>
      </c>
      <c r="AR246" s="58">
        <f>AQ246-(AQ246*((VLOOKUP(A246,[1]Plan!A$1:BD$804,56,FALSE)/100)))</f>
        <v>0</v>
      </c>
      <c r="AS246" s="20">
        <f>VLOOKUP(A246,'[1]PR Matrix'!A:B,2,FALSE)</f>
        <v>0</v>
      </c>
      <c r="AT246" s="21">
        <f>R246+T246+V246+X246+AB246+AD246+AF246+AH246+AL246+AN246+AP246+AR246</f>
        <v>0</v>
      </c>
      <c r="AU246" s="21">
        <f>Q246+S246+U246+W246+AA246+AC246+AE246+AG246+AK246+AM246+AO246+AQ246</f>
        <v>0</v>
      </c>
      <c r="AV246" s="21">
        <f>R246+AB246+AL246</f>
        <v>0</v>
      </c>
      <c r="AW246" s="21">
        <f>T246+AD246+AN246</f>
        <v>0</v>
      </c>
      <c r="AX246" s="21">
        <f>V246+AF246+AP246</f>
        <v>0</v>
      </c>
      <c r="AY246" s="21">
        <f>X246+AH246+AR246</f>
        <v>0</v>
      </c>
    </row>
    <row r="247" spans="1:55" hidden="1" x14ac:dyDescent="0.2">
      <c r="A247" s="50" t="s">
        <v>454</v>
      </c>
      <c r="B247" s="51" t="s">
        <v>258</v>
      </c>
      <c r="C247" s="51"/>
      <c r="D247" s="51"/>
      <c r="E247" s="52">
        <f>IF(G247="Y",VLOOKUP(B247&amp;"|"&amp;C247,'[1]ETC Data'!$C$2:$D$16,2,FALSE),0)</f>
        <v>0</v>
      </c>
      <c r="F247" s="52">
        <f>IF(D247="",0,IF(G247="Y",VLOOKUP(B247&amp;"|"&amp;D247,'[1]ETC Data'!$C$2:$D$16,2,FALSE),0))</f>
        <v>0</v>
      </c>
      <c r="G247" s="53" t="str">
        <f>IF(VLOOKUP(A247,[1]Plan!A$1:H$804,8,FALSE)&lt;&gt;"",VLOOKUP(A247,[1]Plan!A$1:H$804,8,FALSE),"")</f>
        <v>N</v>
      </c>
      <c r="H247" s="54" t="str">
        <f>IF(VLOOKUP(A247,[1]Plan!A$1:L$804,12,FALSE)&lt;&gt;"",VLOOKUP(A247,[1]Plan!A$1:L$804,12,FALSE),"")</f>
        <v/>
      </c>
      <c r="I247" s="55" t="str">
        <f>IF(VLOOKUP(A247,[1]Plan!A$1:M$804,13,FALSE)&lt;&gt;"",VLOOKUP(A247,[1]Plan!A$1:M$804,13,FALSE),"")</f>
        <v>Y</v>
      </c>
      <c r="J247" s="55" t="str">
        <f>IF(VLOOKUP(A247,[1]Plan!A$1:N$804,14,FALSE)&lt;&gt;"",VLOOKUP(A247,[1]Plan!A$1:N$804,14,FALSE),IF(VLOOKUP(A247,[1]Plan!A$1:O$804,15,FALSE)&lt;&gt;"",VLOOKUP(A247,[1]Plan!A$1:O$804,15,FALSE),""))</f>
        <v>Y</v>
      </c>
      <c r="K247" s="56" t="str">
        <f>IF(VLOOKUP(A247,[1]Plan!A$1:P$804,16,FALSE)&lt;&gt;"",VLOOKUP(A247,[1]Plan!A$1:P$804,16,FALSE),"")</f>
        <v>Y</v>
      </c>
      <c r="L247" s="55"/>
      <c r="M247" s="55"/>
      <c r="N247" s="55"/>
      <c r="O247" s="57">
        <f>IF(F247=0,E247,F247)</f>
        <v>0</v>
      </c>
      <c r="P247" s="57" t="b">
        <f>OR(H247="Y",I247="Y")</f>
        <v>1</v>
      </c>
      <c r="Q247" s="58">
        <f>IF(P247,O247*'[1]ETC Data'!$H$3*'[1]ETC Data'!$I$3,0)</f>
        <v>0</v>
      </c>
      <c r="R247" s="58">
        <f>Q247-(Q247*((VLOOKUP(A247,[1]Plan!A$1:Z$804,26,FALSE)/100)))</f>
        <v>0</v>
      </c>
      <c r="S247" s="58">
        <f>IF(P247,O247*'[1]ETC Data'!$H$3*'[1]ETC Data'!$J$3,0)</f>
        <v>0</v>
      </c>
      <c r="T247" s="58">
        <f>S247-(S247*((VLOOKUP(A247,[1]Plan!A$1:AA$804,27,FALSE)/100)))</f>
        <v>0</v>
      </c>
      <c r="U247" s="58">
        <f>IF(P247,O247*'[1]ETC Data'!$H$3*'[1]ETC Data'!$K$3,0)</f>
        <v>0</v>
      </c>
      <c r="V247" s="58">
        <f>U247-(U247*((VLOOKUP(A247,[1]Plan!A$1:AB$804,28,FALSE)/100)))</f>
        <v>0</v>
      </c>
      <c r="W247" s="58">
        <f>IF(P247,O247*'[1]ETC Data'!$H$3*'[1]ETC Data'!$L$3,0)</f>
        <v>0</v>
      </c>
      <c r="X247" s="58">
        <f>W247-(W247*((VLOOKUP(A247,[1]Plan!A$1:AC$804,29,FALSE)/100)))</f>
        <v>0</v>
      </c>
      <c r="Y247" s="59"/>
      <c r="Z247" s="60" t="b">
        <f>OR(H247="Y",J247="Y")</f>
        <v>1</v>
      </c>
      <c r="AA247" s="58">
        <f>IF(Z247,O247*'[1]ETC Data'!$H$4*'[1]ETC Data'!$I$4,0)</f>
        <v>0</v>
      </c>
      <c r="AB247" s="58">
        <f>AA247-(AA247*((VLOOKUP(A247,[1]Plan!A$1:AI$804,35,FALSE)/100)))</f>
        <v>0</v>
      </c>
      <c r="AC247" s="58">
        <f>IF(Z247,O247*'[1]ETC Data'!$H$4*'[1]ETC Data'!$J$4,0)</f>
        <v>0</v>
      </c>
      <c r="AD247" s="58">
        <f>AC247-(AC247*((VLOOKUP(A247,[1]Plan!A$1:AJ$804,36,FALSE)/100)))</f>
        <v>0</v>
      </c>
      <c r="AE247" s="58">
        <f>IF(Z247,O247*'[1]ETC Data'!$H$4*'[1]ETC Data'!$K$4,0)</f>
        <v>0</v>
      </c>
      <c r="AF247" s="58">
        <f>AE247-(AE247*((VLOOKUP(A247,[1]Plan!A$1:AK$804,37,FALSE)/100)))</f>
        <v>0</v>
      </c>
      <c r="AG247" s="58">
        <f>IF(Z247,O247*'[1]ETC Data'!$H$4*'[1]ETC Data'!$L$4,0)</f>
        <v>0</v>
      </c>
      <c r="AH247" s="58">
        <f>AG247-(AG247*((VLOOKUP(A247,[1]Plan!A$1:AP$804,42,FALSE)/100)))</f>
        <v>0</v>
      </c>
      <c r="AI247" s="60"/>
      <c r="AJ247" s="60" t="b">
        <f>OR(H247="Y",K247="Y")</f>
        <v>1</v>
      </c>
      <c r="AK247" s="61">
        <f>IF(AJ247,O247*'[1]ETC Data'!$H$5*'[1]ETC Data'!$I$5,0)</f>
        <v>0</v>
      </c>
      <c r="AL247" s="58">
        <f>AK247-(AK247*((VLOOKUP(A247,[1]Plan!A$1:AY$804,51,FALSE)/100)))</f>
        <v>0</v>
      </c>
      <c r="AM247" s="58">
        <f>IF(AJ247,O247*'[1]ETC Data'!$H$5*'[1]ETC Data'!$J$5,0)</f>
        <v>0</v>
      </c>
      <c r="AN247" s="58">
        <f>AM247-(AM247*((VLOOKUP(A247,[1]Plan!A$1:BA$804,53,FALSE)/100)))</f>
        <v>0</v>
      </c>
      <c r="AO247" s="61">
        <f>IF(AJ247,O247*'[1]ETC Data'!$H$5*'[1]ETC Data'!$K$5,0)</f>
        <v>0</v>
      </c>
      <c r="AP247" s="58">
        <f>AO247-(AO247*((VLOOKUP(A247,[1]Plan!A$1:BB$804,54,FALSE)/100)))</f>
        <v>0</v>
      </c>
      <c r="AQ247" s="58">
        <f>IF(AJ247,O247*'[1]ETC Data'!$H$5*'[1]ETC Data'!$L$5,0)</f>
        <v>0</v>
      </c>
      <c r="AR247" s="58">
        <f>AQ247-(AQ247*((VLOOKUP(A247,[1]Plan!A$1:BD$804,56,FALSE)/100)))</f>
        <v>0</v>
      </c>
      <c r="AS247" s="20">
        <f>VLOOKUP(A247,'[1]PR Matrix'!A:B,2,FALSE)</f>
        <v>0</v>
      </c>
      <c r="AT247" s="21">
        <f>R247+T247+V247+X247+AB247+AD247+AF247+AH247+AL247+AN247+AP247+AR247</f>
        <v>0</v>
      </c>
      <c r="AU247" s="21">
        <f>Q247+S247+U247+W247+AA247+AC247+AE247+AG247+AK247+AM247+AO247+AQ247</f>
        <v>0</v>
      </c>
      <c r="AV247" s="21">
        <f>R247+AB247+AL247</f>
        <v>0</v>
      </c>
      <c r="AW247" s="21">
        <f>T247+AD247+AN247</f>
        <v>0</v>
      </c>
      <c r="AX247" s="21">
        <f>V247+AF247+AP247</f>
        <v>0</v>
      </c>
      <c r="AY247" s="21">
        <f>X247+AH247+AR247</f>
        <v>0</v>
      </c>
    </row>
    <row r="248" spans="1:55" hidden="1" x14ac:dyDescent="0.2">
      <c r="A248" s="50" t="s">
        <v>455</v>
      </c>
      <c r="B248" s="51" t="s">
        <v>258</v>
      </c>
      <c r="C248" s="51"/>
      <c r="D248" s="51"/>
      <c r="E248" s="52">
        <f>IF(G248="Y",VLOOKUP(B248&amp;"|"&amp;C248,'[1]ETC Data'!$C$2:$D$16,2,FALSE),0)</f>
        <v>0</v>
      </c>
      <c r="F248" s="52">
        <f>IF(D248="",0,IF(G248="Y",VLOOKUP(B248&amp;"|"&amp;D248,'[1]ETC Data'!$C$2:$D$16,2,FALSE),0))</f>
        <v>0</v>
      </c>
      <c r="G248" s="53" t="str">
        <f>IF(VLOOKUP(A248,[1]Plan!A$1:H$804,8,FALSE)&lt;&gt;"",VLOOKUP(A248,[1]Plan!A$1:H$804,8,FALSE),"")</f>
        <v>N</v>
      </c>
      <c r="H248" s="54" t="str">
        <f>IF(VLOOKUP(A248,[1]Plan!A$1:L$804,12,FALSE)&lt;&gt;"",VLOOKUP(A248,[1]Plan!A$1:L$804,12,FALSE),"")</f>
        <v/>
      </c>
      <c r="I248" s="55" t="str">
        <f>IF(VLOOKUP(A248,[1]Plan!A$1:M$804,13,FALSE)&lt;&gt;"",VLOOKUP(A248,[1]Plan!A$1:M$804,13,FALSE),"")</f>
        <v/>
      </c>
      <c r="J248" s="55" t="str">
        <f>IF(VLOOKUP(A248,[1]Plan!A$1:N$804,14,FALSE)&lt;&gt;"",VLOOKUP(A248,[1]Plan!A$1:N$804,14,FALSE),IF(VLOOKUP(A248,[1]Plan!A$1:O$804,15,FALSE)&lt;&gt;"",VLOOKUP(A248,[1]Plan!A$1:O$804,15,FALSE),""))</f>
        <v/>
      </c>
      <c r="K248" s="56" t="str">
        <f>IF(VLOOKUP(A248,[1]Plan!A$1:P$804,16,FALSE)&lt;&gt;"",VLOOKUP(A248,[1]Plan!A$1:P$804,16,FALSE),"")</f>
        <v/>
      </c>
      <c r="L248" s="55"/>
      <c r="M248" s="55"/>
      <c r="N248" s="55"/>
      <c r="O248" s="57">
        <f>IF(F248=0,E248,F248)</f>
        <v>0</v>
      </c>
      <c r="P248" s="57" t="b">
        <f>OR(H248="Y",I248="Y")</f>
        <v>0</v>
      </c>
      <c r="Q248" s="58">
        <f>IF(P248,O248*'[1]ETC Data'!$H$3*'[1]ETC Data'!$I$3,0)</f>
        <v>0</v>
      </c>
      <c r="R248" s="58">
        <f>Q248-(Q248*((VLOOKUP(A248,[1]Plan!A$1:Z$804,26,FALSE)/100)))</f>
        <v>0</v>
      </c>
      <c r="S248" s="58">
        <f>IF(P248,O248*'[1]ETC Data'!$H$3*'[1]ETC Data'!$J$3,0)</f>
        <v>0</v>
      </c>
      <c r="T248" s="58">
        <f>S248-(S248*((VLOOKUP(A248,[1]Plan!A$1:AA$804,27,FALSE)/100)))</f>
        <v>0</v>
      </c>
      <c r="U248" s="58">
        <f>IF(P248,O248*'[1]ETC Data'!$H$3*'[1]ETC Data'!$K$3,0)</f>
        <v>0</v>
      </c>
      <c r="V248" s="58">
        <f>U248-(U248*((VLOOKUP(A248,[1]Plan!A$1:AB$804,28,FALSE)/100)))</f>
        <v>0</v>
      </c>
      <c r="W248" s="58">
        <f>IF(P248,O248*'[1]ETC Data'!$H$3*'[1]ETC Data'!$L$3,0)</f>
        <v>0</v>
      </c>
      <c r="X248" s="58">
        <f>W248-(W248*((VLOOKUP(A248,[1]Plan!A$1:AC$804,29,FALSE)/100)))</f>
        <v>0</v>
      </c>
      <c r="Y248" s="59"/>
      <c r="Z248" s="60" t="b">
        <f>OR(H248="Y",J248="Y")</f>
        <v>0</v>
      </c>
      <c r="AA248" s="58">
        <f>IF(Z248,O248*'[1]ETC Data'!$H$4*'[1]ETC Data'!$I$4,0)</f>
        <v>0</v>
      </c>
      <c r="AB248" s="58">
        <f>AA248-(AA248*((VLOOKUP(A248,[1]Plan!A$1:AI$804,35,FALSE)/100)))</f>
        <v>0</v>
      </c>
      <c r="AC248" s="58">
        <f>IF(Z248,O248*'[1]ETC Data'!$H$4*'[1]ETC Data'!$J$4,0)</f>
        <v>0</v>
      </c>
      <c r="AD248" s="58">
        <f>AC248-(AC248*((VLOOKUP(A248,[1]Plan!A$1:AJ$804,36,FALSE)/100)))</f>
        <v>0</v>
      </c>
      <c r="AE248" s="58">
        <f>IF(Z248,O248*'[1]ETC Data'!$H$4*'[1]ETC Data'!$K$4,0)</f>
        <v>0</v>
      </c>
      <c r="AF248" s="58">
        <f>AE248-(AE248*((VLOOKUP(A248,[1]Plan!A$1:AK$804,37,FALSE)/100)))</f>
        <v>0</v>
      </c>
      <c r="AG248" s="58">
        <f>IF(Z248,O248*'[1]ETC Data'!$H$4*'[1]ETC Data'!$L$4,0)</f>
        <v>0</v>
      </c>
      <c r="AH248" s="58">
        <f>AG248-(AG248*((VLOOKUP(A248,[1]Plan!A$1:AP$804,42,FALSE)/100)))</f>
        <v>0</v>
      </c>
      <c r="AI248" s="60"/>
      <c r="AJ248" s="60" t="b">
        <f>OR(H248="Y",K248="Y")</f>
        <v>0</v>
      </c>
      <c r="AK248" s="61">
        <f>IF(AJ248,O248*'[1]ETC Data'!$H$5*'[1]ETC Data'!$I$5,0)</f>
        <v>0</v>
      </c>
      <c r="AL248" s="58">
        <f>AK248-(AK248*((VLOOKUP(A248,[1]Plan!A$1:AY$804,51,FALSE)/100)))</f>
        <v>0</v>
      </c>
      <c r="AM248" s="58">
        <f>IF(AJ248,O248*'[1]ETC Data'!$H$5*'[1]ETC Data'!$J$5,0)</f>
        <v>0</v>
      </c>
      <c r="AN248" s="58">
        <f>AM248-(AM248*((VLOOKUP(A248,[1]Plan!A$1:BA$804,53,FALSE)/100)))</f>
        <v>0</v>
      </c>
      <c r="AO248" s="61">
        <f>IF(AJ248,O248*'[1]ETC Data'!$H$5*'[1]ETC Data'!$K$5,0)</f>
        <v>0</v>
      </c>
      <c r="AP248" s="58">
        <f>AO248-(AO248*((VLOOKUP(A248,[1]Plan!A$1:BB$804,54,FALSE)/100)))</f>
        <v>0</v>
      </c>
      <c r="AQ248" s="58">
        <f>IF(AJ248,O248*'[1]ETC Data'!$H$5*'[1]ETC Data'!$L$5,0)</f>
        <v>0</v>
      </c>
      <c r="AR248" s="58">
        <f>AQ248-(AQ248*((VLOOKUP(A248,[1]Plan!A$1:BD$804,56,FALSE)/100)))</f>
        <v>0</v>
      </c>
      <c r="AS248" s="20">
        <f>VLOOKUP(A248,'[1]PR Matrix'!A:B,2,FALSE)</f>
        <v>0</v>
      </c>
      <c r="AT248" s="21">
        <f>R248+T248+V248+X248+AB248+AD248+AF248+AH248+AL248+AN248+AP248+AR248</f>
        <v>0</v>
      </c>
      <c r="AU248" s="21">
        <f>Q248+S248+U248+W248+AA248+AC248+AE248+AG248+AK248+AM248+AO248+AQ248</f>
        <v>0</v>
      </c>
      <c r="AV248" s="21">
        <f>R248+AB248+AL248</f>
        <v>0</v>
      </c>
      <c r="AW248" s="21">
        <f>T248+AD248+AN248</f>
        <v>0</v>
      </c>
      <c r="AX248" s="21">
        <f>V248+AF248+AP248</f>
        <v>0</v>
      </c>
      <c r="AY248" s="21">
        <f>X248+AH248+AR248</f>
        <v>0</v>
      </c>
      <c r="AZ248" s="64"/>
      <c r="BA248" s="64"/>
      <c r="BB248" s="64"/>
      <c r="BC248" s="64"/>
    </row>
    <row r="249" spans="1:55" hidden="1" x14ac:dyDescent="0.2">
      <c r="A249" s="50" t="s">
        <v>456</v>
      </c>
      <c r="B249" s="51" t="s">
        <v>208</v>
      </c>
      <c r="C249" s="51"/>
      <c r="D249" s="51"/>
      <c r="E249" s="52">
        <f>IF(G249="Y",VLOOKUP(B249&amp;"|"&amp;C249,'[1]ETC Data'!$C$2:$D$16,2,FALSE),0)</f>
        <v>0</v>
      </c>
      <c r="F249" s="52">
        <f>IF(D249="",0,IF(G249="Y",VLOOKUP(B249&amp;"|"&amp;D249,'[1]ETC Data'!$C$2:$D$16,2,FALSE),0))</f>
        <v>0</v>
      </c>
      <c r="G249" s="53" t="str">
        <f>IF(VLOOKUP(A249,[1]Plan!A$1:H$804,8,FALSE)&lt;&gt;"",VLOOKUP(A249,[1]Plan!A$1:H$804,8,FALSE),"")</f>
        <v>N</v>
      </c>
      <c r="H249" s="54" t="str">
        <f>IF(VLOOKUP(A249,[1]Plan!A$1:L$804,12,FALSE)&lt;&gt;"",VLOOKUP(A249,[1]Plan!A$1:L$804,12,FALSE),"")</f>
        <v/>
      </c>
      <c r="I249" s="55" t="str">
        <f>IF(VLOOKUP(A249,[1]Plan!A$1:M$804,13,FALSE)&lt;&gt;"",VLOOKUP(A249,[1]Plan!A$1:M$804,13,FALSE),"")</f>
        <v/>
      </c>
      <c r="J249" s="55" t="str">
        <f>IF(VLOOKUP(A249,[1]Plan!A$1:N$804,14,FALSE)&lt;&gt;"",VLOOKUP(A249,[1]Plan!A$1:N$804,14,FALSE),IF(VLOOKUP(A249,[1]Plan!A$1:O$804,15,FALSE)&lt;&gt;"",VLOOKUP(A249,[1]Plan!A$1:O$804,15,FALSE),""))</f>
        <v/>
      </c>
      <c r="K249" s="56" t="str">
        <f>IF(VLOOKUP(A249,[1]Plan!A$1:P$804,16,FALSE)&lt;&gt;"",VLOOKUP(A249,[1]Plan!A$1:P$804,16,FALSE),"")</f>
        <v/>
      </c>
      <c r="L249" s="55"/>
      <c r="M249" s="55"/>
      <c r="N249" s="55"/>
      <c r="O249" s="57">
        <f>IF(F249=0,E249,F249)</f>
        <v>0</v>
      </c>
      <c r="P249" s="57" t="b">
        <f>OR(H249="Y",I249="Y")</f>
        <v>0</v>
      </c>
      <c r="Q249" s="58">
        <f>IF(P249,O249*'[1]ETC Data'!$H$3*'[1]ETC Data'!$I$3,0)</f>
        <v>0</v>
      </c>
      <c r="R249" s="58">
        <f>Q249-(Q249*((VLOOKUP(A249,[1]Plan!A$1:Z$804,26,FALSE)/100)))</f>
        <v>0</v>
      </c>
      <c r="S249" s="58">
        <f>IF(P249,O249*'[1]ETC Data'!$H$3*'[1]ETC Data'!$J$3,0)</f>
        <v>0</v>
      </c>
      <c r="T249" s="58">
        <f>S249-(S249*((VLOOKUP(A249,[1]Plan!A$1:AA$804,27,FALSE)/100)))</f>
        <v>0</v>
      </c>
      <c r="U249" s="58">
        <f>IF(P249,O249*'[1]ETC Data'!$H$3*'[1]ETC Data'!$K$3,0)</f>
        <v>0</v>
      </c>
      <c r="V249" s="58">
        <f>U249-(U249*((VLOOKUP(A249,[1]Plan!A$1:AB$804,28,FALSE)/100)))</f>
        <v>0</v>
      </c>
      <c r="W249" s="58">
        <f>IF(P249,O249*'[1]ETC Data'!$H$3*'[1]ETC Data'!$L$3,0)</f>
        <v>0</v>
      </c>
      <c r="X249" s="58">
        <f>W249-(W249*((VLOOKUP(A249,[1]Plan!A$1:AC$804,29,FALSE)/100)))</f>
        <v>0</v>
      </c>
      <c r="Y249" s="59"/>
      <c r="Z249" s="60" t="b">
        <f>OR(H249="Y",J249="Y")</f>
        <v>0</v>
      </c>
      <c r="AA249" s="58">
        <f>IF(Z249,O249*'[1]ETC Data'!$H$4*'[1]ETC Data'!$I$4,0)</f>
        <v>0</v>
      </c>
      <c r="AB249" s="58">
        <f>AA249-(AA249*((VLOOKUP(A249,[1]Plan!A$1:AI$804,35,FALSE)/100)))</f>
        <v>0</v>
      </c>
      <c r="AC249" s="58">
        <f>IF(Z249,O249*'[1]ETC Data'!$H$4*'[1]ETC Data'!$J$4,0)</f>
        <v>0</v>
      </c>
      <c r="AD249" s="58">
        <f>AC249-(AC249*((VLOOKUP(A249,[1]Plan!A$1:AJ$804,36,FALSE)/100)))</f>
        <v>0</v>
      </c>
      <c r="AE249" s="58">
        <f>IF(Z249,O249*'[1]ETC Data'!$H$4*'[1]ETC Data'!$K$4,0)</f>
        <v>0</v>
      </c>
      <c r="AF249" s="58">
        <f>AE249-(AE249*((VLOOKUP(A249,[1]Plan!A$1:AK$804,37,FALSE)/100)))</f>
        <v>0</v>
      </c>
      <c r="AG249" s="58">
        <f>IF(Z249,O249*'[1]ETC Data'!$H$4*'[1]ETC Data'!$L$4,0)</f>
        <v>0</v>
      </c>
      <c r="AH249" s="58">
        <f>AG249-(AG249*((VLOOKUP(A249,[1]Plan!A$1:AP$804,42,FALSE)/100)))</f>
        <v>0</v>
      </c>
      <c r="AI249" s="60"/>
      <c r="AJ249" s="60" t="b">
        <f>OR(H249="Y",K249="Y")</f>
        <v>0</v>
      </c>
      <c r="AK249" s="61">
        <f>IF(AJ249,O249*'[1]ETC Data'!$H$5*'[1]ETC Data'!$I$5,0)</f>
        <v>0</v>
      </c>
      <c r="AL249" s="58">
        <f>AK249-(AK249*((VLOOKUP(A249,[1]Plan!A$1:AY$804,51,FALSE)/100)))</f>
        <v>0</v>
      </c>
      <c r="AM249" s="58">
        <f>IF(AJ249,O249*'[1]ETC Data'!$H$5*'[1]ETC Data'!$J$5,0)</f>
        <v>0</v>
      </c>
      <c r="AN249" s="58">
        <f>AM249-(AM249*((VLOOKUP(A249,[1]Plan!A$1:BA$804,53,FALSE)/100)))</f>
        <v>0</v>
      </c>
      <c r="AO249" s="61">
        <f>IF(AJ249,O249*'[1]ETC Data'!$H$5*'[1]ETC Data'!$K$5,0)</f>
        <v>0</v>
      </c>
      <c r="AP249" s="58">
        <f>AO249-(AO249*((VLOOKUP(A249,[1]Plan!A$1:BB$804,54,FALSE)/100)))</f>
        <v>0</v>
      </c>
      <c r="AQ249" s="58">
        <f>IF(AJ249,O249*'[1]ETC Data'!$H$5*'[1]ETC Data'!$L$5,0)</f>
        <v>0</v>
      </c>
      <c r="AR249" s="58">
        <f>AQ249-(AQ249*((VLOOKUP(A249,[1]Plan!A$1:BD$804,56,FALSE)/100)))</f>
        <v>0</v>
      </c>
      <c r="AS249" s="20">
        <f>VLOOKUP(A249,'[1]PR Matrix'!A:B,2,FALSE)</f>
        <v>0</v>
      </c>
      <c r="AT249" s="21">
        <f>R249+T249+V249+X249+AB249+AD249+AF249+AH249+AL249+AN249+AP249+AR249</f>
        <v>0</v>
      </c>
      <c r="AU249" s="21">
        <f>Q249+S249+U249+W249+AA249+AC249+AE249+AG249+AK249+AM249+AO249+AQ249</f>
        <v>0</v>
      </c>
      <c r="AV249" s="21">
        <f>R249+AB249+AL249</f>
        <v>0</v>
      </c>
      <c r="AW249" s="21">
        <f>T249+AD249+AN249</f>
        <v>0</v>
      </c>
      <c r="AX249" s="21">
        <f>V249+AF249+AP249</f>
        <v>0</v>
      </c>
      <c r="AY249" s="21">
        <f>X249+AH249+AR249</f>
        <v>0</v>
      </c>
    </row>
    <row r="250" spans="1:55" hidden="1" x14ac:dyDescent="0.2">
      <c r="A250" s="50" t="s">
        <v>457</v>
      </c>
      <c r="B250" s="51" t="s">
        <v>208</v>
      </c>
      <c r="C250" s="51"/>
      <c r="D250" s="51"/>
      <c r="E250" s="52">
        <f>IF(G250="Y",VLOOKUP(B250&amp;"|"&amp;C250,'[1]ETC Data'!$C$2:$D$16,2,FALSE),0)</f>
        <v>0</v>
      </c>
      <c r="F250" s="52">
        <f>IF(D250="",0,IF(G250="Y",VLOOKUP(B250&amp;"|"&amp;D250,'[1]ETC Data'!$C$2:$D$16,2,FALSE),0))</f>
        <v>0</v>
      </c>
      <c r="G250" s="53" t="str">
        <f>IF(VLOOKUP(A250,[1]Plan!A$1:H$804,8,FALSE)&lt;&gt;"",VLOOKUP(A250,[1]Plan!A$1:H$804,8,FALSE),"")</f>
        <v>N</v>
      </c>
      <c r="H250" s="54" t="str">
        <f>IF(VLOOKUP(A250,[1]Plan!A$1:L$804,12,FALSE)&lt;&gt;"",VLOOKUP(A250,[1]Plan!A$1:L$804,12,FALSE),"")</f>
        <v/>
      </c>
      <c r="I250" s="55" t="str">
        <f>IF(VLOOKUP(A250,[1]Plan!A$1:M$804,13,FALSE)&lt;&gt;"",VLOOKUP(A250,[1]Plan!A$1:M$804,13,FALSE),"")</f>
        <v/>
      </c>
      <c r="J250" s="55" t="str">
        <f>IF(VLOOKUP(A250,[1]Plan!A$1:N$804,14,FALSE)&lt;&gt;"",VLOOKUP(A250,[1]Plan!A$1:N$804,14,FALSE),IF(VLOOKUP(A250,[1]Plan!A$1:O$804,15,FALSE)&lt;&gt;"",VLOOKUP(A250,[1]Plan!A$1:O$804,15,FALSE),""))</f>
        <v/>
      </c>
      <c r="K250" s="56" t="str">
        <f>IF(VLOOKUP(A250,[1]Plan!A$1:P$804,16,FALSE)&lt;&gt;"",VLOOKUP(A250,[1]Plan!A$1:P$804,16,FALSE),"")</f>
        <v/>
      </c>
      <c r="L250" s="55"/>
      <c r="M250" s="55"/>
      <c r="N250" s="55"/>
      <c r="O250" s="57">
        <f>IF(F250=0,E250,F250)</f>
        <v>0</v>
      </c>
      <c r="P250" s="57" t="b">
        <f>OR(H250="Y",I250="Y")</f>
        <v>0</v>
      </c>
      <c r="Q250" s="58">
        <f>IF(P250,O250*'[1]ETC Data'!$H$3*'[1]ETC Data'!$I$3,0)</f>
        <v>0</v>
      </c>
      <c r="R250" s="58">
        <f>Q250-(Q250*((VLOOKUP(A250,[1]Plan!A$1:Z$804,26,FALSE)/100)))</f>
        <v>0</v>
      </c>
      <c r="S250" s="58">
        <f>IF(P250,O250*'[1]ETC Data'!$H$3*'[1]ETC Data'!$J$3,0)</f>
        <v>0</v>
      </c>
      <c r="T250" s="58">
        <f>S250-(S250*((VLOOKUP(A250,[1]Plan!A$1:AA$804,27,FALSE)/100)))</f>
        <v>0</v>
      </c>
      <c r="U250" s="58">
        <f>IF(P250,O250*'[1]ETC Data'!$H$3*'[1]ETC Data'!$K$3,0)</f>
        <v>0</v>
      </c>
      <c r="V250" s="58">
        <f>U250-(U250*((VLOOKUP(A250,[1]Plan!A$1:AB$804,28,FALSE)/100)))</f>
        <v>0</v>
      </c>
      <c r="W250" s="58">
        <f>IF(P250,O250*'[1]ETC Data'!$H$3*'[1]ETC Data'!$L$3,0)</f>
        <v>0</v>
      </c>
      <c r="X250" s="58">
        <f>W250-(W250*((VLOOKUP(A250,[1]Plan!A$1:AC$804,29,FALSE)/100)))</f>
        <v>0</v>
      </c>
      <c r="Y250" s="59"/>
      <c r="Z250" s="60" t="b">
        <f>OR(H250="Y",J250="Y")</f>
        <v>0</v>
      </c>
      <c r="AA250" s="58">
        <f>IF(Z250,O250*'[1]ETC Data'!$H$4*'[1]ETC Data'!$I$4,0)</f>
        <v>0</v>
      </c>
      <c r="AB250" s="58">
        <f>AA250-(AA250*((VLOOKUP(A250,[1]Plan!A$1:AI$804,35,FALSE)/100)))</f>
        <v>0</v>
      </c>
      <c r="AC250" s="58">
        <f>IF(Z250,O250*'[1]ETC Data'!$H$4*'[1]ETC Data'!$J$4,0)</f>
        <v>0</v>
      </c>
      <c r="AD250" s="58">
        <f>AC250-(AC250*((VLOOKUP(A250,[1]Plan!A$1:AJ$804,36,FALSE)/100)))</f>
        <v>0</v>
      </c>
      <c r="AE250" s="58">
        <f>IF(Z250,O250*'[1]ETC Data'!$H$4*'[1]ETC Data'!$K$4,0)</f>
        <v>0</v>
      </c>
      <c r="AF250" s="58">
        <f>AE250-(AE250*((VLOOKUP(A250,[1]Plan!A$1:AK$804,37,FALSE)/100)))</f>
        <v>0</v>
      </c>
      <c r="AG250" s="58">
        <f>IF(Z250,O250*'[1]ETC Data'!$H$4*'[1]ETC Data'!$L$4,0)</f>
        <v>0</v>
      </c>
      <c r="AH250" s="58">
        <f>AG250-(AG250*((VLOOKUP(A250,[1]Plan!A$1:AP$804,42,FALSE)/100)))</f>
        <v>0</v>
      </c>
      <c r="AI250" s="60"/>
      <c r="AJ250" s="60" t="b">
        <f>OR(H250="Y",K250="Y")</f>
        <v>0</v>
      </c>
      <c r="AK250" s="61">
        <f>IF(AJ250,O250*'[1]ETC Data'!$H$5*'[1]ETC Data'!$I$5,0)</f>
        <v>0</v>
      </c>
      <c r="AL250" s="58">
        <f>AK250-(AK250*((VLOOKUP(A250,[1]Plan!A$1:AY$804,51,FALSE)/100)))</f>
        <v>0</v>
      </c>
      <c r="AM250" s="58">
        <f>IF(AJ250,O250*'[1]ETC Data'!$H$5*'[1]ETC Data'!$J$5,0)</f>
        <v>0</v>
      </c>
      <c r="AN250" s="58">
        <f>AM250-(AM250*((VLOOKUP(A250,[1]Plan!A$1:BA$804,53,FALSE)/100)))</f>
        <v>0</v>
      </c>
      <c r="AO250" s="61">
        <f>IF(AJ250,O250*'[1]ETC Data'!$H$5*'[1]ETC Data'!$K$5,0)</f>
        <v>0</v>
      </c>
      <c r="AP250" s="58">
        <f>AO250-(AO250*((VLOOKUP(A250,[1]Plan!A$1:BB$804,54,FALSE)/100)))</f>
        <v>0</v>
      </c>
      <c r="AQ250" s="58">
        <f>IF(AJ250,O250*'[1]ETC Data'!$H$5*'[1]ETC Data'!$L$5,0)</f>
        <v>0</v>
      </c>
      <c r="AR250" s="58">
        <f>AQ250-(AQ250*((VLOOKUP(A250,[1]Plan!A$1:BD$804,56,FALSE)/100)))</f>
        <v>0</v>
      </c>
      <c r="AS250" s="20">
        <f>VLOOKUP(A250,'[1]PR Matrix'!A:B,2,FALSE)</f>
        <v>0</v>
      </c>
      <c r="AT250" s="21">
        <f>R250+T250+V250+X250+AB250+AD250+AF250+AH250+AL250+AN250+AP250+AR250</f>
        <v>0</v>
      </c>
      <c r="AU250" s="21">
        <f>Q250+S250+U250+W250+AA250+AC250+AE250+AG250+AK250+AM250+AO250+AQ250</f>
        <v>0</v>
      </c>
      <c r="AV250" s="21">
        <f>R250+AB250+AL250</f>
        <v>0</v>
      </c>
      <c r="AW250" s="21">
        <f>T250+AD250+AN250</f>
        <v>0</v>
      </c>
      <c r="AX250" s="21">
        <f>V250+AF250+AP250</f>
        <v>0</v>
      </c>
      <c r="AY250" s="21">
        <f>X250+AH250+AR250</f>
        <v>0</v>
      </c>
    </row>
    <row r="251" spans="1:55" hidden="1" x14ac:dyDescent="0.2">
      <c r="A251" s="50" t="s">
        <v>458</v>
      </c>
      <c r="B251" s="51" t="s">
        <v>258</v>
      </c>
      <c r="C251" s="51"/>
      <c r="D251" s="51"/>
      <c r="E251" s="52">
        <f>IF(G251="Y",VLOOKUP(B251&amp;"|"&amp;C251,'[1]ETC Data'!$C$2:$D$16,2,FALSE),0)</f>
        <v>0</v>
      </c>
      <c r="F251" s="52">
        <f>IF(D251="",0,IF(G251="Y",VLOOKUP(B251&amp;"|"&amp;D251,'[1]ETC Data'!$C$2:$D$16,2,FALSE),0))</f>
        <v>0</v>
      </c>
      <c r="G251" s="53" t="str">
        <f>IF(VLOOKUP(A251,[1]Plan!A$1:H$804,8,FALSE)&lt;&gt;"",VLOOKUP(A251,[1]Plan!A$1:H$804,8,FALSE),"")</f>
        <v>N</v>
      </c>
      <c r="H251" s="54" t="str">
        <f>IF(VLOOKUP(A251,[1]Plan!A$1:L$804,12,FALSE)&lt;&gt;"",VLOOKUP(A251,[1]Plan!A$1:L$804,12,FALSE),"")</f>
        <v/>
      </c>
      <c r="I251" s="55" t="str">
        <f>IF(VLOOKUP(A251,[1]Plan!A$1:M$804,13,FALSE)&lt;&gt;"",VLOOKUP(A251,[1]Plan!A$1:M$804,13,FALSE),"")</f>
        <v/>
      </c>
      <c r="J251" s="55" t="str">
        <f>IF(VLOOKUP(A251,[1]Plan!A$1:N$804,14,FALSE)&lt;&gt;"",VLOOKUP(A251,[1]Plan!A$1:N$804,14,FALSE),IF(VLOOKUP(A251,[1]Plan!A$1:O$804,15,FALSE)&lt;&gt;"",VLOOKUP(A251,[1]Plan!A$1:O$804,15,FALSE),""))</f>
        <v/>
      </c>
      <c r="K251" s="56" t="str">
        <f>IF(VLOOKUP(A251,[1]Plan!A$1:P$804,16,FALSE)&lt;&gt;"",VLOOKUP(A251,[1]Plan!A$1:P$804,16,FALSE),"")</f>
        <v/>
      </c>
      <c r="L251" s="55"/>
      <c r="M251" s="55"/>
      <c r="N251" s="55"/>
      <c r="O251" s="57">
        <f>IF(F251=0,E251,F251)</f>
        <v>0</v>
      </c>
      <c r="P251" s="57" t="b">
        <f>OR(H251="Y",I251="Y")</f>
        <v>0</v>
      </c>
      <c r="Q251" s="58">
        <f>IF(P251,O251*'[1]ETC Data'!$H$3*'[1]ETC Data'!$I$3,0)</f>
        <v>0</v>
      </c>
      <c r="R251" s="58">
        <f>Q251-(Q251*((VLOOKUP(A251,[1]Plan!A$1:Z$804,26,FALSE)/100)))</f>
        <v>0</v>
      </c>
      <c r="S251" s="58">
        <f>IF(P251,O251*'[1]ETC Data'!$H$3*'[1]ETC Data'!$J$3,0)</f>
        <v>0</v>
      </c>
      <c r="T251" s="58">
        <f>S251-(S251*((VLOOKUP(A251,[1]Plan!A$1:AA$804,27,FALSE)/100)))</f>
        <v>0</v>
      </c>
      <c r="U251" s="58">
        <f>IF(P251,O251*'[1]ETC Data'!$H$3*'[1]ETC Data'!$K$3,0)</f>
        <v>0</v>
      </c>
      <c r="V251" s="58">
        <f>U251-(U251*((VLOOKUP(A251,[1]Plan!A$1:AB$804,28,FALSE)/100)))</f>
        <v>0</v>
      </c>
      <c r="W251" s="58">
        <f>IF(P251,O251*'[1]ETC Data'!$H$3*'[1]ETC Data'!$L$3,0)</f>
        <v>0</v>
      </c>
      <c r="X251" s="58">
        <f>W251-(W251*((VLOOKUP(A251,[1]Plan!A$1:AC$804,29,FALSE)/100)))</f>
        <v>0</v>
      </c>
      <c r="Y251" s="59"/>
      <c r="Z251" s="60" t="b">
        <f>OR(H251="Y",J251="Y")</f>
        <v>0</v>
      </c>
      <c r="AA251" s="58">
        <f>IF(Z251,O251*'[1]ETC Data'!$H$4*'[1]ETC Data'!$I$4,0)</f>
        <v>0</v>
      </c>
      <c r="AB251" s="58">
        <f>AA251-(AA251*((VLOOKUP(A251,[1]Plan!A$1:AI$804,35,FALSE)/100)))</f>
        <v>0</v>
      </c>
      <c r="AC251" s="58">
        <f>IF(Z251,O251*'[1]ETC Data'!$H$4*'[1]ETC Data'!$J$4,0)</f>
        <v>0</v>
      </c>
      <c r="AD251" s="58">
        <f>AC251-(AC251*((VLOOKUP(A251,[1]Plan!A$1:AJ$804,36,FALSE)/100)))</f>
        <v>0</v>
      </c>
      <c r="AE251" s="58">
        <f>IF(Z251,O251*'[1]ETC Data'!$H$4*'[1]ETC Data'!$K$4,0)</f>
        <v>0</v>
      </c>
      <c r="AF251" s="58">
        <f>AE251-(AE251*((VLOOKUP(A251,[1]Plan!A$1:AK$804,37,FALSE)/100)))</f>
        <v>0</v>
      </c>
      <c r="AG251" s="58">
        <f>IF(Z251,O251*'[1]ETC Data'!$H$4*'[1]ETC Data'!$L$4,0)</f>
        <v>0</v>
      </c>
      <c r="AH251" s="58">
        <f>AG251-(AG251*((VLOOKUP(A251,[1]Plan!A$1:AP$804,42,FALSE)/100)))</f>
        <v>0</v>
      </c>
      <c r="AI251" s="60"/>
      <c r="AJ251" s="60" t="b">
        <f>OR(H251="Y",K251="Y")</f>
        <v>0</v>
      </c>
      <c r="AK251" s="61">
        <f>IF(AJ251,O251*'[1]ETC Data'!$H$5*'[1]ETC Data'!$I$5,0)</f>
        <v>0</v>
      </c>
      <c r="AL251" s="58">
        <f>AK251-(AK251*((VLOOKUP(A251,[1]Plan!A$1:AY$804,51,FALSE)/100)))</f>
        <v>0</v>
      </c>
      <c r="AM251" s="58">
        <f>IF(AJ251,O251*'[1]ETC Data'!$H$5*'[1]ETC Data'!$J$5,0)</f>
        <v>0</v>
      </c>
      <c r="AN251" s="58">
        <f>AM251-(AM251*((VLOOKUP(A251,[1]Plan!A$1:BA$804,53,FALSE)/100)))</f>
        <v>0</v>
      </c>
      <c r="AO251" s="61">
        <f>IF(AJ251,O251*'[1]ETC Data'!$H$5*'[1]ETC Data'!$K$5,0)</f>
        <v>0</v>
      </c>
      <c r="AP251" s="58">
        <f>AO251-(AO251*((VLOOKUP(A251,[1]Plan!A$1:BB$804,54,FALSE)/100)))</f>
        <v>0</v>
      </c>
      <c r="AQ251" s="58">
        <f>IF(AJ251,O251*'[1]ETC Data'!$H$5*'[1]ETC Data'!$L$5,0)</f>
        <v>0</v>
      </c>
      <c r="AR251" s="58">
        <f>AQ251-(AQ251*((VLOOKUP(A251,[1]Plan!A$1:BD$804,56,FALSE)/100)))</f>
        <v>0</v>
      </c>
      <c r="AS251" s="20">
        <f>VLOOKUP(A251,'[1]PR Matrix'!A:B,2,FALSE)</f>
        <v>0</v>
      </c>
      <c r="AT251" s="21">
        <f>R251+T251+V251+X251+AB251+AD251+AF251+AH251+AL251+AN251+AP251+AR251</f>
        <v>0</v>
      </c>
      <c r="AU251" s="21">
        <f>Q251+S251+U251+W251+AA251+AC251+AE251+AG251+AK251+AM251+AO251+AQ251</f>
        <v>0</v>
      </c>
      <c r="AV251" s="21">
        <f>R251+AB251+AL251</f>
        <v>0</v>
      </c>
      <c r="AW251" s="21">
        <f>T251+AD251+AN251</f>
        <v>0</v>
      </c>
      <c r="AX251" s="21">
        <f>V251+AF251+AP251</f>
        <v>0</v>
      </c>
      <c r="AY251" s="21">
        <f>X251+AH251+AR251</f>
        <v>0</v>
      </c>
    </row>
    <row r="252" spans="1:55" hidden="1" x14ac:dyDescent="0.2">
      <c r="A252" s="50" t="s">
        <v>459</v>
      </c>
      <c r="B252" s="51" t="s">
        <v>258</v>
      </c>
      <c r="C252" s="51"/>
      <c r="D252" s="51"/>
      <c r="E252" s="52">
        <f>IF(G252="Y",VLOOKUP(B252&amp;"|"&amp;C252,'[1]ETC Data'!$C$2:$D$16,2,FALSE),0)</f>
        <v>0</v>
      </c>
      <c r="F252" s="52">
        <f>IF(D252="",0,IF(G252="Y",VLOOKUP(B252&amp;"|"&amp;D252,'[1]ETC Data'!$C$2:$D$16,2,FALSE),0))</f>
        <v>0</v>
      </c>
      <c r="G252" s="53" t="str">
        <f>IF(VLOOKUP(A252,[1]Plan!A$1:H$804,8,FALSE)&lt;&gt;"",VLOOKUP(A252,[1]Plan!A$1:H$804,8,FALSE),"")</f>
        <v>N</v>
      </c>
      <c r="H252" s="54" t="str">
        <f>IF(VLOOKUP(A252,[1]Plan!A$1:L$804,12,FALSE)&lt;&gt;"",VLOOKUP(A252,[1]Plan!A$1:L$804,12,FALSE),"")</f>
        <v/>
      </c>
      <c r="I252" s="55" t="str">
        <f>IF(VLOOKUP(A252,[1]Plan!A$1:M$804,13,FALSE)&lt;&gt;"",VLOOKUP(A252,[1]Plan!A$1:M$804,13,FALSE),"")</f>
        <v/>
      </c>
      <c r="J252" s="55" t="str">
        <f>IF(VLOOKUP(A252,[1]Plan!A$1:N$804,14,FALSE)&lt;&gt;"",VLOOKUP(A252,[1]Plan!A$1:N$804,14,FALSE),IF(VLOOKUP(A252,[1]Plan!A$1:O$804,15,FALSE)&lt;&gt;"",VLOOKUP(A252,[1]Plan!A$1:O$804,15,FALSE),""))</f>
        <v/>
      </c>
      <c r="K252" s="56" t="str">
        <f>IF(VLOOKUP(A252,[1]Plan!A$1:P$804,16,FALSE)&lt;&gt;"",VLOOKUP(A252,[1]Plan!A$1:P$804,16,FALSE),"")</f>
        <v/>
      </c>
      <c r="L252" s="55"/>
      <c r="M252" s="55"/>
      <c r="N252" s="55"/>
      <c r="O252" s="57">
        <f>IF(F252=0,E252,F252)</f>
        <v>0</v>
      </c>
      <c r="P252" s="57" t="b">
        <f>OR(H252="Y",I252="Y")</f>
        <v>0</v>
      </c>
      <c r="Q252" s="58">
        <f>IF(P252,O252*'[1]ETC Data'!$H$3*'[1]ETC Data'!$I$3,0)</f>
        <v>0</v>
      </c>
      <c r="R252" s="58">
        <f>Q252-(Q252*((VLOOKUP(A252,[1]Plan!A$1:Z$804,26,FALSE)/100)))</f>
        <v>0</v>
      </c>
      <c r="S252" s="58">
        <f>IF(P252,O252*'[1]ETC Data'!$H$3*'[1]ETC Data'!$J$3,0)</f>
        <v>0</v>
      </c>
      <c r="T252" s="58">
        <f>S252-(S252*((VLOOKUP(A252,[1]Plan!A$1:AA$804,27,FALSE)/100)))</f>
        <v>0</v>
      </c>
      <c r="U252" s="58">
        <f>IF(P252,O252*'[1]ETC Data'!$H$3*'[1]ETC Data'!$K$3,0)</f>
        <v>0</v>
      </c>
      <c r="V252" s="58">
        <f>U252-(U252*((VLOOKUP(A252,[1]Plan!A$1:AB$804,28,FALSE)/100)))</f>
        <v>0</v>
      </c>
      <c r="W252" s="58">
        <f>IF(P252,O252*'[1]ETC Data'!$H$3*'[1]ETC Data'!$L$3,0)</f>
        <v>0</v>
      </c>
      <c r="X252" s="58">
        <f>W252-(W252*((VLOOKUP(A252,[1]Plan!A$1:AC$804,29,FALSE)/100)))</f>
        <v>0</v>
      </c>
      <c r="Y252" s="59"/>
      <c r="Z252" s="60" t="b">
        <f>OR(H252="Y",J252="Y")</f>
        <v>0</v>
      </c>
      <c r="AA252" s="58">
        <f>IF(Z252,O252*'[1]ETC Data'!$H$4*'[1]ETC Data'!$I$4,0)</f>
        <v>0</v>
      </c>
      <c r="AB252" s="58">
        <f>AA252-(AA252*((VLOOKUP(A252,[1]Plan!A$1:AI$804,35,FALSE)/100)))</f>
        <v>0</v>
      </c>
      <c r="AC252" s="58">
        <f>IF(Z252,O252*'[1]ETC Data'!$H$4*'[1]ETC Data'!$J$4,0)</f>
        <v>0</v>
      </c>
      <c r="AD252" s="58">
        <f>AC252-(AC252*((VLOOKUP(A252,[1]Plan!A$1:AJ$804,36,FALSE)/100)))</f>
        <v>0</v>
      </c>
      <c r="AE252" s="58">
        <f>IF(Z252,O252*'[1]ETC Data'!$H$4*'[1]ETC Data'!$K$4,0)</f>
        <v>0</v>
      </c>
      <c r="AF252" s="58">
        <f>AE252-(AE252*((VLOOKUP(A252,[1]Plan!A$1:AK$804,37,FALSE)/100)))</f>
        <v>0</v>
      </c>
      <c r="AG252" s="58">
        <f>IF(Z252,O252*'[1]ETC Data'!$H$4*'[1]ETC Data'!$L$4,0)</f>
        <v>0</v>
      </c>
      <c r="AH252" s="58">
        <f>AG252-(AG252*((VLOOKUP(A252,[1]Plan!A$1:AP$804,42,FALSE)/100)))</f>
        <v>0</v>
      </c>
      <c r="AI252" s="60"/>
      <c r="AJ252" s="60" t="b">
        <f>OR(H252="Y",K252="Y")</f>
        <v>0</v>
      </c>
      <c r="AK252" s="61">
        <f>IF(AJ252,O252*'[1]ETC Data'!$H$5*'[1]ETC Data'!$I$5,0)</f>
        <v>0</v>
      </c>
      <c r="AL252" s="58">
        <f>AK252-(AK252*((VLOOKUP(A252,[1]Plan!A$1:AY$804,51,FALSE)/100)))</f>
        <v>0</v>
      </c>
      <c r="AM252" s="58">
        <f>IF(AJ252,O252*'[1]ETC Data'!$H$5*'[1]ETC Data'!$J$5,0)</f>
        <v>0</v>
      </c>
      <c r="AN252" s="58">
        <f>AM252-(AM252*((VLOOKUP(A252,[1]Plan!A$1:BA$804,53,FALSE)/100)))</f>
        <v>0</v>
      </c>
      <c r="AO252" s="61">
        <f>IF(AJ252,O252*'[1]ETC Data'!$H$5*'[1]ETC Data'!$K$5,0)</f>
        <v>0</v>
      </c>
      <c r="AP252" s="58">
        <f>AO252-(AO252*((VLOOKUP(A252,[1]Plan!A$1:BB$804,54,FALSE)/100)))</f>
        <v>0</v>
      </c>
      <c r="AQ252" s="58">
        <f>IF(AJ252,O252*'[1]ETC Data'!$H$5*'[1]ETC Data'!$L$5,0)</f>
        <v>0</v>
      </c>
      <c r="AR252" s="58">
        <f>AQ252-(AQ252*((VLOOKUP(A252,[1]Plan!A$1:BD$804,56,FALSE)/100)))</f>
        <v>0</v>
      </c>
      <c r="AS252" s="20">
        <f>VLOOKUP(A252,'[1]PR Matrix'!A:B,2,FALSE)</f>
        <v>0</v>
      </c>
      <c r="AT252" s="21">
        <f>R252+T252+V252+X252+AB252+AD252+AF252+AH252+AL252+AN252+AP252+AR252</f>
        <v>0</v>
      </c>
      <c r="AU252" s="21">
        <f>Q252+S252+U252+W252+AA252+AC252+AE252+AG252+AK252+AM252+AO252+AQ252</f>
        <v>0</v>
      </c>
      <c r="AV252" s="21">
        <f>R252+AB252+AL252</f>
        <v>0</v>
      </c>
      <c r="AW252" s="21">
        <f>T252+AD252+AN252</f>
        <v>0</v>
      </c>
      <c r="AX252" s="21">
        <f>V252+AF252+AP252</f>
        <v>0</v>
      </c>
      <c r="AY252" s="21">
        <f>X252+AH252+AR252</f>
        <v>0</v>
      </c>
      <c r="AZ252" s="64"/>
      <c r="BA252" s="64"/>
      <c r="BB252" s="64"/>
      <c r="BC252" s="64"/>
    </row>
    <row r="253" spans="1:55" hidden="1" x14ac:dyDescent="0.2">
      <c r="A253" s="50" t="s">
        <v>460</v>
      </c>
      <c r="B253" s="51" t="s">
        <v>258</v>
      </c>
      <c r="C253" s="51" t="s">
        <v>208</v>
      </c>
      <c r="D253" s="51"/>
      <c r="E253" s="52">
        <f>IF(G253="Y",VLOOKUP(B253&amp;"|"&amp;C253,'[1]ETC Data'!$C$2:$D$16,2,FALSE),0)</f>
        <v>0</v>
      </c>
      <c r="F253" s="52">
        <f>IF(D253="",0,IF(G253="Y",VLOOKUP(B253&amp;"|"&amp;D253,'[1]ETC Data'!$C$2:$D$16,2,FALSE),0))</f>
        <v>0</v>
      </c>
      <c r="G253" s="53" t="str">
        <f>IF(VLOOKUP(A253,[1]Plan!A$1:H$804,8,FALSE)&lt;&gt;"",VLOOKUP(A253,[1]Plan!A$1:H$804,8,FALSE),"")</f>
        <v>N</v>
      </c>
      <c r="H253" s="54" t="str">
        <f>IF(VLOOKUP(A253,[1]Plan!A$1:L$804,12,FALSE)&lt;&gt;"",VLOOKUP(A253,[1]Plan!A$1:L$804,12,FALSE),"")</f>
        <v/>
      </c>
      <c r="I253" s="55" t="str">
        <f>IF(VLOOKUP(A253,[1]Plan!A$1:M$804,13,FALSE)&lt;&gt;"",VLOOKUP(A253,[1]Plan!A$1:M$804,13,FALSE),"")</f>
        <v>Y</v>
      </c>
      <c r="J253" s="55" t="str">
        <f>IF(VLOOKUP(A253,[1]Plan!A$1:N$804,14,FALSE)&lt;&gt;"",VLOOKUP(A253,[1]Plan!A$1:N$804,14,FALSE),IF(VLOOKUP(A253,[1]Plan!A$1:O$804,15,FALSE)&lt;&gt;"",VLOOKUP(A253,[1]Plan!A$1:O$804,15,FALSE),""))</f>
        <v>Y</v>
      </c>
      <c r="K253" s="56" t="str">
        <f>IF(VLOOKUP(A253,[1]Plan!A$1:P$804,16,FALSE)&lt;&gt;"",VLOOKUP(A253,[1]Plan!A$1:P$804,16,FALSE),"")</f>
        <v>Y</v>
      </c>
      <c r="L253" s="55"/>
      <c r="M253" s="55"/>
      <c r="N253" s="55"/>
      <c r="O253" s="57">
        <f>IF(F253=0,E253,F253)</f>
        <v>0</v>
      </c>
      <c r="P253" s="57" t="b">
        <f>OR(H253="Y",I253="Y")</f>
        <v>1</v>
      </c>
      <c r="Q253" s="58">
        <f>IF(P253,O253*'[1]ETC Data'!$H$3*'[1]ETC Data'!$I$3,0)</f>
        <v>0</v>
      </c>
      <c r="R253" s="58">
        <f>Q253-(Q253*((VLOOKUP(A253,[1]Plan!A$1:Z$804,26,FALSE)/100)))</f>
        <v>0</v>
      </c>
      <c r="S253" s="58">
        <f>IF(P253,O253*'[1]ETC Data'!$H$3*'[1]ETC Data'!$J$3,0)</f>
        <v>0</v>
      </c>
      <c r="T253" s="58">
        <f>S253-(S253*((VLOOKUP(A253,[1]Plan!A$1:AA$804,27,FALSE)/100)))</f>
        <v>0</v>
      </c>
      <c r="U253" s="58">
        <f>IF(P253,O253*'[1]ETC Data'!$H$3*'[1]ETC Data'!$K$3,0)</f>
        <v>0</v>
      </c>
      <c r="V253" s="58">
        <f>U253-(U253*((VLOOKUP(A253,[1]Plan!A$1:AB$804,28,FALSE)/100)))</f>
        <v>0</v>
      </c>
      <c r="W253" s="58">
        <f>IF(P253,O253*'[1]ETC Data'!$H$3*'[1]ETC Data'!$L$3,0)</f>
        <v>0</v>
      </c>
      <c r="X253" s="58">
        <f>W253-(W253*((VLOOKUP(A253,[1]Plan!A$1:AC$804,29,FALSE)/100)))</f>
        <v>0</v>
      </c>
      <c r="Y253" s="59"/>
      <c r="Z253" s="60" t="b">
        <f>OR(H253="Y",J253="Y")</f>
        <v>1</v>
      </c>
      <c r="AA253" s="58">
        <f>IF(Z253,O253*'[1]ETC Data'!$H$4*'[1]ETC Data'!$I$4,0)</f>
        <v>0</v>
      </c>
      <c r="AB253" s="58">
        <f>AA253-(AA253*((VLOOKUP(A253,[1]Plan!A$1:AI$804,35,FALSE)/100)))</f>
        <v>0</v>
      </c>
      <c r="AC253" s="58">
        <f>IF(Z253,O253*'[1]ETC Data'!$H$4*'[1]ETC Data'!$J$4,0)</f>
        <v>0</v>
      </c>
      <c r="AD253" s="58">
        <f>AC253-(AC253*((VLOOKUP(A253,[1]Plan!A$1:AJ$804,36,FALSE)/100)))</f>
        <v>0</v>
      </c>
      <c r="AE253" s="58">
        <f>IF(Z253,O253*'[1]ETC Data'!$H$4*'[1]ETC Data'!$K$4,0)</f>
        <v>0</v>
      </c>
      <c r="AF253" s="58">
        <f>AE253-(AE253*((VLOOKUP(A253,[1]Plan!A$1:AK$804,37,FALSE)/100)))</f>
        <v>0</v>
      </c>
      <c r="AG253" s="58">
        <f>IF(Z253,O253*'[1]ETC Data'!$H$4*'[1]ETC Data'!$L$4,0)</f>
        <v>0</v>
      </c>
      <c r="AH253" s="58">
        <f>AG253-(AG253*((VLOOKUP(A253,[1]Plan!A$1:AP$804,42,FALSE)/100)))</f>
        <v>0</v>
      </c>
      <c r="AI253" s="60"/>
      <c r="AJ253" s="60" t="b">
        <f>OR(H253="Y",K253="Y")</f>
        <v>1</v>
      </c>
      <c r="AK253" s="61">
        <f>IF(AJ253,O253*'[1]ETC Data'!$H$5*'[1]ETC Data'!$I$5,0)</f>
        <v>0</v>
      </c>
      <c r="AL253" s="58">
        <f>AK253-(AK253*((VLOOKUP(A253,[1]Plan!A$1:AY$804,51,FALSE)/100)))</f>
        <v>0</v>
      </c>
      <c r="AM253" s="58">
        <f>IF(AJ253,O253*'[1]ETC Data'!$H$5*'[1]ETC Data'!$J$5,0)</f>
        <v>0</v>
      </c>
      <c r="AN253" s="58">
        <f>AM253-(AM253*((VLOOKUP(A253,[1]Plan!A$1:BA$804,53,FALSE)/100)))</f>
        <v>0</v>
      </c>
      <c r="AO253" s="61">
        <f>IF(AJ253,O253*'[1]ETC Data'!$H$5*'[1]ETC Data'!$K$5,0)</f>
        <v>0</v>
      </c>
      <c r="AP253" s="58">
        <f>AO253-(AO253*((VLOOKUP(A253,[1]Plan!A$1:BB$804,54,FALSE)/100)))</f>
        <v>0</v>
      </c>
      <c r="AQ253" s="58">
        <f>IF(AJ253,O253*'[1]ETC Data'!$H$5*'[1]ETC Data'!$L$5,0)</f>
        <v>0</v>
      </c>
      <c r="AR253" s="58">
        <f>AQ253-(AQ253*((VLOOKUP(A253,[1]Plan!A$1:BD$804,56,FALSE)/100)))</f>
        <v>0</v>
      </c>
      <c r="AS253" s="20">
        <f>VLOOKUP(A253,'[1]PR Matrix'!A:B,2,FALSE)</f>
        <v>0</v>
      </c>
      <c r="AT253" s="21">
        <f>R253+T253+V253+X253+AB253+AD253+AF253+AH253+AL253+AN253+AP253+AR253</f>
        <v>0</v>
      </c>
      <c r="AU253" s="21">
        <f>Q253+S253+U253+W253+AA253+AC253+AE253+AG253+AK253+AM253+AO253+AQ253</f>
        <v>0</v>
      </c>
      <c r="AV253" s="21">
        <f>R253+AB253+AL253</f>
        <v>0</v>
      </c>
      <c r="AW253" s="21">
        <f>T253+AD253+AN253</f>
        <v>0</v>
      </c>
      <c r="AX253" s="21">
        <f>V253+AF253+AP253</f>
        <v>0</v>
      </c>
      <c r="AY253" s="21">
        <f>X253+AH253+AR253</f>
        <v>0</v>
      </c>
    </row>
    <row r="254" spans="1:55" hidden="1" x14ac:dyDescent="0.2">
      <c r="A254" s="50" t="s">
        <v>461</v>
      </c>
      <c r="B254" s="51" t="s">
        <v>208</v>
      </c>
      <c r="C254" s="51"/>
      <c r="D254" s="51"/>
      <c r="E254" s="52">
        <f>IF(G254="Y",VLOOKUP(B254&amp;"|"&amp;C254,'[1]ETC Data'!$C$2:$D$16,2,FALSE),0)</f>
        <v>0</v>
      </c>
      <c r="F254" s="52">
        <f>IF(D254="",0,IF(G254="Y",VLOOKUP(B254&amp;"|"&amp;D254,'[1]ETC Data'!$C$2:$D$16,2,FALSE),0))</f>
        <v>0</v>
      </c>
      <c r="G254" s="53" t="str">
        <f>IF(VLOOKUP(A254,[1]Plan!A$1:H$804,8,FALSE)&lt;&gt;"",VLOOKUP(A254,[1]Plan!A$1:H$804,8,FALSE),"")</f>
        <v>N</v>
      </c>
      <c r="H254" s="54" t="str">
        <f>IF(VLOOKUP(A254,[1]Plan!A$1:L$804,12,FALSE)&lt;&gt;"",VLOOKUP(A254,[1]Plan!A$1:L$804,12,FALSE),"")</f>
        <v/>
      </c>
      <c r="I254" s="55" t="str">
        <f>IF(VLOOKUP(A254,[1]Plan!A$1:M$804,13,FALSE)&lt;&gt;"",VLOOKUP(A254,[1]Plan!A$1:M$804,13,FALSE),"")</f>
        <v/>
      </c>
      <c r="J254" s="55" t="str">
        <f>IF(VLOOKUP(A254,[1]Plan!A$1:N$804,14,FALSE)&lt;&gt;"",VLOOKUP(A254,[1]Plan!A$1:N$804,14,FALSE),IF(VLOOKUP(A254,[1]Plan!A$1:O$804,15,FALSE)&lt;&gt;"",VLOOKUP(A254,[1]Plan!A$1:O$804,15,FALSE),""))</f>
        <v/>
      </c>
      <c r="K254" s="56" t="str">
        <f>IF(VLOOKUP(A254,[1]Plan!A$1:P$804,16,FALSE)&lt;&gt;"",VLOOKUP(A254,[1]Plan!A$1:P$804,16,FALSE),"")</f>
        <v/>
      </c>
      <c r="L254" s="55"/>
      <c r="M254" s="55"/>
      <c r="N254" s="55"/>
      <c r="O254" s="57">
        <f>IF(F254=0,E254,F254)</f>
        <v>0</v>
      </c>
      <c r="P254" s="57" t="b">
        <f>OR(H254="Y",I254="Y")</f>
        <v>0</v>
      </c>
      <c r="Q254" s="58">
        <f>IF(P254,O254*'[1]ETC Data'!$H$3*'[1]ETC Data'!$I$3,0)</f>
        <v>0</v>
      </c>
      <c r="R254" s="58">
        <f>Q254-(Q254*((VLOOKUP(A254,[1]Plan!A$1:Z$804,26,FALSE)/100)))</f>
        <v>0</v>
      </c>
      <c r="S254" s="58">
        <f>IF(P254,O254*'[1]ETC Data'!$H$3*'[1]ETC Data'!$J$3,0)</f>
        <v>0</v>
      </c>
      <c r="T254" s="58">
        <f>S254-(S254*((VLOOKUP(A254,[1]Plan!A$1:AA$804,27,FALSE)/100)))</f>
        <v>0</v>
      </c>
      <c r="U254" s="58">
        <f>IF(P254,O254*'[1]ETC Data'!$H$3*'[1]ETC Data'!$K$3,0)</f>
        <v>0</v>
      </c>
      <c r="V254" s="58">
        <f>U254-(U254*((VLOOKUP(A254,[1]Plan!A$1:AB$804,28,FALSE)/100)))</f>
        <v>0</v>
      </c>
      <c r="W254" s="58">
        <f>IF(P254,O254*'[1]ETC Data'!$H$3*'[1]ETC Data'!$L$3,0)</f>
        <v>0</v>
      </c>
      <c r="X254" s="58">
        <f>W254-(W254*((VLOOKUP(A254,[1]Plan!A$1:AC$804,29,FALSE)/100)))</f>
        <v>0</v>
      </c>
      <c r="Y254" s="59"/>
      <c r="Z254" s="60" t="b">
        <f>OR(H254="Y",J254="Y")</f>
        <v>0</v>
      </c>
      <c r="AA254" s="58">
        <f>IF(Z254,O254*'[1]ETC Data'!$H$4*'[1]ETC Data'!$I$4,0)</f>
        <v>0</v>
      </c>
      <c r="AB254" s="58">
        <f>AA254-(AA254*((VLOOKUP(A254,[1]Plan!A$1:AI$804,35,FALSE)/100)))</f>
        <v>0</v>
      </c>
      <c r="AC254" s="58">
        <f>IF(Z254,O254*'[1]ETC Data'!$H$4*'[1]ETC Data'!$J$4,0)</f>
        <v>0</v>
      </c>
      <c r="AD254" s="58">
        <f>AC254-(AC254*((VLOOKUP(A254,[1]Plan!A$1:AJ$804,36,FALSE)/100)))</f>
        <v>0</v>
      </c>
      <c r="AE254" s="58">
        <f>IF(Z254,O254*'[1]ETC Data'!$H$4*'[1]ETC Data'!$K$4,0)</f>
        <v>0</v>
      </c>
      <c r="AF254" s="58">
        <f>AE254-(AE254*((VLOOKUP(A254,[1]Plan!A$1:AK$804,37,FALSE)/100)))</f>
        <v>0</v>
      </c>
      <c r="AG254" s="58">
        <f>IF(Z254,O254*'[1]ETC Data'!$H$4*'[1]ETC Data'!$L$4,0)</f>
        <v>0</v>
      </c>
      <c r="AH254" s="58">
        <f>AG254-(AG254*((VLOOKUP(A254,[1]Plan!A$1:AP$804,42,FALSE)/100)))</f>
        <v>0</v>
      </c>
      <c r="AI254" s="60"/>
      <c r="AJ254" s="60" t="b">
        <f>OR(H254="Y",K254="Y")</f>
        <v>0</v>
      </c>
      <c r="AK254" s="61">
        <f>IF(AJ254,O254*'[1]ETC Data'!$H$5*'[1]ETC Data'!$I$5,0)</f>
        <v>0</v>
      </c>
      <c r="AL254" s="58">
        <f>AK254-(AK254*((VLOOKUP(A254,[1]Plan!A$1:AY$804,51,FALSE)/100)))</f>
        <v>0</v>
      </c>
      <c r="AM254" s="58">
        <f>IF(AJ254,O254*'[1]ETC Data'!$H$5*'[1]ETC Data'!$J$5,0)</f>
        <v>0</v>
      </c>
      <c r="AN254" s="58">
        <f>AM254-(AM254*((VLOOKUP(A254,[1]Plan!A$1:BA$804,53,FALSE)/100)))</f>
        <v>0</v>
      </c>
      <c r="AO254" s="61">
        <f>IF(AJ254,O254*'[1]ETC Data'!$H$5*'[1]ETC Data'!$K$5,0)</f>
        <v>0</v>
      </c>
      <c r="AP254" s="58">
        <f>AO254-(AO254*((VLOOKUP(A254,[1]Plan!A$1:BB$804,54,FALSE)/100)))</f>
        <v>0</v>
      </c>
      <c r="AQ254" s="58">
        <f>IF(AJ254,O254*'[1]ETC Data'!$H$5*'[1]ETC Data'!$L$5,0)</f>
        <v>0</v>
      </c>
      <c r="AR254" s="58">
        <f>AQ254-(AQ254*((VLOOKUP(A254,[1]Plan!A$1:BD$804,56,FALSE)/100)))</f>
        <v>0</v>
      </c>
      <c r="AS254" s="20">
        <f>VLOOKUP(A254,'[1]PR Matrix'!A:B,2,FALSE)</f>
        <v>0</v>
      </c>
      <c r="AT254" s="21">
        <f>R254+T254+V254+X254+AB254+AD254+AF254+AH254+AL254+AN254+AP254+AR254</f>
        <v>0</v>
      </c>
      <c r="AU254" s="21">
        <f>Q254+S254+U254+W254+AA254+AC254+AE254+AG254+AK254+AM254+AO254+AQ254</f>
        <v>0</v>
      </c>
      <c r="AV254" s="21">
        <f>R254+AB254+AL254</f>
        <v>0</v>
      </c>
      <c r="AW254" s="21">
        <f>T254+AD254+AN254</f>
        <v>0</v>
      </c>
      <c r="AX254" s="21">
        <f>V254+AF254+AP254</f>
        <v>0</v>
      </c>
      <c r="AY254" s="21">
        <f>X254+AH254+AR254</f>
        <v>0</v>
      </c>
    </row>
    <row r="255" spans="1:55" hidden="1" x14ac:dyDescent="0.2">
      <c r="A255" s="50" t="s">
        <v>462</v>
      </c>
      <c r="B255" s="51" t="s">
        <v>258</v>
      </c>
      <c r="C255" s="51"/>
      <c r="D255" s="51"/>
      <c r="E255" s="52">
        <f>IF(G255="Y",VLOOKUP(B255&amp;"|"&amp;C255,'[1]ETC Data'!$C$2:$D$16,2,FALSE),0)</f>
        <v>0</v>
      </c>
      <c r="F255" s="52">
        <f>IF(D255="",0,IF(G255="Y",VLOOKUP(B255&amp;"|"&amp;D255,'[1]ETC Data'!$C$2:$D$16,2,FALSE),0))</f>
        <v>0</v>
      </c>
      <c r="G255" s="53" t="str">
        <f>IF(VLOOKUP(A255,[1]Plan!A$1:H$804,8,FALSE)&lt;&gt;"",VLOOKUP(A255,[1]Plan!A$1:H$804,8,FALSE),"")</f>
        <v>N</v>
      </c>
      <c r="H255" s="54" t="str">
        <f>IF(VLOOKUP(A255,[1]Plan!A$1:L$804,12,FALSE)&lt;&gt;"",VLOOKUP(A255,[1]Plan!A$1:L$804,12,FALSE),"")</f>
        <v/>
      </c>
      <c r="I255" s="55" t="str">
        <f>IF(VLOOKUP(A255,[1]Plan!A$1:M$804,13,FALSE)&lt;&gt;"",VLOOKUP(A255,[1]Plan!A$1:M$804,13,FALSE),"")</f>
        <v/>
      </c>
      <c r="J255" s="55" t="str">
        <f>IF(VLOOKUP(A255,[1]Plan!A$1:N$804,14,FALSE)&lt;&gt;"",VLOOKUP(A255,[1]Plan!A$1:N$804,14,FALSE),IF(VLOOKUP(A255,[1]Plan!A$1:O$804,15,FALSE)&lt;&gt;"",VLOOKUP(A255,[1]Plan!A$1:O$804,15,FALSE),""))</f>
        <v/>
      </c>
      <c r="K255" s="56" t="str">
        <f>IF(VLOOKUP(A255,[1]Plan!A$1:P$804,16,FALSE)&lt;&gt;"",VLOOKUP(A255,[1]Plan!A$1:P$804,16,FALSE),"")</f>
        <v/>
      </c>
      <c r="L255" s="55"/>
      <c r="M255" s="55"/>
      <c r="N255" s="55"/>
      <c r="O255" s="57">
        <f>IF(F255=0,E255,F255)</f>
        <v>0</v>
      </c>
      <c r="P255" s="57" t="b">
        <f>OR(H255="Y",I255="Y")</f>
        <v>0</v>
      </c>
      <c r="Q255" s="58">
        <f>IF(P255,O255*'[1]ETC Data'!$H$3*'[1]ETC Data'!$I$3,0)</f>
        <v>0</v>
      </c>
      <c r="R255" s="58">
        <f>Q255-(Q255*((VLOOKUP(A255,[1]Plan!A$1:Z$804,26,FALSE)/100)))</f>
        <v>0</v>
      </c>
      <c r="S255" s="58">
        <f>IF(P255,O255*'[1]ETC Data'!$H$3*'[1]ETC Data'!$J$3,0)</f>
        <v>0</v>
      </c>
      <c r="T255" s="58">
        <f>S255-(S255*((VLOOKUP(A255,[1]Plan!A$1:AA$804,27,FALSE)/100)))</f>
        <v>0</v>
      </c>
      <c r="U255" s="58">
        <f>IF(P255,O255*'[1]ETC Data'!$H$3*'[1]ETC Data'!$K$3,0)</f>
        <v>0</v>
      </c>
      <c r="V255" s="58">
        <f>U255-(U255*((VLOOKUP(A255,[1]Plan!A$1:AB$804,28,FALSE)/100)))</f>
        <v>0</v>
      </c>
      <c r="W255" s="58">
        <f>IF(P255,O255*'[1]ETC Data'!$H$3*'[1]ETC Data'!$L$3,0)</f>
        <v>0</v>
      </c>
      <c r="X255" s="58">
        <f>W255-(W255*((VLOOKUP(A255,[1]Plan!A$1:AC$804,29,FALSE)/100)))</f>
        <v>0</v>
      </c>
      <c r="Y255" s="59"/>
      <c r="Z255" s="60" t="b">
        <f>OR(H255="Y",J255="Y")</f>
        <v>0</v>
      </c>
      <c r="AA255" s="58">
        <f>IF(Z255,O255*'[1]ETC Data'!$H$4*'[1]ETC Data'!$I$4,0)</f>
        <v>0</v>
      </c>
      <c r="AB255" s="58">
        <f>AA255-(AA255*((VLOOKUP(A255,[1]Plan!A$1:AI$804,35,FALSE)/100)))</f>
        <v>0</v>
      </c>
      <c r="AC255" s="58">
        <f>IF(Z255,O255*'[1]ETC Data'!$H$4*'[1]ETC Data'!$J$4,0)</f>
        <v>0</v>
      </c>
      <c r="AD255" s="58">
        <f>AC255-(AC255*((VLOOKUP(A255,[1]Plan!A$1:AJ$804,36,FALSE)/100)))</f>
        <v>0</v>
      </c>
      <c r="AE255" s="58">
        <f>IF(Z255,O255*'[1]ETC Data'!$H$4*'[1]ETC Data'!$K$4,0)</f>
        <v>0</v>
      </c>
      <c r="AF255" s="58">
        <f>AE255-(AE255*((VLOOKUP(A255,[1]Plan!A$1:AK$804,37,FALSE)/100)))</f>
        <v>0</v>
      </c>
      <c r="AG255" s="58">
        <f>IF(Z255,O255*'[1]ETC Data'!$H$4*'[1]ETC Data'!$L$4,0)</f>
        <v>0</v>
      </c>
      <c r="AH255" s="58">
        <f>AG255-(AG255*((VLOOKUP(A255,[1]Plan!A$1:AP$804,42,FALSE)/100)))</f>
        <v>0</v>
      </c>
      <c r="AI255" s="60"/>
      <c r="AJ255" s="60" t="b">
        <f>OR(H255="Y",K255="Y")</f>
        <v>0</v>
      </c>
      <c r="AK255" s="61">
        <f>IF(AJ255,O255*'[1]ETC Data'!$H$5*'[1]ETC Data'!$I$5,0)</f>
        <v>0</v>
      </c>
      <c r="AL255" s="58">
        <f>AK255-(AK255*((VLOOKUP(A255,[1]Plan!A$1:AY$804,51,FALSE)/100)))</f>
        <v>0</v>
      </c>
      <c r="AM255" s="58">
        <f>IF(AJ255,O255*'[1]ETC Data'!$H$5*'[1]ETC Data'!$J$5,0)</f>
        <v>0</v>
      </c>
      <c r="AN255" s="58">
        <f>AM255-(AM255*((VLOOKUP(A255,[1]Plan!A$1:BA$804,53,FALSE)/100)))</f>
        <v>0</v>
      </c>
      <c r="AO255" s="61">
        <f>IF(AJ255,O255*'[1]ETC Data'!$H$5*'[1]ETC Data'!$K$5,0)</f>
        <v>0</v>
      </c>
      <c r="AP255" s="58">
        <f>AO255-(AO255*((VLOOKUP(A255,[1]Plan!A$1:BB$804,54,FALSE)/100)))</f>
        <v>0</v>
      </c>
      <c r="AQ255" s="58">
        <f>IF(AJ255,O255*'[1]ETC Data'!$H$5*'[1]ETC Data'!$L$5,0)</f>
        <v>0</v>
      </c>
      <c r="AR255" s="58">
        <f>AQ255-(AQ255*((VLOOKUP(A255,[1]Plan!A$1:BD$804,56,FALSE)/100)))</f>
        <v>0</v>
      </c>
      <c r="AS255" s="20">
        <f>VLOOKUP(A255,'[1]PR Matrix'!A:B,2,FALSE)</f>
        <v>0</v>
      </c>
      <c r="AT255" s="21">
        <f>R255+T255+V255+X255+AB255+AD255+AF255+AH255+AL255+AN255+AP255+AR255</f>
        <v>0</v>
      </c>
      <c r="AU255" s="21">
        <f>Q255+S255+U255+W255+AA255+AC255+AE255+AG255+AK255+AM255+AO255+AQ255</f>
        <v>0</v>
      </c>
      <c r="AV255" s="21">
        <f>R255+AB255+AL255</f>
        <v>0</v>
      </c>
      <c r="AW255" s="21">
        <f>T255+AD255+AN255</f>
        <v>0</v>
      </c>
      <c r="AX255" s="21">
        <f>V255+AF255+AP255</f>
        <v>0</v>
      </c>
      <c r="AY255" s="21">
        <f>X255+AH255+AR255</f>
        <v>0</v>
      </c>
      <c r="AZ255" s="64"/>
      <c r="BA255" s="64"/>
      <c r="BB255" s="64"/>
      <c r="BC255" s="64"/>
    </row>
    <row r="256" spans="1:55" hidden="1" x14ac:dyDescent="0.2">
      <c r="A256" s="65" t="s">
        <v>463</v>
      </c>
      <c r="B256" s="51" t="s">
        <v>258</v>
      </c>
      <c r="C256" s="51"/>
      <c r="D256" s="51"/>
      <c r="E256" s="52">
        <f>IF(G256="Y",VLOOKUP(B256&amp;"|"&amp;C256,'[1]ETC Data'!$C$2:$D$16,2,FALSE),0)</f>
        <v>0</v>
      </c>
      <c r="F256" s="52">
        <f>IF(D256="",0,IF(G256="Y",VLOOKUP(B256&amp;"|"&amp;D256,'[1]ETC Data'!$C$2:$D$16,2,FALSE),0))</f>
        <v>0</v>
      </c>
      <c r="G256" s="53" t="str">
        <f>IF(VLOOKUP(A256,[1]Plan!A$1:H$804,8,FALSE)&lt;&gt;"",VLOOKUP(A256,[1]Plan!A$1:H$804,8,FALSE),"")</f>
        <v>N</v>
      </c>
      <c r="H256" s="54" t="str">
        <f>IF(VLOOKUP(A256,[1]Plan!A$1:L$804,12,FALSE)&lt;&gt;"",VLOOKUP(A256,[1]Plan!A$1:L$804,12,FALSE),"")</f>
        <v/>
      </c>
      <c r="I256" s="55" t="str">
        <f>IF(VLOOKUP(A256,[1]Plan!A$1:M$804,13,FALSE)&lt;&gt;"",VLOOKUP(A256,[1]Plan!A$1:M$804,13,FALSE),"")</f>
        <v/>
      </c>
      <c r="J256" s="55" t="str">
        <f>IF(VLOOKUP(A256,[1]Plan!A$1:N$804,14,FALSE)&lt;&gt;"",VLOOKUP(A256,[1]Plan!A$1:N$804,14,FALSE),IF(VLOOKUP(A256,[1]Plan!A$1:O$804,15,FALSE)&lt;&gt;"",VLOOKUP(A256,[1]Plan!A$1:O$804,15,FALSE),""))</f>
        <v/>
      </c>
      <c r="K256" s="56" t="str">
        <f>IF(VLOOKUP(A256,[1]Plan!A$1:P$804,16,FALSE)&lt;&gt;"",VLOOKUP(A256,[1]Plan!A$1:P$804,16,FALSE),"")</f>
        <v/>
      </c>
      <c r="L256" s="55"/>
      <c r="M256" s="55"/>
      <c r="N256" s="55"/>
      <c r="O256" s="57">
        <f>IF(F256=0,E256,F256)</f>
        <v>0</v>
      </c>
      <c r="P256" s="57" t="b">
        <f>OR(H256="Y",I256="Y")</f>
        <v>0</v>
      </c>
      <c r="Q256" s="58">
        <f>IF(P256,O256*'[1]ETC Data'!$H$3*'[1]ETC Data'!$I$3,0)</f>
        <v>0</v>
      </c>
      <c r="R256" s="58">
        <f>Q256-(Q256*((VLOOKUP(A256,[1]Plan!A$1:Z$804,26,FALSE)/100)))</f>
        <v>0</v>
      </c>
      <c r="S256" s="58">
        <f>IF(P256,O256*'[1]ETC Data'!$H$3*'[1]ETC Data'!$J$3,0)</f>
        <v>0</v>
      </c>
      <c r="T256" s="58">
        <f>S256-(S256*((VLOOKUP(A256,[1]Plan!A$1:AA$804,27,FALSE)/100)))</f>
        <v>0</v>
      </c>
      <c r="U256" s="58">
        <f>IF(P256,O256*'[1]ETC Data'!$H$3*'[1]ETC Data'!$K$3,0)</f>
        <v>0</v>
      </c>
      <c r="V256" s="58">
        <f>U256-(U256*((VLOOKUP(A256,[1]Plan!A$1:AB$804,28,FALSE)/100)))</f>
        <v>0</v>
      </c>
      <c r="W256" s="58">
        <f>IF(P256,O256*'[1]ETC Data'!$H$3*'[1]ETC Data'!$L$3,0)</f>
        <v>0</v>
      </c>
      <c r="X256" s="58">
        <f>W256-(W256*((VLOOKUP(A256,[1]Plan!A$1:AC$804,29,FALSE)/100)))</f>
        <v>0</v>
      </c>
      <c r="Y256" s="59"/>
      <c r="Z256" s="60" t="b">
        <f>OR(H256="Y",J256="Y")</f>
        <v>0</v>
      </c>
      <c r="AA256" s="58">
        <f>IF(Z256,O256*'[1]ETC Data'!$H$4*'[1]ETC Data'!$I$4,0)</f>
        <v>0</v>
      </c>
      <c r="AB256" s="58">
        <f>AA256-(AA256*((VLOOKUP(A256,[1]Plan!A$1:AI$804,35,FALSE)/100)))</f>
        <v>0</v>
      </c>
      <c r="AC256" s="58">
        <f>IF(Z256,O256*'[1]ETC Data'!$H$4*'[1]ETC Data'!$J$4,0)</f>
        <v>0</v>
      </c>
      <c r="AD256" s="58">
        <f>AC256-(AC256*((VLOOKUP(A256,[1]Plan!A$1:AJ$804,36,FALSE)/100)))</f>
        <v>0</v>
      </c>
      <c r="AE256" s="58">
        <f>IF(Z256,O256*'[1]ETC Data'!$H$4*'[1]ETC Data'!$K$4,0)</f>
        <v>0</v>
      </c>
      <c r="AF256" s="58">
        <f>AE256-(AE256*((VLOOKUP(A256,[1]Plan!A$1:AK$804,37,FALSE)/100)))</f>
        <v>0</v>
      </c>
      <c r="AG256" s="58">
        <f>IF(Z256,O256*'[1]ETC Data'!$H$4*'[1]ETC Data'!$L$4,0)</f>
        <v>0</v>
      </c>
      <c r="AH256" s="58">
        <f>AG256-(AG256*((VLOOKUP(A256,[1]Plan!A$1:AP$804,42,FALSE)/100)))</f>
        <v>0</v>
      </c>
      <c r="AI256" s="60"/>
      <c r="AJ256" s="60" t="b">
        <f>OR(H256="Y",K256="Y")</f>
        <v>0</v>
      </c>
      <c r="AK256" s="61">
        <f>IF(AJ256,O256*'[1]ETC Data'!$H$5*'[1]ETC Data'!$I$5,0)</f>
        <v>0</v>
      </c>
      <c r="AL256" s="58">
        <f>AK256-(AK256*((VLOOKUP(A256,[1]Plan!A$1:AY$804,51,FALSE)/100)))</f>
        <v>0</v>
      </c>
      <c r="AM256" s="58">
        <f>IF(AJ256,O256*'[1]ETC Data'!$H$5*'[1]ETC Data'!$J$5,0)</f>
        <v>0</v>
      </c>
      <c r="AN256" s="58">
        <f>AM256-(AM256*((VLOOKUP(A256,[1]Plan!A$1:BA$804,53,FALSE)/100)))</f>
        <v>0</v>
      </c>
      <c r="AO256" s="61">
        <f>IF(AJ256,O256*'[1]ETC Data'!$H$5*'[1]ETC Data'!$K$5,0)</f>
        <v>0</v>
      </c>
      <c r="AP256" s="58">
        <f>AO256-(AO256*((VLOOKUP(A256,[1]Plan!A$1:BB$804,54,FALSE)/100)))</f>
        <v>0</v>
      </c>
      <c r="AQ256" s="58">
        <f>IF(AJ256,O256*'[1]ETC Data'!$H$5*'[1]ETC Data'!$L$5,0)</f>
        <v>0</v>
      </c>
      <c r="AR256" s="58">
        <f>AQ256-(AQ256*((VLOOKUP(A256,[1]Plan!A$1:BD$804,56,FALSE)/100)))</f>
        <v>0</v>
      </c>
      <c r="AS256" s="20">
        <f>VLOOKUP(A256,'[1]PR Matrix'!A:B,2,FALSE)</f>
        <v>0</v>
      </c>
      <c r="AT256" s="21">
        <f>R256+T256+V256+X256+AB256+AD256+AF256+AH256+AL256+AN256+AP256+AR256</f>
        <v>0</v>
      </c>
      <c r="AU256" s="21">
        <f>Q256+S256+U256+W256+AA256+AC256+AE256+AG256+AK256+AM256+AO256+AQ256</f>
        <v>0</v>
      </c>
      <c r="AV256" s="21">
        <f>R256+AB256+AL256</f>
        <v>0</v>
      </c>
      <c r="AW256" s="21">
        <f>T256+AD256+AN256</f>
        <v>0</v>
      </c>
      <c r="AX256" s="21">
        <f>V256+AF256+AP256</f>
        <v>0</v>
      </c>
      <c r="AY256" s="21">
        <f>X256+AH256+AR256</f>
        <v>0</v>
      </c>
      <c r="AZ256" s="64"/>
      <c r="BA256" s="64"/>
      <c r="BB256" s="64"/>
      <c r="BC256" s="64"/>
    </row>
    <row r="257" spans="1:55" hidden="1" x14ac:dyDescent="0.2">
      <c r="A257" s="65" t="s">
        <v>464</v>
      </c>
      <c r="B257" s="51" t="s">
        <v>258</v>
      </c>
      <c r="C257" s="51"/>
      <c r="D257" s="51"/>
      <c r="E257" s="52">
        <f>IF(G257="Y",VLOOKUP(B257&amp;"|"&amp;C257,'[1]ETC Data'!$C$2:$D$16,2,FALSE),0)</f>
        <v>0</v>
      </c>
      <c r="F257" s="52">
        <f>IF(D257="",0,IF(G257="Y",VLOOKUP(B257&amp;"|"&amp;D257,'[1]ETC Data'!$C$2:$D$16,2,FALSE),0))</f>
        <v>0</v>
      </c>
      <c r="G257" s="53" t="str">
        <f>IF(VLOOKUP(A257,[1]Plan!A$1:H$804,8,FALSE)&lt;&gt;"",VLOOKUP(A257,[1]Plan!A$1:H$804,8,FALSE),"")</f>
        <v>N</v>
      </c>
      <c r="H257" s="54" t="str">
        <f>IF(VLOOKUP(A257,[1]Plan!A$1:L$804,12,FALSE)&lt;&gt;"",VLOOKUP(A257,[1]Plan!A$1:L$804,12,FALSE),"")</f>
        <v/>
      </c>
      <c r="I257" s="55" t="str">
        <f>IF(VLOOKUP(A257,[1]Plan!A$1:M$804,13,FALSE)&lt;&gt;"",VLOOKUP(A257,[1]Plan!A$1:M$804,13,FALSE),"")</f>
        <v/>
      </c>
      <c r="J257" s="55" t="str">
        <f>IF(VLOOKUP(A257,[1]Plan!A$1:N$804,14,FALSE)&lt;&gt;"",VLOOKUP(A257,[1]Plan!A$1:N$804,14,FALSE),IF(VLOOKUP(A257,[1]Plan!A$1:O$804,15,FALSE)&lt;&gt;"",VLOOKUP(A257,[1]Plan!A$1:O$804,15,FALSE),""))</f>
        <v/>
      </c>
      <c r="K257" s="56" t="str">
        <f>IF(VLOOKUP(A257,[1]Plan!A$1:P$804,16,FALSE)&lt;&gt;"",VLOOKUP(A257,[1]Plan!A$1:P$804,16,FALSE),"")</f>
        <v/>
      </c>
      <c r="L257" s="55"/>
      <c r="M257" s="55"/>
      <c r="N257" s="55"/>
      <c r="O257" s="57">
        <f>IF(F257=0,E257,F257)</f>
        <v>0</v>
      </c>
      <c r="P257" s="57" t="b">
        <f>OR(H257="Y",I257="Y")</f>
        <v>0</v>
      </c>
      <c r="Q257" s="58">
        <f>IF(P257,O257*'[1]ETC Data'!$H$3*'[1]ETC Data'!$I$3,0)</f>
        <v>0</v>
      </c>
      <c r="R257" s="58">
        <f>Q257-(Q257*((VLOOKUP(A257,[1]Plan!A$1:Z$804,26,FALSE)/100)))</f>
        <v>0</v>
      </c>
      <c r="S257" s="58">
        <f>IF(P257,O257*'[1]ETC Data'!$H$3*'[1]ETC Data'!$J$3,0)</f>
        <v>0</v>
      </c>
      <c r="T257" s="58">
        <f>S257-(S257*((VLOOKUP(A257,[1]Plan!A$1:AA$804,27,FALSE)/100)))</f>
        <v>0</v>
      </c>
      <c r="U257" s="58">
        <f>IF(P257,O257*'[1]ETC Data'!$H$3*'[1]ETC Data'!$K$3,0)</f>
        <v>0</v>
      </c>
      <c r="V257" s="58">
        <f>U257-(U257*((VLOOKUP(A257,[1]Plan!A$1:AB$804,28,FALSE)/100)))</f>
        <v>0</v>
      </c>
      <c r="W257" s="58">
        <f>IF(P257,O257*'[1]ETC Data'!$H$3*'[1]ETC Data'!$L$3,0)</f>
        <v>0</v>
      </c>
      <c r="X257" s="58">
        <f>W257-(W257*((VLOOKUP(A257,[1]Plan!A$1:AC$804,29,FALSE)/100)))</f>
        <v>0</v>
      </c>
      <c r="Y257" s="59"/>
      <c r="Z257" s="60" t="b">
        <f>OR(H257="Y",J257="Y")</f>
        <v>0</v>
      </c>
      <c r="AA257" s="58">
        <f>IF(Z257,O257*'[1]ETC Data'!$H$4*'[1]ETC Data'!$I$4,0)</f>
        <v>0</v>
      </c>
      <c r="AB257" s="58">
        <f>AA257-(AA257*((VLOOKUP(A257,[1]Plan!A$1:AI$804,35,FALSE)/100)))</f>
        <v>0</v>
      </c>
      <c r="AC257" s="58">
        <f>IF(Z257,O257*'[1]ETC Data'!$H$4*'[1]ETC Data'!$J$4,0)</f>
        <v>0</v>
      </c>
      <c r="AD257" s="58">
        <f>AC257-(AC257*((VLOOKUP(A257,[1]Plan!A$1:AJ$804,36,FALSE)/100)))</f>
        <v>0</v>
      </c>
      <c r="AE257" s="58">
        <f>IF(Z257,O257*'[1]ETC Data'!$H$4*'[1]ETC Data'!$K$4,0)</f>
        <v>0</v>
      </c>
      <c r="AF257" s="58">
        <f>AE257-(AE257*((VLOOKUP(A257,[1]Plan!A$1:AK$804,37,FALSE)/100)))</f>
        <v>0</v>
      </c>
      <c r="AG257" s="58">
        <f>IF(Z257,O257*'[1]ETC Data'!$H$4*'[1]ETC Data'!$L$4,0)</f>
        <v>0</v>
      </c>
      <c r="AH257" s="58">
        <f>AG257-(AG257*((VLOOKUP(A257,[1]Plan!A$1:AP$804,42,FALSE)/100)))</f>
        <v>0</v>
      </c>
      <c r="AI257" s="60"/>
      <c r="AJ257" s="60" t="b">
        <f>OR(H257="Y",K257="Y")</f>
        <v>0</v>
      </c>
      <c r="AK257" s="61">
        <f>IF(AJ257,O257*'[1]ETC Data'!$H$5*'[1]ETC Data'!$I$5,0)</f>
        <v>0</v>
      </c>
      <c r="AL257" s="58">
        <f>AK257-(AK257*((VLOOKUP(A257,[1]Plan!A$1:AY$804,51,FALSE)/100)))</f>
        <v>0</v>
      </c>
      <c r="AM257" s="58">
        <f>IF(AJ257,O257*'[1]ETC Data'!$H$5*'[1]ETC Data'!$J$5,0)</f>
        <v>0</v>
      </c>
      <c r="AN257" s="58">
        <f>AM257-(AM257*((VLOOKUP(A257,[1]Plan!A$1:BA$804,53,FALSE)/100)))</f>
        <v>0</v>
      </c>
      <c r="AO257" s="61">
        <f>IF(AJ257,O257*'[1]ETC Data'!$H$5*'[1]ETC Data'!$K$5,0)</f>
        <v>0</v>
      </c>
      <c r="AP257" s="58">
        <f>AO257-(AO257*((VLOOKUP(A257,[1]Plan!A$1:BB$804,54,FALSE)/100)))</f>
        <v>0</v>
      </c>
      <c r="AQ257" s="58">
        <f>IF(AJ257,O257*'[1]ETC Data'!$H$5*'[1]ETC Data'!$L$5,0)</f>
        <v>0</v>
      </c>
      <c r="AR257" s="58">
        <f>AQ257-(AQ257*((VLOOKUP(A257,[1]Plan!A$1:BD$804,56,FALSE)/100)))</f>
        <v>0</v>
      </c>
      <c r="AS257" s="20">
        <f>VLOOKUP(A257,'[1]PR Matrix'!A:B,2,FALSE)</f>
        <v>0</v>
      </c>
      <c r="AT257" s="21">
        <f>R257+T257+V257+X257+AB257+AD257+AF257+AH257+AL257+AN257+AP257+AR257</f>
        <v>0</v>
      </c>
      <c r="AU257" s="21">
        <f>Q257+S257+U257+W257+AA257+AC257+AE257+AG257+AK257+AM257+AO257+AQ257</f>
        <v>0</v>
      </c>
      <c r="AV257" s="21">
        <f>R257+AB257+AL257</f>
        <v>0</v>
      </c>
      <c r="AW257" s="21">
        <f>T257+AD257+AN257</f>
        <v>0</v>
      </c>
      <c r="AX257" s="21">
        <f>V257+AF257+AP257</f>
        <v>0</v>
      </c>
      <c r="AY257" s="21">
        <f>X257+AH257+AR257</f>
        <v>0</v>
      </c>
      <c r="AZ257" s="64"/>
      <c r="BA257" s="64"/>
      <c r="BB257" s="64"/>
      <c r="BC257" s="64"/>
    </row>
    <row r="258" spans="1:55" hidden="1" x14ac:dyDescent="0.2">
      <c r="A258" s="65" t="s">
        <v>465</v>
      </c>
      <c r="B258" s="51" t="s">
        <v>258</v>
      </c>
      <c r="C258" s="51"/>
      <c r="D258" s="51"/>
      <c r="E258" s="52">
        <f>IF(G258="Y",VLOOKUP(B258&amp;"|"&amp;C258,'[1]ETC Data'!$C$2:$D$16,2,FALSE),0)</f>
        <v>0</v>
      </c>
      <c r="F258" s="52">
        <f>IF(D258="",0,IF(G258="Y",VLOOKUP(B258&amp;"|"&amp;D258,'[1]ETC Data'!$C$2:$D$16,2,FALSE),0))</f>
        <v>0</v>
      </c>
      <c r="G258" s="53" t="str">
        <f>IF(VLOOKUP(A258,[1]Plan!A$1:H$804,8,FALSE)&lt;&gt;"",VLOOKUP(A258,[1]Plan!A$1:H$804,8,FALSE),"")</f>
        <v>N</v>
      </c>
      <c r="H258" s="54" t="str">
        <f>IF(VLOOKUP(A258,[1]Plan!A$1:L$804,12,FALSE)&lt;&gt;"",VLOOKUP(A258,[1]Plan!A$1:L$804,12,FALSE),"")</f>
        <v/>
      </c>
      <c r="I258" s="55" t="str">
        <f>IF(VLOOKUP(A258,[1]Plan!A$1:M$804,13,FALSE)&lt;&gt;"",VLOOKUP(A258,[1]Plan!A$1:M$804,13,FALSE),"")</f>
        <v/>
      </c>
      <c r="J258" s="55" t="str">
        <f>IF(VLOOKUP(A258,[1]Plan!A$1:N$804,14,FALSE)&lt;&gt;"",VLOOKUP(A258,[1]Plan!A$1:N$804,14,FALSE),IF(VLOOKUP(A258,[1]Plan!A$1:O$804,15,FALSE)&lt;&gt;"",VLOOKUP(A258,[1]Plan!A$1:O$804,15,FALSE),""))</f>
        <v/>
      </c>
      <c r="K258" s="56" t="str">
        <f>IF(VLOOKUP(A258,[1]Plan!A$1:P$804,16,FALSE)&lt;&gt;"",VLOOKUP(A258,[1]Plan!A$1:P$804,16,FALSE),"")</f>
        <v/>
      </c>
      <c r="L258" s="55"/>
      <c r="M258" s="55"/>
      <c r="N258" s="55"/>
      <c r="O258" s="57">
        <f>IF(F258=0,E258,F258)</f>
        <v>0</v>
      </c>
      <c r="P258" s="57" t="b">
        <f>OR(H258="Y",I258="Y")</f>
        <v>0</v>
      </c>
      <c r="Q258" s="58">
        <f>IF(P258,O258*'[1]ETC Data'!$H$3*'[1]ETC Data'!$I$3,0)</f>
        <v>0</v>
      </c>
      <c r="R258" s="58">
        <f>Q258-(Q258*((VLOOKUP(A258,[1]Plan!A$1:Z$804,26,FALSE)/100)))</f>
        <v>0</v>
      </c>
      <c r="S258" s="58">
        <f>IF(P258,O258*'[1]ETC Data'!$H$3*'[1]ETC Data'!$J$3,0)</f>
        <v>0</v>
      </c>
      <c r="T258" s="58">
        <f>S258-(S258*((VLOOKUP(A258,[1]Plan!A$1:AA$804,27,FALSE)/100)))</f>
        <v>0</v>
      </c>
      <c r="U258" s="58">
        <f>IF(P258,O258*'[1]ETC Data'!$H$3*'[1]ETC Data'!$K$3,0)</f>
        <v>0</v>
      </c>
      <c r="V258" s="58">
        <f>U258-(U258*((VLOOKUP(A258,[1]Plan!A$1:AB$804,28,FALSE)/100)))</f>
        <v>0</v>
      </c>
      <c r="W258" s="58">
        <f>IF(P258,O258*'[1]ETC Data'!$H$3*'[1]ETC Data'!$L$3,0)</f>
        <v>0</v>
      </c>
      <c r="X258" s="58">
        <f>W258-(W258*((VLOOKUP(A258,[1]Plan!A$1:AC$804,29,FALSE)/100)))</f>
        <v>0</v>
      </c>
      <c r="Y258" s="59"/>
      <c r="Z258" s="60" t="b">
        <f>OR(H258="Y",J258="Y")</f>
        <v>0</v>
      </c>
      <c r="AA258" s="58">
        <f>IF(Z258,O258*'[1]ETC Data'!$H$4*'[1]ETC Data'!$I$4,0)</f>
        <v>0</v>
      </c>
      <c r="AB258" s="58">
        <f>AA258-(AA258*((VLOOKUP(A258,[1]Plan!A$1:AI$804,35,FALSE)/100)))</f>
        <v>0</v>
      </c>
      <c r="AC258" s="58">
        <f>IF(Z258,O258*'[1]ETC Data'!$H$4*'[1]ETC Data'!$J$4,0)</f>
        <v>0</v>
      </c>
      <c r="AD258" s="58">
        <f>AC258-(AC258*((VLOOKUP(A258,[1]Plan!A$1:AJ$804,36,FALSE)/100)))</f>
        <v>0</v>
      </c>
      <c r="AE258" s="58">
        <f>IF(Z258,O258*'[1]ETC Data'!$H$4*'[1]ETC Data'!$K$4,0)</f>
        <v>0</v>
      </c>
      <c r="AF258" s="58">
        <f>AE258-(AE258*((VLOOKUP(A258,[1]Plan!A$1:AK$804,37,FALSE)/100)))</f>
        <v>0</v>
      </c>
      <c r="AG258" s="58">
        <f>IF(Z258,O258*'[1]ETC Data'!$H$4*'[1]ETC Data'!$L$4,0)</f>
        <v>0</v>
      </c>
      <c r="AH258" s="58">
        <f>AG258-(AG258*((VLOOKUP(A258,[1]Plan!A$1:AP$804,42,FALSE)/100)))</f>
        <v>0</v>
      </c>
      <c r="AI258" s="60"/>
      <c r="AJ258" s="60" t="b">
        <f>OR(H258="Y",K258="Y")</f>
        <v>0</v>
      </c>
      <c r="AK258" s="61">
        <f>IF(AJ258,O258*'[1]ETC Data'!$H$5*'[1]ETC Data'!$I$5,0)</f>
        <v>0</v>
      </c>
      <c r="AL258" s="58">
        <f>AK258-(AK258*((VLOOKUP(A258,[1]Plan!A$1:AY$804,51,FALSE)/100)))</f>
        <v>0</v>
      </c>
      <c r="AM258" s="58">
        <f>IF(AJ258,O258*'[1]ETC Data'!$H$5*'[1]ETC Data'!$J$5,0)</f>
        <v>0</v>
      </c>
      <c r="AN258" s="58">
        <f>AM258-(AM258*((VLOOKUP(A258,[1]Plan!A$1:BA$804,53,FALSE)/100)))</f>
        <v>0</v>
      </c>
      <c r="AO258" s="61">
        <f>IF(AJ258,O258*'[1]ETC Data'!$H$5*'[1]ETC Data'!$K$5,0)</f>
        <v>0</v>
      </c>
      <c r="AP258" s="58">
        <f>AO258-(AO258*((VLOOKUP(A258,[1]Plan!A$1:BB$804,54,FALSE)/100)))</f>
        <v>0</v>
      </c>
      <c r="AQ258" s="58">
        <f>IF(AJ258,O258*'[1]ETC Data'!$H$5*'[1]ETC Data'!$L$5,0)</f>
        <v>0</v>
      </c>
      <c r="AR258" s="58">
        <f>AQ258-(AQ258*((VLOOKUP(A258,[1]Plan!A$1:BD$804,56,FALSE)/100)))</f>
        <v>0</v>
      </c>
      <c r="AS258" s="20">
        <f>VLOOKUP(A258,'[1]PR Matrix'!A:B,2,FALSE)</f>
        <v>0</v>
      </c>
      <c r="AT258" s="21">
        <f>R258+T258+V258+X258+AB258+AD258+AF258+AH258+AL258+AN258+AP258+AR258</f>
        <v>0</v>
      </c>
      <c r="AU258" s="21">
        <f>Q258+S258+U258+W258+AA258+AC258+AE258+AG258+AK258+AM258+AO258+AQ258</f>
        <v>0</v>
      </c>
      <c r="AV258" s="21">
        <f>R258+AB258+AL258</f>
        <v>0</v>
      </c>
      <c r="AW258" s="21">
        <f>T258+AD258+AN258</f>
        <v>0</v>
      </c>
      <c r="AX258" s="21">
        <f>V258+AF258+AP258</f>
        <v>0</v>
      </c>
      <c r="AY258" s="21">
        <f>X258+AH258+AR258</f>
        <v>0</v>
      </c>
      <c r="AZ258" s="64"/>
      <c r="BA258" s="64"/>
      <c r="BB258" s="64"/>
      <c r="BC258" s="64"/>
    </row>
    <row r="259" spans="1:55" hidden="1" x14ac:dyDescent="0.2">
      <c r="A259" s="65" t="s">
        <v>466</v>
      </c>
      <c r="B259" s="51" t="s">
        <v>258</v>
      </c>
      <c r="C259" s="51"/>
      <c r="D259" s="51"/>
      <c r="E259" s="52">
        <f>IF(G259="Y",VLOOKUP(B259&amp;"|"&amp;C259,'[1]ETC Data'!$C$2:$D$16,2,FALSE),0)</f>
        <v>0</v>
      </c>
      <c r="F259" s="52">
        <f>IF(D259="",0,IF(G259="Y",VLOOKUP(B259&amp;"|"&amp;D259,'[1]ETC Data'!$C$2:$D$16,2,FALSE),0))</f>
        <v>0</v>
      </c>
      <c r="G259" s="53" t="str">
        <f>IF(VLOOKUP(A259,[1]Plan!A$1:H$804,8,FALSE)&lt;&gt;"",VLOOKUP(A259,[1]Plan!A$1:H$804,8,FALSE),"")</f>
        <v>N</v>
      </c>
      <c r="H259" s="54" t="str">
        <f>IF(VLOOKUP(A259,[1]Plan!A$1:L$804,12,FALSE)&lt;&gt;"",VLOOKUP(A259,[1]Plan!A$1:L$804,12,FALSE),"")</f>
        <v/>
      </c>
      <c r="I259" s="55" t="str">
        <f>IF(VLOOKUP(A259,[1]Plan!A$1:M$804,13,FALSE)&lt;&gt;"",VLOOKUP(A259,[1]Plan!A$1:M$804,13,FALSE),"")</f>
        <v/>
      </c>
      <c r="J259" s="55" t="str">
        <f>IF(VLOOKUP(A259,[1]Plan!A$1:N$804,14,FALSE)&lt;&gt;"",VLOOKUP(A259,[1]Plan!A$1:N$804,14,FALSE),IF(VLOOKUP(A259,[1]Plan!A$1:O$804,15,FALSE)&lt;&gt;"",VLOOKUP(A259,[1]Plan!A$1:O$804,15,FALSE),""))</f>
        <v/>
      </c>
      <c r="K259" s="56" t="str">
        <f>IF(VLOOKUP(A259,[1]Plan!A$1:P$804,16,FALSE)&lt;&gt;"",VLOOKUP(A259,[1]Plan!A$1:P$804,16,FALSE),"")</f>
        <v/>
      </c>
      <c r="L259" s="55"/>
      <c r="M259" s="55"/>
      <c r="N259" s="55"/>
      <c r="O259" s="57">
        <f>IF(F259=0,E259,F259)</f>
        <v>0</v>
      </c>
      <c r="P259" s="57" t="b">
        <f>OR(H259="Y",I259="Y")</f>
        <v>0</v>
      </c>
      <c r="Q259" s="58">
        <f>IF(P259,O259*'[1]ETC Data'!$H$3*'[1]ETC Data'!$I$3,0)</f>
        <v>0</v>
      </c>
      <c r="R259" s="58">
        <f>Q259-(Q259*((VLOOKUP(A259,[1]Plan!A$1:Z$804,26,FALSE)/100)))</f>
        <v>0</v>
      </c>
      <c r="S259" s="58">
        <f>IF(P259,O259*'[1]ETC Data'!$H$3*'[1]ETC Data'!$J$3,0)</f>
        <v>0</v>
      </c>
      <c r="T259" s="58">
        <f>S259-(S259*((VLOOKUP(A259,[1]Plan!A$1:AA$804,27,FALSE)/100)))</f>
        <v>0</v>
      </c>
      <c r="U259" s="58">
        <f>IF(P259,O259*'[1]ETC Data'!$H$3*'[1]ETC Data'!$K$3,0)</f>
        <v>0</v>
      </c>
      <c r="V259" s="58">
        <f>U259-(U259*((VLOOKUP(A259,[1]Plan!A$1:AB$804,28,FALSE)/100)))</f>
        <v>0</v>
      </c>
      <c r="W259" s="58">
        <f>IF(P259,O259*'[1]ETC Data'!$H$3*'[1]ETC Data'!$L$3,0)</f>
        <v>0</v>
      </c>
      <c r="X259" s="58">
        <f>W259-(W259*((VLOOKUP(A259,[1]Plan!A$1:AC$804,29,FALSE)/100)))</f>
        <v>0</v>
      </c>
      <c r="Y259" s="59"/>
      <c r="Z259" s="60" t="b">
        <f>OR(H259="Y",J259="Y")</f>
        <v>0</v>
      </c>
      <c r="AA259" s="58">
        <f>IF(Z259,O259*'[1]ETC Data'!$H$4*'[1]ETC Data'!$I$4,0)</f>
        <v>0</v>
      </c>
      <c r="AB259" s="58">
        <f>AA259-(AA259*((VLOOKUP(A259,[1]Plan!A$1:AI$804,35,FALSE)/100)))</f>
        <v>0</v>
      </c>
      <c r="AC259" s="58">
        <f>IF(Z259,O259*'[1]ETC Data'!$H$4*'[1]ETC Data'!$J$4,0)</f>
        <v>0</v>
      </c>
      <c r="AD259" s="58">
        <f>AC259-(AC259*((VLOOKUP(A259,[1]Plan!A$1:AJ$804,36,FALSE)/100)))</f>
        <v>0</v>
      </c>
      <c r="AE259" s="58">
        <f>IF(Z259,O259*'[1]ETC Data'!$H$4*'[1]ETC Data'!$K$4,0)</f>
        <v>0</v>
      </c>
      <c r="AF259" s="58">
        <f>AE259-(AE259*((VLOOKUP(A259,[1]Plan!A$1:AK$804,37,FALSE)/100)))</f>
        <v>0</v>
      </c>
      <c r="AG259" s="58">
        <f>IF(Z259,O259*'[1]ETC Data'!$H$4*'[1]ETC Data'!$L$4,0)</f>
        <v>0</v>
      </c>
      <c r="AH259" s="58">
        <f>AG259-(AG259*((VLOOKUP(A259,[1]Plan!A$1:AP$804,42,FALSE)/100)))</f>
        <v>0</v>
      </c>
      <c r="AI259" s="60"/>
      <c r="AJ259" s="60" t="b">
        <f>OR(H259="Y",K259="Y")</f>
        <v>0</v>
      </c>
      <c r="AK259" s="61">
        <f>IF(AJ259,O259*'[1]ETC Data'!$H$5*'[1]ETC Data'!$I$5,0)</f>
        <v>0</v>
      </c>
      <c r="AL259" s="58">
        <f>AK259-(AK259*((VLOOKUP(A259,[1]Plan!A$1:AY$804,51,FALSE)/100)))</f>
        <v>0</v>
      </c>
      <c r="AM259" s="58">
        <f>IF(AJ259,O259*'[1]ETC Data'!$H$5*'[1]ETC Data'!$J$5,0)</f>
        <v>0</v>
      </c>
      <c r="AN259" s="58">
        <f>AM259-(AM259*((VLOOKUP(A259,[1]Plan!A$1:BA$804,53,FALSE)/100)))</f>
        <v>0</v>
      </c>
      <c r="AO259" s="61">
        <f>IF(AJ259,O259*'[1]ETC Data'!$H$5*'[1]ETC Data'!$K$5,0)</f>
        <v>0</v>
      </c>
      <c r="AP259" s="58">
        <f>AO259-(AO259*((VLOOKUP(A259,[1]Plan!A$1:BB$804,54,FALSE)/100)))</f>
        <v>0</v>
      </c>
      <c r="AQ259" s="58">
        <f>IF(AJ259,O259*'[1]ETC Data'!$H$5*'[1]ETC Data'!$L$5,0)</f>
        <v>0</v>
      </c>
      <c r="AR259" s="58">
        <f>AQ259-(AQ259*((VLOOKUP(A259,[1]Plan!A$1:BD$804,56,FALSE)/100)))</f>
        <v>0</v>
      </c>
      <c r="AS259" s="20">
        <f>VLOOKUP(A259,'[1]PR Matrix'!A:B,2,FALSE)</f>
        <v>0</v>
      </c>
      <c r="AT259" s="21">
        <f>R259+T259+V259+X259+AB259+AD259+AF259+AH259+AL259+AN259+AP259+AR259</f>
        <v>0</v>
      </c>
      <c r="AU259" s="21">
        <f>Q259+S259+U259+W259+AA259+AC259+AE259+AG259+AK259+AM259+AO259+AQ259</f>
        <v>0</v>
      </c>
      <c r="AV259" s="21">
        <f>R259+AB259+AL259</f>
        <v>0</v>
      </c>
      <c r="AW259" s="21">
        <f>T259+AD259+AN259</f>
        <v>0</v>
      </c>
      <c r="AX259" s="21">
        <f>V259+AF259+AP259</f>
        <v>0</v>
      </c>
      <c r="AY259" s="21">
        <f>X259+AH259+AR259</f>
        <v>0</v>
      </c>
      <c r="AZ259" s="64"/>
      <c r="BA259" s="64"/>
      <c r="BB259" s="64"/>
      <c r="BC259" s="64"/>
    </row>
    <row r="260" spans="1:55" hidden="1" x14ac:dyDescent="0.2">
      <c r="A260" s="65" t="s">
        <v>467</v>
      </c>
      <c r="B260" s="51" t="s">
        <v>258</v>
      </c>
      <c r="C260" s="51"/>
      <c r="D260" s="51"/>
      <c r="E260" s="52">
        <f>IF(G260="Y",VLOOKUP(B260&amp;"|"&amp;C260,'[1]ETC Data'!$C$2:$D$16,2,FALSE),0)</f>
        <v>0</v>
      </c>
      <c r="F260" s="52">
        <f>IF(D260="",0,IF(G260="Y",VLOOKUP(B260&amp;"|"&amp;D260,'[1]ETC Data'!$C$2:$D$16,2,FALSE),0))</f>
        <v>0</v>
      </c>
      <c r="G260" s="53" t="str">
        <f>IF(VLOOKUP(A260,[1]Plan!A$1:H$804,8,FALSE)&lt;&gt;"",VLOOKUP(A260,[1]Plan!A$1:H$804,8,FALSE),"")</f>
        <v>N</v>
      </c>
      <c r="H260" s="54" t="str">
        <f>IF(VLOOKUP(A260,[1]Plan!A$1:L$804,12,FALSE)&lt;&gt;"",VLOOKUP(A260,[1]Plan!A$1:L$804,12,FALSE),"")</f>
        <v/>
      </c>
      <c r="I260" s="55" t="str">
        <f>IF(VLOOKUP(A260,[1]Plan!A$1:M$804,13,FALSE)&lt;&gt;"",VLOOKUP(A260,[1]Plan!A$1:M$804,13,FALSE),"")</f>
        <v/>
      </c>
      <c r="J260" s="55" t="str">
        <f>IF(VLOOKUP(A260,[1]Plan!A$1:N$804,14,FALSE)&lt;&gt;"",VLOOKUP(A260,[1]Plan!A$1:N$804,14,FALSE),IF(VLOOKUP(A260,[1]Plan!A$1:O$804,15,FALSE)&lt;&gt;"",VLOOKUP(A260,[1]Plan!A$1:O$804,15,FALSE),""))</f>
        <v/>
      </c>
      <c r="K260" s="56" t="str">
        <f>IF(VLOOKUP(A260,[1]Plan!A$1:P$804,16,FALSE)&lt;&gt;"",VLOOKUP(A260,[1]Plan!A$1:P$804,16,FALSE),"")</f>
        <v/>
      </c>
      <c r="L260" s="55"/>
      <c r="M260" s="55"/>
      <c r="N260" s="55"/>
      <c r="O260" s="57">
        <f>IF(F260=0,E260,F260)</f>
        <v>0</v>
      </c>
      <c r="P260" s="57" t="b">
        <f>OR(H260="Y",I260="Y")</f>
        <v>0</v>
      </c>
      <c r="Q260" s="58">
        <f>IF(P260,O260*'[1]ETC Data'!$H$3*'[1]ETC Data'!$I$3,0)</f>
        <v>0</v>
      </c>
      <c r="R260" s="58">
        <f>Q260-(Q260*((VLOOKUP(A260,[1]Plan!A$1:Z$804,26,FALSE)/100)))</f>
        <v>0</v>
      </c>
      <c r="S260" s="58">
        <f>IF(P260,O260*'[1]ETC Data'!$H$3*'[1]ETC Data'!$J$3,0)</f>
        <v>0</v>
      </c>
      <c r="T260" s="58">
        <f>S260-(S260*((VLOOKUP(A260,[1]Plan!A$1:AA$804,27,FALSE)/100)))</f>
        <v>0</v>
      </c>
      <c r="U260" s="58">
        <f>IF(P260,O260*'[1]ETC Data'!$H$3*'[1]ETC Data'!$K$3,0)</f>
        <v>0</v>
      </c>
      <c r="V260" s="58">
        <f>U260-(U260*((VLOOKUP(A260,[1]Plan!A$1:AB$804,28,FALSE)/100)))</f>
        <v>0</v>
      </c>
      <c r="W260" s="58">
        <f>IF(P260,O260*'[1]ETC Data'!$H$3*'[1]ETC Data'!$L$3,0)</f>
        <v>0</v>
      </c>
      <c r="X260" s="58">
        <f>W260-(W260*((VLOOKUP(A260,[1]Plan!A$1:AC$804,29,FALSE)/100)))</f>
        <v>0</v>
      </c>
      <c r="Y260" s="59"/>
      <c r="Z260" s="60" t="b">
        <f>OR(H260="Y",J260="Y")</f>
        <v>0</v>
      </c>
      <c r="AA260" s="58">
        <f>IF(Z260,O260*'[1]ETC Data'!$H$4*'[1]ETC Data'!$I$4,0)</f>
        <v>0</v>
      </c>
      <c r="AB260" s="58">
        <f>AA260-(AA260*((VLOOKUP(A260,[1]Plan!A$1:AI$804,35,FALSE)/100)))</f>
        <v>0</v>
      </c>
      <c r="AC260" s="58">
        <f>IF(Z260,O260*'[1]ETC Data'!$H$4*'[1]ETC Data'!$J$4,0)</f>
        <v>0</v>
      </c>
      <c r="AD260" s="58">
        <f>AC260-(AC260*((VLOOKUP(A260,[1]Plan!A$1:AJ$804,36,FALSE)/100)))</f>
        <v>0</v>
      </c>
      <c r="AE260" s="58">
        <f>IF(Z260,O260*'[1]ETC Data'!$H$4*'[1]ETC Data'!$K$4,0)</f>
        <v>0</v>
      </c>
      <c r="AF260" s="58">
        <f>AE260-(AE260*((VLOOKUP(A260,[1]Plan!A$1:AK$804,37,FALSE)/100)))</f>
        <v>0</v>
      </c>
      <c r="AG260" s="58">
        <f>IF(Z260,O260*'[1]ETC Data'!$H$4*'[1]ETC Data'!$L$4,0)</f>
        <v>0</v>
      </c>
      <c r="AH260" s="58">
        <f>AG260-(AG260*((VLOOKUP(A260,[1]Plan!A$1:AP$804,42,FALSE)/100)))</f>
        <v>0</v>
      </c>
      <c r="AI260" s="60"/>
      <c r="AJ260" s="60" t="b">
        <f>OR(H260="Y",K260="Y")</f>
        <v>0</v>
      </c>
      <c r="AK260" s="61">
        <f>IF(AJ260,O260*'[1]ETC Data'!$H$5*'[1]ETC Data'!$I$5,0)</f>
        <v>0</v>
      </c>
      <c r="AL260" s="58">
        <f>AK260-(AK260*((VLOOKUP(A260,[1]Plan!A$1:AY$804,51,FALSE)/100)))</f>
        <v>0</v>
      </c>
      <c r="AM260" s="58">
        <f>IF(AJ260,O260*'[1]ETC Data'!$H$5*'[1]ETC Data'!$J$5,0)</f>
        <v>0</v>
      </c>
      <c r="AN260" s="58">
        <f>AM260-(AM260*((VLOOKUP(A260,[1]Plan!A$1:BA$804,53,FALSE)/100)))</f>
        <v>0</v>
      </c>
      <c r="AO260" s="61">
        <f>IF(AJ260,O260*'[1]ETC Data'!$H$5*'[1]ETC Data'!$K$5,0)</f>
        <v>0</v>
      </c>
      <c r="AP260" s="58">
        <f>AO260-(AO260*((VLOOKUP(A260,[1]Plan!A$1:BB$804,54,FALSE)/100)))</f>
        <v>0</v>
      </c>
      <c r="AQ260" s="58">
        <f>IF(AJ260,O260*'[1]ETC Data'!$H$5*'[1]ETC Data'!$L$5,0)</f>
        <v>0</v>
      </c>
      <c r="AR260" s="58">
        <f>AQ260-(AQ260*((VLOOKUP(A260,[1]Plan!A$1:BD$804,56,FALSE)/100)))</f>
        <v>0</v>
      </c>
      <c r="AS260" s="20">
        <f>VLOOKUP(A260,'[1]PR Matrix'!A:B,2,FALSE)</f>
        <v>0</v>
      </c>
      <c r="AT260" s="21">
        <f>R260+T260+V260+X260+AB260+AD260+AF260+AH260+AL260+AN260+AP260+AR260</f>
        <v>0</v>
      </c>
      <c r="AU260" s="21">
        <f>Q260+S260+U260+W260+AA260+AC260+AE260+AG260+AK260+AM260+AO260+AQ260</f>
        <v>0</v>
      </c>
      <c r="AV260" s="21">
        <f>R260+AB260+AL260</f>
        <v>0</v>
      </c>
      <c r="AW260" s="21">
        <f>T260+AD260+AN260</f>
        <v>0</v>
      </c>
      <c r="AX260" s="21">
        <f>V260+AF260+AP260</f>
        <v>0</v>
      </c>
      <c r="AY260" s="21">
        <f>X260+AH260+AR260</f>
        <v>0</v>
      </c>
      <c r="AZ260" s="64"/>
      <c r="BA260" s="64"/>
      <c r="BB260" s="64"/>
      <c r="BC260" s="64"/>
    </row>
    <row r="261" spans="1:55" hidden="1" x14ac:dyDescent="0.2">
      <c r="A261" s="50" t="s">
        <v>468</v>
      </c>
      <c r="B261" s="51" t="s">
        <v>258</v>
      </c>
      <c r="C261" s="51"/>
      <c r="D261" s="51"/>
      <c r="E261" s="52">
        <f>IF(G261="Y",VLOOKUP(B261&amp;"|"&amp;C261,'[1]ETC Data'!$C$2:$D$16,2,FALSE),0)</f>
        <v>0</v>
      </c>
      <c r="F261" s="52">
        <f>IF(D261="",0,IF(G261="Y",VLOOKUP(B261&amp;"|"&amp;D261,'[1]ETC Data'!$C$2:$D$16,2,FALSE),0))</f>
        <v>0</v>
      </c>
      <c r="G261" s="53" t="str">
        <f>IF(VLOOKUP(A261,[1]Plan!A$1:H$804,8,FALSE)&lt;&gt;"",VLOOKUP(A261,[1]Plan!A$1:H$804,8,FALSE),"")</f>
        <v>N</v>
      </c>
      <c r="H261" s="54" t="str">
        <f>IF(VLOOKUP(A261,[1]Plan!A$1:L$804,12,FALSE)&lt;&gt;"",VLOOKUP(A261,[1]Plan!A$1:L$804,12,FALSE),"")</f>
        <v/>
      </c>
      <c r="I261" s="55" t="str">
        <f>IF(VLOOKUP(A261,[1]Plan!A$1:M$804,13,FALSE)&lt;&gt;"",VLOOKUP(A261,[1]Plan!A$1:M$804,13,FALSE),"")</f>
        <v/>
      </c>
      <c r="J261" s="55" t="str">
        <f>IF(VLOOKUP(A261,[1]Plan!A$1:N$804,14,FALSE)&lt;&gt;"",VLOOKUP(A261,[1]Plan!A$1:N$804,14,FALSE),IF(VLOOKUP(A261,[1]Plan!A$1:O$804,15,FALSE)&lt;&gt;"",VLOOKUP(A261,[1]Plan!A$1:O$804,15,FALSE),""))</f>
        <v/>
      </c>
      <c r="K261" s="56" t="str">
        <f>IF(VLOOKUP(A261,[1]Plan!A$1:P$804,16,FALSE)&lt;&gt;"",VLOOKUP(A261,[1]Plan!A$1:P$804,16,FALSE),"")</f>
        <v/>
      </c>
      <c r="L261" s="55"/>
      <c r="M261" s="55"/>
      <c r="N261" s="55"/>
      <c r="O261" s="57">
        <f>IF(F261=0,E261,F261)</f>
        <v>0</v>
      </c>
      <c r="P261" s="57" t="b">
        <f>OR(H261="Y",I261="Y")</f>
        <v>0</v>
      </c>
      <c r="Q261" s="58">
        <f>IF(P261,O261*'[1]ETC Data'!$H$3*'[1]ETC Data'!$I$3,0)</f>
        <v>0</v>
      </c>
      <c r="R261" s="58">
        <f>Q261-(Q261*((VLOOKUP(A261,[1]Plan!A$1:Z$804,26,FALSE)/100)))</f>
        <v>0</v>
      </c>
      <c r="S261" s="58">
        <f>IF(P261,O261*'[1]ETC Data'!$H$3*'[1]ETC Data'!$J$3,0)</f>
        <v>0</v>
      </c>
      <c r="T261" s="58">
        <f>S261-(S261*((VLOOKUP(A261,[1]Plan!A$1:AA$804,27,FALSE)/100)))</f>
        <v>0</v>
      </c>
      <c r="U261" s="58">
        <f>IF(P261,O261*'[1]ETC Data'!$H$3*'[1]ETC Data'!$K$3,0)</f>
        <v>0</v>
      </c>
      <c r="V261" s="58">
        <f>U261-(U261*((VLOOKUP(A261,[1]Plan!A$1:AB$804,28,FALSE)/100)))</f>
        <v>0</v>
      </c>
      <c r="W261" s="58">
        <f>IF(P261,O261*'[1]ETC Data'!$H$3*'[1]ETC Data'!$L$3,0)</f>
        <v>0</v>
      </c>
      <c r="X261" s="58">
        <f>W261-(W261*((VLOOKUP(A261,[1]Plan!A$1:AC$804,29,FALSE)/100)))</f>
        <v>0</v>
      </c>
      <c r="Y261" s="59"/>
      <c r="Z261" s="60" t="b">
        <f>OR(H261="Y",J261="Y")</f>
        <v>0</v>
      </c>
      <c r="AA261" s="58">
        <f>IF(Z261,O261*'[1]ETC Data'!$H$4*'[1]ETC Data'!$I$4,0)</f>
        <v>0</v>
      </c>
      <c r="AB261" s="58">
        <f>AA261-(AA261*((VLOOKUP(A261,[1]Plan!A$1:AI$804,35,FALSE)/100)))</f>
        <v>0</v>
      </c>
      <c r="AC261" s="58">
        <f>IF(Z261,O261*'[1]ETC Data'!$H$4*'[1]ETC Data'!$J$4,0)</f>
        <v>0</v>
      </c>
      <c r="AD261" s="58">
        <f>AC261-(AC261*((VLOOKUP(A261,[1]Plan!A$1:AJ$804,36,FALSE)/100)))</f>
        <v>0</v>
      </c>
      <c r="AE261" s="58">
        <f>IF(Z261,O261*'[1]ETC Data'!$H$4*'[1]ETC Data'!$K$4,0)</f>
        <v>0</v>
      </c>
      <c r="AF261" s="58">
        <f>AE261-(AE261*((VLOOKUP(A261,[1]Plan!A$1:AK$804,37,FALSE)/100)))</f>
        <v>0</v>
      </c>
      <c r="AG261" s="58">
        <f>IF(Z261,O261*'[1]ETC Data'!$H$4*'[1]ETC Data'!$L$4,0)</f>
        <v>0</v>
      </c>
      <c r="AH261" s="58">
        <f>AG261-(AG261*((VLOOKUP(A261,[1]Plan!A$1:AP$804,42,FALSE)/100)))</f>
        <v>0</v>
      </c>
      <c r="AI261" s="60"/>
      <c r="AJ261" s="60" t="b">
        <f>OR(H261="Y",K261="Y")</f>
        <v>0</v>
      </c>
      <c r="AK261" s="61">
        <f>IF(AJ261,O261*'[1]ETC Data'!$H$5*'[1]ETC Data'!$I$5,0)</f>
        <v>0</v>
      </c>
      <c r="AL261" s="58">
        <f>AK261-(AK261*((VLOOKUP(A261,[1]Plan!A$1:AY$804,51,FALSE)/100)))</f>
        <v>0</v>
      </c>
      <c r="AM261" s="58">
        <f>IF(AJ261,O261*'[1]ETC Data'!$H$5*'[1]ETC Data'!$J$5,0)</f>
        <v>0</v>
      </c>
      <c r="AN261" s="58">
        <f>AM261-(AM261*((VLOOKUP(A261,[1]Plan!A$1:BA$804,53,FALSE)/100)))</f>
        <v>0</v>
      </c>
      <c r="AO261" s="61">
        <f>IF(AJ261,O261*'[1]ETC Data'!$H$5*'[1]ETC Data'!$K$5,0)</f>
        <v>0</v>
      </c>
      <c r="AP261" s="58">
        <f>AO261-(AO261*((VLOOKUP(A261,[1]Plan!A$1:BB$804,54,FALSE)/100)))</f>
        <v>0</v>
      </c>
      <c r="AQ261" s="58">
        <f>IF(AJ261,O261*'[1]ETC Data'!$H$5*'[1]ETC Data'!$L$5,0)</f>
        <v>0</v>
      </c>
      <c r="AR261" s="58">
        <f>AQ261-(AQ261*((VLOOKUP(A261,[1]Plan!A$1:BD$804,56,FALSE)/100)))</f>
        <v>0</v>
      </c>
      <c r="AS261" s="20">
        <f>VLOOKUP(A261,'[1]PR Matrix'!A:B,2,FALSE)</f>
        <v>0</v>
      </c>
      <c r="AT261" s="21">
        <f>R261+T261+V261+X261+AB261+AD261+AF261+AH261+AL261+AN261+AP261+AR261</f>
        <v>0</v>
      </c>
      <c r="AU261" s="21">
        <f>Q261+S261+U261+W261+AA261+AC261+AE261+AG261+AK261+AM261+AO261+AQ261</f>
        <v>0</v>
      </c>
      <c r="AV261" s="21">
        <f>R261+AB261+AL261</f>
        <v>0</v>
      </c>
      <c r="AW261" s="21">
        <f>T261+AD261+AN261</f>
        <v>0</v>
      </c>
      <c r="AX261" s="21">
        <f>V261+AF261+AP261</f>
        <v>0</v>
      </c>
      <c r="AY261" s="21">
        <f>X261+AH261+AR261</f>
        <v>0</v>
      </c>
    </row>
    <row r="262" spans="1:55" hidden="1" x14ac:dyDescent="0.2">
      <c r="A262" s="50" t="s">
        <v>469</v>
      </c>
      <c r="B262" s="51" t="s">
        <v>258</v>
      </c>
      <c r="C262" s="51"/>
      <c r="D262" s="51"/>
      <c r="E262" s="52">
        <f>IF(G262="Y",VLOOKUP(B262&amp;"|"&amp;C262,'[1]ETC Data'!$C$2:$D$16,2,FALSE),0)</f>
        <v>0</v>
      </c>
      <c r="F262" s="52">
        <f>IF(D262="",0,IF(G262="Y",VLOOKUP(B262&amp;"|"&amp;D262,'[1]ETC Data'!$C$2:$D$16,2,FALSE),0))</f>
        <v>0</v>
      </c>
      <c r="G262" s="53" t="str">
        <f>IF(VLOOKUP(A262,[1]Plan!A$1:H$804,8,FALSE)&lt;&gt;"",VLOOKUP(A262,[1]Plan!A$1:H$804,8,FALSE),"")</f>
        <v>N</v>
      </c>
      <c r="H262" s="54" t="str">
        <f>IF(VLOOKUP(A262,[1]Plan!A$1:L$804,12,FALSE)&lt;&gt;"",VLOOKUP(A262,[1]Plan!A$1:L$804,12,FALSE),"")</f>
        <v/>
      </c>
      <c r="I262" s="55" t="str">
        <f>IF(VLOOKUP(A262,[1]Plan!A$1:M$804,13,FALSE)&lt;&gt;"",VLOOKUP(A262,[1]Plan!A$1:M$804,13,FALSE),"")</f>
        <v/>
      </c>
      <c r="J262" s="55" t="str">
        <f>IF(VLOOKUP(A262,[1]Plan!A$1:N$804,14,FALSE)&lt;&gt;"",VLOOKUP(A262,[1]Plan!A$1:N$804,14,FALSE),IF(VLOOKUP(A262,[1]Plan!A$1:O$804,15,FALSE)&lt;&gt;"",VLOOKUP(A262,[1]Plan!A$1:O$804,15,FALSE),""))</f>
        <v/>
      </c>
      <c r="K262" s="56" t="str">
        <f>IF(VLOOKUP(A262,[1]Plan!A$1:P$804,16,FALSE)&lt;&gt;"",VLOOKUP(A262,[1]Plan!A$1:P$804,16,FALSE),"")</f>
        <v/>
      </c>
      <c r="L262" s="55"/>
      <c r="M262" s="55"/>
      <c r="N262" s="55"/>
      <c r="O262" s="57">
        <f>IF(F262=0,E262,F262)</f>
        <v>0</v>
      </c>
      <c r="P262" s="57" t="b">
        <f>OR(H262="Y",I262="Y")</f>
        <v>0</v>
      </c>
      <c r="Q262" s="58">
        <f>IF(P262,O262*'[1]ETC Data'!$H$3*'[1]ETC Data'!$I$3,0)</f>
        <v>0</v>
      </c>
      <c r="R262" s="58">
        <f>Q262-(Q262*((VLOOKUP(A262,[1]Plan!A$1:Z$804,26,FALSE)/100)))</f>
        <v>0</v>
      </c>
      <c r="S262" s="58">
        <f>IF(P262,O262*'[1]ETC Data'!$H$3*'[1]ETC Data'!$J$3,0)</f>
        <v>0</v>
      </c>
      <c r="T262" s="58">
        <f>S262-(S262*((VLOOKUP(A262,[1]Plan!A$1:AA$804,27,FALSE)/100)))</f>
        <v>0</v>
      </c>
      <c r="U262" s="58">
        <f>IF(P262,O262*'[1]ETC Data'!$H$3*'[1]ETC Data'!$K$3,0)</f>
        <v>0</v>
      </c>
      <c r="V262" s="58">
        <f>U262-(U262*((VLOOKUP(A262,[1]Plan!A$1:AB$804,28,FALSE)/100)))</f>
        <v>0</v>
      </c>
      <c r="W262" s="58">
        <f>IF(P262,O262*'[1]ETC Data'!$H$3*'[1]ETC Data'!$L$3,0)</f>
        <v>0</v>
      </c>
      <c r="X262" s="58">
        <f>W262-(W262*((VLOOKUP(A262,[1]Plan!A$1:AC$804,29,FALSE)/100)))</f>
        <v>0</v>
      </c>
      <c r="Y262" s="59"/>
      <c r="Z262" s="60" t="b">
        <f>OR(H262="Y",J262="Y")</f>
        <v>0</v>
      </c>
      <c r="AA262" s="58">
        <f>IF(Z262,O262*'[1]ETC Data'!$H$4*'[1]ETC Data'!$I$4,0)</f>
        <v>0</v>
      </c>
      <c r="AB262" s="58">
        <f>AA262-(AA262*((VLOOKUP(A262,[1]Plan!A$1:AI$804,35,FALSE)/100)))</f>
        <v>0</v>
      </c>
      <c r="AC262" s="58">
        <f>IF(Z262,O262*'[1]ETC Data'!$H$4*'[1]ETC Data'!$J$4,0)</f>
        <v>0</v>
      </c>
      <c r="AD262" s="58">
        <f>AC262-(AC262*((VLOOKUP(A262,[1]Plan!A$1:AJ$804,36,FALSE)/100)))</f>
        <v>0</v>
      </c>
      <c r="AE262" s="58">
        <f>IF(Z262,O262*'[1]ETC Data'!$H$4*'[1]ETC Data'!$K$4,0)</f>
        <v>0</v>
      </c>
      <c r="AF262" s="58">
        <f>AE262-(AE262*((VLOOKUP(A262,[1]Plan!A$1:AK$804,37,FALSE)/100)))</f>
        <v>0</v>
      </c>
      <c r="AG262" s="58">
        <f>IF(Z262,O262*'[1]ETC Data'!$H$4*'[1]ETC Data'!$L$4,0)</f>
        <v>0</v>
      </c>
      <c r="AH262" s="58">
        <f>AG262-(AG262*((VLOOKUP(A262,[1]Plan!A$1:AP$804,42,FALSE)/100)))</f>
        <v>0</v>
      </c>
      <c r="AI262" s="60"/>
      <c r="AJ262" s="60" t="b">
        <f>OR(H262="Y",K262="Y")</f>
        <v>0</v>
      </c>
      <c r="AK262" s="61">
        <f>IF(AJ262,O262*'[1]ETC Data'!$H$5*'[1]ETC Data'!$I$5,0)</f>
        <v>0</v>
      </c>
      <c r="AL262" s="58">
        <f>AK262-(AK262*((VLOOKUP(A262,[1]Plan!A$1:AY$804,51,FALSE)/100)))</f>
        <v>0</v>
      </c>
      <c r="AM262" s="58">
        <f>IF(AJ262,O262*'[1]ETC Data'!$H$5*'[1]ETC Data'!$J$5,0)</f>
        <v>0</v>
      </c>
      <c r="AN262" s="58">
        <f>AM262-(AM262*((VLOOKUP(A262,[1]Plan!A$1:BA$804,53,FALSE)/100)))</f>
        <v>0</v>
      </c>
      <c r="AO262" s="61">
        <f>IF(AJ262,O262*'[1]ETC Data'!$H$5*'[1]ETC Data'!$K$5,0)</f>
        <v>0</v>
      </c>
      <c r="AP262" s="58">
        <f>AO262-(AO262*((VLOOKUP(A262,[1]Plan!A$1:BB$804,54,FALSE)/100)))</f>
        <v>0</v>
      </c>
      <c r="AQ262" s="58">
        <f>IF(AJ262,O262*'[1]ETC Data'!$H$5*'[1]ETC Data'!$L$5,0)</f>
        <v>0</v>
      </c>
      <c r="AR262" s="58">
        <f>AQ262-(AQ262*((VLOOKUP(A262,[1]Plan!A$1:BD$804,56,FALSE)/100)))</f>
        <v>0</v>
      </c>
      <c r="AS262" s="20">
        <f>VLOOKUP(A262,'[1]PR Matrix'!A:B,2,FALSE)</f>
        <v>0</v>
      </c>
      <c r="AT262" s="21">
        <f>R262+T262+V262+X262+AB262+AD262+AF262+AH262+AL262+AN262+AP262+AR262</f>
        <v>0</v>
      </c>
      <c r="AU262" s="21">
        <f>Q262+S262+U262+W262+AA262+AC262+AE262+AG262+AK262+AM262+AO262+AQ262</f>
        <v>0</v>
      </c>
      <c r="AV262" s="21">
        <f>R262+AB262+AL262</f>
        <v>0</v>
      </c>
      <c r="AW262" s="21">
        <f>T262+AD262+AN262</f>
        <v>0</v>
      </c>
      <c r="AX262" s="21">
        <f>V262+AF262+AP262</f>
        <v>0</v>
      </c>
      <c r="AY262" s="21">
        <f>X262+AH262+AR262</f>
        <v>0</v>
      </c>
      <c r="AZ262" s="64"/>
      <c r="BA262" s="64"/>
      <c r="BB262" s="64"/>
      <c r="BC262" s="64"/>
    </row>
    <row r="263" spans="1:55" hidden="1" x14ac:dyDescent="0.2">
      <c r="A263" s="50" t="s">
        <v>470</v>
      </c>
      <c r="B263" s="51" t="s">
        <v>258</v>
      </c>
      <c r="C263" s="51"/>
      <c r="D263" s="51"/>
      <c r="E263" s="52">
        <f>IF(G263="Y",VLOOKUP(B263&amp;"|"&amp;C263,'[1]ETC Data'!$C$2:$D$16,2,FALSE),0)</f>
        <v>0</v>
      </c>
      <c r="F263" s="52">
        <f>IF(D263="",0,IF(G263="Y",VLOOKUP(B263&amp;"|"&amp;D263,'[1]ETC Data'!$C$2:$D$16,2,FALSE),0))</f>
        <v>0</v>
      </c>
      <c r="G263" s="53" t="str">
        <f>IF(VLOOKUP(A263,[1]Plan!A$1:H$804,8,FALSE)&lt;&gt;"",VLOOKUP(A263,[1]Plan!A$1:H$804,8,FALSE),"")</f>
        <v>N</v>
      </c>
      <c r="H263" s="54" t="str">
        <f>IF(VLOOKUP(A263,[1]Plan!A$1:L$804,12,FALSE)&lt;&gt;"",VLOOKUP(A263,[1]Plan!A$1:L$804,12,FALSE),"")</f>
        <v/>
      </c>
      <c r="I263" s="55" t="str">
        <f>IF(VLOOKUP(A263,[1]Plan!A$1:M$804,13,FALSE)&lt;&gt;"",VLOOKUP(A263,[1]Plan!A$1:M$804,13,FALSE),"")</f>
        <v/>
      </c>
      <c r="J263" s="55" t="str">
        <f>IF(VLOOKUP(A263,[1]Plan!A$1:N$804,14,FALSE)&lt;&gt;"",VLOOKUP(A263,[1]Plan!A$1:N$804,14,FALSE),IF(VLOOKUP(A263,[1]Plan!A$1:O$804,15,FALSE)&lt;&gt;"",VLOOKUP(A263,[1]Plan!A$1:O$804,15,FALSE),""))</f>
        <v/>
      </c>
      <c r="K263" s="56" t="str">
        <f>IF(VLOOKUP(A263,[1]Plan!A$1:P$804,16,FALSE)&lt;&gt;"",VLOOKUP(A263,[1]Plan!A$1:P$804,16,FALSE),"")</f>
        <v/>
      </c>
      <c r="L263" s="55"/>
      <c r="M263" s="55"/>
      <c r="N263" s="55"/>
      <c r="O263" s="57">
        <f>IF(F263=0,E263,F263)</f>
        <v>0</v>
      </c>
      <c r="P263" s="57" t="b">
        <f>OR(H263="Y",I263="Y")</f>
        <v>0</v>
      </c>
      <c r="Q263" s="58">
        <f>IF(P263,O263*'[1]ETC Data'!$H$3*'[1]ETC Data'!$I$3,0)</f>
        <v>0</v>
      </c>
      <c r="R263" s="58">
        <f>Q263-(Q263*((VLOOKUP(A263,[1]Plan!A$1:Z$804,26,FALSE)/100)))</f>
        <v>0</v>
      </c>
      <c r="S263" s="58">
        <f>IF(P263,O263*'[1]ETC Data'!$H$3*'[1]ETC Data'!$J$3,0)</f>
        <v>0</v>
      </c>
      <c r="T263" s="58">
        <f>S263-(S263*((VLOOKUP(A263,[1]Plan!A$1:AA$804,27,FALSE)/100)))</f>
        <v>0</v>
      </c>
      <c r="U263" s="58">
        <f>IF(P263,O263*'[1]ETC Data'!$H$3*'[1]ETC Data'!$K$3,0)</f>
        <v>0</v>
      </c>
      <c r="V263" s="58">
        <f>U263-(U263*((VLOOKUP(A263,[1]Plan!A$1:AB$804,28,FALSE)/100)))</f>
        <v>0</v>
      </c>
      <c r="W263" s="58">
        <f>IF(P263,O263*'[1]ETC Data'!$H$3*'[1]ETC Data'!$L$3,0)</f>
        <v>0</v>
      </c>
      <c r="X263" s="58">
        <f>W263-(W263*((VLOOKUP(A263,[1]Plan!A$1:AC$804,29,FALSE)/100)))</f>
        <v>0</v>
      </c>
      <c r="Y263" s="59"/>
      <c r="Z263" s="60" t="b">
        <f>OR(H263="Y",J263="Y")</f>
        <v>0</v>
      </c>
      <c r="AA263" s="58">
        <f>IF(Z263,O263*'[1]ETC Data'!$H$4*'[1]ETC Data'!$I$4,0)</f>
        <v>0</v>
      </c>
      <c r="AB263" s="58">
        <f>AA263-(AA263*((VLOOKUP(A263,[1]Plan!A$1:AI$804,35,FALSE)/100)))</f>
        <v>0</v>
      </c>
      <c r="AC263" s="58">
        <f>IF(Z263,O263*'[1]ETC Data'!$H$4*'[1]ETC Data'!$J$4,0)</f>
        <v>0</v>
      </c>
      <c r="AD263" s="58">
        <f>AC263-(AC263*((VLOOKUP(A263,[1]Plan!A$1:AJ$804,36,FALSE)/100)))</f>
        <v>0</v>
      </c>
      <c r="AE263" s="58">
        <f>IF(Z263,O263*'[1]ETC Data'!$H$4*'[1]ETC Data'!$K$4,0)</f>
        <v>0</v>
      </c>
      <c r="AF263" s="58">
        <f>AE263-(AE263*((VLOOKUP(A263,[1]Plan!A$1:AK$804,37,FALSE)/100)))</f>
        <v>0</v>
      </c>
      <c r="AG263" s="58">
        <f>IF(Z263,O263*'[1]ETC Data'!$H$4*'[1]ETC Data'!$L$4,0)</f>
        <v>0</v>
      </c>
      <c r="AH263" s="58">
        <f>AG263-(AG263*((VLOOKUP(A263,[1]Plan!A$1:AP$804,42,FALSE)/100)))</f>
        <v>0</v>
      </c>
      <c r="AI263" s="60"/>
      <c r="AJ263" s="60" t="b">
        <f>OR(H263="Y",K263="Y")</f>
        <v>0</v>
      </c>
      <c r="AK263" s="61">
        <f>IF(AJ263,O263*'[1]ETC Data'!$H$5*'[1]ETC Data'!$I$5,0)</f>
        <v>0</v>
      </c>
      <c r="AL263" s="58">
        <f>AK263-(AK263*((VLOOKUP(A263,[1]Plan!A$1:AY$804,51,FALSE)/100)))</f>
        <v>0</v>
      </c>
      <c r="AM263" s="58">
        <f>IF(AJ263,O263*'[1]ETC Data'!$H$5*'[1]ETC Data'!$J$5,0)</f>
        <v>0</v>
      </c>
      <c r="AN263" s="58">
        <f>AM263-(AM263*((VLOOKUP(A263,[1]Plan!A$1:BA$804,53,FALSE)/100)))</f>
        <v>0</v>
      </c>
      <c r="AO263" s="61">
        <f>IF(AJ263,O263*'[1]ETC Data'!$H$5*'[1]ETC Data'!$K$5,0)</f>
        <v>0</v>
      </c>
      <c r="AP263" s="58">
        <f>AO263-(AO263*((VLOOKUP(A263,[1]Plan!A$1:BB$804,54,FALSE)/100)))</f>
        <v>0</v>
      </c>
      <c r="AQ263" s="58">
        <f>IF(AJ263,O263*'[1]ETC Data'!$H$5*'[1]ETC Data'!$L$5,0)</f>
        <v>0</v>
      </c>
      <c r="AR263" s="58">
        <f>AQ263-(AQ263*((VLOOKUP(A263,[1]Plan!A$1:BD$804,56,FALSE)/100)))</f>
        <v>0</v>
      </c>
      <c r="AS263" s="20">
        <f>VLOOKUP(A263,'[1]PR Matrix'!A:B,2,FALSE)</f>
        <v>0</v>
      </c>
      <c r="AT263" s="21">
        <f>R263+T263+V263+X263+AB263+AD263+AF263+AH263+AL263+AN263+AP263+AR263</f>
        <v>0</v>
      </c>
      <c r="AU263" s="21">
        <f>Q263+S263+U263+W263+AA263+AC263+AE263+AG263+AK263+AM263+AO263+AQ263</f>
        <v>0</v>
      </c>
      <c r="AV263" s="21">
        <f>R263+AB263+AL263</f>
        <v>0</v>
      </c>
      <c r="AW263" s="21">
        <f>T263+AD263+AN263</f>
        <v>0</v>
      </c>
      <c r="AX263" s="21">
        <f>V263+AF263+AP263</f>
        <v>0</v>
      </c>
      <c r="AY263" s="21">
        <f>X263+AH263+AR263</f>
        <v>0</v>
      </c>
    </row>
    <row r="264" spans="1:55" hidden="1" x14ac:dyDescent="0.2">
      <c r="A264" s="65" t="s">
        <v>471</v>
      </c>
      <c r="B264" s="51" t="s">
        <v>258</v>
      </c>
      <c r="C264" s="51"/>
      <c r="D264" s="51"/>
      <c r="E264" s="52">
        <f>IF(G264="Y",VLOOKUP(B264&amp;"|"&amp;C264,'[1]ETC Data'!$C$2:$D$16,2,FALSE),0)</f>
        <v>0</v>
      </c>
      <c r="F264" s="52">
        <f>IF(D264="",0,IF(G264="Y",VLOOKUP(B264&amp;"|"&amp;D264,'[1]ETC Data'!$C$2:$D$16,2,FALSE),0))</f>
        <v>0</v>
      </c>
      <c r="G264" s="53" t="str">
        <f>IF(VLOOKUP(A264,[1]Plan!A$1:H$804,8,FALSE)&lt;&gt;"",VLOOKUP(A264,[1]Plan!A$1:H$804,8,FALSE),"")</f>
        <v>N</v>
      </c>
      <c r="H264" s="54" t="str">
        <f>IF(VLOOKUP(A264,[1]Plan!A$1:L$804,12,FALSE)&lt;&gt;"",VLOOKUP(A264,[1]Plan!A$1:L$804,12,FALSE),"")</f>
        <v/>
      </c>
      <c r="I264" s="55" t="str">
        <f>IF(VLOOKUP(A264,[1]Plan!A$1:M$804,13,FALSE)&lt;&gt;"",VLOOKUP(A264,[1]Plan!A$1:M$804,13,FALSE),"")</f>
        <v/>
      </c>
      <c r="J264" s="55" t="str">
        <f>IF(VLOOKUP(A264,[1]Plan!A$1:N$804,14,FALSE)&lt;&gt;"",VLOOKUP(A264,[1]Plan!A$1:N$804,14,FALSE),IF(VLOOKUP(A264,[1]Plan!A$1:O$804,15,FALSE)&lt;&gt;"",VLOOKUP(A264,[1]Plan!A$1:O$804,15,FALSE),""))</f>
        <v/>
      </c>
      <c r="K264" s="56" t="str">
        <f>IF(VLOOKUP(A264,[1]Plan!A$1:P$804,16,FALSE)&lt;&gt;"",VLOOKUP(A264,[1]Plan!A$1:P$804,16,FALSE),"")</f>
        <v/>
      </c>
      <c r="L264" s="55"/>
      <c r="M264" s="55"/>
      <c r="N264" s="55"/>
      <c r="O264" s="57">
        <f>IF(F264=0,E264,F264)</f>
        <v>0</v>
      </c>
      <c r="P264" s="57" t="b">
        <f>OR(H264="Y",I264="Y")</f>
        <v>0</v>
      </c>
      <c r="Q264" s="58">
        <f>IF(P264,O264*'[1]ETC Data'!$H$3*'[1]ETC Data'!$I$3,0)</f>
        <v>0</v>
      </c>
      <c r="R264" s="58">
        <f>Q264-(Q264*((VLOOKUP(A264,[1]Plan!A$1:Z$804,26,FALSE)/100)))</f>
        <v>0</v>
      </c>
      <c r="S264" s="58">
        <f>IF(P264,O264*'[1]ETC Data'!$H$3*'[1]ETC Data'!$J$3,0)</f>
        <v>0</v>
      </c>
      <c r="T264" s="58">
        <f>S264-(S264*((VLOOKUP(A264,[1]Plan!A$1:AA$804,27,FALSE)/100)))</f>
        <v>0</v>
      </c>
      <c r="U264" s="58">
        <f>IF(P264,O264*'[1]ETC Data'!$H$3*'[1]ETC Data'!$K$3,0)</f>
        <v>0</v>
      </c>
      <c r="V264" s="58">
        <f>U264-(U264*((VLOOKUP(A264,[1]Plan!A$1:AB$804,28,FALSE)/100)))</f>
        <v>0</v>
      </c>
      <c r="W264" s="58">
        <f>IF(P264,O264*'[1]ETC Data'!$H$3*'[1]ETC Data'!$L$3,0)</f>
        <v>0</v>
      </c>
      <c r="X264" s="58">
        <f>W264-(W264*((VLOOKUP(A264,[1]Plan!A$1:AC$804,29,FALSE)/100)))</f>
        <v>0</v>
      </c>
      <c r="Y264" s="59"/>
      <c r="Z264" s="60" t="b">
        <f>OR(H264="Y",J264="Y")</f>
        <v>0</v>
      </c>
      <c r="AA264" s="58">
        <f>IF(Z264,O264*'[1]ETC Data'!$H$4*'[1]ETC Data'!$I$4,0)</f>
        <v>0</v>
      </c>
      <c r="AB264" s="58">
        <f>AA264-(AA264*((VLOOKUP(A264,[1]Plan!A$1:AI$804,35,FALSE)/100)))</f>
        <v>0</v>
      </c>
      <c r="AC264" s="58">
        <f>IF(Z264,O264*'[1]ETC Data'!$H$4*'[1]ETC Data'!$J$4,0)</f>
        <v>0</v>
      </c>
      <c r="AD264" s="58">
        <f>AC264-(AC264*((VLOOKUP(A264,[1]Plan!A$1:AJ$804,36,FALSE)/100)))</f>
        <v>0</v>
      </c>
      <c r="AE264" s="58">
        <f>IF(Z264,O264*'[1]ETC Data'!$H$4*'[1]ETC Data'!$K$4,0)</f>
        <v>0</v>
      </c>
      <c r="AF264" s="58">
        <f>AE264-(AE264*((VLOOKUP(A264,[1]Plan!A$1:AK$804,37,FALSE)/100)))</f>
        <v>0</v>
      </c>
      <c r="AG264" s="58">
        <f>IF(Z264,O264*'[1]ETC Data'!$H$4*'[1]ETC Data'!$L$4,0)</f>
        <v>0</v>
      </c>
      <c r="AH264" s="58">
        <f>AG264-(AG264*((VLOOKUP(A264,[1]Plan!A$1:AP$804,42,FALSE)/100)))</f>
        <v>0</v>
      </c>
      <c r="AI264" s="60"/>
      <c r="AJ264" s="60" t="b">
        <f>OR(H264="Y",K264="Y")</f>
        <v>0</v>
      </c>
      <c r="AK264" s="61">
        <f>IF(AJ264,O264*'[1]ETC Data'!$H$5*'[1]ETC Data'!$I$5,0)</f>
        <v>0</v>
      </c>
      <c r="AL264" s="58">
        <f>AK264-(AK264*((VLOOKUP(A264,[1]Plan!A$1:AY$804,51,FALSE)/100)))</f>
        <v>0</v>
      </c>
      <c r="AM264" s="58">
        <f>IF(AJ264,O264*'[1]ETC Data'!$H$5*'[1]ETC Data'!$J$5,0)</f>
        <v>0</v>
      </c>
      <c r="AN264" s="58">
        <f>AM264-(AM264*((VLOOKUP(A264,[1]Plan!A$1:BA$804,53,FALSE)/100)))</f>
        <v>0</v>
      </c>
      <c r="AO264" s="61">
        <f>IF(AJ264,O264*'[1]ETC Data'!$H$5*'[1]ETC Data'!$K$5,0)</f>
        <v>0</v>
      </c>
      <c r="AP264" s="58">
        <f>AO264-(AO264*((VLOOKUP(A264,[1]Plan!A$1:BB$804,54,FALSE)/100)))</f>
        <v>0</v>
      </c>
      <c r="AQ264" s="58">
        <f>IF(AJ264,O264*'[1]ETC Data'!$H$5*'[1]ETC Data'!$L$5,0)</f>
        <v>0</v>
      </c>
      <c r="AR264" s="58">
        <f>AQ264-(AQ264*((VLOOKUP(A264,[1]Plan!A$1:BD$804,56,FALSE)/100)))</f>
        <v>0</v>
      </c>
      <c r="AS264" s="20">
        <f>VLOOKUP(A264,'[1]PR Matrix'!A:B,2,FALSE)</f>
        <v>0</v>
      </c>
      <c r="AT264" s="21">
        <f>R264+T264+V264+X264+AB264+AD264+AF264+AH264+AL264+AN264+AP264+AR264</f>
        <v>0</v>
      </c>
      <c r="AU264" s="21">
        <f>Q264+S264+U264+W264+AA264+AC264+AE264+AG264+AK264+AM264+AO264+AQ264</f>
        <v>0</v>
      </c>
      <c r="AV264" s="21">
        <f>R264+AB264+AL264</f>
        <v>0</v>
      </c>
      <c r="AW264" s="21">
        <f>T264+AD264+AN264</f>
        <v>0</v>
      </c>
      <c r="AX264" s="21">
        <f>V264+AF264+AP264</f>
        <v>0</v>
      </c>
      <c r="AY264" s="21">
        <f>X264+AH264+AR264</f>
        <v>0</v>
      </c>
      <c r="AZ264" s="64"/>
      <c r="BA264" s="64"/>
      <c r="BB264" s="64"/>
      <c r="BC264" s="64"/>
    </row>
    <row r="265" spans="1:55" hidden="1" x14ac:dyDescent="0.2">
      <c r="A265" s="50" t="s">
        <v>472</v>
      </c>
      <c r="B265" s="51" t="s">
        <v>258</v>
      </c>
      <c r="C265" s="51"/>
      <c r="D265" s="51"/>
      <c r="E265" s="52">
        <f>IF(G265="Y",VLOOKUP(B265&amp;"|"&amp;C265,'[1]ETC Data'!$C$2:$D$16,2,FALSE),0)</f>
        <v>0</v>
      </c>
      <c r="F265" s="52">
        <f>IF(D265="",0,IF(G265="Y",VLOOKUP(B265&amp;"|"&amp;D265,'[1]ETC Data'!$C$2:$D$16,2,FALSE),0))</f>
        <v>0</v>
      </c>
      <c r="G265" s="53" t="str">
        <f>IF(VLOOKUP(A265,[1]Plan!A$1:H$804,8,FALSE)&lt;&gt;"",VLOOKUP(A265,[1]Plan!A$1:H$804,8,FALSE),"")</f>
        <v>N</v>
      </c>
      <c r="H265" s="54" t="str">
        <f>IF(VLOOKUP(A265,[1]Plan!A$1:L$804,12,FALSE)&lt;&gt;"",VLOOKUP(A265,[1]Plan!A$1:L$804,12,FALSE),"")</f>
        <v/>
      </c>
      <c r="I265" s="55" t="str">
        <f>IF(VLOOKUP(A265,[1]Plan!A$1:M$804,13,FALSE)&lt;&gt;"",VLOOKUP(A265,[1]Plan!A$1:M$804,13,FALSE),"")</f>
        <v/>
      </c>
      <c r="J265" s="55" t="str">
        <f>IF(VLOOKUP(A265,[1]Plan!A$1:N$804,14,FALSE)&lt;&gt;"",VLOOKUP(A265,[1]Plan!A$1:N$804,14,FALSE),IF(VLOOKUP(A265,[1]Plan!A$1:O$804,15,FALSE)&lt;&gt;"",VLOOKUP(A265,[1]Plan!A$1:O$804,15,FALSE),""))</f>
        <v/>
      </c>
      <c r="K265" s="56" t="str">
        <f>IF(VLOOKUP(A265,[1]Plan!A$1:P$804,16,FALSE)&lt;&gt;"",VLOOKUP(A265,[1]Plan!A$1:P$804,16,FALSE),"")</f>
        <v/>
      </c>
      <c r="L265" s="55"/>
      <c r="M265" s="55"/>
      <c r="N265" s="55"/>
      <c r="O265" s="57">
        <f>IF(F265=0,E265,F265)</f>
        <v>0</v>
      </c>
      <c r="P265" s="57" t="b">
        <f>OR(H265="Y",I265="Y")</f>
        <v>0</v>
      </c>
      <c r="Q265" s="58">
        <f>IF(P265,O265*'[1]ETC Data'!$H$3*'[1]ETC Data'!$I$3,0)</f>
        <v>0</v>
      </c>
      <c r="R265" s="58">
        <f>Q265-(Q265*((VLOOKUP(A265,[1]Plan!A$1:Z$804,26,FALSE)/100)))</f>
        <v>0</v>
      </c>
      <c r="S265" s="58">
        <f>IF(P265,O265*'[1]ETC Data'!$H$3*'[1]ETC Data'!$J$3,0)</f>
        <v>0</v>
      </c>
      <c r="T265" s="58">
        <f>S265-(S265*((VLOOKUP(A265,[1]Plan!A$1:AA$804,27,FALSE)/100)))</f>
        <v>0</v>
      </c>
      <c r="U265" s="58">
        <f>IF(P265,O265*'[1]ETC Data'!$H$3*'[1]ETC Data'!$K$3,0)</f>
        <v>0</v>
      </c>
      <c r="V265" s="58">
        <f>U265-(U265*((VLOOKUP(A265,[1]Plan!A$1:AB$804,28,FALSE)/100)))</f>
        <v>0</v>
      </c>
      <c r="W265" s="58">
        <f>IF(P265,O265*'[1]ETC Data'!$H$3*'[1]ETC Data'!$L$3,0)</f>
        <v>0</v>
      </c>
      <c r="X265" s="58">
        <f>W265-(W265*((VLOOKUP(A265,[1]Plan!A$1:AC$804,29,FALSE)/100)))</f>
        <v>0</v>
      </c>
      <c r="Y265" s="59"/>
      <c r="Z265" s="60" t="b">
        <f>OR(H265="Y",J265="Y")</f>
        <v>0</v>
      </c>
      <c r="AA265" s="58">
        <f>IF(Z265,O265*'[1]ETC Data'!$H$4*'[1]ETC Data'!$I$4,0)</f>
        <v>0</v>
      </c>
      <c r="AB265" s="58">
        <f>AA265-(AA265*((VLOOKUP(A265,[1]Plan!A$1:AI$804,35,FALSE)/100)))</f>
        <v>0</v>
      </c>
      <c r="AC265" s="58">
        <f>IF(Z265,O265*'[1]ETC Data'!$H$4*'[1]ETC Data'!$J$4,0)</f>
        <v>0</v>
      </c>
      <c r="AD265" s="58">
        <f>AC265-(AC265*((VLOOKUP(A265,[1]Plan!A$1:AJ$804,36,FALSE)/100)))</f>
        <v>0</v>
      </c>
      <c r="AE265" s="58">
        <f>IF(Z265,O265*'[1]ETC Data'!$H$4*'[1]ETC Data'!$K$4,0)</f>
        <v>0</v>
      </c>
      <c r="AF265" s="58">
        <f>AE265-(AE265*((VLOOKUP(A265,[1]Plan!A$1:AK$804,37,FALSE)/100)))</f>
        <v>0</v>
      </c>
      <c r="AG265" s="58">
        <f>IF(Z265,O265*'[1]ETC Data'!$H$4*'[1]ETC Data'!$L$4,0)</f>
        <v>0</v>
      </c>
      <c r="AH265" s="58">
        <f>AG265-(AG265*((VLOOKUP(A265,[1]Plan!A$1:AP$804,42,FALSE)/100)))</f>
        <v>0</v>
      </c>
      <c r="AI265" s="60"/>
      <c r="AJ265" s="60" t="b">
        <f>OR(H265="Y",K265="Y")</f>
        <v>0</v>
      </c>
      <c r="AK265" s="61">
        <f>IF(AJ265,O265*'[1]ETC Data'!$H$5*'[1]ETC Data'!$I$5,0)</f>
        <v>0</v>
      </c>
      <c r="AL265" s="58">
        <f>AK265-(AK265*((VLOOKUP(A265,[1]Plan!A$1:AY$804,51,FALSE)/100)))</f>
        <v>0</v>
      </c>
      <c r="AM265" s="58">
        <f>IF(AJ265,O265*'[1]ETC Data'!$H$5*'[1]ETC Data'!$J$5,0)</f>
        <v>0</v>
      </c>
      <c r="AN265" s="58">
        <f>AM265-(AM265*((VLOOKUP(A265,[1]Plan!A$1:BA$804,53,FALSE)/100)))</f>
        <v>0</v>
      </c>
      <c r="AO265" s="61">
        <f>IF(AJ265,O265*'[1]ETC Data'!$H$5*'[1]ETC Data'!$K$5,0)</f>
        <v>0</v>
      </c>
      <c r="AP265" s="58">
        <f>AO265-(AO265*((VLOOKUP(A265,[1]Plan!A$1:BB$804,54,FALSE)/100)))</f>
        <v>0</v>
      </c>
      <c r="AQ265" s="58">
        <f>IF(AJ265,O265*'[1]ETC Data'!$H$5*'[1]ETC Data'!$L$5,0)</f>
        <v>0</v>
      </c>
      <c r="AR265" s="58">
        <f>AQ265-(AQ265*((VLOOKUP(A265,[1]Plan!A$1:BD$804,56,FALSE)/100)))</f>
        <v>0</v>
      </c>
      <c r="AS265" s="20">
        <f>VLOOKUP(A265,'[1]PR Matrix'!A:B,2,FALSE)</f>
        <v>0</v>
      </c>
      <c r="AT265" s="21">
        <f>R265+T265+V265+X265+AB265+AD265+AF265+AH265+AL265+AN265+AP265+AR265</f>
        <v>0</v>
      </c>
      <c r="AU265" s="21">
        <f>Q265+S265+U265+W265+AA265+AC265+AE265+AG265+AK265+AM265+AO265+AQ265</f>
        <v>0</v>
      </c>
      <c r="AV265" s="21">
        <f>R265+AB265+AL265</f>
        <v>0</v>
      </c>
      <c r="AW265" s="21">
        <f>T265+AD265+AN265</f>
        <v>0</v>
      </c>
      <c r="AX265" s="21">
        <f>V265+AF265+AP265</f>
        <v>0</v>
      </c>
      <c r="AY265" s="21">
        <f>X265+AH265+AR265</f>
        <v>0</v>
      </c>
    </row>
    <row r="266" spans="1:55" hidden="1" x14ac:dyDescent="0.2">
      <c r="A266" s="69" t="s">
        <v>473</v>
      </c>
      <c r="B266" s="51" t="s">
        <v>258</v>
      </c>
      <c r="C266" s="51" t="s">
        <v>208</v>
      </c>
      <c r="D266" s="51"/>
      <c r="E266" s="52">
        <f>IF(G266="Y",VLOOKUP(B266&amp;"|"&amp;C266,'[1]ETC Data'!$C$2:$D$16,2,FALSE),0)</f>
        <v>0</v>
      </c>
      <c r="F266" s="52">
        <f>IF(D266="",0,IF(G266="Y",VLOOKUP(B266&amp;"|"&amp;D266,'[1]ETC Data'!$C$2:$D$16,2,FALSE),0))</f>
        <v>0</v>
      </c>
      <c r="G266" s="53" t="str">
        <f>IF(VLOOKUP(A266,[1]Plan!A$1:H$804,8,FALSE)&lt;&gt;"",VLOOKUP(A266,[1]Plan!A$1:H$804,8,FALSE),"")</f>
        <v>N</v>
      </c>
      <c r="H266" s="54" t="str">
        <f>IF(VLOOKUP(A266,[1]Plan!A$1:L$804,12,FALSE)&lt;&gt;"",VLOOKUP(A266,[1]Plan!A$1:L$804,12,FALSE),"")</f>
        <v/>
      </c>
      <c r="I266" s="55" t="str">
        <f>IF(VLOOKUP(A266,[1]Plan!A$1:M$804,13,FALSE)&lt;&gt;"",VLOOKUP(A266,[1]Plan!A$1:M$804,13,FALSE),"")</f>
        <v/>
      </c>
      <c r="J266" s="55" t="str">
        <f>IF(VLOOKUP(A266,[1]Plan!A$1:N$804,14,FALSE)&lt;&gt;"",VLOOKUP(A266,[1]Plan!A$1:N$804,14,FALSE),IF(VLOOKUP(A266,[1]Plan!A$1:O$804,15,FALSE)&lt;&gt;"",VLOOKUP(A266,[1]Plan!A$1:O$804,15,FALSE),""))</f>
        <v/>
      </c>
      <c r="K266" s="56" t="str">
        <f>IF(VLOOKUP(A266,[1]Plan!A$1:P$804,16,FALSE)&lt;&gt;"",VLOOKUP(A266,[1]Plan!A$1:P$804,16,FALSE),"")</f>
        <v/>
      </c>
      <c r="L266" s="55"/>
      <c r="M266" s="55"/>
      <c r="N266" s="55"/>
      <c r="O266" s="57">
        <f>IF(F266=0,E266,F266)</f>
        <v>0</v>
      </c>
      <c r="P266" s="57" t="b">
        <f>OR(H266="Y",I266="Y")</f>
        <v>0</v>
      </c>
      <c r="Q266" s="58">
        <f>IF(P266,O266*'[1]ETC Data'!$H$3*'[1]ETC Data'!$I$3,0)</f>
        <v>0</v>
      </c>
      <c r="R266" s="58">
        <f>Q266-(Q266*((VLOOKUP(A266,[1]Plan!A$1:Z$804,26,FALSE)/100)))</f>
        <v>0</v>
      </c>
      <c r="S266" s="58">
        <f>IF(P266,O266*'[1]ETC Data'!$H$3*'[1]ETC Data'!$J$3,0)</f>
        <v>0</v>
      </c>
      <c r="T266" s="58">
        <f>S266-(S266*((VLOOKUP(A266,[1]Plan!A$1:AA$804,27,FALSE)/100)))</f>
        <v>0</v>
      </c>
      <c r="U266" s="58">
        <f>IF(P266,O266*'[1]ETC Data'!$H$3*'[1]ETC Data'!$K$3,0)</f>
        <v>0</v>
      </c>
      <c r="V266" s="58">
        <f>U266-(U266*((VLOOKUP(A266,[1]Plan!A$1:AB$804,28,FALSE)/100)))</f>
        <v>0</v>
      </c>
      <c r="W266" s="58">
        <f>IF(P266,O266*'[1]ETC Data'!$H$3*'[1]ETC Data'!$L$3,0)</f>
        <v>0</v>
      </c>
      <c r="X266" s="58">
        <f>W266-(W266*((VLOOKUP(A266,[1]Plan!A$1:AC$804,29,FALSE)/100)))</f>
        <v>0</v>
      </c>
      <c r="Y266" s="59"/>
      <c r="Z266" s="60" t="b">
        <f>OR(H266="Y",J266="Y")</f>
        <v>0</v>
      </c>
      <c r="AA266" s="58">
        <f>IF(Z266,O266*'[1]ETC Data'!$H$4*'[1]ETC Data'!$I$4,0)</f>
        <v>0</v>
      </c>
      <c r="AB266" s="58">
        <f>AA266-(AA266*((VLOOKUP(A266,[1]Plan!A$1:AI$804,35,FALSE)/100)))</f>
        <v>0</v>
      </c>
      <c r="AC266" s="58">
        <f>IF(Z266,O266*'[1]ETC Data'!$H$4*'[1]ETC Data'!$J$4,0)</f>
        <v>0</v>
      </c>
      <c r="AD266" s="58">
        <f>AC266-(AC266*((VLOOKUP(A266,[1]Plan!A$1:AJ$804,36,FALSE)/100)))</f>
        <v>0</v>
      </c>
      <c r="AE266" s="58">
        <f>IF(Z266,O266*'[1]ETC Data'!$H$4*'[1]ETC Data'!$K$4,0)</f>
        <v>0</v>
      </c>
      <c r="AF266" s="58">
        <f>AE266-(AE266*((VLOOKUP(A266,[1]Plan!A$1:AK$804,37,FALSE)/100)))</f>
        <v>0</v>
      </c>
      <c r="AG266" s="58">
        <f>IF(Z266,O266*'[1]ETC Data'!$H$4*'[1]ETC Data'!$L$4,0)</f>
        <v>0</v>
      </c>
      <c r="AH266" s="58">
        <f>AG266-(AG266*((VLOOKUP(A266,[1]Plan!A$1:AP$804,42,FALSE)/100)))</f>
        <v>0</v>
      </c>
      <c r="AI266" s="60"/>
      <c r="AJ266" s="60" t="b">
        <f>OR(H266="Y",K266="Y")</f>
        <v>0</v>
      </c>
      <c r="AK266" s="61">
        <f>IF(AJ266,O266*'[1]ETC Data'!$H$5*'[1]ETC Data'!$I$5,0)</f>
        <v>0</v>
      </c>
      <c r="AL266" s="58">
        <f>AK266-(AK266*((VLOOKUP(A266,[1]Plan!A$1:AY$804,51,FALSE)/100)))</f>
        <v>0</v>
      </c>
      <c r="AM266" s="58">
        <f>IF(AJ266,O266*'[1]ETC Data'!$H$5*'[1]ETC Data'!$J$5,0)</f>
        <v>0</v>
      </c>
      <c r="AN266" s="58">
        <f>AM266-(AM266*((VLOOKUP(A266,[1]Plan!A$1:BA$804,53,FALSE)/100)))</f>
        <v>0</v>
      </c>
      <c r="AO266" s="61">
        <f>IF(AJ266,O266*'[1]ETC Data'!$H$5*'[1]ETC Data'!$K$5,0)</f>
        <v>0</v>
      </c>
      <c r="AP266" s="58">
        <f>AO266-(AO266*((VLOOKUP(A266,[1]Plan!A$1:BB$804,54,FALSE)/100)))</f>
        <v>0</v>
      </c>
      <c r="AQ266" s="58">
        <f>IF(AJ266,O266*'[1]ETC Data'!$H$5*'[1]ETC Data'!$L$5,0)</f>
        <v>0</v>
      </c>
      <c r="AR266" s="58">
        <f>AQ266-(AQ266*((VLOOKUP(A266,[1]Plan!A$1:BD$804,56,FALSE)/100)))</f>
        <v>0</v>
      </c>
      <c r="AS266" s="20">
        <f>VLOOKUP(A266,'[1]PR Matrix'!A:B,2,FALSE)</f>
        <v>0</v>
      </c>
      <c r="AT266" s="21">
        <f>R266+T266+V266+X266+AB266+AD266+AF266+AH266+AL266+AN266+AP266+AR266</f>
        <v>0</v>
      </c>
      <c r="AU266" s="21">
        <f>Q266+S266+U266+W266+AA266+AC266+AE266+AG266+AK266+AM266+AO266+AQ266</f>
        <v>0</v>
      </c>
      <c r="AV266" s="21">
        <f>R266+AB266+AL266</f>
        <v>0</v>
      </c>
      <c r="AW266" s="21">
        <f>T266+AD266+AN266</f>
        <v>0</v>
      </c>
      <c r="AX266" s="21">
        <f>V266+AF266+AP266</f>
        <v>0</v>
      </c>
      <c r="AY266" s="21">
        <f>X266+AH266+AR266</f>
        <v>0</v>
      </c>
    </row>
    <row r="267" spans="1:55" hidden="1" x14ac:dyDescent="0.2">
      <c r="A267" s="65" t="s">
        <v>474</v>
      </c>
      <c r="B267" s="51" t="s">
        <v>258</v>
      </c>
      <c r="C267" s="51" t="s">
        <v>208</v>
      </c>
      <c r="D267" s="51"/>
      <c r="E267" s="52">
        <f>IF(G267="Y",VLOOKUP(B267&amp;"|"&amp;C267,'[1]ETC Data'!$C$2:$D$16,2,FALSE),0)</f>
        <v>0</v>
      </c>
      <c r="F267" s="52">
        <f>IF(D267="",0,IF(G267="Y",VLOOKUP(B267&amp;"|"&amp;D267,'[1]ETC Data'!$C$2:$D$16,2,FALSE),0))</f>
        <v>0</v>
      </c>
      <c r="G267" s="53" t="str">
        <f>IF(VLOOKUP(A267,[1]Plan!A$1:H$804,8,FALSE)&lt;&gt;"",VLOOKUP(A267,[1]Plan!A$1:H$804,8,FALSE),"")</f>
        <v>N</v>
      </c>
      <c r="H267" s="54" t="str">
        <f>IF(VLOOKUP(A267,[1]Plan!A$1:L$804,12,FALSE)&lt;&gt;"",VLOOKUP(A267,[1]Plan!A$1:L$804,12,FALSE),"")</f>
        <v/>
      </c>
      <c r="I267" s="55" t="str">
        <f>IF(VLOOKUP(A267,[1]Plan!A$1:M$804,13,FALSE)&lt;&gt;"",VLOOKUP(A267,[1]Plan!A$1:M$804,13,FALSE),"")</f>
        <v/>
      </c>
      <c r="J267" s="55" t="str">
        <f>IF(VLOOKUP(A267,[1]Plan!A$1:N$804,14,FALSE)&lt;&gt;"",VLOOKUP(A267,[1]Plan!A$1:N$804,14,FALSE),IF(VLOOKUP(A267,[1]Plan!A$1:O$804,15,FALSE)&lt;&gt;"",VLOOKUP(A267,[1]Plan!A$1:O$804,15,FALSE),""))</f>
        <v/>
      </c>
      <c r="K267" s="56" t="str">
        <f>IF(VLOOKUP(A267,[1]Plan!A$1:P$804,16,FALSE)&lt;&gt;"",VLOOKUP(A267,[1]Plan!A$1:P$804,16,FALSE),"")</f>
        <v/>
      </c>
      <c r="L267" s="55"/>
      <c r="M267" s="55"/>
      <c r="N267" s="55"/>
      <c r="O267" s="57">
        <f>IF(F267=0,E267,F267)</f>
        <v>0</v>
      </c>
      <c r="P267" s="57" t="b">
        <f>OR(H267="Y",I267="Y")</f>
        <v>0</v>
      </c>
      <c r="Q267" s="58">
        <f>IF(P267,O267*'[1]ETC Data'!$H$3*'[1]ETC Data'!$I$3,0)</f>
        <v>0</v>
      </c>
      <c r="R267" s="58">
        <f>Q267-(Q267*((VLOOKUP(A267,[1]Plan!A$1:Z$804,26,FALSE)/100)))</f>
        <v>0</v>
      </c>
      <c r="S267" s="58">
        <f>IF(P267,O267*'[1]ETC Data'!$H$3*'[1]ETC Data'!$J$3,0)</f>
        <v>0</v>
      </c>
      <c r="T267" s="58">
        <f>S267-(S267*((VLOOKUP(A267,[1]Plan!A$1:AA$804,27,FALSE)/100)))</f>
        <v>0</v>
      </c>
      <c r="U267" s="58">
        <f>IF(P267,O267*'[1]ETC Data'!$H$3*'[1]ETC Data'!$K$3,0)</f>
        <v>0</v>
      </c>
      <c r="V267" s="58">
        <f>U267-(U267*((VLOOKUP(A267,[1]Plan!A$1:AB$804,28,FALSE)/100)))</f>
        <v>0</v>
      </c>
      <c r="W267" s="58">
        <f>IF(P267,O267*'[1]ETC Data'!$H$3*'[1]ETC Data'!$L$3,0)</f>
        <v>0</v>
      </c>
      <c r="X267" s="58">
        <f>W267-(W267*((VLOOKUP(A267,[1]Plan!A$1:AC$804,29,FALSE)/100)))</f>
        <v>0</v>
      </c>
      <c r="Y267" s="59"/>
      <c r="Z267" s="60" t="b">
        <f>OR(H267="Y",J267="Y")</f>
        <v>0</v>
      </c>
      <c r="AA267" s="58">
        <f>IF(Z267,O267*'[1]ETC Data'!$H$4*'[1]ETC Data'!$I$4,0)</f>
        <v>0</v>
      </c>
      <c r="AB267" s="58">
        <f>AA267-(AA267*((VLOOKUP(A267,[1]Plan!A$1:AI$804,35,FALSE)/100)))</f>
        <v>0</v>
      </c>
      <c r="AC267" s="58">
        <f>IF(Z267,O267*'[1]ETC Data'!$H$4*'[1]ETC Data'!$J$4,0)</f>
        <v>0</v>
      </c>
      <c r="AD267" s="58">
        <f>AC267-(AC267*((VLOOKUP(A267,[1]Plan!A$1:AJ$804,36,FALSE)/100)))</f>
        <v>0</v>
      </c>
      <c r="AE267" s="58">
        <f>IF(Z267,O267*'[1]ETC Data'!$H$4*'[1]ETC Data'!$K$4,0)</f>
        <v>0</v>
      </c>
      <c r="AF267" s="58">
        <f>AE267-(AE267*((VLOOKUP(A267,[1]Plan!A$1:AK$804,37,FALSE)/100)))</f>
        <v>0</v>
      </c>
      <c r="AG267" s="58">
        <f>IF(Z267,O267*'[1]ETC Data'!$H$4*'[1]ETC Data'!$L$4,0)</f>
        <v>0</v>
      </c>
      <c r="AH267" s="58">
        <f>AG267-(AG267*((VLOOKUP(A267,[1]Plan!A$1:AP$804,42,FALSE)/100)))</f>
        <v>0</v>
      </c>
      <c r="AI267" s="60"/>
      <c r="AJ267" s="60" t="b">
        <f>OR(H267="Y",K267="Y")</f>
        <v>0</v>
      </c>
      <c r="AK267" s="61">
        <f>IF(AJ267,O267*'[1]ETC Data'!$H$5*'[1]ETC Data'!$I$5,0)</f>
        <v>0</v>
      </c>
      <c r="AL267" s="58">
        <f>AK267-(AK267*((VLOOKUP(A267,[1]Plan!A$1:AY$804,51,FALSE)/100)))</f>
        <v>0</v>
      </c>
      <c r="AM267" s="58">
        <f>IF(AJ267,O267*'[1]ETC Data'!$H$5*'[1]ETC Data'!$J$5,0)</f>
        <v>0</v>
      </c>
      <c r="AN267" s="58">
        <f>AM267-(AM267*((VLOOKUP(A267,[1]Plan!A$1:BA$804,53,FALSE)/100)))</f>
        <v>0</v>
      </c>
      <c r="AO267" s="61">
        <f>IF(AJ267,O267*'[1]ETC Data'!$H$5*'[1]ETC Data'!$K$5,0)</f>
        <v>0</v>
      </c>
      <c r="AP267" s="58">
        <f>AO267-(AO267*((VLOOKUP(A267,[1]Plan!A$1:BB$804,54,FALSE)/100)))</f>
        <v>0</v>
      </c>
      <c r="AQ267" s="58">
        <f>IF(AJ267,O267*'[1]ETC Data'!$H$5*'[1]ETC Data'!$L$5,0)</f>
        <v>0</v>
      </c>
      <c r="AR267" s="58">
        <f>AQ267-(AQ267*((VLOOKUP(A267,[1]Plan!A$1:BD$804,56,FALSE)/100)))</f>
        <v>0</v>
      </c>
      <c r="AS267" s="20">
        <f>VLOOKUP(A267,'[1]PR Matrix'!A:B,2,FALSE)</f>
        <v>0</v>
      </c>
      <c r="AT267" s="21">
        <f>R267+T267+V267+X267+AB267+AD267+AF267+AH267+AL267+AN267+AP267+AR267</f>
        <v>0</v>
      </c>
      <c r="AU267" s="21">
        <f>Q267+S267+U267+W267+AA267+AC267+AE267+AG267+AK267+AM267+AO267+AQ267</f>
        <v>0</v>
      </c>
      <c r="AV267" s="21">
        <f>R267+AB267+AL267</f>
        <v>0</v>
      </c>
      <c r="AW267" s="21">
        <f>T267+AD267+AN267</f>
        <v>0</v>
      </c>
      <c r="AX267" s="21">
        <f>V267+AF267+AP267</f>
        <v>0</v>
      </c>
      <c r="AY267" s="21">
        <f>X267+AH267+AR267</f>
        <v>0</v>
      </c>
      <c r="AZ267" s="64"/>
      <c r="BA267" s="64"/>
      <c r="BB267" s="64"/>
      <c r="BC267" s="64"/>
    </row>
    <row r="268" spans="1:55" hidden="1" x14ac:dyDescent="0.2">
      <c r="A268" s="65" t="s">
        <v>475</v>
      </c>
      <c r="B268" s="51" t="s">
        <v>258</v>
      </c>
      <c r="C268" s="51" t="s">
        <v>208</v>
      </c>
      <c r="D268" s="51"/>
      <c r="E268" s="52">
        <f>IF(G268="Y",VLOOKUP(B268&amp;"|"&amp;C268,'[1]ETC Data'!$C$2:$D$16,2,FALSE),0)</f>
        <v>0</v>
      </c>
      <c r="F268" s="52">
        <f>IF(D268="",0,IF(G268="Y",VLOOKUP(B268&amp;"|"&amp;D268,'[1]ETC Data'!$C$2:$D$16,2,FALSE),0))</f>
        <v>0</v>
      </c>
      <c r="G268" s="53" t="str">
        <f>IF(VLOOKUP(A268,[1]Plan!A$1:H$804,8,FALSE)&lt;&gt;"",VLOOKUP(A268,[1]Plan!A$1:H$804,8,FALSE),"")</f>
        <v>N</v>
      </c>
      <c r="H268" s="54" t="str">
        <f>IF(VLOOKUP(A268,[1]Plan!A$1:L$804,12,FALSE)&lt;&gt;"",VLOOKUP(A268,[1]Plan!A$1:L$804,12,FALSE),"")</f>
        <v/>
      </c>
      <c r="I268" s="55" t="str">
        <f>IF(VLOOKUP(A268,[1]Plan!A$1:M$804,13,FALSE)&lt;&gt;"",VLOOKUP(A268,[1]Plan!A$1:M$804,13,FALSE),"")</f>
        <v/>
      </c>
      <c r="J268" s="55" t="str">
        <f>IF(VLOOKUP(A268,[1]Plan!A$1:N$804,14,FALSE)&lt;&gt;"",VLOOKUP(A268,[1]Plan!A$1:N$804,14,FALSE),IF(VLOOKUP(A268,[1]Plan!A$1:O$804,15,FALSE)&lt;&gt;"",VLOOKUP(A268,[1]Plan!A$1:O$804,15,FALSE),""))</f>
        <v/>
      </c>
      <c r="K268" s="56" t="str">
        <f>IF(VLOOKUP(A268,[1]Plan!A$1:P$804,16,FALSE)&lt;&gt;"",VLOOKUP(A268,[1]Plan!A$1:P$804,16,FALSE),"")</f>
        <v/>
      </c>
      <c r="L268" s="55"/>
      <c r="M268" s="55"/>
      <c r="N268" s="55"/>
      <c r="O268" s="57">
        <f>IF(F268=0,E268,F268)</f>
        <v>0</v>
      </c>
      <c r="P268" s="57" t="b">
        <f>OR(H268="Y",I268="Y")</f>
        <v>0</v>
      </c>
      <c r="Q268" s="58">
        <f>IF(P268,O268*'[1]ETC Data'!$H$3*'[1]ETC Data'!$I$3,0)</f>
        <v>0</v>
      </c>
      <c r="R268" s="58">
        <f>Q268-(Q268*((VLOOKUP(A268,[1]Plan!A$1:Z$804,26,FALSE)/100)))</f>
        <v>0</v>
      </c>
      <c r="S268" s="58">
        <f>IF(P268,O268*'[1]ETC Data'!$H$3*'[1]ETC Data'!$J$3,0)</f>
        <v>0</v>
      </c>
      <c r="T268" s="58">
        <f>S268-(S268*((VLOOKUP(A268,[1]Plan!A$1:AA$804,27,FALSE)/100)))</f>
        <v>0</v>
      </c>
      <c r="U268" s="58">
        <f>IF(P268,O268*'[1]ETC Data'!$H$3*'[1]ETC Data'!$K$3,0)</f>
        <v>0</v>
      </c>
      <c r="V268" s="58">
        <f>U268-(U268*((VLOOKUP(A268,[1]Plan!A$1:AB$804,28,FALSE)/100)))</f>
        <v>0</v>
      </c>
      <c r="W268" s="58">
        <f>IF(P268,O268*'[1]ETC Data'!$H$3*'[1]ETC Data'!$L$3,0)</f>
        <v>0</v>
      </c>
      <c r="X268" s="58">
        <f>W268-(W268*((VLOOKUP(A268,[1]Plan!A$1:AC$804,29,FALSE)/100)))</f>
        <v>0</v>
      </c>
      <c r="Y268" s="59"/>
      <c r="Z268" s="60" t="b">
        <f>OR(H268="Y",J268="Y")</f>
        <v>0</v>
      </c>
      <c r="AA268" s="58">
        <f>IF(Z268,O268*'[1]ETC Data'!$H$4*'[1]ETC Data'!$I$4,0)</f>
        <v>0</v>
      </c>
      <c r="AB268" s="58">
        <f>AA268-(AA268*((VLOOKUP(A268,[1]Plan!A$1:AI$804,35,FALSE)/100)))</f>
        <v>0</v>
      </c>
      <c r="AC268" s="58">
        <f>IF(Z268,O268*'[1]ETC Data'!$H$4*'[1]ETC Data'!$J$4,0)</f>
        <v>0</v>
      </c>
      <c r="AD268" s="58">
        <f>AC268-(AC268*((VLOOKUP(A268,[1]Plan!A$1:AJ$804,36,FALSE)/100)))</f>
        <v>0</v>
      </c>
      <c r="AE268" s="58">
        <f>IF(Z268,O268*'[1]ETC Data'!$H$4*'[1]ETC Data'!$K$4,0)</f>
        <v>0</v>
      </c>
      <c r="AF268" s="58">
        <f>AE268-(AE268*((VLOOKUP(A268,[1]Plan!A$1:AK$804,37,FALSE)/100)))</f>
        <v>0</v>
      </c>
      <c r="AG268" s="58">
        <f>IF(Z268,O268*'[1]ETC Data'!$H$4*'[1]ETC Data'!$L$4,0)</f>
        <v>0</v>
      </c>
      <c r="AH268" s="58">
        <f>AG268-(AG268*((VLOOKUP(A268,[1]Plan!A$1:AP$804,42,FALSE)/100)))</f>
        <v>0</v>
      </c>
      <c r="AI268" s="60"/>
      <c r="AJ268" s="60" t="b">
        <f>OR(H268="Y",K268="Y")</f>
        <v>0</v>
      </c>
      <c r="AK268" s="61">
        <f>IF(AJ268,O268*'[1]ETC Data'!$H$5*'[1]ETC Data'!$I$5,0)</f>
        <v>0</v>
      </c>
      <c r="AL268" s="58">
        <f>AK268-(AK268*((VLOOKUP(A268,[1]Plan!A$1:AY$804,51,FALSE)/100)))</f>
        <v>0</v>
      </c>
      <c r="AM268" s="58">
        <f>IF(AJ268,O268*'[1]ETC Data'!$H$5*'[1]ETC Data'!$J$5,0)</f>
        <v>0</v>
      </c>
      <c r="AN268" s="58">
        <f>AM268-(AM268*((VLOOKUP(A268,[1]Plan!A$1:BA$804,53,FALSE)/100)))</f>
        <v>0</v>
      </c>
      <c r="AO268" s="61">
        <f>IF(AJ268,O268*'[1]ETC Data'!$H$5*'[1]ETC Data'!$K$5,0)</f>
        <v>0</v>
      </c>
      <c r="AP268" s="58">
        <f>AO268-(AO268*((VLOOKUP(A268,[1]Plan!A$1:BB$804,54,FALSE)/100)))</f>
        <v>0</v>
      </c>
      <c r="AQ268" s="58">
        <f>IF(AJ268,O268*'[1]ETC Data'!$H$5*'[1]ETC Data'!$L$5,0)</f>
        <v>0</v>
      </c>
      <c r="AR268" s="58">
        <f>AQ268-(AQ268*((VLOOKUP(A268,[1]Plan!A$1:BD$804,56,FALSE)/100)))</f>
        <v>0</v>
      </c>
      <c r="AS268" s="20">
        <f>VLOOKUP(A268,'[1]PR Matrix'!A:B,2,FALSE)</f>
        <v>0</v>
      </c>
      <c r="AT268" s="21">
        <f>R268+T268+V268+X268+AB268+AD268+AF268+AH268+AL268+AN268+AP268+AR268</f>
        <v>0</v>
      </c>
      <c r="AU268" s="21">
        <f>Q268+S268+U268+W268+AA268+AC268+AE268+AG268+AK268+AM268+AO268+AQ268</f>
        <v>0</v>
      </c>
      <c r="AV268" s="21">
        <f>R268+AB268+AL268</f>
        <v>0</v>
      </c>
      <c r="AW268" s="21">
        <f>T268+AD268+AN268</f>
        <v>0</v>
      </c>
      <c r="AX268" s="21">
        <f>V268+AF268+AP268</f>
        <v>0</v>
      </c>
      <c r="AY268" s="21">
        <f>X268+AH268+AR268</f>
        <v>0</v>
      </c>
      <c r="AZ268" s="64"/>
      <c r="BA268" s="64"/>
      <c r="BB268" s="64"/>
      <c r="BC268" s="64"/>
    </row>
    <row r="269" spans="1:55" hidden="1" x14ac:dyDescent="0.2">
      <c r="A269" s="65" t="s">
        <v>476</v>
      </c>
      <c r="B269" s="51" t="s">
        <v>258</v>
      </c>
      <c r="C269" s="51"/>
      <c r="D269" s="51"/>
      <c r="E269" s="52">
        <f>IF(G269="Y",VLOOKUP(B269&amp;"|"&amp;C269,'[1]ETC Data'!$C$2:$D$16,2,FALSE),0)</f>
        <v>0</v>
      </c>
      <c r="F269" s="52">
        <f>IF(D269="",0,IF(G269="Y",VLOOKUP(B269&amp;"|"&amp;D269,'[1]ETC Data'!$C$2:$D$16,2,FALSE),0))</f>
        <v>0</v>
      </c>
      <c r="G269" s="53" t="str">
        <f>IF(VLOOKUP(A269,[1]Plan!A$1:H$804,8,FALSE)&lt;&gt;"",VLOOKUP(A269,[1]Plan!A$1:H$804,8,FALSE),"")</f>
        <v>N</v>
      </c>
      <c r="H269" s="54" t="str">
        <f>IF(VLOOKUP(A269,[1]Plan!A$1:L$804,12,FALSE)&lt;&gt;"",VLOOKUP(A269,[1]Plan!A$1:L$804,12,FALSE),"")</f>
        <v/>
      </c>
      <c r="I269" s="55" t="str">
        <f>IF(VLOOKUP(A269,[1]Plan!A$1:M$804,13,FALSE)&lt;&gt;"",VLOOKUP(A269,[1]Plan!A$1:M$804,13,FALSE),"")</f>
        <v/>
      </c>
      <c r="J269" s="55" t="str">
        <f>IF(VLOOKUP(A269,[1]Plan!A$1:N$804,14,FALSE)&lt;&gt;"",VLOOKUP(A269,[1]Plan!A$1:N$804,14,FALSE),IF(VLOOKUP(A269,[1]Plan!A$1:O$804,15,FALSE)&lt;&gt;"",VLOOKUP(A269,[1]Plan!A$1:O$804,15,FALSE),""))</f>
        <v/>
      </c>
      <c r="K269" s="56" t="str">
        <f>IF(VLOOKUP(A269,[1]Plan!A$1:P$804,16,FALSE)&lt;&gt;"",VLOOKUP(A269,[1]Plan!A$1:P$804,16,FALSE),"")</f>
        <v/>
      </c>
      <c r="L269" s="55"/>
      <c r="M269" s="55"/>
      <c r="N269" s="55"/>
      <c r="O269" s="57">
        <f>IF(F269=0,E269,F269)</f>
        <v>0</v>
      </c>
      <c r="P269" s="57" t="b">
        <f>OR(H269="Y",I269="Y")</f>
        <v>0</v>
      </c>
      <c r="Q269" s="58">
        <f>IF(P269,O269*'[1]ETC Data'!$H$3*'[1]ETC Data'!$I$3,0)</f>
        <v>0</v>
      </c>
      <c r="R269" s="58">
        <f>Q269-(Q269*((VLOOKUP(A269,[1]Plan!A$1:Z$804,26,FALSE)/100)))</f>
        <v>0</v>
      </c>
      <c r="S269" s="58">
        <f>IF(P269,O269*'[1]ETC Data'!$H$3*'[1]ETC Data'!$J$3,0)</f>
        <v>0</v>
      </c>
      <c r="T269" s="58">
        <f>S269-(S269*((VLOOKUP(A269,[1]Plan!A$1:AA$804,27,FALSE)/100)))</f>
        <v>0</v>
      </c>
      <c r="U269" s="58">
        <f>IF(P269,O269*'[1]ETC Data'!$H$3*'[1]ETC Data'!$K$3,0)</f>
        <v>0</v>
      </c>
      <c r="V269" s="58">
        <f>U269-(U269*((VLOOKUP(A269,[1]Plan!A$1:AB$804,28,FALSE)/100)))</f>
        <v>0</v>
      </c>
      <c r="W269" s="58">
        <f>IF(P269,O269*'[1]ETC Data'!$H$3*'[1]ETC Data'!$L$3,0)</f>
        <v>0</v>
      </c>
      <c r="X269" s="58">
        <f>W269-(W269*((VLOOKUP(A269,[1]Plan!A$1:AC$804,29,FALSE)/100)))</f>
        <v>0</v>
      </c>
      <c r="Y269" s="59"/>
      <c r="Z269" s="60" t="b">
        <f>OR(H269="Y",J269="Y")</f>
        <v>0</v>
      </c>
      <c r="AA269" s="58">
        <f>IF(Z269,O269*'[1]ETC Data'!$H$4*'[1]ETC Data'!$I$4,0)</f>
        <v>0</v>
      </c>
      <c r="AB269" s="58">
        <f>AA269-(AA269*((VLOOKUP(A269,[1]Plan!A$1:AI$804,35,FALSE)/100)))</f>
        <v>0</v>
      </c>
      <c r="AC269" s="58">
        <f>IF(Z269,O269*'[1]ETC Data'!$H$4*'[1]ETC Data'!$J$4,0)</f>
        <v>0</v>
      </c>
      <c r="AD269" s="58">
        <f>AC269-(AC269*((VLOOKUP(A269,[1]Plan!A$1:AJ$804,36,FALSE)/100)))</f>
        <v>0</v>
      </c>
      <c r="AE269" s="58">
        <f>IF(Z269,O269*'[1]ETC Data'!$H$4*'[1]ETC Data'!$K$4,0)</f>
        <v>0</v>
      </c>
      <c r="AF269" s="58">
        <f>AE269-(AE269*((VLOOKUP(A269,[1]Plan!A$1:AK$804,37,FALSE)/100)))</f>
        <v>0</v>
      </c>
      <c r="AG269" s="58">
        <f>IF(Z269,O269*'[1]ETC Data'!$H$4*'[1]ETC Data'!$L$4,0)</f>
        <v>0</v>
      </c>
      <c r="AH269" s="58">
        <f>AG269-(AG269*((VLOOKUP(A269,[1]Plan!A$1:AP$804,42,FALSE)/100)))</f>
        <v>0</v>
      </c>
      <c r="AI269" s="60"/>
      <c r="AJ269" s="60" t="b">
        <f>OR(H269="Y",K269="Y")</f>
        <v>0</v>
      </c>
      <c r="AK269" s="61">
        <f>IF(AJ269,O269*'[1]ETC Data'!$H$5*'[1]ETC Data'!$I$5,0)</f>
        <v>0</v>
      </c>
      <c r="AL269" s="58">
        <f>AK269-(AK269*((VLOOKUP(A269,[1]Plan!A$1:AY$804,51,FALSE)/100)))</f>
        <v>0</v>
      </c>
      <c r="AM269" s="58">
        <f>IF(AJ269,O269*'[1]ETC Data'!$H$5*'[1]ETC Data'!$J$5,0)</f>
        <v>0</v>
      </c>
      <c r="AN269" s="58">
        <f>AM269-(AM269*((VLOOKUP(A269,[1]Plan!A$1:BA$804,53,FALSE)/100)))</f>
        <v>0</v>
      </c>
      <c r="AO269" s="61">
        <f>IF(AJ269,O269*'[1]ETC Data'!$H$5*'[1]ETC Data'!$K$5,0)</f>
        <v>0</v>
      </c>
      <c r="AP269" s="58">
        <f>AO269-(AO269*((VLOOKUP(A269,[1]Plan!A$1:BB$804,54,FALSE)/100)))</f>
        <v>0</v>
      </c>
      <c r="AQ269" s="58">
        <f>IF(AJ269,O269*'[1]ETC Data'!$H$5*'[1]ETC Data'!$L$5,0)</f>
        <v>0</v>
      </c>
      <c r="AR269" s="58">
        <f>AQ269-(AQ269*((VLOOKUP(A269,[1]Plan!A$1:BD$804,56,FALSE)/100)))</f>
        <v>0</v>
      </c>
      <c r="AS269" s="20">
        <f>VLOOKUP(A269,'[1]PR Matrix'!A:B,2,FALSE)</f>
        <v>0</v>
      </c>
      <c r="AT269" s="21">
        <f>R269+T269+V269+X269+AB269+AD269+AF269+AH269+AL269+AN269+AP269+AR269</f>
        <v>0</v>
      </c>
      <c r="AU269" s="21">
        <f>Q269+S269+U269+W269+AA269+AC269+AE269+AG269+AK269+AM269+AO269+AQ269</f>
        <v>0</v>
      </c>
      <c r="AV269" s="21">
        <f>R269+AB269+AL269</f>
        <v>0</v>
      </c>
      <c r="AW269" s="21">
        <f>T269+AD269+AN269</f>
        <v>0</v>
      </c>
      <c r="AX269" s="21">
        <f>V269+AF269+AP269</f>
        <v>0</v>
      </c>
      <c r="AY269" s="21">
        <f>X269+AH269+AR269</f>
        <v>0</v>
      </c>
      <c r="AZ269" s="64"/>
      <c r="BA269" s="64"/>
      <c r="BB269" s="64"/>
      <c r="BC269" s="64"/>
    </row>
    <row r="270" spans="1:55" hidden="1" x14ac:dyDescent="0.2">
      <c r="A270" s="50" t="s">
        <v>477</v>
      </c>
      <c r="B270" s="51" t="s">
        <v>258</v>
      </c>
      <c r="C270" s="51"/>
      <c r="D270" s="51"/>
      <c r="E270" s="52">
        <f>IF(G270="Y",VLOOKUP(B270&amp;"|"&amp;C270,'[1]ETC Data'!$C$2:$D$16,2,FALSE),0)</f>
        <v>0</v>
      </c>
      <c r="F270" s="52">
        <f>IF(D270="",0,IF(G270="Y",VLOOKUP(B270&amp;"|"&amp;D270,'[1]ETC Data'!$C$2:$D$16,2,FALSE),0))</f>
        <v>0</v>
      </c>
      <c r="G270" s="53" t="str">
        <f>IF(VLOOKUP(A270,[1]Plan!A$1:H$804,8,FALSE)&lt;&gt;"",VLOOKUP(A270,[1]Plan!A$1:H$804,8,FALSE),"")</f>
        <v>N</v>
      </c>
      <c r="H270" s="54" t="str">
        <f>IF(VLOOKUP(A270,[1]Plan!A$1:L$804,12,FALSE)&lt;&gt;"",VLOOKUP(A270,[1]Plan!A$1:L$804,12,FALSE),"")</f>
        <v/>
      </c>
      <c r="I270" s="55" t="str">
        <f>IF(VLOOKUP(A270,[1]Plan!A$1:M$804,13,FALSE)&lt;&gt;"",VLOOKUP(A270,[1]Plan!A$1:M$804,13,FALSE),"")</f>
        <v>Y</v>
      </c>
      <c r="J270" s="55" t="str">
        <f>IF(VLOOKUP(A270,[1]Plan!A$1:N$804,14,FALSE)&lt;&gt;"",VLOOKUP(A270,[1]Plan!A$1:N$804,14,FALSE),IF(VLOOKUP(A270,[1]Plan!A$1:O$804,15,FALSE)&lt;&gt;"",VLOOKUP(A270,[1]Plan!A$1:O$804,15,FALSE),""))</f>
        <v>Y</v>
      </c>
      <c r="K270" s="56" t="str">
        <f>IF(VLOOKUP(A270,[1]Plan!A$1:P$804,16,FALSE)&lt;&gt;"",VLOOKUP(A270,[1]Plan!A$1:P$804,16,FALSE),"")</f>
        <v>Y</v>
      </c>
      <c r="L270" s="55"/>
      <c r="M270" s="55"/>
      <c r="N270" s="55"/>
      <c r="O270" s="57">
        <f>IF(F270=0,E270,F270)</f>
        <v>0</v>
      </c>
      <c r="P270" s="57" t="b">
        <f>OR(H270="Y",I270="Y")</f>
        <v>1</v>
      </c>
      <c r="Q270" s="58">
        <f>IF(P270,O270*'[1]ETC Data'!$H$3*'[1]ETC Data'!$I$3,0)</f>
        <v>0</v>
      </c>
      <c r="R270" s="58">
        <f>Q270-(Q270*((VLOOKUP(A270,[1]Plan!A$1:Z$804,26,FALSE)/100)))</f>
        <v>0</v>
      </c>
      <c r="S270" s="58">
        <f>IF(P270,O270*'[1]ETC Data'!$H$3*'[1]ETC Data'!$J$3,0)</f>
        <v>0</v>
      </c>
      <c r="T270" s="58">
        <f>S270-(S270*((VLOOKUP(A270,[1]Plan!A$1:AA$804,27,FALSE)/100)))</f>
        <v>0</v>
      </c>
      <c r="U270" s="58">
        <f>IF(P270,O270*'[1]ETC Data'!$H$3*'[1]ETC Data'!$K$3,0)</f>
        <v>0</v>
      </c>
      <c r="V270" s="58">
        <f>U270-(U270*((VLOOKUP(A270,[1]Plan!A$1:AB$804,28,FALSE)/100)))</f>
        <v>0</v>
      </c>
      <c r="W270" s="58">
        <f>IF(P270,O270*'[1]ETC Data'!$H$3*'[1]ETC Data'!$L$3,0)</f>
        <v>0</v>
      </c>
      <c r="X270" s="58">
        <f>W270-(W270*((VLOOKUP(A270,[1]Plan!A$1:AC$804,29,FALSE)/100)))</f>
        <v>0</v>
      </c>
      <c r="Y270" s="59"/>
      <c r="Z270" s="60" t="b">
        <f>OR(H270="Y",J270="Y")</f>
        <v>1</v>
      </c>
      <c r="AA270" s="58">
        <f>IF(Z270,O270*'[1]ETC Data'!$H$4*'[1]ETC Data'!$I$4,0)</f>
        <v>0</v>
      </c>
      <c r="AB270" s="58">
        <f>AA270-(AA270*((VLOOKUP(A270,[1]Plan!A$1:AI$804,35,FALSE)/100)))</f>
        <v>0</v>
      </c>
      <c r="AC270" s="58">
        <f>IF(Z270,O270*'[1]ETC Data'!$H$4*'[1]ETC Data'!$J$4,0)</f>
        <v>0</v>
      </c>
      <c r="AD270" s="58">
        <f>AC270-(AC270*((VLOOKUP(A270,[1]Plan!A$1:AJ$804,36,FALSE)/100)))</f>
        <v>0</v>
      </c>
      <c r="AE270" s="58">
        <f>IF(Z270,O270*'[1]ETC Data'!$H$4*'[1]ETC Data'!$K$4,0)</f>
        <v>0</v>
      </c>
      <c r="AF270" s="58">
        <f>AE270-(AE270*((VLOOKUP(A270,[1]Plan!A$1:AK$804,37,FALSE)/100)))</f>
        <v>0</v>
      </c>
      <c r="AG270" s="58">
        <f>IF(Z270,O270*'[1]ETC Data'!$H$4*'[1]ETC Data'!$L$4,0)</f>
        <v>0</v>
      </c>
      <c r="AH270" s="58">
        <f>AG270-(AG270*((VLOOKUP(A270,[1]Plan!A$1:AP$804,42,FALSE)/100)))</f>
        <v>0</v>
      </c>
      <c r="AI270" s="60"/>
      <c r="AJ270" s="60" t="b">
        <f>OR(H270="Y",K270="Y")</f>
        <v>1</v>
      </c>
      <c r="AK270" s="61">
        <f>IF(AJ270,O270*'[1]ETC Data'!$H$5*'[1]ETC Data'!$I$5,0)</f>
        <v>0</v>
      </c>
      <c r="AL270" s="58">
        <f>AK270-(AK270*((VLOOKUP(A270,[1]Plan!A$1:AY$804,51,FALSE)/100)))</f>
        <v>0</v>
      </c>
      <c r="AM270" s="58">
        <f>IF(AJ270,O270*'[1]ETC Data'!$H$5*'[1]ETC Data'!$J$5,0)</f>
        <v>0</v>
      </c>
      <c r="AN270" s="58">
        <f>AM270-(AM270*((VLOOKUP(A270,[1]Plan!A$1:BA$804,53,FALSE)/100)))</f>
        <v>0</v>
      </c>
      <c r="AO270" s="61">
        <f>IF(AJ270,O270*'[1]ETC Data'!$H$5*'[1]ETC Data'!$K$5,0)</f>
        <v>0</v>
      </c>
      <c r="AP270" s="58">
        <f>AO270-(AO270*((VLOOKUP(A270,[1]Plan!A$1:BB$804,54,FALSE)/100)))</f>
        <v>0</v>
      </c>
      <c r="AQ270" s="58">
        <f>IF(AJ270,O270*'[1]ETC Data'!$H$5*'[1]ETC Data'!$L$5,0)</f>
        <v>0</v>
      </c>
      <c r="AR270" s="58">
        <f>AQ270-(AQ270*((VLOOKUP(A270,[1]Plan!A$1:BD$804,56,FALSE)/100)))</f>
        <v>0</v>
      </c>
      <c r="AS270" s="20">
        <f>VLOOKUP(A270,'[1]PR Matrix'!A:B,2,FALSE)</f>
        <v>0</v>
      </c>
      <c r="AT270" s="21">
        <f>R270+T270+V270+X270+AB270+AD270+AF270+AH270+AL270+AN270+AP270+AR270</f>
        <v>0</v>
      </c>
      <c r="AU270" s="21">
        <f>Q270+S270+U270+W270+AA270+AC270+AE270+AG270+AK270+AM270+AO270+AQ270</f>
        <v>0</v>
      </c>
      <c r="AV270" s="21">
        <f>R270+AB270+AL270</f>
        <v>0</v>
      </c>
      <c r="AW270" s="21">
        <f>T270+AD270+AN270</f>
        <v>0</v>
      </c>
      <c r="AX270" s="21">
        <f>V270+AF270+AP270</f>
        <v>0</v>
      </c>
      <c r="AY270" s="21">
        <f>X270+AH270+AR270</f>
        <v>0</v>
      </c>
    </row>
    <row r="271" spans="1:55" hidden="1" x14ac:dyDescent="0.2">
      <c r="A271" s="50" t="s">
        <v>478</v>
      </c>
      <c r="B271" s="51" t="s">
        <v>208</v>
      </c>
      <c r="C271" s="51"/>
      <c r="D271" s="51"/>
      <c r="E271" s="52">
        <f>IF(G271="Y",VLOOKUP(B271&amp;"|"&amp;C271,'[1]ETC Data'!$C$2:$D$16,2,FALSE),0)</f>
        <v>0</v>
      </c>
      <c r="F271" s="52">
        <f>IF(D271="",0,IF(G271="Y",VLOOKUP(B271&amp;"|"&amp;D271,'[1]ETC Data'!$C$2:$D$16,2,FALSE),0))</f>
        <v>0</v>
      </c>
      <c r="G271" s="53" t="str">
        <f>IF(VLOOKUP(A271,[1]Plan!A$1:H$804,8,FALSE)&lt;&gt;"",VLOOKUP(A271,[1]Plan!A$1:H$804,8,FALSE),"")</f>
        <v>N</v>
      </c>
      <c r="H271" s="54" t="str">
        <f>IF(VLOOKUP(A271,[1]Plan!A$1:L$804,12,FALSE)&lt;&gt;"",VLOOKUP(A271,[1]Plan!A$1:L$804,12,FALSE),"")</f>
        <v/>
      </c>
      <c r="I271" s="55" t="str">
        <f>IF(VLOOKUP(A271,[1]Plan!A$1:M$804,13,FALSE)&lt;&gt;"",VLOOKUP(A271,[1]Plan!A$1:M$804,13,FALSE),"")</f>
        <v/>
      </c>
      <c r="J271" s="55" t="str">
        <f>IF(VLOOKUP(A271,[1]Plan!A$1:N$804,14,FALSE)&lt;&gt;"",VLOOKUP(A271,[1]Plan!A$1:N$804,14,FALSE),IF(VLOOKUP(A271,[1]Plan!A$1:O$804,15,FALSE)&lt;&gt;"",VLOOKUP(A271,[1]Plan!A$1:O$804,15,FALSE),""))</f>
        <v/>
      </c>
      <c r="K271" s="56" t="str">
        <f>IF(VLOOKUP(A271,[1]Plan!A$1:P$804,16,FALSE)&lt;&gt;"",VLOOKUP(A271,[1]Plan!A$1:P$804,16,FALSE),"")</f>
        <v/>
      </c>
      <c r="L271" s="55"/>
      <c r="M271" s="55"/>
      <c r="N271" s="55"/>
      <c r="O271" s="57">
        <f>IF(F271=0,E271,F271)</f>
        <v>0</v>
      </c>
      <c r="P271" s="57" t="b">
        <f>OR(H271="Y",I271="Y")</f>
        <v>0</v>
      </c>
      <c r="Q271" s="58">
        <f>IF(P271,O271*'[1]ETC Data'!$H$3*'[1]ETC Data'!$I$3,0)</f>
        <v>0</v>
      </c>
      <c r="R271" s="58">
        <f>Q271-(Q271*((VLOOKUP(A271,[1]Plan!A$1:Z$804,26,FALSE)/100)))</f>
        <v>0</v>
      </c>
      <c r="S271" s="58">
        <f>IF(P271,O271*'[1]ETC Data'!$H$3*'[1]ETC Data'!$J$3,0)</f>
        <v>0</v>
      </c>
      <c r="T271" s="58">
        <f>S271-(S271*((VLOOKUP(A271,[1]Plan!A$1:AA$804,27,FALSE)/100)))</f>
        <v>0</v>
      </c>
      <c r="U271" s="58">
        <f>IF(P271,O271*'[1]ETC Data'!$H$3*'[1]ETC Data'!$K$3,0)</f>
        <v>0</v>
      </c>
      <c r="V271" s="58">
        <f>U271-(U271*((VLOOKUP(A271,[1]Plan!A$1:AB$804,28,FALSE)/100)))</f>
        <v>0</v>
      </c>
      <c r="W271" s="58">
        <f>IF(P271,O271*'[1]ETC Data'!$H$3*'[1]ETC Data'!$L$3,0)</f>
        <v>0</v>
      </c>
      <c r="X271" s="58">
        <f>W271-(W271*((VLOOKUP(A271,[1]Plan!A$1:AC$804,29,FALSE)/100)))</f>
        <v>0</v>
      </c>
      <c r="Y271" s="59"/>
      <c r="Z271" s="60" t="b">
        <f>OR(H271="Y",J271="Y")</f>
        <v>0</v>
      </c>
      <c r="AA271" s="58">
        <f>IF(Z271,O271*'[1]ETC Data'!$H$4*'[1]ETC Data'!$I$4,0)</f>
        <v>0</v>
      </c>
      <c r="AB271" s="58">
        <f>AA271-(AA271*((VLOOKUP(A271,[1]Plan!A$1:AI$804,35,FALSE)/100)))</f>
        <v>0</v>
      </c>
      <c r="AC271" s="58">
        <f>IF(Z271,O271*'[1]ETC Data'!$H$4*'[1]ETC Data'!$J$4,0)</f>
        <v>0</v>
      </c>
      <c r="AD271" s="58">
        <f>AC271-(AC271*((VLOOKUP(A271,[1]Plan!A$1:AJ$804,36,FALSE)/100)))</f>
        <v>0</v>
      </c>
      <c r="AE271" s="58">
        <f>IF(Z271,O271*'[1]ETC Data'!$H$4*'[1]ETC Data'!$K$4,0)</f>
        <v>0</v>
      </c>
      <c r="AF271" s="58">
        <f>AE271-(AE271*((VLOOKUP(A271,[1]Plan!A$1:AK$804,37,FALSE)/100)))</f>
        <v>0</v>
      </c>
      <c r="AG271" s="58">
        <f>IF(Z271,O271*'[1]ETC Data'!$H$4*'[1]ETC Data'!$L$4,0)</f>
        <v>0</v>
      </c>
      <c r="AH271" s="58">
        <f>AG271-(AG271*((VLOOKUP(A271,[1]Plan!A$1:AP$804,42,FALSE)/100)))</f>
        <v>0</v>
      </c>
      <c r="AI271" s="60"/>
      <c r="AJ271" s="60" t="b">
        <f>OR(H271="Y",K271="Y")</f>
        <v>0</v>
      </c>
      <c r="AK271" s="61">
        <f>IF(AJ271,O271*'[1]ETC Data'!$H$5*'[1]ETC Data'!$I$5,0)</f>
        <v>0</v>
      </c>
      <c r="AL271" s="58">
        <f>AK271-(AK271*((VLOOKUP(A271,[1]Plan!A$1:AY$804,51,FALSE)/100)))</f>
        <v>0</v>
      </c>
      <c r="AM271" s="58">
        <f>IF(AJ271,O271*'[1]ETC Data'!$H$5*'[1]ETC Data'!$J$5,0)</f>
        <v>0</v>
      </c>
      <c r="AN271" s="58">
        <f>AM271-(AM271*((VLOOKUP(A271,[1]Plan!A$1:BA$804,53,FALSE)/100)))</f>
        <v>0</v>
      </c>
      <c r="AO271" s="61">
        <f>IF(AJ271,O271*'[1]ETC Data'!$H$5*'[1]ETC Data'!$K$5,0)</f>
        <v>0</v>
      </c>
      <c r="AP271" s="58">
        <f>AO271-(AO271*((VLOOKUP(A271,[1]Plan!A$1:BB$804,54,FALSE)/100)))</f>
        <v>0</v>
      </c>
      <c r="AQ271" s="58">
        <f>IF(AJ271,O271*'[1]ETC Data'!$H$5*'[1]ETC Data'!$L$5,0)</f>
        <v>0</v>
      </c>
      <c r="AR271" s="58">
        <f>AQ271-(AQ271*((VLOOKUP(A271,[1]Plan!A$1:BD$804,56,FALSE)/100)))</f>
        <v>0</v>
      </c>
      <c r="AS271" s="20">
        <f>VLOOKUP(A271,'[1]PR Matrix'!A:B,2,FALSE)</f>
        <v>0</v>
      </c>
      <c r="AT271" s="21">
        <f>R271+T271+V271+X271+AB271+AD271+AF271+AH271+AL271+AN271+AP271+AR271</f>
        <v>0</v>
      </c>
      <c r="AU271" s="21">
        <f>Q271+S271+U271+W271+AA271+AC271+AE271+AG271+AK271+AM271+AO271+AQ271</f>
        <v>0</v>
      </c>
      <c r="AV271" s="21">
        <f>R271+AB271+AL271</f>
        <v>0</v>
      </c>
      <c r="AW271" s="21">
        <f>T271+AD271+AN271</f>
        <v>0</v>
      </c>
      <c r="AX271" s="21">
        <f>V271+AF271+AP271</f>
        <v>0</v>
      </c>
      <c r="AY271" s="21">
        <f>X271+AH271+AR271</f>
        <v>0</v>
      </c>
    </row>
    <row r="272" spans="1:55" hidden="1" x14ac:dyDescent="0.2">
      <c r="A272" s="50" t="s">
        <v>479</v>
      </c>
      <c r="B272" s="51" t="s">
        <v>258</v>
      </c>
      <c r="C272" s="51"/>
      <c r="D272" s="51"/>
      <c r="E272" s="52">
        <f>IF(G272="Y",VLOOKUP(B272&amp;"|"&amp;C272,'[1]ETC Data'!$C$2:$D$16,2,FALSE),0)</f>
        <v>0</v>
      </c>
      <c r="F272" s="52">
        <f>IF(D272="",0,IF(G272="Y",VLOOKUP(B272&amp;"|"&amp;D272,'[1]ETC Data'!$C$2:$D$16,2,FALSE),0))</f>
        <v>0</v>
      </c>
      <c r="G272" s="53" t="str">
        <f>IF(VLOOKUP(A272,[1]Plan!A$1:H$804,8,FALSE)&lt;&gt;"",VLOOKUP(A272,[1]Plan!A$1:H$804,8,FALSE),"")</f>
        <v>N</v>
      </c>
      <c r="H272" s="54" t="str">
        <f>IF(VLOOKUP(A272,[1]Plan!A$1:L$804,12,FALSE)&lt;&gt;"",VLOOKUP(A272,[1]Plan!A$1:L$804,12,FALSE),"")</f>
        <v/>
      </c>
      <c r="I272" s="55" t="str">
        <f>IF(VLOOKUP(A272,[1]Plan!A$1:M$804,13,FALSE)&lt;&gt;"",VLOOKUP(A272,[1]Plan!A$1:M$804,13,FALSE),"")</f>
        <v/>
      </c>
      <c r="J272" s="55" t="str">
        <f>IF(VLOOKUP(A272,[1]Plan!A$1:N$804,14,FALSE)&lt;&gt;"",VLOOKUP(A272,[1]Plan!A$1:N$804,14,FALSE),IF(VLOOKUP(A272,[1]Plan!A$1:O$804,15,FALSE)&lt;&gt;"",VLOOKUP(A272,[1]Plan!A$1:O$804,15,FALSE),""))</f>
        <v/>
      </c>
      <c r="K272" s="56" t="str">
        <f>IF(VLOOKUP(A272,[1]Plan!A$1:P$804,16,FALSE)&lt;&gt;"",VLOOKUP(A272,[1]Plan!A$1:P$804,16,FALSE),"")</f>
        <v/>
      </c>
      <c r="L272" s="55"/>
      <c r="M272" s="55"/>
      <c r="N272" s="55"/>
      <c r="O272" s="57">
        <f>IF(F272=0,E272,F272)</f>
        <v>0</v>
      </c>
      <c r="P272" s="57" t="b">
        <f>OR(H272="Y",I272="Y")</f>
        <v>0</v>
      </c>
      <c r="Q272" s="58">
        <f>IF(P272,O272*'[1]ETC Data'!$H$3*'[1]ETC Data'!$I$3,0)</f>
        <v>0</v>
      </c>
      <c r="R272" s="58">
        <f>Q272-(Q272*((VLOOKUP(A272,[1]Plan!A$1:Z$804,26,FALSE)/100)))</f>
        <v>0</v>
      </c>
      <c r="S272" s="58">
        <f>IF(P272,O272*'[1]ETC Data'!$H$3*'[1]ETC Data'!$J$3,0)</f>
        <v>0</v>
      </c>
      <c r="T272" s="58">
        <f>S272-(S272*((VLOOKUP(A272,[1]Plan!A$1:AA$804,27,FALSE)/100)))</f>
        <v>0</v>
      </c>
      <c r="U272" s="58">
        <f>IF(P272,O272*'[1]ETC Data'!$H$3*'[1]ETC Data'!$K$3,0)</f>
        <v>0</v>
      </c>
      <c r="V272" s="58">
        <f>U272-(U272*((VLOOKUP(A272,[1]Plan!A$1:AB$804,28,FALSE)/100)))</f>
        <v>0</v>
      </c>
      <c r="W272" s="58">
        <f>IF(P272,O272*'[1]ETC Data'!$H$3*'[1]ETC Data'!$L$3,0)</f>
        <v>0</v>
      </c>
      <c r="X272" s="58">
        <f>W272-(W272*((VLOOKUP(A272,[1]Plan!A$1:AC$804,29,FALSE)/100)))</f>
        <v>0</v>
      </c>
      <c r="Y272" s="59"/>
      <c r="Z272" s="60" t="b">
        <f>OR(H272="Y",J272="Y")</f>
        <v>0</v>
      </c>
      <c r="AA272" s="58">
        <f>IF(Z272,O272*'[1]ETC Data'!$H$4*'[1]ETC Data'!$I$4,0)</f>
        <v>0</v>
      </c>
      <c r="AB272" s="58">
        <f>AA272-(AA272*((VLOOKUP(A272,[1]Plan!A$1:AI$804,35,FALSE)/100)))</f>
        <v>0</v>
      </c>
      <c r="AC272" s="58">
        <f>IF(Z272,O272*'[1]ETC Data'!$H$4*'[1]ETC Data'!$J$4,0)</f>
        <v>0</v>
      </c>
      <c r="AD272" s="58">
        <f>AC272-(AC272*((VLOOKUP(A272,[1]Plan!A$1:AJ$804,36,FALSE)/100)))</f>
        <v>0</v>
      </c>
      <c r="AE272" s="58">
        <f>IF(Z272,O272*'[1]ETC Data'!$H$4*'[1]ETC Data'!$K$4,0)</f>
        <v>0</v>
      </c>
      <c r="AF272" s="58">
        <f>AE272-(AE272*((VLOOKUP(A272,[1]Plan!A$1:AK$804,37,FALSE)/100)))</f>
        <v>0</v>
      </c>
      <c r="AG272" s="58">
        <f>IF(Z272,O272*'[1]ETC Data'!$H$4*'[1]ETC Data'!$L$4,0)</f>
        <v>0</v>
      </c>
      <c r="AH272" s="58">
        <f>AG272-(AG272*((VLOOKUP(A272,[1]Plan!A$1:AP$804,42,FALSE)/100)))</f>
        <v>0</v>
      </c>
      <c r="AI272" s="60"/>
      <c r="AJ272" s="60" t="b">
        <f>OR(H272="Y",K272="Y")</f>
        <v>0</v>
      </c>
      <c r="AK272" s="61">
        <f>IF(AJ272,O272*'[1]ETC Data'!$H$5*'[1]ETC Data'!$I$5,0)</f>
        <v>0</v>
      </c>
      <c r="AL272" s="58">
        <f>AK272-(AK272*((VLOOKUP(A272,[1]Plan!A$1:AY$804,51,FALSE)/100)))</f>
        <v>0</v>
      </c>
      <c r="AM272" s="58">
        <f>IF(AJ272,O272*'[1]ETC Data'!$H$5*'[1]ETC Data'!$J$5,0)</f>
        <v>0</v>
      </c>
      <c r="AN272" s="58">
        <f>AM272-(AM272*((VLOOKUP(A272,[1]Plan!A$1:BA$804,53,FALSE)/100)))</f>
        <v>0</v>
      </c>
      <c r="AO272" s="61">
        <f>IF(AJ272,O272*'[1]ETC Data'!$H$5*'[1]ETC Data'!$K$5,0)</f>
        <v>0</v>
      </c>
      <c r="AP272" s="58">
        <f>AO272-(AO272*((VLOOKUP(A272,[1]Plan!A$1:BB$804,54,FALSE)/100)))</f>
        <v>0</v>
      </c>
      <c r="AQ272" s="58">
        <f>IF(AJ272,O272*'[1]ETC Data'!$H$5*'[1]ETC Data'!$L$5,0)</f>
        <v>0</v>
      </c>
      <c r="AR272" s="58">
        <f>AQ272-(AQ272*((VLOOKUP(A272,[1]Plan!A$1:BD$804,56,FALSE)/100)))</f>
        <v>0</v>
      </c>
      <c r="AS272" s="20">
        <f>VLOOKUP(A272,'[1]PR Matrix'!A:B,2,FALSE)</f>
        <v>0</v>
      </c>
      <c r="AT272" s="21">
        <f>R272+T272+V272+X272+AB272+AD272+AF272+AH272+AL272+AN272+AP272+AR272</f>
        <v>0</v>
      </c>
      <c r="AU272" s="21">
        <f>Q272+S272+U272+W272+AA272+AC272+AE272+AG272+AK272+AM272+AO272+AQ272</f>
        <v>0</v>
      </c>
      <c r="AV272" s="21">
        <f>R272+AB272+AL272</f>
        <v>0</v>
      </c>
      <c r="AW272" s="21">
        <f>T272+AD272+AN272</f>
        <v>0</v>
      </c>
      <c r="AX272" s="21">
        <f>V272+AF272+AP272</f>
        <v>0</v>
      </c>
      <c r="AY272" s="21">
        <f>X272+AH272+AR272</f>
        <v>0</v>
      </c>
    </row>
    <row r="273" spans="1:55" hidden="1" x14ac:dyDescent="0.2">
      <c r="A273" s="65" t="s">
        <v>480</v>
      </c>
      <c r="B273" s="51" t="s">
        <v>258</v>
      </c>
      <c r="C273" s="51"/>
      <c r="D273" s="51"/>
      <c r="E273" s="52">
        <f>IF(G273="Y",VLOOKUP(B273&amp;"|"&amp;C273,'[1]ETC Data'!$C$2:$D$16,2,FALSE),0)</f>
        <v>0</v>
      </c>
      <c r="F273" s="52">
        <f>IF(D273="",0,IF(G273="Y",VLOOKUP(B273&amp;"|"&amp;D273,'[1]ETC Data'!$C$2:$D$16,2,FALSE),0))</f>
        <v>0</v>
      </c>
      <c r="G273" s="53" t="str">
        <f>IF(VLOOKUP(A273,[1]Plan!A$1:H$804,8,FALSE)&lt;&gt;"",VLOOKUP(A273,[1]Plan!A$1:H$804,8,FALSE),"")</f>
        <v>N</v>
      </c>
      <c r="H273" s="54" t="str">
        <f>IF(VLOOKUP(A273,[1]Plan!A$1:L$804,12,FALSE)&lt;&gt;"",VLOOKUP(A273,[1]Plan!A$1:L$804,12,FALSE),"")</f>
        <v/>
      </c>
      <c r="I273" s="55" t="str">
        <f>IF(VLOOKUP(A273,[1]Plan!A$1:M$804,13,FALSE)&lt;&gt;"",VLOOKUP(A273,[1]Plan!A$1:M$804,13,FALSE),"")</f>
        <v/>
      </c>
      <c r="J273" s="55" t="str">
        <f>IF(VLOOKUP(A273,[1]Plan!A$1:N$804,14,FALSE)&lt;&gt;"",VLOOKUP(A273,[1]Plan!A$1:N$804,14,FALSE),IF(VLOOKUP(A273,[1]Plan!A$1:O$804,15,FALSE)&lt;&gt;"",VLOOKUP(A273,[1]Plan!A$1:O$804,15,FALSE),""))</f>
        <v/>
      </c>
      <c r="K273" s="56" t="str">
        <f>IF(VLOOKUP(A273,[1]Plan!A$1:P$804,16,FALSE)&lt;&gt;"",VLOOKUP(A273,[1]Plan!A$1:P$804,16,FALSE),"")</f>
        <v/>
      </c>
      <c r="L273" s="55"/>
      <c r="M273" s="55"/>
      <c r="N273" s="55"/>
      <c r="O273" s="57">
        <f>IF(F273=0,E273,F273)</f>
        <v>0</v>
      </c>
      <c r="P273" s="57" t="b">
        <f>OR(H273="Y",I273="Y")</f>
        <v>0</v>
      </c>
      <c r="Q273" s="58">
        <f>IF(P273,O273*'[1]ETC Data'!$H$3*'[1]ETC Data'!$I$3,0)</f>
        <v>0</v>
      </c>
      <c r="R273" s="58">
        <f>Q273-(Q273*((VLOOKUP(A273,[1]Plan!A$1:Z$804,26,FALSE)/100)))</f>
        <v>0</v>
      </c>
      <c r="S273" s="58">
        <f>IF(P273,O273*'[1]ETC Data'!$H$3*'[1]ETC Data'!$J$3,0)</f>
        <v>0</v>
      </c>
      <c r="T273" s="58">
        <f>S273-(S273*((VLOOKUP(A273,[1]Plan!A$1:AA$804,27,FALSE)/100)))</f>
        <v>0</v>
      </c>
      <c r="U273" s="58">
        <f>IF(P273,O273*'[1]ETC Data'!$H$3*'[1]ETC Data'!$K$3,0)</f>
        <v>0</v>
      </c>
      <c r="V273" s="58">
        <f>U273-(U273*((VLOOKUP(A273,[1]Plan!A$1:AB$804,28,FALSE)/100)))</f>
        <v>0</v>
      </c>
      <c r="W273" s="58">
        <f>IF(P273,O273*'[1]ETC Data'!$H$3*'[1]ETC Data'!$L$3,0)</f>
        <v>0</v>
      </c>
      <c r="X273" s="58">
        <f>W273-(W273*((VLOOKUP(A273,[1]Plan!A$1:AC$804,29,FALSE)/100)))</f>
        <v>0</v>
      </c>
      <c r="Y273" s="59"/>
      <c r="Z273" s="60" t="b">
        <f>OR(H273="Y",J273="Y")</f>
        <v>0</v>
      </c>
      <c r="AA273" s="58">
        <f>IF(Z273,O273*'[1]ETC Data'!$H$4*'[1]ETC Data'!$I$4,0)</f>
        <v>0</v>
      </c>
      <c r="AB273" s="58">
        <f>AA273-(AA273*((VLOOKUP(A273,[1]Plan!A$1:AI$804,35,FALSE)/100)))</f>
        <v>0</v>
      </c>
      <c r="AC273" s="58">
        <f>IF(Z273,O273*'[1]ETC Data'!$H$4*'[1]ETC Data'!$J$4,0)</f>
        <v>0</v>
      </c>
      <c r="AD273" s="58">
        <f>AC273-(AC273*((VLOOKUP(A273,[1]Plan!A$1:AJ$804,36,FALSE)/100)))</f>
        <v>0</v>
      </c>
      <c r="AE273" s="58">
        <f>IF(Z273,O273*'[1]ETC Data'!$H$4*'[1]ETC Data'!$K$4,0)</f>
        <v>0</v>
      </c>
      <c r="AF273" s="58">
        <f>AE273-(AE273*((VLOOKUP(A273,[1]Plan!A$1:AK$804,37,FALSE)/100)))</f>
        <v>0</v>
      </c>
      <c r="AG273" s="58">
        <f>IF(Z273,O273*'[1]ETC Data'!$H$4*'[1]ETC Data'!$L$4,0)</f>
        <v>0</v>
      </c>
      <c r="AH273" s="58">
        <f>AG273-(AG273*((VLOOKUP(A273,[1]Plan!A$1:AP$804,42,FALSE)/100)))</f>
        <v>0</v>
      </c>
      <c r="AI273" s="60"/>
      <c r="AJ273" s="60" t="b">
        <f>OR(H273="Y",K273="Y")</f>
        <v>0</v>
      </c>
      <c r="AK273" s="61">
        <f>IF(AJ273,O273*'[1]ETC Data'!$H$5*'[1]ETC Data'!$I$5,0)</f>
        <v>0</v>
      </c>
      <c r="AL273" s="58">
        <f>AK273-(AK273*((VLOOKUP(A273,[1]Plan!A$1:AY$804,51,FALSE)/100)))</f>
        <v>0</v>
      </c>
      <c r="AM273" s="58">
        <f>IF(AJ273,O273*'[1]ETC Data'!$H$5*'[1]ETC Data'!$J$5,0)</f>
        <v>0</v>
      </c>
      <c r="AN273" s="58">
        <f>AM273-(AM273*((VLOOKUP(A273,[1]Plan!A$1:BA$804,53,FALSE)/100)))</f>
        <v>0</v>
      </c>
      <c r="AO273" s="61">
        <f>IF(AJ273,O273*'[1]ETC Data'!$H$5*'[1]ETC Data'!$K$5,0)</f>
        <v>0</v>
      </c>
      <c r="AP273" s="58">
        <f>AO273-(AO273*((VLOOKUP(A273,[1]Plan!A$1:BB$804,54,FALSE)/100)))</f>
        <v>0</v>
      </c>
      <c r="AQ273" s="58">
        <f>IF(AJ273,O273*'[1]ETC Data'!$H$5*'[1]ETC Data'!$L$5,0)</f>
        <v>0</v>
      </c>
      <c r="AR273" s="58">
        <f>AQ273-(AQ273*((VLOOKUP(A273,[1]Plan!A$1:BD$804,56,FALSE)/100)))</f>
        <v>0</v>
      </c>
      <c r="AS273" s="20">
        <f>VLOOKUP(A273,'[1]PR Matrix'!A:B,2,FALSE)</f>
        <v>0</v>
      </c>
      <c r="AT273" s="21">
        <f>R273+T273+V273+X273+AB273+AD273+AF273+AH273+AL273+AN273+AP273+AR273</f>
        <v>0</v>
      </c>
      <c r="AU273" s="21">
        <f>Q273+S273+U273+W273+AA273+AC273+AE273+AG273+AK273+AM273+AO273+AQ273</f>
        <v>0</v>
      </c>
      <c r="AV273" s="21">
        <f>R273+AB273+AL273</f>
        <v>0</v>
      </c>
      <c r="AW273" s="21">
        <f>T273+AD273+AN273</f>
        <v>0</v>
      </c>
      <c r="AX273" s="21">
        <f>V273+AF273+AP273</f>
        <v>0</v>
      </c>
      <c r="AY273" s="21">
        <f>X273+AH273+AR273</f>
        <v>0</v>
      </c>
    </row>
    <row r="274" spans="1:55" hidden="1" x14ac:dyDescent="0.2">
      <c r="A274" s="50" t="s">
        <v>481</v>
      </c>
      <c r="B274" s="51" t="s">
        <v>258</v>
      </c>
      <c r="C274" s="51"/>
      <c r="D274" s="51"/>
      <c r="E274" s="52">
        <f>IF(G274="Y",VLOOKUP(B274&amp;"|"&amp;C274,'[1]ETC Data'!$C$2:$D$16,2,FALSE),0)</f>
        <v>0</v>
      </c>
      <c r="F274" s="52">
        <f>IF(D274="",0,IF(G274="Y",VLOOKUP(B274&amp;"|"&amp;D274,'[1]ETC Data'!$C$2:$D$16,2,FALSE),0))</f>
        <v>0</v>
      </c>
      <c r="G274" s="53" t="str">
        <f>IF(VLOOKUP(A274,[1]Plan!A$1:H$804,8,FALSE)&lt;&gt;"",VLOOKUP(A274,[1]Plan!A$1:H$804,8,FALSE),"")</f>
        <v>N</v>
      </c>
      <c r="H274" s="54" t="str">
        <f>IF(VLOOKUP(A274,[1]Plan!A$1:L$804,12,FALSE)&lt;&gt;"",VLOOKUP(A274,[1]Plan!A$1:L$804,12,FALSE),"")</f>
        <v/>
      </c>
      <c r="I274" s="55" t="str">
        <f>IF(VLOOKUP(A274,[1]Plan!A$1:M$804,13,FALSE)&lt;&gt;"",VLOOKUP(A274,[1]Plan!A$1:M$804,13,FALSE),"")</f>
        <v/>
      </c>
      <c r="J274" s="55" t="str">
        <f>IF(VLOOKUP(A274,[1]Plan!A$1:N$804,14,FALSE)&lt;&gt;"",VLOOKUP(A274,[1]Plan!A$1:N$804,14,FALSE),IF(VLOOKUP(A274,[1]Plan!A$1:O$804,15,FALSE)&lt;&gt;"",VLOOKUP(A274,[1]Plan!A$1:O$804,15,FALSE),""))</f>
        <v/>
      </c>
      <c r="K274" s="56" t="str">
        <f>IF(VLOOKUP(A274,[1]Plan!A$1:P$804,16,FALSE)&lt;&gt;"",VLOOKUP(A274,[1]Plan!A$1:P$804,16,FALSE),"")</f>
        <v/>
      </c>
      <c r="L274" s="55"/>
      <c r="M274" s="55"/>
      <c r="N274" s="55"/>
      <c r="O274" s="57">
        <f>IF(F274=0,E274,F274)</f>
        <v>0</v>
      </c>
      <c r="P274" s="57" t="b">
        <f>OR(H274="Y",I274="Y")</f>
        <v>0</v>
      </c>
      <c r="Q274" s="58">
        <f>IF(P274,O274*'[1]ETC Data'!$H$3*'[1]ETC Data'!$I$3,0)</f>
        <v>0</v>
      </c>
      <c r="R274" s="58">
        <f>Q274-(Q274*((VLOOKUP(A274,[1]Plan!A$1:Z$804,26,FALSE)/100)))</f>
        <v>0</v>
      </c>
      <c r="S274" s="58">
        <f>IF(P274,O274*'[1]ETC Data'!$H$3*'[1]ETC Data'!$J$3,0)</f>
        <v>0</v>
      </c>
      <c r="T274" s="58">
        <f>S274-(S274*((VLOOKUP(A274,[1]Plan!A$1:AA$804,27,FALSE)/100)))</f>
        <v>0</v>
      </c>
      <c r="U274" s="58">
        <f>IF(P274,O274*'[1]ETC Data'!$H$3*'[1]ETC Data'!$K$3,0)</f>
        <v>0</v>
      </c>
      <c r="V274" s="58">
        <f>U274-(U274*((VLOOKUP(A274,[1]Plan!A$1:AB$804,28,FALSE)/100)))</f>
        <v>0</v>
      </c>
      <c r="W274" s="58">
        <f>IF(P274,O274*'[1]ETC Data'!$H$3*'[1]ETC Data'!$L$3,0)</f>
        <v>0</v>
      </c>
      <c r="X274" s="58">
        <f>W274-(W274*((VLOOKUP(A274,[1]Plan!A$1:AC$804,29,FALSE)/100)))</f>
        <v>0</v>
      </c>
      <c r="Y274" s="59"/>
      <c r="Z274" s="60" t="b">
        <f>OR(H274="Y",J274="Y")</f>
        <v>0</v>
      </c>
      <c r="AA274" s="58">
        <f>IF(Z274,O274*'[1]ETC Data'!$H$4*'[1]ETC Data'!$I$4,0)</f>
        <v>0</v>
      </c>
      <c r="AB274" s="58">
        <f>AA274-(AA274*((VLOOKUP(A274,[1]Plan!A$1:AI$804,35,FALSE)/100)))</f>
        <v>0</v>
      </c>
      <c r="AC274" s="58">
        <f>IF(Z274,O274*'[1]ETC Data'!$H$4*'[1]ETC Data'!$J$4,0)</f>
        <v>0</v>
      </c>
      <c r="AD274" s="58">
        <f>AC274-(AC274*((VLOOKUP(A274,[1]Plan!A$1:AJ$804,36,FALSE)/100)))</f>
        <v>0</v>
      </c>
      <c r="AE274" s="58">
        <f>IF(Z274,O274*'[1]ETC Data'!$H$4*'[1]ETC Data'!$K$4,0)</f>
        <v>0</v>
      </c>
      <c r="AF274" s="58">
        <f>AE274-(AE274*((VLOOKUP(A274,[1]Plan!A$1:AK$804,37,FALSE)/100)))</f>
        <v>0</v>
      </c>
      <c r="AG274" s="58">
        <f>IF(Z274,O274*'[1]ETC Data'!$H$4*'[1]ETC Data'!$L$4,0)</f>
        <v>0</v>
      </c>
      <c r="AH274" s="58">
        <f>AG274-(AG274*((VLOOKUP(A274,[1]Plan!A$1:AP$804,42,FALSE)/100)))</f>
        <v>0</v>
      </c>
      <c r="AI274" s="60"/>
      <c r="AJ274" s="60" t="b">
        <f>OR(H274="Y",K274="Y")</f>
        <v>0</v>
      </c>
      <c r="AK274" s="61">
        <f>IF(AJ274,O274*'[1]ETC Data'!$H$5*'[1]ETC Data'!$I$5,0)</f>
        <v>0</v>
      </c>
      <c r="AL274" s="58">
        <f>AK274-(AK274*((VLOOKUP(A274,[1]Plan!A$1:AY$804,51,FALSE)/100)))</f>
        <v>0</v>
      </c>
      <c r="AM274" s="58">
        <f>IF(AJ274,O274*'[1]ETC Data'!$H$5*'[1]ETC Data'!$J$5,0)</f>
        <v>0</v>
      </c>
      <c r="AN274" s="58">
        <f>AM274-(AM274*((VLOOKUP(A274,[1]Plan!A$1:BA$804,53,FALSE)/100)))</f>
        <v>0</v>
      </c>
      <c r="AO274" s="61">
        <f>IF(AJ274,O274*'[1]ETC Data'!$H$5*'[1]ETC Data'!$K$5,0)</f>
        <v>0</v>
      </c>
      <c r="AP274" s="58">
        <f>AO274-(AO274*((VLOOKUP(A274,[1]Plan!A$1:BB$804,54,FALSE)/100)))</f>
        <v>0</v>
      </c>
      <c r="AQ274" s="58">
        <f>IF(AJ274,O274*'[1]ETC Data'!$H$5*'[1]ETC Data'!$L$5,0)</f>
        <v>0</v>
      </c>
      <c r="AR274" s="58">
        <f>AQ274-(AQ274*((VLOOKUP(A274,[1]Plan!A$1:BD$804,56,FALSE)/100)))</f>
        <v>0</v>
      </c>
      <c r="AS274" s="20">
        <f>VLOOKUP(A274,'[1]PR Matrix'!A:B,2,FALSE)</f>
        <v>0</v>
      </c>
      <c r="AT274" s="21">
        <f>R274+T274+V274+X274+AB274+AD274+AF274+AH274+AL274+AN274+AP274+AR274</f>
        <v>0</v>
      </c>
      <c r="AU274" s="21">
        <f>Q274+S274+U274+W274+AA274+AC274+AE274+AG274+AK274+AM274+AO274+AQ274</f>
        <v>0</v>
      </c>
      <c r="AV274" s="21">
        <f>R274+AB274+AL274</f>
        <v>0</v>
      </c>
      <c r="AW274" s="21">
        <f>T274+AD274+AN274</f>
        <v>0</v>
      </c>
      <c r="AX274" s="21">
        <f>V274+AF274+AP274</f>
        <v>0</v>
      </c>
      <c r="AY274" s="21">
        <f>X274+AH274+AR274</f>
        <v>0</v>
      </c>
    </row>
    <row r="275" spans="1:55" hidden="1" x14ac:dyDescent="0.2">
      <c r="A275" s="50" t="s">
        <v>482</v>
      </c>
      <c r="B275" s="51" t="s">
        <v>258</v>
      </c>
      <c r="C275" s="51"/>
      <c r="D275" s="51"/>
      <c r="E275" s="52">
        <f>IF(G275="Y",VLOOKUP(B275&amp;"|"&amp;C275,'[1]ETC Data'!$C$2:$D$16,2,FALSE),0)</f>
        <v>0</v>
      </c>
      <c r="F275" s="52">
        <f>IF(D275="",0,IF(G275="Y",VLOOKUP(B275&amp;"|"&amp;D275,'[1]ETC Data'!$C$2:$D$16,2,FALSE),0))</f>
        <v>0</v>
      </c>
      <c r="G275" s="53" t="str">
        <f>IF(VLOOKUP(A275,[1]Plan!A$1:H$804,8,FALSE)&lt;&gt;"",VLOOKUP(A275,[1]Plan!A$1:H$804,8,FALSE),"")</f>
        <v>N</v>
      </c>
      <c r="H275" s="54" t="str">
        <f>IF(VLOOKUP(A275,[1]Plan!A$1:L$804,12,FALSE)&lt;&gt;"",VLOOKUP(A275,[1]Plan!A$1:L$804,12,FALSE),"")</f>
        <v/>
      </c>
      <c r="I275" s="55" t="str">
        <f>IF(VLOOKUP(A275,[1]Plan!A$1:M$804,13,FALSE)&lt;&gt;"",VLOOKUP(A275,[1]Plan!A$1:M$804,13,FALSE),"")</f>
        <v/>
      </c>
      <c r="J275" s="55" t="str">
        <f>IF(VLOOKUP(A275,[1]Plan!A$1:N$804,14,FALSE)&lt;&gt;"",VLOOKUP(A275,[1]Plan!A$1:N$804,14,FALSE),IF(VLOOKUP(A275,[1]Plan!A$1:O$804,15,FALSE)&lt;&gt;"",VLOOKUP(A275,[1]Plan!A$1:O$804,15,FALSE),""))</f>
        <v/>
      </c>
      <c r="K275" s="56" t="str">
        <f>IF(VLOOKUP(A275,[1]Plan!A$1:P$804,16,FALSE)&lt;&gt;"",VLOOKUP(A275,[1]Plan!A$1:P$804,16,FALSE),"")</f>
        <v/>
      </c>
      <c r="L275" s="55"/>
      <c r="M275" s="55"/>
      <c r="N275" s="55"/>
      <c r="O275" s="57">
        <f>IF(F275=0,E275,F275)</f>
        <v>0</v>
      </c>
      <c r="P275" s="57" t="b">
        <f>OR(H275="Y",I275="Y")</f>
        <v>0</v>
      </c>
      <c r="Q275" s="58">
        <f>IF(P275,O275*'[1]ETC Data'!$H$3*'[1]ETC Data'!$I$3,0)</f>
        <v>0</v>
      </c>
      <c r="R275" s="58">
        <f>Q275-(Q275*((VLOOKUP(A275,[1]Plan!A$1:Z$804,26,FALSE)/100)))</f>
        <v>0</v>
      </c>
      <c r="S275" s="58">
        <f>IF(P275,O275*'[1]ETC Data'!$H$3*'[1]ETC Data'!$J$3,0)</f>
        <v>0</v>
      </c>
      <c r="T275" s="58">
        <f>S275-(S275*((VLOOKUP(A275,[1]Plan!A$1:AA$804,27,FALSE)/100)))</f>
        <v>0</v>
      </c>
      <c r="U275" s="58">
        <f>IF(P275,O275*'[1]ETC Data'!$H$3*'[1]ETC Data'!$K$3,0)</f>
        <v>0</v>
      </c>
      <c r="V275" s="58">
        <f>U275-(U275*((VLOOKUP(A275,[1]Plan!A$1:AB$804,28,FALSE)/100)))</f>
        <v>0</v>
      </c>
      <c r="W275" s="58">
        <f>IF(P275,O275*'[1]ETC Data'!$H$3*'[1]ETC Data'!$L$3,0)</f>
        <v>0</v>
      </c>
      <c r="X275" s="58">
        <f>W275-(W275*((VLOOKUP(A275,[1]Plan!A$1:AC$804,29,FALSE)/100)))</f>
        <v>0</v>
      </c>
      <c r="Y275" s="59"/>
      <c r="Z275" s="60" t="b">
        <f>OR(H275="Y",J275="Y")</f>
        <v>0</v>
      </c>
      <c r="AA275" s="58">
        <f>IF(Z275,O275*'[1]ETC Data'!$H$4*'[1]ETC Data'!$I$4,0)</f>
        <v>0</v>
      </c>
      <c r="AB275" s="58">
        <f>AA275-(AA275*((VLOOKUP(A275,[1]Plan!A$1:AI$804,35,FALSE)/100)))</f>
        <v>0</v>
      </c>
      <c r="AC275" s="58">
        <f>IF(Z275,O275*'[1]ETC Data'!$H$4*'[1]ETC Data'!$J$4,0)</f>
        <v>0</v>
      </c>
      <c r="AD275" s="58">
        <f>AC275-(AC275*((VLOOKUP(A275,[1]Plan!A$1:AJ$804,36,FALSE)/100)))</f>
        <v>0</v>
      </c>
      <c r="AE275" s="58">
        <f>IF(Z275,O275*'[1]ETC Data'!$H$4*'[1]ETC Data'!$K$4,0)</f>
        <v>0</v>
      </c>
      <c r="AF275" s="58">
        <f>AE275-(AE275*((VLOOKUP(A275,[1]Plan!A$1:AK$804,37,FALSE)/100)))</f>
        <v>0</v>
      </c>
      <c r="AG275" s="58">
        <f>IF(Z275,O275*'[1]ETC Data'!$H$4*'[1]ETC Data'!$L$4,0)</f>
        <v>0</v>
      </c>
      <c r="AH275" s="58">
        <f>AG275-(AG275*((VLOOKUP(A275,[1]Plan!A$1:AP$804,42,FALSE)/100)))</f>
        <v>0</v>
      </c>
      <c r="AI275" s="60"/>
      <c r="AJ275" s="60" t="b">
        <f>OR(H275="Y",K275="Y")</f>
        <v>0</v>
      </c>
      <c r="AK275" s="61">
        <f>IF(AJ275,O275*'[1]ETC Data'!$H$5*'[1]ETC Data'!$I$5,0)</f>
        <v>0</v>
      </c>
      <c r="AL275" s="58">
        <f>AK275-(AK275*((VLOOKUP(A275,[1]Plan!A$1:AY$804,51,FALSE)/100)))</f>
        <v>0</v>
      </c>
      <c r="AM275" s="58">
        <f>IF(AJ275,O275*'[1]ETC Data'!$H$5*'[1]ETC Data'!$J$5,0)</f>
        <v>0</v>
      </c>
      <c r="AN275" s="58">
        <f>AM275-(AM275*((VLOOKUP(A275,[1]Plan!A$1:BA$804,53,FALSE)/100)))</f>
        <v>0</v>
      </c>
      <c r="AO275" s="61">
        <f>IF(AJ275,O275*'[1]ETC Data'!$H$5*'[1]ETC Data'!$K$5,0)</f>
        <v>0</v>
      </c>
      <c r="AP275" s="58">
        <f>AO275-(AO275*((VLOOKUP(A275,[1]Plan!A$1:BB$804,54,FALSE)/100)))</f>
        <v>0</v>
      </c>
      <c r="AQ275" s="58">
        <f>IF(AJ275,O275*'[1]ETC Data'!$H$5*'[1]ETC Data'!$L$5,0)</f>
        <v>0</v>
      </c>
      <c r="AR275" s="58">
        <f>AQ275-(AQ275*((VLOOKUP(A275,[1]Plan!A$1:BD$804,56,FALSE)/100)))</f>
        <v>0</v>
      </c>
      <c r="AS275" s="20">
        <f>VLOOKUP(A275,'[1]PR Matrix'!A:B,2,FALSE)</f>
        <v>0</v>
      </c>
      <c r="AT275" s="21">
        <f>R275+T275+V275+X275+AB275+AD275+AF275+AH275+AL275+AN275+AP275+AR275</f>
        <v>0</v>
      </c>
      <c r="AU275" s="21">
        <f>Q275+S275+U275+W275+AA275+AC275+AE275+AG275+AK275+AM275+AO275+AQ275</f>
        <v>0</v>
      </c>
      <c r="AV275" s="21">
        <f>R275+AB275+AL275</f>
        <v>0</v>
      </c>
      <c r="AW275" s="21">
        <f>T275+AD275+AN275</f>
        <v>0</v>
      </c>
      <c r="AX275" s="21">
        <f>V275+AF275+AP275</f>
        <v>0</v>
      </c>
      <c r="AY275" s="21">
        <f>X275+AH275+AR275</f>
        <v>0</v>
      </c>
      <c r="AZ275" s="64"/>
      <c r="BA275" s="64"/>
      <c r="BB275" s="64"/>
      <c r="BC275" s="64"/>
    </row>
    <row r="276" spans="1:55" hidden="1" x14ac:dyDescent="0.2">
      <c r="A276" s="50" t="s">
        <v>483</v>
      </c>
      <c r="B276" s="51" t="s">
        <v>258</v>
      </c>
      <c r="C276" s="51"/>
      <c r="D276" s="51"/>
      <c r="E276" s="52">
        <f>IF(G276="Y",VLOOKUP(B276&amp;"|"&amp;C276,'[1]ETC Data'!$C$2:$D$16,2,FALSE),0)</f>
        <v>0</v>
      </c>
      <c r="F276" s="52">
        <f>IF(D276="",0,IF(G276="Y",VLOOKUP(B276&amp;"|"&amp;D276,'[1]ETC Data'!$C$2:$D$16,2,FALSE),0))</f>
        <v>0</v>
      </c>
      <c r="G276" s="53" t="str">
        <f>IF(VLOOKUP(A276,[1]Plan!A$1:H$804,8,FALSE)&lt;&gt;"",VLOOKUP(A276,[1]Plan!A$1:H$804,8,FALSE),"")</f>
        <v>N</v>
      </c>
      <c r="H276" s="54" t="str">
        <f>IF(VLOOKUP(A276,[1]Plan!A$1:L$804,12,FALSE)&lt;&gt;"",VLOOKUP(A276,[1]Plan!A$1:L$804,12,FALSE),"")</f>
        <v/>
      </c>
      <c r="I276" s="55" t="str">
        <f>IF(VLOOKUP(A276,[1]Plan!A$1:M$804,13,FALSE)&lt;&gt;"",VLOOKUP(A276,[1]Plan!A$1:M$804,13,FALSE),"")</f>
        <v/>
      </c>
      <c r="J276" s="55" t="str">
        <f>IF(VLOOKUP(A276,[1]Plan!A$1:N$804,14,FALSE)&lt;&gt;"",VLOOKUP(A276,[1]Plan!A$1:N$804,14,FALSE),IF(VLOOKUP(A276,[1]Plan!A$1:O$804,15,FALSE)&lt;&gt;"",VLOOKUP(A276,[1]Plan!A$1:O$804,15,FALSE),""))</f>
        <v/>
      </c>
      <c r="K276" s="56" t="str">
        <f>IF(VLOOKUP(A276,[1]Plan!A$1:P$804,16,FALSE)&lt;&gt;"",VLOOKUP(A276,[1]Plan!A$1:P$804,16,FALSE),"")</f>
        <v/>
      </c>
      <c r="L276" s="55"/>
      <c r="M276" s="55"/>
      <c r="N276" s="55"/>
      <c r="O276" s="57">
        <f>IF(F276=0,E276,F276)</f>
        <v>0</v>
      </c>
      <c r="P276" s="57" t="b">
        <f>OR(H276="Y",I276="Y")</f>
        <v>0</v>
      </c>
      <c r="Q276" s="58">
        <f>IF(P276,O276*'[1]ETC Data'!$H$3*'[1]ETC Data'!$I$3,0)</f>
        <v>0</v>
      </c>
      <c r="R276" s="58">
        <f>Q276-(Q276*((VLOOKUP(A276,[1]Plan!A$1:Z$804,26,FALSE)/100)))</f>
        <v>0</v>
      </c>
      <c r="S276" s="58">
        <f>IF(P276,O276*'[1]ETC Data'!$H$3*'[1]ETC Data'!$J$3,0)</f>
        <v>0</v>
      </c>
      <c r="T276" s="58">
        <f>S276-(S276*((VLOOKUP(A276,[1]Plan!A$1:AA$804,27,FALSE)/100)))</f>
        <v>0</v>
      </c>
      <c r="U276" s="58">
        <f>IF(P276,O276*'[1]ETC Data'!$H$3*'[1]ETC Data'!$K$3,0)</f>
        <v>0</v>
      </c>
      <c r="V276" s="58">
        <f>U276-(U276*((VLOOKUP(A276,[1]Plan!A$1:AB$804,28,FALSE)/100)))</f>
        <v>0</v>
      </c>
      <c r="W276" s="58">
        <f>IF(P276,O276*'[1]ETC Data'!$H$3*'[1]ETC Data'!$L$3,0)</f>
        <v>0</v>
      </c>
      <c r="X276" s="58">
        <f>W276-(W276*((VLOOKUP(A276,[1]Plan!A$1:AC$804,29,FALSE)/100)))</f>
        <v>0</v>
      </c>
      <c r="Y276" s="59"/>
      <c r="Z276" s="60" t="b">
        <f>OR(H276="Y",J276="Y")</f>
        <v>0</v>
      </c>
      <c r="AA276" s="58">
        <f>IF(Z276,O276*'[1]ETC Data'!$H$4*'[1]ETC Data'!$I$4,0)</f>
        <v>0</v>
      </c>
      <c r="AB276" s="58">
        <f>AA276-(AA276*((VLOOKUP(A276,[1]Plan!A$1:AI$804,35,FALSE)/100)))</f>
        <v>0</v>
      </c>
      <c r="AC276" s="58">
        <f>IF(Z276,O276*'[1]ETC Data'!$H$4*'[1]ETC Data'!$J$4,0)</f>
        <v>0</v>
      </c>
      <c r="AD276" s="58">
        <f>AC276-(AC276*((VLOOKUP(A276,[1]Plan!A$1:AJ$804,36,FALSE)/100)))</f>
        <v>0</v>
      </c>
      <c r="AE276" s="58">
        <f>IF(Z276,O276*'[1]ETC Data'!$H$4*'[1]ETC Data'!$K$4,0)</f>
        <v>0</v>
      </c>
      <c r="AF276" s="58">
        <f>AE276-(AE276*((VLOOKUP(A276,[1]Plan!A$1:AK$804,37,FALSE)/100)))</f>
        <v>0</v>
      </c>
      <c r="AG276" s="58">
        <f>IF(Z276,O276*'[1]ETC Data'!$H$4*'[1]ETC Data'!$L$4,0)</f>
        <v>0</v>
      </c>
      <c r="AH276" s="58">
        <f>AG276-(AG276*((VLOOKUP(A276,[1]Plan!A$1:AP$804,42,FALSE)/100)))</f>
        <v>0</v>
      </c>
      <c r="AI276" s="60"/>
      <c r="AJ276" s="60" t="b">
        <f>OR(H276="Y",K276="Y")</f>
        <v>0</v>
      </c>
      <c r="AK276" s="61">
        <f>IF(AJ276,O276*'[1]ETC Data'!$H$5*'[1]ETC Data'!$I$5,0)</f>
        <v>0</v>
      </c>
      <c r="AL276" s="58">
        <f>AK276-(AK276*((VLOOKUP(A276,[1]Plan!A$1:AY$804,51,FALSE)/100)))</f>
        <v>0</v>
      </c>
      <c r="AM276" s="58">
        <f>IF(AJ276,O276*'[1]ETC Data'!$H$5*'[1]ETC Data'!$J$5,0)</f>
        <v>0</v>
      </c>
      <c r="AN276" s="58">
        <f>AM276-(AM276*((VLOOKUP(A276,[1]Plan!A$1:BA$804,53,FALSE)/100)))</f>
        <v>0</v>
      </c>
      <c r="AO276" s="61">
        <f>IF(AJ276,O276*'[1]ETC Data'!$H$5*'[1]ETC Data'!$K$5,0)</f>
        <v>0</v>
      </c>
      <c r="AP276" s="58">
        <f>AO276-(AO276*((VLOOKUP(A276,[1]Plan!A$1:BB$804,54,FALSE)/100)))</f>
        <v>0</v>
      </c>
      <c r="AQ276" s="58">
        <f>IF(AJ276,O276*'[1]ETC Data'!$H$5*'[1]ETC Data'!$L$5,0)</f>
        <v>0</v>
      </c>
      <c r="AR276" s="58">
        <f>AQ276-(AQ276*((VLOOKUP(A276,[1]Plan!A$1:BD$804,56,FALSE)/100)))</f>
        <v>0</v>
      </c>
      <c r="AS276" s="20">
        <f>VLOOKUP(A276,'[1]PR Matrix'!A:B,2,FALSE)</f>
        <v>0</v>
      </c>
      <c r="AT276" s="21">
        <f>R276+T276+V276+X276+AB276+AD276+AF276+AH276+AL276+AN276+AP276+AR276</f>
        <v>0</v>
      </c>
      <c r="AU276" s="21">
        <f>Q276+S276+U276+W276+AA276+AC276+AE276+AG276+AK276+AM276+AO276+AQ276</f>
        <v>0</v>
      </c>
      <c r="AV276" s="21">
        <f>R276+AB276+AL276</f>
        <v>0</v>
      </c>
      <c r="AW276" s="21">
        <f>T276+AD276+AN276</f>
        <v>0</v>
      </c>
      <c r="AX276" s="21">
        <f>V276+AF276+AP276</f>
        <v>0</v>
      </c>
      <c r="AY276" s="21">
        <f>X276+AH276+AR276</f>
        <v>0</v>
      </c>
    </row>
    <row r="277" spans="1:55" hidden="1" x14ac:dyDescent="0.2">
      <c r="A277" s="50" t="s">
        <v>484</v>
      </c>
      <c r="B277" s="51" t="s">
        <v>258</v>
      </c>
      <c r="C277" s="51"/>
      <c r="D277" s="51"/>
      <c r="E277" s="52">
        <f>IF(G277="Y",VLOOKUP(B277&amp;"|"&amp;C277,'[1]ETC Data'!$C$2:$D$16,2,FALSE),0)</f>
        <v>0</v>
      </c>
      <c r="F277" s="52">
        <f>IF(D277="",0,IF(G277="Y",VLOOKUP(B277&amp;"|"&amp;D277,'[1]ETC Data'!$C$2:$D$16,2,FALSE),0))</f>
        <v>0</v>
      </c>
      <c r="G277" s="53" t="str">
        <f>IF(VLOOKUP(A277,[1]Plan!A$1:H$804,8,FALSE)&lt;&gt;"",VLOOKUP(A277,[1]Plan!A$1:H$804,8,FALSE),"")</f>
        <v>N</v>
      </c>
      <c r="H277" s="54" t="str">
        <f>IF(VLOOKUP(A277,[1]Plan!A$1:L$804,12,FALSE)&lt;&gt;"",VLOOKUP(A277,[1]Plan!A$1:L$804,12,FALSE),"")</f>
        <v/>
      </c>
      <c r="I277" s="55" t="str">
        <f>IF(VLOOKUP(A277,[1]Plan!A$1:M$804,13,FALSE)&lt;&gt;"",VLOOKUP(A277,[1]Plan!A$1:M$804,13,FALSE),"")</f>
        <v/>
      </c>
      <c r="J277" s="55" t="str">
        <f>IF(VLOOKUP(A277,[1]Plan!A$1:N$804,14,FALSE)&lt;&gt;"",VLOOKUP(A277,[1]Plan!A$1:N$804,14,FALSE),IF(VLOOKUP(A277,[1]Plan!A$1:O$804,15,FALSE)&lt;&gt;"",VLOOKUP(A277,[1]Plan!A$1:O$804,15,FALSE),""))</f>
        <v/>
      </c>
      <c r="K277" s="56" t="str">
        <f>IF(VLOOKUP(A277,[1]Plan!A$1:P$804,16,FALSE)&lt;&gt;"",VLOOKUP(A277,[1]Plan!A$1:P$804,16,FALSE),"")</f>
        <v/>
      </c>
      <c r="L277" s="55"/>
      <c r="M277" s="55"/>
      <c r="N277" s="55"/>
      <c r="O277" s="57">
        <f>IF(F277=0,E277,F277)</f>
        <v>0</v>
      </c>
      <c r="P277" s="57" t="b">
        <f>OR(H277="Y",I277="Y")</f>
        <v>0</v>
      </c>
      <c r="Q277" s="58">
        <f>IF(P277,O277*'[1]ETC Data'!$H$3*'[1]ETC Data'!$I$3,0)</f>
        <v>0</v>
      </c>
      <c r="R277" s="58">
        <f>Q277-(Q277*((VLOOKUP(A277,[1]Plan!A$1:Z$804,26,FALSE)/100)))</f>
        <v>0</v>
      </c>
      <c r="S277" s="58">
        <f>IF(P277,O277*'[1]ETC Data'!$H$3*'[1]ETC Data'!$J$3,0)</f>
        <v>0</v>
      </c>
      <c r="T277" s="58">
        <f>S277-(S277*((VLOOKUP(A277,[1]Plan!A$1:AA$804,27,FALSE)/100)))</f>
        <v>0</v>
      </c>
      <c r="U277" s="58">
        <f>IF(P277,O277*'[1]ETC Data'!$H$3*'[1]ETC Data'!$K$3,0)</f>
        <v>0</v>
      </c>
      <c r="V277" s="58">
        <f>U277-(U277*((VLOOKUP(A277,[1]Plan!A$1:AB$804,28,FALSE)/100)))</f>
        <v>0</v>
      </c>
      <c r="W277" s="58">
        <f>IF(P277,O277*'[1]ETC Data'!$H$3*'[1]ETC Data'!$L$3,0)</f>
        <v>0</v>
      </c>
      <c r="X277" s="58">
        <f>W277-(W277*((VLOOKUP(A277,[1]Plan!A$1:AC$804,29,FALSE)/100)))</f>
        <v>0</v>
      </c>
      <c r="Y277" s="59"/>
      <c r="Z277" s="60" t="b">
        <f>OR(H277="Y",J277="Y")</f>
        <v>0</v>
      </c>
      <c r="AA277" s="58">
        <f>IF(Z277,O277*'[1]ETC Data'!$H$4*'[1]ETC Data'!$I$4,0)</f>
        <v>0</v>
      </c>
      <c r="AB277" s="58">
        <f>AA277-(AA277*((VLOOKUP(A277,[1]Plan!A$1:AI$804,35,FALSE)/100)))</f>
        <v>0</v>
      </c>
      <c r="AC277" s="58">
        <f>IF(Z277,O277*'[1]ETC Data'!$H$4*'[1]ETC Data'!$J$4,0)</f>
        <v>0</v>
      </c>
      <c r="AD277" s="58">
        <f>AC277-(AC277*((VLOOKUP(A277,[1]Plan!A$1:AJ$804,36,FALSE)/100)))</f>
        <v>0</v>
      </c>
      <c r="AE277" s="58">
        <f>IF(Z277,O277*'[1]ETC Data'!$H$4*'[1]ETC Data'!$K$4,0)</f>
        <v>0</v>
      </c>
      <c r="AF277" s="58">
        <f>AE277-(AE277*((VLOOKUP(A277,[1]Plan!A$1:AK$804,37,FALSE)/100)))</f>
        <v>0</v>
      </c>
      <c r="AG277" s="58">
        <f>IF(Z277,O277*'[1]ETC Data'!$H$4*'[1]ETC Data'!$L$4,0)</f>
        <v>0</v>
      </c>
      <c r="AH277" s="58">
        <f>AG277-(AG277*((VLOOKUP(A277,[1]Plan!A$1:AP$804,42,FALSE)/100)))</f>
        <v>0</v>
      </c>
      <c r="AI277" s="60"/>
      <c r="AJ277" s="60" t="b">
        <f>OR(H277="Y",K277="Y")</f>
        <v>0</v>
      </c>
      <c r="AK277" s="61">
        <f>IF(AJ277,O277*'[1]ETC Data'!$H$5*'[1]ETC Data'!$I$5,0)</f>
        <v>0</v>
      </c>
      <c r="AL277" s="58">
        <f>AK277-(AK277*((VLOOKUP(A277,[1]Plan!A$1:AY$804,51,FALSE)/100)))</f>
        <v>0</v>
      </c>
      <c r="AM277" s="58">
        <f>IF(AJ277,O277*'[1]ETC Data'!$H$5*'[1]ETC Data'!$J$5,0)</f>
        <v>0</v>
      </c>
      <c r="AN277" s="58">
        <f>AM277-(AM277*((VLOOKUP(A277,[1]Plan!A$1:BA$804,53,FALSE)/100)))</f>
        <v>0</v>
      </c>
      <c r="AO277" s="61">
        <f>IF(AJ277,O277*'[1]ETC Data'!$H$5*'[1]ETC Data'!$K$5,0)</f>
        <v>0</v>
      </c>
      <c r="AP277" s="58">
        <f>AO277-(AO277*((VLOOKUP(A277,[1]Plan!A$1:BB$804,54,FALSE)/100)))</f>
        <v>0</v>
      </c>
      <c r="AQ277" s="58">
        <f>IF(AJ277,O277*'[1]ETC Data'!$H$5*'[1]ETC Data'!$L$5,0)</f>
        <v>0</v>
      </c>
      <c r="AR277" s="58">
        <f>AQ277-(AQ277*((VLOOKUP(A277,[1]Plan!A$1:BD$804,56,FALSE)/100)))</f>
        <v>0</v>
      </c>
      <c r="AS277" s="20">
        <f>VLOOKUP(A277,'[1]PR Matrix'!A:B,2,FALSE)</f>
        <v>0</v>
      </c>
      <c r="AT277" s="21">
        <f>R277+T277+V277+X277+AB277+AD277+AF277+AH277+AL277+AN277+AP277+AR277</f>
        <v>0</v>
      </c>
      <c r="AU277" s="21">
        <f>Q277+S277+U277+W277+AA277+AC277+AE277+AG277+AK277+AM277+AO277+AQ277</f>
        <v>0</v>
      </c>
      <c r="AV277" s="21">
        <f>R277+AB277+AL277</f>
        <v>0</v>
      </c>
      <c r="AW277" s="21">
        <f>T277+AD277+AN277</f>
        <v>0</v>
      </c>
      <c r="AX277" s="21">
        <f>V277+AF277+AP277</f>
        <v>0</v>
      </c>
      <c r="AY277" s="21">
        <f>X277+AH277+AR277</f>
        <v>0</v>
      </c>
    </row>
    <row r="278" spans="1:55" hidden="1" x14ac:dyDescent="0.2">
      <c r="A278" s="50" t="s">
        <v>485</v>
      </c>
      <c r="B278" s="51" t="s">
        <v>258</v>
      </c>
      <c r="C278" s="51"/>
      <c r="D278" s="51"/>
      <c r="E278" s="52">
        <f>IF(G278="Y",VLOOKUP(B278&amp;"|"&amp;C278,'[1]ETC Data'!$C$2:$D$16,2,FALSE),0)</f>
        <v>0</v>
      </c>
      <c r="F278" s="52">
        <f>IF(D278="",0,IF(G278="Y",VLOOKUP(B278&amp;"|"&amp;D278,'[1]ETC Data'!$C$2:$D$16,2,FALSE),0))</f>
        <v>0</v>
      </c>
      <c r="G278" s="53" t="str">
        <f>IF(VLOOKUP(A278,[1]Plan!A$1:H$804,8,FALSE)&lt;&gt;"",VLOOKUP(A278,[1]Plan!A$1:H$804,8,FALSE),"")</f>
        <v>N</v>
      </c>
      <c r="H278" s="54" t="str">
        <f>IF(VLOOKUP(A278,[1]Plan!A$1:L$804,12,FALSE)&lt;&gt;"",VLOOKUP(A278,[1]Plan!A$1:L$804,12,FALSE),"")</f>
        <v/>
      </c>
      <c r="I278" s="55" t="str">
        <f>IF(VLOOKUP(A278,[1]Plan!A$1:M$804,13,FALSE)&lt;&gt;"",VLOOKUP(A278,[1]Plan!A$1:M$804,13,FALSE),"")</f>
        <v/>
      </c>
      <c r="J278" s="55" t="str">
        <f>IF(VLOOKUP(A278,[1]Plan!A$1:N$804,14,FALSE)&lt;&gt;"",VLOOKUP(A278,[1]Plan!A$1:N$804,14,FALSE),IF(VLOOKUP(A278,[1]Plan!A$1:O$804,15,FALSE)&lt;&gt;"",VLOOKUP(A278,[1]Plan!A$1:O$804,15,FALSE),""))</f>
        <v/>
      </c>
      <c r="K278" s="56" t="str">
        <f>IF(VLOOKUP(A278,[1]Plan!A$1:P$804,16,FALSE)&lt;&gt;"",VLOOKUP(A278,[1]Plan!A$1:P$804,16,FALSE),"")</f>
        <v/>
      </c>
      <c r="L278" s="55"/>
      <c r="M278" s="55"/>
      <c r="N278" s="55"/>
      <c r="O278" s="57">
        <f>IF(F278=0,E278,F278)</f>
        <v>0</v>
      </c>
      <c r="P278" s="57" t="b">
        <f>OR(H278="Y",I278="Y")</f>
        <v>0</v>
      </c>
      <c r="Q278" s="58">
        <f>IF(P278,O278*'[1]ETC Data'!$H$3*'[1]ETC Data'!$I$3,0)</f>
        <v>0</v>
      </c>
      <c r="R278" s="58">
        <f>Q278-(Q278*((VLOOKUP(A278,[1]Plan!A$1:Z$804,26,FALSE)/100)))</f>
        <v>0</v>
      </c>
      <c r="S278" s="58">
        <f>IF(P278,O278*'[1]ETC Data'!$H$3*'[1]ETC Data'!$J$3,0)</f>
        <v>0</v>
      </c>
      <c r="T278" s="58">
        <f>S278-(S278*((VLOOKUP(A278,[1]Plan!A$1:AA$804,27,FALSE)/100)))</f>
        <v>0</v>
      </c>
      <c r="U278" s="58">
        <f>IF(P278,O278*'[1]ETC Data'!$H$3*'[1]ETC Data'!$K$3,0)</f>
        <v>0</v>
      </c>
      <c r="V278" s="58">
        <f>U278-(U278*((VLOOKUP(A278,[1]Plan!A$1:AB$804,28,FALSE)/100)))</f>
        <v>0</v>
      </c>
      <c r="W278" s="58">
        <f>IF(P278,O278*'[1]ETC Data'!$H$3*'[1]ETC Data'!$L$3,0)</f>
        <v>0</v>
      </c>
      <c r="X278" s="58">
        <f>W278-(W278*((VLOOKUP(A278,[1]Plan!A$1:AC$804,29,FALSE)/100)))</f>
        <v>0</v>
      </c>
      <c r="Y278" s="59"/>
      <c r="Z278" s="60" t="b">
        <f>OR(H278="Y",J278="Y")</f>
        <v>0</v>
      </c>
      <c r="AA278" s="58">
        <f>IF(Z278,O278*'[1]ETC Data'!$H$4*'[1]ETC Data'!$I$4,0)</f>
        <v>0</v>
      </c>
      <c r="AB278" s="58">
        <f>AA278-(AA278*((VLOOKUP(A278,[1]Plan!A$1:AI$804,35,FALSE)/100)))</f>
        <v>0</v>
      </c>
      <c r="AC278" s="58">
        <f>IF(Z278,O278*'[1]ETC Data'!$H$4*'[1]ETC Data'!$J$4,0)</f>
        <v>0</v>
      </c>
      <c r="AD278" s="58">
        <f>AC278-(AC278*((VLOOKUP(A278,[1]Plan!A$1:AJ$804,36,FALSE)/100)))</f>
        <v>0</v>
      </c>
      <c r="AE278" s="58">
        <f>IF(Z278,O278*'[1]ETC Data'!$H$4*'[1]ETC Data'!$K$4,0)</f>
        <v>0</v>
      </c>
      <c r="AF278" s="58">
        <f>AE278-(AE278*((VLOOKUP(A278,[1]Plan!A$1:AK$804,37,FALSE)/100)))</f>
        <v>0</v>
      </c>
      <c r="AG278" s="58">
        <f>IF(Z278,O278*'[1]ETC Data'!$H$4*'[1]ETC Data'!$L$4,0)</f>
        <v>0</v>
      </c>
      <c r="AH278" s="58">
        <f>AG278-(AG278*((VLOOKUP(A278,[1]Plan!A$1:AP$804,42,FALSE)/100)))</f>
        <v>0</v>
      </c>
      <c r="AI278" s="60"/>
      <c r="AJ278" s="60" t="b">
        <f>OR(H278="Y",K278="Y")</f>
        <v>0</v>
      </c>
      <c r="AK278" s="61">
        <f>IF(AJ278,O278*'[1]ETC Data'!$H$5*'[1]ETC Data'!$I$5,0)</f>
        <v>0</v>
      </c>
      <c r="AL278" s="58">
        <f>AK278-(AK278*((VLOOKUP(A278,[1]Plan!A$1:AY$804,51,FALSE)/100)))</f>
        <v>0</v>
      </c>
      <c r="AM278" s="58">
        <f>IF(AJ278,O278*'[1]ETC Data'!$H$5*'[1]ETC Data'!$J$5,0)</f>
        <v>0</v>
      </c>
      <c r="AN278" s="58">
        <f>AM278-(AM278*((VLOOKUP(A278,[1]Plan!A$1:BA$804,53,FALSE)/100)))</f>
        <v>0</v>
      </c>
      <c r="AO278" s="61">
        <f>IF(AJ278,O278*'[1]ETC Data'!$H$5*'[1]ETC Data'!$K$5,0)</f>
        <v>0</v>
      </c>
      <c r="AP278" s="58">
        <f>AO278-(AO278*((VLOOKUP(A278,[1]Plan!A$1:BB$804,54,FALSE)/100)))</f>
        <v>0</v>
      </c>
      <c r="AQ278" s="58">
        <f>IF(AJ278,O278*'[1]ETC Data'!$H$5*'[1]ETC Data'!$L$5,0)</f>
        <v>0</v>
      </c>
      <c r="AR278" s="58">
        <f>AQ278-(AQ278*((VLOOKUP(A278,[1]Plan!A$1:BD$804,56,FALSE)/100)))</f>
        <v>0</v>
      </c>
      <c r="AS278" s="20">
        <f>VLOOKUP(A278,'[1]PR Matrix'!A:B,2,FALSE)</f>
        <v>0</v>
      </c>
      <c r="AT278" s="21">
        <f>R278+T278+V278+X278+AB278+AD278+AF278+AH278+AL278+AN278+AP278+AR278</f>
        <v>0</v>
      </c>
      <c r="AU278" s="21">
        <f>Q278+S278+U278+W278+AA278+AC278+AE278+AG278+AK278+AM278+AO278+AQ278</f>
        <v>0</v>
      </c>
      <c r="AV278" s="21">
        <f>R278+AB278+AL278</f>
        <v>0</v>
      </c>
      <c r="AW278" s="21">
        <f>T278+AD278+AN278</f>
        <v>0</v>
      </c>
      <c r="AX278" s="21">
        <f>V278+AF278+AP278</f>
        <v>0</v>
      </c>
      <c r="AY278" s="21">
        <f>X278+AH278+AR278</f>
        <v>0</v>
      </c>
    </row>
    <row r="279" spans="1:55" hidden="1" x14ac:dyDescent="0.2">
      <c r="A279" s="50" t="s">
        <v>486</v>
      </c>
      <c r="B279" s="51" t="s">
        <v>258</v>
      </c>
      <c r="C279" s="51"/>
      <c r="D279" s="51"/>
      <c r="E279" s="52">
        <f>IF(G279="Y",VLOOKUP(B279&amp;"|"&amp;C279,'[1]ETC Data'!$C$2:$D$16,2,FALSE),0)</f>
        <v>0</v>
      </c>
      <c r="F279" s="52">
        <f>IF(D279="",0,IF(G279="Y",VLOOKUP(B279&amp;"|"&amp;D279,'[1]ETC Data'!$C$2:$D$16,2,FALSE),0))</f>
        <v>0</v>
      </c>
      <c r="G279" s="53" t="str">
        <f>IF(VLOOKUP(A279,[1]Plan!A$1:H$804,8,FALSE)&lt;&gt;"",VLOOKUP(A279,[1]Plan!A$1:H$804,8,FALSE),"")</f>
        <v>N</v>
      </c>
      <c r="H279" s="54" t="str">
        <f>IF(VLOOKUP(A279,[1]Plan!A$1:L$804,12,FALSE)&lt;&gt;"",VLOOKUP(A279,[1]Plan!A$1:L$804,12,FALSE),"")</f>
        <v/>
      </c>
      <c r="I279" s="55" t="str">
        <f>IF(VLOOKUP(A279,[1]Plan!A$1:M$804,13,FALSE)&lt;&gt;"",VLOOKUP(A279,[1]Plan!A$1:M$804,13,FALSE),"")</f>
        <v/>
      </c>
      <c r="J279" s="55" t="str">
        <f>IF(VLOOKUP(A279,[1]Plan!A$1:N$804,14,FALSE)&lt;&gt;"",VLOOKUP(A279,[1]Plan!A$1:N$804,14,FALSE),IF(VLOOKUP(A279,[1]Plan!A$1:O$804,15,FALSE)&lt;&gt;"",VLOOKUP(A279,[1]Plan!A$1:O$804,15,FALSE),""))</f>
        <v/>
      </c>
      <c r="K279" s="56" t="str">
        <f>IF(VLOOKUP(A279,[1]Plan!A$1:P$804,16,FALSE)&lt;&gt;"",VLOOKUP(A279,[1]Plan!A$1:P$804,16,FALSE),"")</f>
        <v/>
      </c>
      <c r="L279" s="55"/>
      <c r="M279" s="55"/>
      <c r="N279" s="55"/>
      <c r="O279" s="57">
        <f>IF(F279=0,E279,F279)</f>
        <v>0</v>
      </c>
      <c r="P279" s="57" t="b">
        <f>OR(H279="Y",I279="Y")</f>
        <v>0</v>
      </c>
      <c r="Q279" s="58">
        <f>IF(P279,O279*'[1]ETC Data'!$H$3*'[1]ETC Data'!$I$3,0)</f>
        <v>0</v>
      </c>
      <c r="R279" s="58">
        <f>Q279-(Q279*((VLOOKUP(A279,[1]Plan!A$1:Z$804,26,FALSE)/100)))</f>
        <v>0</v>
      </c>
      <c r="S279" s="58">
        <f>IF(P279,O279*'[1]ETC Data'!$H$3*'[1]ETC Data'!$J$3,0)</f>
        <v>0</v>
      </c>
      <c r="T279" s="58">
        <f>S279-(S279*((VLOOKUP(A279,[1]Plan!A$1:AA$804,27,FALSE)/100)))</f>
        <v>0</v>
      </c>
      <c r="U279" s="58">
        <f>IF(P279,O279*'[1]ETC Data'!$H$3*'[1]ETC Data'!$K$3,0)</f>
        <v>0</v>
      </c>
      <c r="V279" s="58">
        <f>U279-(U279*((VLOOKUP(A279,[1]Plan!A$1:AB$804,28,FALSE)/100)))</f>
        <v>0</v>
      </c>
      <c r="W279" s="58">
        <f>IF(P279,O279*'[1]ETC Data'!$H$3*'[1]ETC Data'!$L$3,0)</f>
        <v>0</v>
      </c>
      <c r="X279" s="58">
        <f>W279-(W279*((VLOOKUP(A279,[1]Plan!A$1:AC$804,29,FALSE)/100)))</f>
        <v>0</v>
      </c>
      <c r="Y279" s="59"/>
      <c r="Z279" s="60" t="b">
        <f>OR(H279="Y",J279="Y")</f>
        <v>0</v>
      </c>
      <c r="AA279" s="58">
        <f>IF(Z279,O279*'[1]ETC Data'!$H$4*'[1]ETC Data'!$I$4,0)</f>
        <v>0</v>
      </c>
      <c r="AB279" s="58">
        <f>AA279-(AA279*((VLOOKUP(A279,[1]Plan!A$1:AI$804,35,FALSE)/100)))</f>
        <v>0</v>
      </c>
      <c r="AC279" s="58">
        <f>IF(Z279,O279*'[1]ETC Data'!$H$4*'[1]ETC Data'!$J$4,0)</f>
        <v>0</v>
      </c>
      <c r="AD279" s="58">
        <f>AC279-(AC279*((VLOOKUP(A279,[1]Plan!A$1:AJ$804,36,FALSE)/100)))</f>
        <v>0</v>
      </c>
      <c r="AE279" s="58">
        <f>IF(Z279,O279*'[1]ETC Data'!$H$4*'[1]ETC Data'!$K$4,0)</f>
        <v>0</v>
      </c>
      <c r="AF279" s="58">
        <f>AE279-(AE279*((VLOOKUP(A279,[1]Plan!A$1:AK$804,37,FALSE)/100)))</f>
        <v>0</v>
      </c>
      <c r="AG279" s="58">
        <f>IF(Z279,O279*'[1]ETC Data'!$H$4*'[1]ETC Data'!$L$4,0)</f>
        <v>0</v>
      </c>
      <c r="AH279" s="58">
        <f>AG279-(AG279*((VLOOKUP(A279,[1]Plan!A$1:AP$804,42,FALSE)/100)))</f>
        <v>0</v>
      </c>
      <c r="AI279" s="60"/>
      <c r="AJ279" s="60" t="b">
        <f>OR(H279="Y",K279="Y")</f>
        <v>0</v>
      </c>
      <c r="AK279" s="61">
        <f>IF(AJ279,O279*'[1]ETC Data'!$H$5*'[1]ETC Data'!$I$5,0)</f>
        <v>0</v>
      </c>
      <c r="AL279" s="58">
        <f>AK279-(AK279*((VLOOKUP(A279,[1]Plan!A$1:AY$804,51,FALSE)/100)))</f>
        <v>0</v>
      </c>
      <c r="AM279" s="58">
        <f>IF(AJ279,O279*'[1]ETC Data'!$H$5*'[1]ETC Data'!$J$5,0)</f>
        <v>0</v>
      </c>
      <c r="AN279" s="58">
        <f>AM279-(AM279*((VLOOKUP(A279,[1]Plan!A$1:BA$804,53,FALSE)/100)))</f>
        <v>0</v>
      </c>
      <c r="AO279" s="61">
        <f>IF(AJ279,O279*'[1]ETC Data'!$H$5*'[1]ETC Data'!$K$5,0)</f>
        <v>0</v>
      </c>
      <c r="AP279" s="58">
        <f>AO279-(AO279*((VLOOKUP(A279,[1]Plan!A$1:BB$804,54,FALSE)/100)))</f>
        <v>0</v>
      </c>
      <c r="AQ279" s="58">
        <f>IF(AJ279,O279*'[1]ETC Data'!$H$5*'[1]ETC Data'!$L$5,0)</f>
        <v>0</v>
      </c>
      <c r="AR279" s="58">
        <f>AQ279-(AQ279*((VLOOKUP(A279,[1]Plan!A$1:BD$804,56,FALSE)/100)))</f>
        <v>0</v>
      </c>
      <c r="AS279" s="20">
        <f>VLOOKUP(A279,'[1]PR Matrix'!A:B,2,FALSE)</f>
        <v>0</v>
      </c>
      <c r="AT279" s="21">
        <f>R279+T279+V279+X279+AB279+AD279+AF279+AH279+AL279+AN279+AP279+AR279</f>
        <v>0</v>
      </c>
      <c r="AU279" s="21">
        <f>Q279+S279+U279+W279+AA279+AC279+AE279+AG279+AK279+AM279+AO279+AQ279</f>
        <v>0</v>
      </c>
      <c r="AV279" s="21">
        <f>R279+AB279+AL279</f>
        <v>0</v>
      </c>
      <c r="AW279" s="21">
        <f>T279+AD279+AN279</f>
        <v>0</v>
      </c>
      <c r="AX279" s="21">
        <f>V279+AF279+AP279</f>
        <v>0</v>
      </c>
      <c r="AY279" s="21">
        <f>X279+AH279+AR279</f>
        <v>0</v>
      </c>
    </row>
    <row r="280" spans="1:55" hidden="1" x14ac:dyDescent="0.2">
      <c r="A280" s="50" t="s">
        <v>487</v>
      </c>
      <c r="B280" s="51" t="s">
        <v>208</v>
      </c>
      <c r="C280" s="51"/>
      <c r="D280" s="51"/>
      <c r="E280" s="52">
        <f>IF(G280="Y",VLOOKUP(B280&amp;"|"&amp;C280,'[1]ETC Data'!$C$2:$D$16,2,FALSE),0)</f>
        <v>0</v>
      </c>
      <c r="F280" s="52">
        <f>IF(D280="",0,IF(G280="Y",VLOOKUP(B280&amp;"|"&amp;D280,'[1]ETC Data'!$C$2:$D$16,2,FALSE),0))</f>
        <v>0</v>
      </c>
      <c r="G280" s="53" t="str">
        <f>IF(VLOOKUP(A280,[1]Plan!A$1:H$804,8,FALSE)&lt;&gt;"",VLOOKUP(A280,[1]Plan!A$1:H$804,8,FALSE),"")</f>
        <v>N</v>
      </c>
      <c r="H280" s="54" t="str">
        <f>IF(VLOOKUP(A280,[1]Plan!A$1:L$804,12,FALSE)&lt;&gt;"",VLOOKUP(A280,[1]Plan!A$1:L$804,12,FALSE),"")</f>
        <v/>
      </c>
      <c r="I280" s="55" t="str">
        <f>IF(VLOOKUP(A280,[1]Plan!A$1:M$804,13,FALSE)&lt;&gt;"",VLOOKUP(A280,[1]Plan!A$1:M$804,13,FALSE),"")</f>
        <v/>
      </c>
      <c r="J280" s="55" t="str">
        <f>IF(VLOOKUP(A280,[1]Plan!A$1:N$804,14,FALSE)&lt;&gt;"",VLOOKUP(A280,[1]Plan!A$1:N$804,14,FALSE),IF(VLOOKUP(A280,[1]Plan!A$1:O$804,15,FALSE)&lt;&gt;"",VLOOKUP(A280,[1]Plan!A$1:O$804,15,FALSE),""))</f>
        <v/>
      </c>
      <c r="K280" s="56" t="str">
        <f>IF(VLOOKUP(A280,[1]Plan!A$1:P$804,16,FALSE)&lt;&gt;"",VLOOKUP(A280,[1]Plan!A$1:P$804,16,FALSE),"")</f>
        <v/>
      </c>
      <c r="L280" s="55"/>
      <c r="M280" s="55"/>
      <c r="N280" s="55"/>
      <c r="O280" s="57">
        <f>IF(F280=0,E280,F280)</f>
        <v>0</v>
      </c>
      <c r="P280" s="57" t="b">
        <f>OR(H280="Y",I280="Y")</f>
        <v>0</v>
      </c>
      <c r="Q280" s="58">
        <f>IF(P280,O280*'[1]ETC Data'!$H$3*'[1]ETC Data'!$I$3,0)</f>
        <v>0</v>
      </c>
      <c r="R280" s="58">
        <f>Q280-(Q280*((VLOOKUP(A280,[1]Plan!A$1:Z$804,26,FALSE)/100)))</f>
        <v>0</v>
      </c>
      <c r="S280" s="58">
        <f>IF(P280,O280*'[1]ETC Data'!$H$3*'[1]ETC Data'!$J$3,0)</f>
        <v>0</v>
      </c>
      <c r="T280" s="58">
        <f>S280-(S280*((VLOOKUP(A280,[1]Plan!A$1:AA$804,27,FALSE)/100)))</f>
        <v>0</v>
      </c>
      <c r="U280" s="58">
        <f>IF(P280,O280*'[1]ETC Data'!$H$3*'[1]ETC Data'!$K$3,0)</f>
        <v>0</v>
      </c>
      <c r="V280" s="58">
        <f>U280-(U280*((VLOOKUP(A280,[1]Plan!A$1:AB$804,28,FALSE)/100)))</f>
        <v>0</v>
      </c>
      <c r="W280" s="58">
        <f>IF(P280,O280*'[1]ETC Data'!$H$3*'[1]ETC Data'!$L$3,0)</f>
        <v>0</v>
      </c>
      <c r="X280" s="58">
        <f>W280-(W280*((VLOOKUP(A280,[1]Plan!A$1:AC$804,29,FALSE)/100)))</f>
        <v>0</v>
      </c>
      <c r="Y280" s="59"/>
      <c r="Z280" s="60" t="b">
        <f>OR(H280="Y",J280="Y")</f>
        <v>0</v>
      </c>
      <c r="AA280" s="58">
        <f>IF(Z280,O280*'[1]ETC Data'!$H$4*'[1]ETC Data'!$I$4,0)</f>
        <v>0</v>
      </c>
      <c r="AB280" s="58">
        <f>AA280-(AA280*((VLOOKUP(A280,[1]Plan!A$1:AI$804,35,FALSE)/100)))</f>
        <v>0</v>
      </c>
      <c r="AC280" s="58">
        <f>IF(Z280,O280*'[1]ETC Data'!$H$4*'[1]ETC Data'!$J$4,0)</f>
        <v>0</v>
      </c>
      <c r="AD280" s="58">
        <f>AC280-(AC280*((VLOOKUP(A280,[1]Plan!A$1:AJ$804,36,FALSE)/100)))</f>
        <v>0</v>
      </c>
      <c r="AE280" s="58">
        <f>IF(Z280,O280*'[1]ETC Data'!$H$4*'[1]ETC Data'!$K$4,0)</f>
        <v>0</v>
      </c>
      <c r="AF280" s="58">
        <f>AE280-(AE280*((VLOOKUP(A280,[1]Plan!A$1:AK$804,37,FALSE)/100)))</f>
        <v>0</v>
      </c>
      <c r="AG280" s="58">
        <f>IF(Z280,O280*'[1]ETC Data'!$H$4*'[1]ETC Data'!$L$4,0)</f>
        <v>0</v>
      </c>
      <c r="AH280" s="58">
        <f>AG280-(AG280*((VLOOKUP(A280,[1]Plan!A$1:AP$804,42,FALSE)/100)))</f>
        <v>0</v>
      </c>
      <c r="AI280" s="60"/>
      <c r="AJ280" s="60" t="b">
        <f>OR(H280="Y",K280="Y")</f>
        <v>0</v>
      </c>
      <c r="AK280" s="61">
        <f>IF(AJ280,O280*'[1]ETC Data'!$H$5*'[1]ETC Data'!$I$5,0)</f>
        <v>0</v>
      </c>
      <c r="AL280" s="58">
        <f>AK280-(AK280*((VLOOKUP(A280,[1]Plan!A$1:AY$804,51,FALSE)/100)))</f>
        <v>0</v>
      </c>
      <c r="AM280" s="58">
        <f>IF(AJ280,O280*'[1]ETC Data'!$H$5*'[1]ETC Data'!$J$5,0)</f>
        <v>0</v>
      </c>
      <c r="AN280" s="58">
        <f>AM280-(AM280*((VLOOKUP(A280,[1]Plan!A$1:BA$804,53,FALSE)/100)))</f>
        <v>0</v>
      </c>
      <c r="AO280" s="61">
        <f>IF(AJ280,O280*'[1]ETC Data'!$H$5*'[1]ETC Data'!$K$5,0)</f>
        <v>0</v>
      </c>
      <c r="AP280" s="58">
        <f>AO280-(AO280*((VLOOKUP(A280,[1]Plan!A$1:BB$804,54,FALSE)/100)))</f>
        <v>0</v>
      </c>
      <c r="AQ280" s="58">
        <f>IF(AJ280,O280*'[1]ETC Data'!$H$5*'[1]ETC Data'!$L$5,0)</f>
        <v>0</v>
      </c>
      <c r="AR280" s="58">
        <f>AQ280-(AQ280*((VLOOKUP(A280,[1]Plan!A$1:BD$804,56,FALSE)/100)))</f>
        <v>0</v>
      </c>
      <c r="AS280" s="20">
        <f>VLOOKUP(A280,'[1]PR Matrix'!A:B,2,FALSE)</f>
        <v>0</v>
      </c>
      <c r="AT280" s="21">
        <f>R280+T280+V280+X280+AB280+AD280+AF280+AH280+AL280+AN280+AP280+AR280</f>
        <v>0</v>
      </c>
      <c r="AU280" s="21">
        <f>Q280+S280+U280+W280+AA280+AC280+AE280+AG280+AK280+AM280+AO280+AQ280</f>
        <v>0</v>
      </c>
      <c r="AV280" s="21">
        <f>R280+AB280+AL280</f>
        <v>0</v>
      </c>
      <c r="AW280" s="21">
        <f>T280+AD280+AN280</f>
        <v>0</v>
      </c>
      <c r="AX280" s="21">
        <f>V280+AF280+AP280</f>
        <v>0</v>
      </c>
      <c r="AY280" s="21">
        <f>X280+AH280+AR280</f>
        <v>0</v>
      </c>
      <c r="AZ280" s="64"/>
      <c r="BA280" s="64"/>
      <c r="BB280" s="64"/>
      <c r="BC280" s="64"/>
    </row>
    <row r="281" spans="1:55" hidden="1" x14ac:dyDescent="0.2">
      <c r="A281" s="50" t="s">
        <v>488</v>
      </c>
      <c r="B281" s="51" t="s">
        <v>208</v>
      </c>
      <c r="C281" s="51"/>
      <c r="D281" s="51"/>
      <c r="E281" s="52">
        <f>IF(G281="Y",VLOOKUP(B281&amp;"|"&amp;C281,'[1]ETC Data'!$C$2:$D$16,2,FALSE),0)</f>
        <v>0</v>
      </c>
      <c r="F281" s="52">
        <f>IF(D281="",0,IF(G281="Y",VLOOKUP(B281&amp;"|"&amp;D281,'[1]ETC Data'!$C$2:$D$16,2,FALSE),0))</f>
        <v>0</v>
      </c>
      <c r="G281" s="53" t="str">
        <f>IF(VLOOKUP(A281,[1]Plan!A$1:H$804,8,FALSE)&lt;&gt;"",VLOOKUP(A281,[1]Plan!A$1:H$804,8,FALSE),"")</f>
        <v>N</v>
      </c>
      <c r="H281" s="54" t="str">
        <f>IF(VLOOKUP(A281,[1]Plan!A$1:L$804,12,FALSE)&lt;&gt;"",VLOOKUP(A281,[1]Plan!A$1:L$804,12,FALSE),"")</f>
        <v/>
      </c>
      <c r="I281" s="55" t="str">
        <f>IF(VLOOKUP(A281,[1]Plan!A$1:M$804,13,FALSE)&lt;&gt;"",VLOOKUP(A281,[1]Plan!A$1:M$804,13,FALSE),"")</f>
        <v/>
      </c>
      <c r="J281" s="55" t="str">
        <f>IF(VLOOKUP(A281,[1]Plan!A$1:N$804,14,FALSE)&lt;&gt;"",VLOOKUP(A281,[1]Plan!A$1:N$804,14,FALSE),IF(VLOOKUP(A281,[1]Plan!A$1:O$804,15,FALSE)&lt;&gt;"",VLOOKUP(A281,[1]Plan!A$1:O$804,15,FALSE),""))</f>
        <v/>
      </c>
      <c r="K281" s="56" t="str">
        <f>IF(VLOOKUP(A281,[1]Plan!A$1:P$804,16,FALSE)&lt;&gt;"",VLOOKUP(A281,[1]Plan!A$1:P$804,16,FALSE),"")</f>
        <v/>
      </c>
      <c r="L281" s="55"/>
      <c r="M281" s="55"/>
      <c r="N281" s="55"/>
      <c r="O281" s="57">
        <f>IF(F281=0,E281,F281)</f>
        <v>0</v>
      </c>
      <c r="P281" s="57" t="b">
        <f>OR(H281="Y",I281="Y")</f>
        <v>0</v>
      </c>
      <c r="Q281" s="58">
        <f>IF(P281,O281*'[1]ETC Data'!$H$3*'[1]ETC Data'!$I$3,0)</f>
        <v>0</v>
      </c>
      <c r="R281" s="58">
        <f>Q281-(Q281*((VLOOKUP(A281,[1]Plan!A$1:Z$804,26,FALSE)/100)))</f>
        <v>0</v>
      </c>
      <c r="S281" s="58">
        <f>IF(P281,O281*'[1]ETC Data'!$H$3*'[1]ETC Data'!$J$3,0)</f>
        <v>0</v>
      </c>
      <c r="T281" s="58">
        <f>S281-(S281*((VLOOKUP(A281,[1]Plan!A$1:AA$804,27,FALSE)/100)))</f>
        <v>0</v>
      </c>
      <c r="U281" s="58">
        <f>IF(P281,O281*'[1]ETC Data'!$H$3*'[1]ETC Data'!$K$3,0)</f>
        <v>0</v>
      </c>
      <c r="V281" s="58">
        <f>U281-(U281*((VLOOKUP(A281,[1]Plan!A$1:AB$804,28,FALSE)/100)))</f>
        <v>0</v>
      </c>
      <c r="W281" s="58">
        <f>IF(P281,O281*'[1]ETC Data'!$H$3*'[1]ETC Data'!$L$3,0)</f>
        <v>0</v>
      </c>
      <c r="X281" s="58">
        <f>W281-(W281*((VLOOKUP(A281,[1]Plan!A$1:AC$804,29,FALSE)/100)))</f>
        <v>0</v>
      </c>
      <c r="Y281" s="59"/>
      <c r="Z281" s="60" t="b">
        <f>OR(H281="Y",J281="Y")</f>
        <v>0</v>
      </c>
      <c r="AA281" s="58">
        <f>IF(Z281,O281*'[1]ETC Data'!$H$4*'[1]ETC Data'!$I$4,0)</f>
        <v>0</v>
      </c>
      <c r="AB281" s="58">
        <f>AA281-(AA281*((VLOOKUP(A281,[1]Plan!A$1:AI$804,35,FALSE)/100)))</f>
        <v>0</v>
      </c>
      <c r="AC281" s="58">
        <f>IF(Z281,O281*'[1]ETC Data'!$H$4*'[1]ETC Data'!$J$4,0)</f>
        <v>0</v>
      </c>
      <c r="AD281" s="58">
        <f>AC281-(AC281*((VLOOKUP(A281,[1]Plan!A$1:AJ$804,36,FALSE)/100)))</f>
        <v>0</v>
      </c>
      <c r="AE281" s="58">
        <f>IF(Z281,O281*'[1]ETC Data'!$H$4*'[1]ETC Data'!$K$4,0)</f>
        <v>0</v>
      </c>
      <c r="AF281" s="58">
        <f>AE281-(AE281*((VLOOKUP(A281,[1]Plan!A$1:AK$804,37,FALSE)/100)))</f>
        <v>0</v>
      </c>
      <c r="AG281" s="58">
        <f>IF(Z281,O281*'[1]ETC Data'!$H$4*'[1]ETC Data'!$L$4,0)</f>
        <v>0</v>
      </c>
      <c r="AH281" s="58">
        <f>AG281-(AG281*((VLOOKUP(A281,[1]Plan!A$1:AP$804,42,FALSE)/100)))</f>
        <v>0</v>
      </c>
      <c r="AI281" s="60"/>
      <c r="AJ281" s="60" t="b">
        <f>OR(H281="Y",K281="Y")</f>
        <v>0</v>
      </c>
      <c r="AK281" s="61">
        <f>IF(AJ281,O281*'[1]ETC Data'!$H$5*'[1]ETC Data'!$I$5,0)</f>
        <v>0</v>
      </c>
      <c r="AL281" s="58">
        <f>AK281-(AK281*((VLOOKUP(A281,[1]Plan!A$1:AY$804,51,FALSE)/100)))</f>
        <v>0</v>
      </c>
      <c r="AM281" s="58">
        <f>IF(AJ281,O281*'[1]ETC Data'!$H$5*'[1]ETC Data'!$J$5,0)</f>
        <v>0</v>
      </c>
      <c r="AN281" s="58">
        <f>AM281-(AM281*((VLOOKUP(A281,[1]Plan!A$1:BA$804,53,FALSE)/100)))</f>
        <v>0</v>
      </c>
      <c r="AO281" s="61">
        <f>IF(AJ281,O281*'[1]ETC Data'!$H$5*'[1]ETC Data'!$K$5,0)</f>
        <v>0</v>
      </c>
      <c r="AP281" s="58">
        <f>AO281-(AO281*((VLOOKUP(A281,[1]Plan!A$1:BB$804,54,FALSE)/100)))</f>
        <v>0</v>
      </c>
      <c r="AQ281" s="58">
        <f>IF(AJ281,O281*'[1]ETC Data'!$H$5*'[1]ETC Data'!$L$5,0)</f>
        <v>0</v>
      </c>
      <c r="AR281" s="58">
        <f>AQ281-(AQ281*((VLOOKUP(A281,[1]Plan!A$1:BD$804,56,FALSE)/100)))</f>
        <v>0</v>
      </c>
      <c r="AS281" s="20">
        <f>VLOOKUP(A281,'[1]PR Matrix'!A:B,2,FALSE)</f>
        <v>0</v>
      </c>
      <c r="AT281" s="21">
        <f>R281+T281+V281+X281+AB281+AD281+AF281+AH281+AL281+AN281+AP281+AR281</f>
        <v>0</v>
      </c>
      <c r="AU281" s="21">
        <f>Q281+S281+U281+W281+AA281+AC281+AE281+AG281+AK281+AM281+AO281+AQ281</f>
        <v>0</v>
      </c>
      <c r="AV281" s="21">
        <f>R281+AB281+AL281</f>
        <v>0</v>
      </c>
      <c r="AW281" s="21">
        <f>T281+AD281+AN281</f>
        <v>0</v>
      </c>
      <c r="AX281" s="21">
        <f>V281+AF281+AP281</f>
        <v>0</v>
      </c>
      <c r="AY281" s="21">
        <f>X281+AH281+AR281</f>
        <v>0</v>
      </c>
    </row>
    <row r="282" spans="1:55" hidden="1" x14ac:dyDescent="0.2">
      <c r="A282" s="50" t="s">
        <v>489</v>
      </c>
      <c r="B282" s="51" t="s">
        <v>208</v>
      </c>
      <c r="C282" s="51"/>
      <c r="D282" s="51"/>
      <c r="E282" s="52">
        <f>IF(G282="Y",VLOOKUP(B282&amp;"|"&amp;C282,'[1]ETC Data'!$C$2:$D$16,2,FALSE),0)</f>
        <v>0</v>
      </c>
      <c r="F282" s="52">
        <f>IF(D282="",0,IF(G282="Y",VLOOKUP(B282&amp;"|"&amp;D282,'[1]ETC Data'!$C$2:$D$16,2,FALSE),0))</f>
        <v>0</v>
      </c>
      <c r="G282" s="53" t="str">
        <f>IF(VLOOKUP(A282,[1]Plan!A$1:H$804,8,FALSE)&lt;&gt;"",VLOOKUP(A282,[1]Plan!A$1:H$804,8,FALSE),"")</f>
        <v>N</v>
      </c>
      <c r="H282" s="54" t="str">
        <f>IF(VLOOKUP(A282,[1]Plan!A$1:L$804,12,FALSE)&lt;&gt;"",VLOOKUP(A282,[1]Plan!A$1:L$804,12,FALSE),"")</f>
        <v/>
      </c>
      <c r="I282" s="55" t="str">
        <f>IF(VLOOKUP(A282,[1]Plan!A$1:M$804,13,FALSE)&lt;&gt;"",VLOOKUP(A282,[1]Plan!A$1:M$804,13,FALSE),"")</f>
        <v/>
      </c>
      <c r="J282" s="55" t="str">
        <f>IF(VLOOKUP(A282,[1]Plan!A$1:N$804,14,FALSE)&lt;&gt;"",VLOOKUP(A282,[1]Plan!A$1:N$804,14,FALSE),IF(VLOOKUP(A282,[1]Plan!A$1:O$804,15,FALSE)&lt;&gt;"",VLOOKUP(A282,[1]Plan!A$1:O$804,15,FALSE),""))</f>
        <v/>
      </c>
      <c r="K282" s="56" t="str">
        <f>IF(VLOOKUP(A282,[1]Plan!A$1:P$804,16,FALSE)&lt;&gt;"",VLOOKUP(A282,[1]Plan!A$1:P$804,16,FALSE),"")</f>
        <v/>
      </c>
      <c r="L282" s="55"/>
      <c r="M282" s="55"/>
      <c r="N282" s="55"/>
      <c r="O282" s="57">
        <f>IF(F282=0,E282,F282)</f>
        <v>0</v>
      </c>
      <c r="P282" s="57" t="b">
        <f>OR(H282="Y",I282="Y")</f>
        <v>0</v>
      </c>
      <c r="Q282" s="58">
        <f>IF(P282,O282*'[1]ETC Data'!$H$3*'[1]ETC Data'!$I$3,0)</f>
        <v>0</v>
      </c>
      <c r="R282" s="58">
        <f>Q282-(Q282*((VLOOKUP(A282,[1]Plan!A$1:Z$804,26,FALSE)/100)))</f>
        <v>0</v>
      </c>
      <c r="S282" s="58">
        <f>IF(P282,O282*'[1]ETC Data'!$H$3*'[1]ETC Data'!$J$3,0)</f>
        <v>0</v>
      </c>
      <c r="T282" s="58">
        <f>S282-(S282*((VLOOKUP(A282,[1]Plan!A$1:AA$804,27,FALSE)/100)))</f>
        <v>0</v>
      </c>
      <c r="U282" s="58">
        <f>IF(P282,O282*'[1]ETC Data'!$H$3*'[1]ETC Data'!$K$3,0)</f>
        <v>0</v>
      </c>
      <c r="V282" s="58">
        <f>U282-(U282*((VLOOKUP(A282,[1]Plan!A$1:AB$804,28,FALSE)/100)))</f>
        <v>0</v>
      </c>
      <c r="W282" s="58">
        <f>IF(P282,O282*'[1]ETC Data'!$H$3*'[1]ETC Data'!$L$3,0)</f>
        <v>0</v>
      </c>
      <c r="X282" s="58">
        <f>W282-(W282*((VLOOKUP(A282,[1]Plan!A$1:AC$804,29,FALSE)/100)))</f>
        <v>0</v>
      </c>
      <c r="Y282" s="59"/>
      <c r="Z282" s="60" t="b">
        <f>OR(H282="Y",J282="Y")</f>
        <v>0</v>
      </c>
      <c r="AA282" s="58">
        <f>IF(Z282,O282*'[1]ETC Data'!$H$4*'[1]ETC Data'!$I$4,0)</f>
        <v>0</v>
      </c>
      <c r="AB282" s="58">
        <f>AA282-(AA282*((VLOOKUP(A282,[1]Plan!A$1:AI$804,35,FALSE)/100)))</f>
        <v>0</v>
      </c>
      <c r="AC282" s="58">
        <f>IF(Z282,O282*'[1]ETC Data'!$H$4*'[1]ETC Data'!$J$4,0)</f>
        <v>0</v>
      </c>
      <c r="AD282" s="58">
        <f>AC282-(AC282*((VLOOKUP(A282,[1]Plan!A$1:AJ$804,36,FALSE)/100)))</f>
        <v>0</v>
      </c>
      <c r="AE282" s="58">
        <f>IF(Z282,O282*'[1]ETC Data'!$H$4*'[1]ETC Data'!$K$4,0)</f>
        <v>0</v>
      </c>
      <c r="AF282" s="58">
        <f>AE282-(AE282*((VLOOKUP(A282,[1]Plan!A$1:AK$804,37,FALSE)/100)))</f>
        <v>0</v>
      </c>
      <c r="AG282" s="58">
        <f>IF(Z282,O282*'[1]ETC Data'!$H$4*'[1]ETC Data'!$L$4,0)</f>
        <v>0</v>
      </c>
      <c r="AH282" s="58">
        <f>AG282-(AG282*((VLOOKUP(A282,[1]Plan!A$1:AP$804,42,FALSE)/100)))</f>
        <v>0</v>
      </c>
      <c r="AI282" s="60"/>
      <c r="AJ282" s="60" t="b">
        <f>OR(H282="Y",K282="Y")</f>
        <v>0</v>
      </c>
      <c r="AK282" s="61">
        <f>IF(AJ282,O282*'[1]ETC Data'!$H$5*'[1]ETC Data'!$I$5,0)</f>
        <v>0</v>
      </c>
      <c r="AL282" s="58">
        <f>AK282-(AK282*((VLOOKUP(A282,[1]Plan!A$1:AY$804,51,FALSE)/100)))</f>
        <v>0</v>
      </c>
      <c r="AM282" s="58">
        <f>IF(AJ282,O282*'[1]ETC Data'!$H$5*'[1]ETC Data'!$J$5,0)</f>
        <v>0</v>
      </c>
      <c r="AN282" s="58">
        <f>AM282-(AM282*((VLOOKUP(A282,[1]Plan!A$1:BA$804,53,FALSE)/100)))</f>
        <v>0</v>
      </c>
      <c r="AO282" s="61">
        <f>IF(AJ282,O282*'[1]ETC Data'!$H$5*'[1]ETC Data'!$K$5,0)</f>
        <v>0</v>
      </c>
      <c r="AP282" s="58">
        <f>AO282-(AO282*((VLOOKUP(A282,[1]Plan!A$1:BB$804,54,FALSE)/100)))</f>
        <v>0</v>
      </c>
      <c r="AQ282" s="58">
        <f>IF(AJ282,O282*'[1]ETC Data'!$H$5*'[1]ETC Data'!$L$5,0)</f>
        <v>0</v>
      </c>
      <c r="AR282" s="58">
        <f>AQ282-(AQ282*((VLOOKUP(A282,[1]Plan!A$1:BD$804,56,FALSE)/100)))</f>
        <v>0</v>
      </c>
      <c r="AS282" s="20">
        <f>VLOOKUP(A282,'[1]PR Matrix'!A:B,2,FALSE)</f>
        <v>0</v>
      </c>
      <c r="AT282" s="21">
        <f>R282+T282+V282+X282+AB282+AD282+AF282+AH282+AL282+AN282+AP282+AR282</f>
        <v>0</v>
      </c>
      <c r="AU282" s="21">
        <f>Q282+S282+U282+W282+AA282+AC282+AE282+AG282+AK282+AM282+AO282+AQ282</f>
        <v>0</v>
      </c>
      <c r="AV282" s="21">
        <f>R282+AB282+AL282</f>
        <v>0</v>
      </c>
      <c r="AW282" s="21">
        <f>T282+AD282+AN282</f>
        <v>0</v>
      </c>
      <c r="AX282" s="21">
        <f>V282+AF282+AP282</f>
        <v>0</v>
      </c>
      <c r="AY282" s="21">
        <f>X282+AH282+AR282</f>
        <v>0</v>
      </c>
    </row>
    <row r="283" spans="1:55" hidden="1" x14ac:dyDescent="0.2">
      <c r="A283" s="50" t="s">
        <v>490</v>
      </c>
      <c r="B283" s="51" t="s">
        <v>208</v>
      </c>
      <c r="C283" s="51"/>
      <c r="D283" s="51"/>
      <c r="E283" s="52">
        <f>IF(G283="Y",VLOOKUP(B283&amp;"|"&amp;C283,'[1]ETC Data'!$C$2:$D$16,2,FALSE),0)</f>
        <v>0</v>
      </c>
      <c r="F283" s="52">
        <f>IF(D283="",0,IF(G283="Y",VLOOKUP(B283&amp;"|"&amp;D283,'[1]ETC Data'!$C$2:$D$16,2,FALSE),0))</f>
        <v>0</v>
      </c>
      <c r="G283" s="53" t="str">
        <f>IF(VLOOKUP(A283,[1]Plan!A$1:H$804,8,FALSE)&lt;&gt;"",VLOOKUP(A283,[1]Plan!A$1:H$804,8,FALSE),"")</f>
        <v>N</v>
      </c>
      <c r="H283" s="54" t="str">
        <f>IF(VLOOKUP(A283,[1]Plan!A$1:L$804,12,FALSE)&lt;&gt;"",VLOOKUP(A283,[1]Plan!A$1:L$804,12,FALSE),"")</f>
        <v/>
      </c>
      <c r="I283" s="55" t="str">
        <f>IF(VLOOKUP(A283,[1]Plan!A$1:M$804,13,FALSE)&lt;&gt;"",VLOOKUP(A283,[1]Plan!A$1:M$804,13,FALSE),"")</f>
        <v/>
      </c>
      <c r="J283" s="55" t="str">
        <f>IF(VLOOKUP(A283,[1]Plan!A$1:N$804,14,FALSE)&lt;&gt;"",VLOOKUP(A283,[1]Plan!A$1:N$804,14,FALSE),IF(VLOOKUP(A283,[1]Plan!A$1:O$804,15,FALSE)&lt;&gt;"",VLOOKUP(A283,[1]Plan!A$1:O$804,15,FALSE),""))</f>
        <v/>
      </c>
      <c r="K283" s="56" t="str">
        <f>IF(VLOOKUP(A283,[1]Plan!A$1:P$804,16,FALSE)&lt;&gt;"",VLOOKUP(A283,[1]Plan!A$1:P$804,16,FALSE),"")</f>
        <v/>
      </c>
      <c r="L283" s="55"/>
      <c r="M283" s="55"/>
      <c r="N283" s="55"/>
      <c r="O283" s="57">
        <f>IF(F283=0,E283,F283)</f>
        <v>0</v>
      </c>
      <c r="P283" s="57" t="b">
        <f>OR(H283="Y",I283="Y")</f>
        <v>0</v>
      </c>
      <c r="Q283" s="58">
        <f>IF(P283,O283*'[1]ETC Data'!$H$3*'[1]ETC Data'!$I$3,0)</f>
        <v>0</v>
      </c>
      <c r="R283" s="58">
        <f>Q283-(Q283*((VLOOKUP(A283,[1]Plan!A$1:Z$804,26,FALSE)/100)))</f>
        <v>0</v>
      </c>
      <c r="S283" s="58">
        <f>IF(P283,O283*'[1]ETC Data'!$H$3*'[1]ETC Data'!$J$3,0)</f>
        <v>0</v>
      </c>
      <c r="T283" s="58">
        <f>S283-(S283*((VLOOKUP(A283,[1]Plan!A$1:AA$804,27,FALSE)/100)))</f>
        <v>0</v>
      </c>
      <c r="U283" s="58">
        <f>IF(P283,O283*'[1]ETC Data'!$H$3*'[1]ETC Data'!$K$3,0)</f>
        <v>0</v>
      </c>
      <c r="V283" s="58">
        <f>U283-(U283*((VLOOKUP(A283,[1]Plan!A$1:AB$804,28,FALSE)/100)))</f>
        <v>0</v>
      </c>
      <c r="W283" s="58">
        <f>IF(P283,O283*'[1]ETC Data'!$H$3*'[1]ETC Data'!$L$3,0)</f>
        <v>0</v>
      </c>
      <c r="X283" s="58">
        <f>W283-(W283*((VLOOKUP(A283,[1]Plan!A$1:AC$804,29,FALSE)/100)))</f>
        <v>0</v>
      </c>
      <c r="Y283" s="59"/>
      <c r="Z283" s="60" t="b">
        <f>OR(H283="Y",J283="Y")</f>
        <v>0</v>
      </c>
      <c r="AA283" s="58">
        <f>IF(Z283,O283*'[1]ETC Data'!$H$4*'[1]ETC Data'!$I$4,0)</f>
        <v>0</v>
      </c>
      <c r="AB283" s="58">
        <f>AA283-(AA283*((VLOOKUP(A283,[1]Plan!A$1:AI$804,35,FALSE)/100)))</f>
        <v>0</v>
      </c>
      <c r="AC283" s="58">
        <f>IF(Z283,O283*'[1]ETC Data'!$H$4*'[1]ETC Data'!$J$4,0)</f>
        <v>0</v>
      </c>
      <c r="AD283" s="58">
        <f>AC283-(AC283*((VLOOKUP(A283,[1]Plan!A$1:AJ$804,36,FALSE)/100)))</f>
        <v>0</v>
      </c>
      <c r="AE283" s="58">
        <f>IF(Z283,O283*'[1]ETC Data'!$H$4*'[1]ETC Data'!$K$4,0)</f>
        <v>0</v>
      </c>
      <c r="AF283" s="58">
        <f>AE283-(AE283*((VLOOKUP(A283,[1]Plan!A$1:AK$804,37,FALSE)/100)))</f>
        <v>0</v>
      </c>
      <c r="AG283" s="58">
        <f>IF(Z283,O283*'[1]ETC Data'!$H$4*'[1]ETC Data'!$L$4,0)</f>
        <v>0</v>
      </c>
      <c r="AH283" s="58">
        <f>AG283-(AG283*((VLOOKUP(A283,[1]Plan!A$1:AP$804,42,FALSE)/100)))</f>
        <v>0</v>
      </c>
      <c r="AI283" s="60"/>
      <c r="AJ283" s="60" t="b">
        <f>OR(H283="Y",K283="Y")</f>
        <v>0</v>
      </c>
      <c r="AK283" s="61">
        <f>IF(AJ283,O283*'[1]ETC Data'!$H$5*'[1]ETC Data'!$I$5,0)</f>
        <v>0</v>
      </c>
      <c r="AL283" s="58">
        <f>AK283-(AK283*((VLOOKUP(A283,[1]Plan!A$1:AY$804,51,FALSE)/100)))</f>
        <v>0</v>
      </c>
      <c r="AM283" s="58">
        <f>IF(AJ283,O283*'[1]ETC Data'!$H$5*'[1]ETC Data'!$J$5,0)</f>
        <v>0</v>
      </c>
      <c r="AN283" s="58">
        <f>AM283-(AM283*((VLOOKUP(A283,[1]Plan!A$1:BA$804,53,FALSE)/100)))</f>
        <v>0</v>
      </c>
      <c r="AO283" s="61">
        <f>IF(AJ283,O283*'[1]ETC Data'!$H$5*'[1]ETC Data'!$K$5,0)</f>
        <v>0</v>
      </c>
      <c r="AP283" s="58">
        <f>AO283-(AO283*((VLOOKUP(A283,[1]Plan!A$1:BB$804,54,FALSE)/100)))</f>
        <v>0</v>
      </c>
      <c r="AQ283" s="58">
        <f>IF(AJ283,O283*'[1]ETC Data'!$H$5*'[1]ETC Data'!$L$5,0)</f>
        <v>0</v>
      </c>
      <c r="AR283" s="58">
        <f>AQ283-(AQ283*((VLOOKUP(A283,[1]Plan!A$1:BD$804,56,FALSE)/100)))</f>
        <v>0</v>
      </c>
      <c r="AS283" s="20">
        <f>VLOOKUP(A283,'[1]PR Matrix'!A:B,2,FALSE)</f>
        <v>0</v>
      </c>
      <c r="AT283" s="21">
        <f>R283+T283+V283+X283+AB283+AD283+AF283+AH283+AL283+AN283+AP283+AR283</f>
        <v>0</v>
      </c>
      <c r="AU283" s="21">
        <f>Q283+S283+U283+W283+AA283+AC283+AE283+AG283+AK283+AM283+AO283+AQ283</f>
        <v>0</v>
      </c>
      <c r="AV283" s="21">
        <f>R283+AB283+AL283</f>
        <v>0</v>
      </c>
      <c r="AW283" s="21">
        <f>T283+AD283+AN283</f>
        <v>0</v>
      </c>
      <c r="AX283" s="21">
        <f>V283+AF283+AP283</f>
        <v>0</v>
      </c>
      <c r="AY283" s="21">
        <f>X283+AH283+AR283</f>
        <v>0</v>
      </c>
      <c r="AZ283" s="64"/>
      <c r="BA283" s="64"/>
      <c r="BB283" s="64"/>
      <c r="BC283" s="64"/>
    </row>
    <row r="284" spans="1:55" hidden="1" x14ac:dyDescent="0.2">
      <c r="A284" s="50" t="s">
        <v>491</v>
      </c>
      <c r="B284" s="51" t="s">
        <v>208</v>
      </c>
      <c r="C284" s="51"/>
      <c r="D284" s="51"/>
      <c r="E284" s="52">
        <f>IF(G284="Y",VLOOKUP(B284&amp;"|"&amp;C284,'[1]ETC Data'!$C$2:$D$16,2,FALSE),0)</f>
        <v>0</v>
      </c>
      <c r="F284" s="52">
        <f>IF(D284="",0,IF(G284="Y",VLOOKUP(B284&amp;"|"&amp;D284,'[1]ETC Data'!$C$2:$D$16,2,FALSE),0))</f>
        <v>0</v>
      </c>
      <c r="G284" s="53" t="str">
        <f>IF(VLOOKUP(A284,[1]Plan!A$1:H$804,8,FALSE)&lt;&gt;"",VLOOKUP(A284,[1]Plan!A$1:H$804,8,FALSE),"")</f>
        <v>N</v>
      </c>
      <c r="H284" s="54" t="str">
        <f>IF(VLOOKUP(A284,[1]Plan!A$1:L$804,12,FALSE)&lt;&gt;"",VLOOKUP(A284,[1]Plan!A$1:L$804,12,FALSE),"")</f>
        <v/>
      </c>
      <c r="I284" s="55" t="str">
        <f>IF(VLOOKUP(A284,[1]Plan!A$1:M$804,13,FALSE)&lt;&gt;"",VLOOKUP(A284,[1]Plan!A$1:M$804,13,FALSE),"")</f>
        <v/>
      </c>
      <c r="J284" s="55" t="str">
        <f>IF(VLOOKUP(A284,[1]Plan!A$1:N$804,14,FALSE)&lt;&gt;"",VLOOKUP(A284,[1]Plan!A$1:N$804,14,FALSE),IF(VLOOKUP(A284,[1]Plan!A$1:O$804,15,FALSE)&lt;&gt;"",VLOOKUP(A284,[1]Plan!A$1:O$804,15,FALSE),""))</f>
        <v/>
      </c>
      <c r="K284" s="56" t="str">
        <f>IF(VLOOKUP(A284,[1]Plan!A$1:P$804,16,FALSE)&lt;&gt;"",VLOOKUP(A284,[1]Plan!A$1:P$804,16,FALSE),"")</f>
        <v/>
      </c>
      <c r="L284" s="55"/>
      <c r="M284" s="55"/>
      <c r="N284" s="55"/>
      <c r="O284" s="57">
        <f>IF(F284=0,E284,F284)</f>
        <v>0</v>
      </c>
      <c r="P284" s="57" t="b">
        <f>OR(H284="Y",I284="Y")</f>
        <v>0</v>
      </c>
      <c r="Q284" s="58">
        <f>IF(P284,O284*'[1]ETC Data'!$H$3*'[1]ETC Data'!$I$3,0)</f>
        <v>0</v>
      </c>
      <c r="R284" s="58">
        <f>Q284-(Q284*((VLOOKUP(A284,[1]Plan!A$1:Z$804,26,FALSE)/100)))</f>
        <v>0</v>
      </c>
      <c r="S284" s="58">
        <f>IF(P284,O284*'[1]ETC Data'!$H$3*'[1]ETC Data'!$J$3,0)</f>
        <v>0</v>
      </c>
      <c r="T284" s="58">
        <f>S284-(S284*((VLOOKUP(A284,[1]Plan!A$1:AA$804,27,FALSE)/100)))</f>
        <v>0</v>
      </c>
      <c r="U284" s="58">
        <f>IF(P284,O284*'[1]ETC Data'!$H$3*'[1]ETC Data'!$K$3,0)</f>
        <v>0</v>
      </c>
      <c r="V284" s="58">
        <f>U284-(U284*((VLOOKUP(A284,[1]Plan!A$1:AB$804,28,FALSE)/100)))</f>
        <v>0</v>
      </c>
      <c r="W284" s="58">
        <f>IF(P284,O284*'[1]ETC Data'!$H$3*'[1]ETC Data'!$L$3,0)</f>
        <v>0</v>
      </c>
      <c r="X284" s="58">
        <f>W284-(W284*((VLOOKUP(A284,[1]Plan!A$1:AC$804,29,FALSE)/100)))</f>
        <v>0</v>
      </c>
      <c r="Y284" s="59"/>
      <c r="Z284" s="60" t="b">
        <f>OR(H284="Y",J284="Y")</f>
        <v>0</v>
      </c>
      <c r="AA284" s="58">
        <f>IF(Z284,O284*'[1]ETC Data'!$H$4*'[1]ETC Data'!$I$4,0)</f>
        <v>0</v>
      </c>
      <c r="AB284" s="58">
        <f>AA284-(AA284*((VLOOKUP(A284,[1]Plan!A$1:AI$804,35,FALSE)/100)))</f>
        <v>0</v>
      </c>
      <c r="AC284" s="58">
        <f>IF(Z284,O284*'[1]ETC Data'!$H$4*'[1]ETC Data'!$J$4,0)</f>
        <v>0</v>
      </c>
      <c r="AD284" s="58">
        <f>AC284-(AC284*((VLOOKUP(A284,[1]Plan!A$1:AJ$804,36,FALSE)/100)))</f>
        <v>0</v>
      </c>
      <c r="AE284" s="58">
        <f>IF(Z284,O284*'[1]ETC Data'!$H$4*'[1]ETC Data'!$K$4,0)</f>
        <v>0</v>
      </c>
      <c r="AF284" s="58">
        <f>AE284-(AE284*((VLOOKUP(A284,[1]Plan!A$1:AK$804,37,FALSE)/100)))</f>
        <v>0</v>
      </c>
      <c r="AG284" s="58">
        <f>IF(Z284,O284*'[1]ETC Data'!$H$4*'[1]ETC Data'!$L$4,0)</f>
        <v>0</v>
      </c>
      <c r="AH284" s="58">
        <f>AG284-(AG284*((VLOOKUP(A284,[1]Plan!A$1:AP$804,42,FALSE)/100)))</f>
        <v>0</v>
      </c>
      <c r="AI284" s="60"/>
      <c r="AJ284" s="60" t="b">
        <f>OR(H284="Y",K284="Y")</f>
        <v>0</v>
      </c>
      <c r="AK284" s="61">
        <f>IF(AJ284,O284*'[1]ETC Data'!$H$5*'[1]ETC Data'!$I$5,0)</f>
        <v>0</v>
      </c>
      <c r="AL284" s="58">
        <f>AK284-(AK284*((VLOOKUP(A284,[1]Plan!A$1:AY$804,51,FALSE)/100)))</f>
        <v>0</v>
      </c>
      <c r="AM284" s="58">
        <f>IF(AJ284,O284*'[1]ETC Data'!$H$5*'[1]ETC Data'!$J$5,0)</f>
        <v>0</v>
      </c>
      <c r="AN284" s="58">
        <f>AM284-(AM284*((VLOOKUP(A284,[1]Plan!A$1:BA$804,53,FALSE)/100)))</f>
        <v>0</v>
      </c>
      <c r="AO284" s="61">
        <f>IF(AJ284,O284*'[1]ETC Data'!$H$5*'[1]ETC Data'!$K$5,0)</f>
        <v>0</v>
      </c>
      <c r="AP284" s="58">
        <f>AO284-(AO284*((VLOOKUP(A284,[1]Plan!A$1:BB$804,54,FALSE)/100)))</f>
        <v>0</v>
      </c>
      <c r="AQ284" s="58">
        <f>IF(AJ284,O284*'[1]ETC Data'!$H$5*'[1]ETC Data'!$L$5,0)</f>
        <v>0</v>
      </c>
      <c r="AR284" s="58">
        <f>AQ284-(AQ284*((VLOOKUP(A284,[1]Plan!A$1:BD$804,56,FALSE)/100)))</f>
        <v>0</v>
      </c>
      <c r="AS284" s="20">
        <f>VLOOKUP(A284,'[1]PR Matrix'!A:B,2,FALSE)</f>
        <v>0</v>
      </c>
      <c r="AT284" s="21">
        <f>R284+T284+V284+X284+AB284+AD284+AF284+AH284+AL284+AN284+AP284+AR284</f>
        <v>0</v>
      </c>
      <c r="AU284" s="21">
        <f>Q284+S284+U284+W284+AA284+AC284+AE284+AG284+AK284+AM284+AO284+AQ284</f>
        <v>0</v>
      </c>
      <c r="AV284" s="21">
        <f>R284+AB284+AL284</f>
        <v>0</v>
      </c>
      <c r="AW284" s="21">
        <f>T284+AD284+AN284</f>
        <v>0</v>
      </c>
      <c r="AX284" s="21">
        <f>V284+AF284+AP284</f>
        <v>0</v>
      </c>
      <c r="AY284" s="21">
        <f>X284+AH284+AR284</f>
        <v>0</v>
      </c>
      <c r="AZ284" s="64"/>
      <c r="BA284" s="64"/>
      <c r="BB284" s="64"/>
      <c r="BC284" s="64"/>
    </row>
    <row r="285" spans="1:55" hidden="1" x14ac:dyDescent="0.2">
      <c r="A285" s="50" t="s">
        <v>492</v>
      </c>
      <c r="B285" s="51" t="s">
        <v>258</v>
      </c>
      <c r="C285" s="51"/>
      <c r="D285" s="51"/>
      <c r="E285" s="52">
        <f>IF(G285="Y",VLOOKUP(B285&amp;"|"&amp;C285,'[1]ETC Data'!$C$2:$D$16,2,FALSE),0)</f>
        <v>0</v>
      </c>
      <c r="F285" s="52">
        <f>IF(D285="",0,IF(G285="Y",VLOOKUP(B285&amp;"|"&amp;D285,'[1]ETC Data'!$C$2:$D$16,2,FALSE),0))</f>
        <v>0</v>
      </c>
      <c r="G285" s="53" t="str">
        <f>IF(VLOOKUP(A285,[1]Plan!A$1:H$804,8,FALSE)&lt;&gt;"",VLOOKUP(A285,[1]Plan!A$1:H$804,8,FALSE),"")</f>
        <v>N</v>
      </c>
      <c r="H285" s="54" t="str">
        <f>IF(VLOOKUP(A285,[1]Plan!A$1:L$804,12,FALSE)&lt;&gt;"",VLOOKUP(A285,[1]Plan!A$1:L$804,12,FALSE),"")</f>
        <v/>
      </c>
      <c r="I285" s="55" t="str">
        <f>IF(VLOOKUP(A285,[1]Plan!A$1:M$804,13,FALSE)&lt;&gt;"",VLOOKUP(A285,[1]Plan!A$1:M$804,13,FALSE),"")</f>
        <v/>
      </c>
      <c r="J285" s="55" t="str">
        <f>IF(VLOOKUP(A285,[1]Plan!A$1:N$804,14,FALSE)&lt;&gt;"",VLOOKUP(A285,[1]Plan!A$1:N$804,14,FALSE),IF(VLOOKUP(A285,[1]Plan!A$1:O$804,15,FALSE)&lt;&gt;"",VLOOKUP(A285,[1]Plan!A$1:O$804,15,FALSE),""))</f>
        <v/>
      </c>
      <c r="K285" s="56" t="str">
        <f>IF(VLOOKUP(A285,[1]Plan!A$1:P$804,16,FALSE)&lt;&gt;"",VLOOKUP(A285,[1]Plan!A$1:P$804,16,FALSE),"")</f>
        <v/>
      </c>
      <c r="L285" s="55"/>
      <c r="M285" s="55"/>
      <c r="N285" s="55"/>
      <c r="O285" s="57">
        <f>IF(F285=0,E285,F285)</f>
        <v>0</v>
      </c>
      <c r="P285" s="57" t="b">
        <f>OR(H285="Y",I285="Y")</f>
        <v>0</v>
      </c>
      <c r="Q285" s="58">
        <f>IF(P285,O285*'[1]ETC Data'!$H$3*'[1]ETC Data'!$I$3,0)</f>
        <v>0</v>
      </c>
      <c r="R285" s="58">
        <f>Q285-(Q285*((VLOOKUP(A285,[1]Plan!A$1:Z$804,26,FALSE)/100)))</f>
        <v>0</v>
      </c>
      <c r="S285" s="58">
        <f>IF(P285,O285*'[1]ETC Data'!$H$3*'[1]ETC Data'!$J$3,0)</f>
        <v>0</v>
      </c>
      <c r="T285" s="58">
        <f>S285-(S285*((VLOOKUP(A285,[1]Plan!A$1:AA$804,27,FALSE)/100)))</f>
        <v>0</v>
      </c>
      <c r="U285" s="58">
        <f>IF(P285,O285*'[1]ETC Data'!$H$3*'[1]ETC Data'!$K$3,0)</f>
        <v>0</v>
      </c>
      <c r="V285" s="58">
        <f>U285-(U285*((VLOOKUP(A285,[1]Plan!A$1:AB$804,28,FALSE)/100)))</f>
        <v>0</v>
      </c>
      <c r="W285" s="58">
        <f>IF(P285,O285*'[1]ETC Data'!$H$3*'[1]ETC Data'!$L$3,0)</f>
        <v>0</v>
      </c>
      <c r="X285" s="58">
        <f>W285-(W285*((VLOOKUP(A285,[1]Plan!A$1:AC$804,29,FALSE)/100)))</f>
        <v>0</v>
      </c>
      <c r="Y285" s="59"/>
      <c r="Z285" s="60" t="b">
        <f>OR(H285="Y",J285="Y")</f>
        <v>0</v>
      </c>
      <c r="AA285" s="58">
        <f>IF(Z285,O285*'[1]ETC Data'!$H$4*'[1]ETC Data'!$I$4,0)</f>
        <v>0</v>
      </c>
      <c r="AB285" s="58">
        <f>AA285-(AA285*((VLOOKUP(A285,[1]Plan!A$1:AI$804,35,FALSE)/100)))</f>
        <v>0</v>
      </c>
      <c r="AC285" s="58">
        <f>IF(Z285,O285*'[1]ETC Data'!$H$4*'[1]ETC Data'!$J$4,0)</f>
        <v>0</v>
      </c>
      <c r="AD285" s="58">
        <f>AC285-(AC285*((VLOOKUP(A285,[1]Plan!A$1:AJ$804,36,FALSE)/100)))</f>
        <v>0</v>
      </c>
      <c r="AE285" s="58">
        <f>IF(Z285,O285*'[1]ETC Data'!$H$4*'[1]ETC Data'!$K$4,0)</f>
        <v>0</v>
      </c>
      <c r="AF285" s="58">
        <f>AE285-(AE285*((VLOOKUP(A285,[1]Plan!A$1:AK$804,37,FALSE)/100)))</f>
        <v>0</v>
      </c>
      <c r="AG285" s="58">
        <f>IF(Z285,O285*'[1]ETC Data'!$H$4*'[1]ETC Data'!$L$4,0)</f>
        <v>0</v>
      </c>
      <c r="AH285" s="58">
        <f>AG285-(AG285*((VLOOKUP(A285,[1]Plan!A$1:AP$804,42,FALSE)/100)))</f>
        <v>0</v>
      </c>
      <c r="AI285" s="60"/>
      <c r="AJ285" s="60" t="b">
        <f>OR(H285="Y",K285="Y")</f>
        <v>0</v>
      </c>
      <c r="AK285" s="61">
        <f>IF(AJ285,O285*'[1]ETC Data'!$H$5*'[1]ETC Data'!$I$5,0)</f>
        <v>0</v>
      </c>
      <c r="AL285" s="58">
        <f>AK285-(AK285*((VLOOKUP(A285,[1]Plan!A$1:AY$804,51,FALSE)/100)))</f>
        <v>0</v>
      </c>
      <c r="AM285" s="58">
        <f>IF(AJ285,O285*'[1]ETC Data'!$H$5*'[1]ETC Data'!$J$5,0)</f>
        <v>0</v>
      </c>
      <c r="AN285" s="58">
        <f>AM285-(AM285*((VLOOKUP(A285,[1]Plan!A$1:BA$804,53,FALSE)/100)))</f>
        <v>0</v>
      </c>
      <c r="AO285" s="61">
        <f>IF(AJ285,O285*'[1]ETC Data'!$H$5*'[1]ETC Data'!$K$5,0)</f>
        <v>0</v>
      </c>
      <c r="AP285" s="58">
        <f>AO285-(AO285*((VLOOKUP(A285,[1]Plan!A$1:BB$804,54,FALSE)/100)))</f>
        <v>0</v>
      </c>
      <c r="AQ285" s="58">
        <f>IF(AJ285,O285*'[1]ETC Data'!$H$5*'[1]ETC Data'!$L$5,0)</f>
        <v>0</v>
      </c>
      <c r="AR285" s="58">
        <f>AQ285-(AQ285*((VLOOKUP(A285,[1]Plan!A$1:BD$804,56,FALSE)/100)))</f>
        <v>0</v>
      </c>
      <c r="AS285" s="20">
        <f>VLOOKUP(A285,'[1]PR Matrix'!A:B,2,FALSE)</f>
        <v>0</v>
      </c>
      <c r="AT285" s="21">
        <f>R285+T285+V285+X285+AB285+AD285+AF285+AH285+AL285+AN285+AP285+AR285</f>
        <v>0</v>
      </c>
      <c r="AU285" s="21">
        <f>Q285+S285+U285+W285+AA285+AC285+AE285+AG285+AK285+AM285+AO285+AQ285</f>
        <v>0</v>
      </c>
      <c r="AV285" s="21">
        <f>R285+AB285+AL285</f>
        <v>0</v>
      </c>
      <c r="AW285" s="21">
        <f>T285+AD285+AN285</f>
        <v>0</v>
      </c>
      <c r="AX285" s="21">
        <f>V285+AF285+AP285</f>
        <v>0</v>
      </c>
      <c r="AY285" s="21">
        <f>X285+AH285+AR285</f>
        <v>0</v>
      </c>
    </row>
    <row r="286" spans="1:55" hidden="1" x14ac:dyDescent="0.2">
      <c r="A286" s="50" t="s">
        <v>493</v>
      </c>
      <c r="B286" s="51" t="s">
        <v>258</v>
      </c>
      <c r="C286" s="51"/>
      <c r="D286" s="51"/>
      <c r="E286" s="52">
        <f>IF(G286="Y",VLOOKUP(B286&amp;"|"&amp;C286,'[1]ETC Data'!$C$2:$D$16,2,FALSE),0)</f>
        <v>0</v>
      </c>
      <c r="F286" s="52">
        <f>IF(D286="",0,IF(G286="Y",VLOOKUP(B286&amp;"|"&amp;D286,'[1]ETC Data'!$C$2:$D$16,2,FALSE),0))</f>
        <v>0</v>
      </c>
      <c r="G286" s="53" t="str">
        <f>IF(VLOOKUP(A286,[1]Plan!A$1:H$804,8,FALSE)&lt;&gt;"",VLOOKUP(A286,[1]Plan!A$1:H$804,8,FALSE),"")</f>
        <v>N</v>
      </c>
      <c r="H286" s="54" t="str">
        <f>IF(VLOOKUP(A286,[1]Plan!A$1:L$804,12,FALSE)&lt;&gt;"",VLOOKUP(A286,[1]Plan!A$1:L$804,12,FALSE),"")</f>
        <v/>
      </c>
      <c r="I286" s="55" t="str">
        <f>IF(VLOOKUP(A286,[1]Plan!A$1:M$804,13,FALSE)&lt;&gt;"",VLOOKUP(A286,[1]Plan!A$1:M$804,13,FALSE),"")</f>
        <v/>
      </c>
      <c r="J286" s="55" t="str">
        <f>IF(VLOOKUP(A286,[1]Plan!A$1:N$804,14,FALSE)&lt;&gt;"",VLOOKUP(A286,[1]Plan!A$1:N$804,14,FALSE),IF(VLOOKUP(A286,[1]Plan!A$1:O$804,15,FALSE)&lt;&gt;"",VLOOKUP(A286,[1]Plan!A$1:O$804,15,FALSE),""))</f>
        <v/>
      </c>
      <c r="K286" s="56" t="str">
        <f>IF(VLOOKUP(A286,[1]Plan!A$1:P$804,16,FALSE)&lt;&gt;"",VLOOKUP(A286,[1]Plan!A$1:P$804,16,FALSE),"")</f>
        <v/>
      </c>
      <c r="L286" s="55"/>
      <c r="M286" s="55"/>
      <c r="N286" s="55"/>
      <c r="O286" s="57">
        <f>IF(F286=0,E286,F286)</f>
        <v>0</v>
      </c>
      <c r="P286" s="57" t="b">
        <f>OR(H286="Y",I286="Y")</f>
        <v>0</v>
      </c>
      <c r="Q286" s="58">
        <f>IF(P286,O286*'[1]ETC Data'!$H$3*'[1]ETC Data'!$I$3,0)</f>
        <v>0</v>
      </c>
      <c r="R286" s="58">
        <f>Q286-(Q286*((VLOOKUP(A286,[1]Plan!A$1:Z$804,26,FALSE)/100)))</f>
        <v>0</v>
      </c>
      <c r="S286" s="58">
        <f>IF(P286,O286*'[1]ETC Data'!$H$3*'[1]ETC Data'!$J$3,0)</f>
        <v>0</v>
      </c>
      <c r="T286" s="58">
        <f>S286-(S286*((VLOOKUP(A286,[1]Plan!A$1:AA$804,27,FALSE)/100)))</f>
        <v>0</v>
      </c>
      <c r="U286" s="58">
        <f>IF(P286,O286*'[1]ETC Data'!$H$3*'[1]ETC Data'!$K$3,0)</f>
        <v>0</v>
      </c>
      <c r="V286" s="58">
        <f>U286-(U286*((VLOOKUP(A286,[1]Plan!A$1:AB$804,28,FALSE)/100)))</f>
        <v>0</v>
      </c>
      <c r="W286" s="58">
        <f>IF(P286,O286*'[1]ETC Data'!$H$3*'[1]ETC Data'!$L$3,0)</f>
        <v>0</v>
      </c>
      <c r="X286" s="58">
        <f>W286-(W286*((VLOOKUP(A286,[1]Plan!A$1:AC$804,29,FALSE)/100)))</f>
        <v>0</v>
      </c>
      <c r="Y286" s="59"/>
      <c r="Z286" s="60" t="b">
        <f>OR(H286="Y",J286="Y")</f>
        <v>0</v>
      </c>
      <c r="AA286" s="58">
        <f>IF(Z286,O286*'[1]ETC Data'!$H$4*'[1]ETC Data'!$I$4,0)</f>
        <v>0</v>
      </c>
      <c r="AB286" s="58">
        <f>AA286-(AA286*((VLOOKUP(A286,[1]Plan!A$1:AI$804,35,FALSE)/100)))</f>
        <v>0</v>
      </c>
      <c r="AC286" s="58">
        <f>IF(Z286,O286*'[1]ETC Data'!$H$4*'[1]ETC Data'!$J$4,0)</f>
        <v>0</v>
      </c>
      <c r="AD286" s="58">
        <f>AC286-(AC286*((VLOOKUP(A286,[1]Plan!A$1:AJ$804,36,FALSE)/100)))</f>
        <v>0</v>
      </c>
      <c r="AE286" s="58">
        <f>IF(Z286,O286*'[1]ETC Data'!$H$4*'[1]ETC Data'!$K$4,0)</f>
        <v>0</v>
      </c>
      <c r="AF286" s="58">
        <f>AE286-(AE286*((VLOOKUP(A286,[1]Plan!A$1:AK$804,37,FALSE)/100)))</f>
        <v>0</v>
      </c>
      <c r="AG286" s="58">
        <f>IF(Z286,O286*'[1]ETC Data'!$H$4*'[1]ETC Data'!$L$4,0)</f>
        <v>0</v>
      </c>
      <c r="AH286" s="58">
        <f>AG286-(AG286*((VLOOKUP(A286,[1]Plan!A$1:AP$804,42,FALSE)/100)))</f>
        <v>0</v>
      </c>
      <c r="AI286" s="60"/>
      <c r="AJ286" s="60" t="b">
        <f>OR(H286="Y",K286="Y")</f>
        <v>0</v>
      </c>
      <c r="AK286" s="61">
        <f>IF(AJ286,O286*'[1]ETC Data'!$H$5*'[1]ETC Data'!$I$5,0)</f>
        <v>0</v>
      </c>
      <c r="AL286" s="58">
        <f>AK286-(AK286*((VLOOKUP(A286,[1]Plan!A$1:AY$804,51,FALSE)/100)))</f>
        <v>0</v>
      </c>
      <c r="AM286" s="58">
        <f>IF(AJ286,O286*'[1]ETC Data'!$H$5*'[1]ETC Data'!$J$5,0)</f>
        <v>0</v>
      </c>
      <c r="AN286" s="58">
        <f>AM286-(AM286*((VLOOKUP(A286,[1]Plan!A$1:BA$804,53,FALSE)/100)))</f>
        <v>0</v>
      </c>
      <c r="AO286" s="61">
        <f>IF(AJ286,O286*'[1]ETC Data'!$H$5*'[1]ETC Data'!$K$5,0)</f>
        <v>0</v>
      </c>
      <c r="AP286" s="58">
        <f>AO286-(AO286*((VLOOKUP(A286,[1]Plan!A$1:BB$804,54,FALSE)/100)))</f>
        <v>0</v>
      </c>
      <c r="AQ286" s="58">
        <f>IF(AJ286,O286*'[1]ETC Data'!$H$5*'[1]ETC Data'!$L$5,0)</f>
        <v>0</v>
      </c>
      <c r="AR286" s="58">
        <f>AQ286-(AQ286*((VLOOKUP(A286,[1]Plan!A$1:BD$804,56,FALSE)/100)))</f>
        <v>0</v>
      </c>
      <c r="AS286" s="20">
        <f>VLOOKUP(A286,'[1]PR Matrix'!A:B,2,FALSE)</f>
        <v>0</v>
      </c>
      <c r="AT286" s="21">
        <f>R286+T286+V286+X286+AB286+AD286+AF286+AH286+AL286+AN286+AP286+AR286</f>
        <v>0</v>
      </c>
      <c r="AU286" s="21">
        <f>Q286+S286+U286+W286+AA286+AC286+AE286+AG286+AK286+AM286+AO286+AQ286</f>
        <v>0</v>
      </c>
      <c r="AV286" s="21">
        <f>R286+AB286+AL286</f>
        <v>0</v>
      </c>
      <c r="AW286" s="21">
        <f>T286+AD286+AN286</f>
        <v>0</v>
      </c>
      <c r="AX286" s="21">
        <f>V286+AF286+AP286</f>
        <v>0</v>
      </c>
      <c r="AY286" s="21">
        <f>X286+AH286+AR286</f>
        <v>0</v>
      </c>
    </row>
    <row r="287" spans="1:55" hidden="1" x14ac:dyDescent="0.2">
      <c r="A287" s="50" t="s">
        <v>494</v>
      </c>
      <c r="B287" s="51" t="s">
        <v>209</v>
      </c>
      <c r="C287" s="51"/>
      <c r="D287" s="51"/>
      <c r="E287" s="52">
        <f>IF(G287="Y",VLOOKUP(B287&amp;"|"&amp;C287,'[1]ETC Data'!$C$2:$D$16,2,FALSE),0)</f>
        <v>0</v>
      </c>
      <c r="F287" s="52">
        <f>IF(D287="",0,IF(G287="Y",VLOOKUP(B287&amp;"|"&amp;D287,'[1]ETC Data'!$C$2:$D$16,2,FALSE),0))</f>
        <v>0</v>
      </c>
      <c r="G287" s="53" t="str">
        <f>IF(VLOOKUP(A287,[1]Plan!A$1:H$804,8,FALSE)&lt;&gt;"",VLOOKUP(A287,[1]Plan!A$1:H$804,8,FALSE),"")</f>
        <v>N</v>
      </c>
      <c r="H287" s="54" t="str">
        <f>IF(VLOOKUP(A287,[1]Plan!A$1:L$804,12,FALSE)&lt;&gt;"",VLOOKUP(A287,[1]Plan!A$1:L$804,12,FALSE),"")</f>
        <v/>
      </c>
      <c r="I287" s="55" t="str">
        <f>IF(VLOOKUP(A287,[1]Plan!A$1:M$804,13,FALSE)&lt;&gt;"",VLOOKUP(A287,[1]Plan!A$1:M$804,13,FALSE),"")</f>
        <v/>
      </c>
      <c r="J287" s="55" t="str">
        <f>IF(VLOOKUP(A287,[1]Plan!A$1:N$804,14,FALSE)&lt;&gt;"",VLOOKUP(A287,[1]Plan!A$1:N$804,14,FALSE),IF(VLOOKUP(A287,[1]Plan!A$1:O$804,15,FALSE)&lt;&gt;"",VLOOKUP(A287,[1]Plan!A$1:O$804,15,FALSE),""))</f>
        <v/>
      </c>
      <c r="K287" s="56" t="str">
        <f>IF(VLOOKUP(A287,[1]Plan!A$1:P$804,16,FALSE)&lt;&gt;"",VLOOKUP(A287,[1]Plan!A$1:P$804,16,FALSE),"")</f>
        <v/>
      </c>
      <c r="L287" s="55"/>
      <c r="M287" s="55"/>
      <c r="N287" s="55"/>
      <c r="O287" s="57">
        <f>IF(F287=0,E287,F287)</f>
        <v>0</v>
      </c>
      <c r="P287" s="57" t="b">
        <f>OR(H287="Y",I287="Y")</f>
        <v>0</v>
      </c>
      <c r="Q287" s="58">
        <f>IF(P287,O287*'[1]ETC Data'!$H$3*'[1]ETC Data'!$I$3,0)</f>
        <v>0</v>
      </c>
      <c r="R287" s="58">
        <f>Q287-(Q287*((VLOOKUP(A287,[1]Plan!A$1:Z$804,26,FALSE)/100)))</f>
        <v>0</v>
      </c>
      <c r="S287" s="58">
        <f>IF(P287,O287*'[1]ETC Data'!$H$3*'[1]ETC Data'!$J$3,0)</f>
        <v>0</v>
      </c>
      <c r="T287" s="58">
        <f>S287-(S287*((VLOOKUP(A287,[1]Plan!A$1:AA$804,27,FALSE)/100)))</f>
        <v>0</v>
      </c>
      <c r="U287" s="58">
        <f>IF(P287,O287*'[1]ETC Data'!$H$3*'[1]ETC Data'!$K$3,0)</f>
        <v>0</v>
      </c>
      <c r="V287" s="58">
        <f>U287-(U287*((VLOOKUP(A287,[1]Plan!A$1:AB$804,28,FALSE)/100)))</f>
        <v>0</v>
      </c>
      <c r="W287" s="58">
        <f>IF(P287,O287*'[1]ETC Data'!$H$3*'[1]ETC Data'!$L$3,0)</f>
        <v>0</v>
      </c>
      <c r="X287" s="58">
        <f>W287-(W287*((VLOOKUP(A287,[1]Plan!A$1:AC$804,29,FALSE)/100)))</f>
        <v>0</v>
      </c>
      <c r="Y287" s="59"/>
      <c r="Z287" s="60" t="b">
        <f>OR(H287="Y",J287="Y")</f>
        <v>0</v>
      </c>
      <c r="AA287" s="58">
        <f>IF(Z287,O287*'[1]ETC Data'!$H$4*'[1]ETC Data'!$I$4,0)</f>
        <v>0</v>
      </c>
      <c r="AB287" s="58">
        <f>AA287-(AA287*((VLOOKUP(A287,[1]Plan!A$1:AI$804,35,FALSE)/100)))</f>
        <v>0</v>
      </c>
      <c r="AC287" s="58">
        <f>IF(Z287,O287*'[1]ETC Data'!$H$4*'[1]ETC Data'!$J$4,0)</f>
        <v>0</v>
      </c>
      <c r="AD287" s="58">
        <f>AC287-(AC287*((VLOOKUP(A287,[1]Plan!A$1:AJ$804,36,FALSE)/100)))</f>
        <v>0</v>
      </c>
      <c r="AE287" s="58">
        <f>IF(Z287,O287*'[1]ETC Data'!$H$4*'[1]ETC Data'!$K$4,0)</f>
        <v>0</v>
      </c>
      <c r="AF287" s="58">
        <f>AE287-(AE287*((VLOOKUP(A287,[1]Plan!A$1:AK$804,37,FALSE)/100)))</f>
        <v>0</v>
      </c>
      <c r="AG287" s="58">
        <f>IF(Z287,O287*'[1]ETC Data'!$H$4*'[1]ETC Data'!$L$4,0)</f>
        <v>0</v>
      </c>
      <c r="AH287" s="58">
        <f>AG287-(AG287*((VLOOKUP(A287,[1]Plan!A$1:AP$804,42,FALSE)/100)))</f>
        <v>0</v>
      </c>
      <c r="AI287" s="60"/>
      <c r="AJ287" s="60" t="b">
        <f>OR(H287="Y",K287="Y")</f>
        <v>0</v>
      </c>
      <c r="AK287" s="61">
        <f>IF(AJ287,O287*'[1]ETC Data'!$H$5*'[1]ETC Data'!$I$5,0)</f>
        <v>0</v>
      </c>
      <c r="AL287" s="58">
        <f>AK287-(AK287*((VLOOKUP(A287,[1]Plan!A$1:AY$804,51,FALSE)/100)))</f>
        <v>0</v>
      </c>
      <c r="AM287" s="58">
        <f>IF(AJ287,O287*'[1]ETC Data'!$H$5*'[1]ETC Data'!$J$5,0)</f>
        <v>0</v>
      </c>
      <c r="AN287" s="58">
        <f>AM287-(AM287*((VLOOKUP(A287,[1]Plan!A$1:BA$804,53,FALSE)/100)))</f>
        <v>0</v>
      </c>
      <c r="AO287" s="61">
        <f>IF(AJ287,O287*'[1]ETC Data'!$H$5*'[1]ETC Data'!$K$5,0)</f>
        <v>0</v>
      </c>
      <c r="AP287" s="58">
        <f>AO287-(AO287*((VLOOKUP(A287,[1]Plan!A$1:BB$804,54,FALSE)/100)))</f>
        <v>0</v>
      </c>
      <c r="AQ287" s="58">
        <f>IF(AJ287,O287*'[1]ETC Data'!$H$5*'[1]ETC Data'!$L$5,0)</f>
        <v>0</v>
      </c>
      <c r="AR287" s="58">
        <f>AQ287-(AQ287*((VLOOKUP(A287,[1]Plan!A$1:BD$804,56,FALSE)/100)))</f>
        <v>0</v>
      </c>
      <c r="AS287" s="20">
        <f>VLOOKUP(A287,'[1]PR Matrix'!A:B,2,FALSE)</f>
        <v>0</v>
      </c>
      <c r="AT287" s="21">
        <f>R287+T287+V287+X287+AB287+AD287+AF287+AH287+AL287+AN287+AP287+AR287</f>
        <v>0</v>
      </c>
      <c r="AU287" s="21">
        <f>Q287+S287+U287+W287+AA287+AC287+AE287+AG287+AK287+AM287+AO287+AQ287</f>
        <v>0</v>
      </c>
      <c r="AV287" s="21">
        <f>R287+AB287+AL287</f>
        <v>0</v>
      </c>
      <c r="AW287" s="21">
        <f>T287+AD287+AN287</f>
        <v>0</v>
      </c>
      <c r="AX287" s="21">
        <f>V287+AF287+AP287</f>
        <v>0</v>
      </c>
      <c r="AY287" s="21">
        <f>X287+AH287+AR287</f>
        <v>0</v>
      </c>
    </row>
    <row r="288" spans="1:55" hidden="1" x14ac:dyDescent="0.2">
      <c r="A288" s="50" t="s">
        <v>495</v>
      </c>
      <c r="B288" s="51" t="s">
        <v>258</v>
      </c>
      <c r="C288" s="51"/>
      <c r="D288" s="51"/>
      <c r="E288" s="52">
        <f>IF(G288="Y",VLOOKUP(B288&amp;"|"&amp;C288,'[1]ETC Data'!$C$2:$D$16,2,FALSE),0)</f>
        <v>0</v>
      </c>
      <c r="F288" s="52">
        <f>IF(D288="",0,IF(G288="Y",VLOOKUP(B288&amp;"|"&amp;D288,'[1]ETC Data'!$C$2:$D$16,2,FALSE),0))</f>
        <v>0</v>
      </c>
      <c r="G288" s="53" t="str">
        <f>IF(VLOOKUP(A288,[1]Plan!A$1:H$804,8,FALSE)&lt;&gt;"",VLOOKUP(A288,[1]Plan!A$1:H$804,8,FALSE),"")</f>
        <v>N</v>
      </c>
      <c r="H288" s="54" t="str">
        <f>IF(VLOOKUP(A288,[1]Plan!A$1:L$804,12,FALSE)&lt;&gt;"",VLOOKUP(A288,[1]Plan!A$1:L$804,12,FALSE),"")</f>
        <v/>
      </c>
      <c r="I288" s="55" t="str">
        <f>IF(VLOOKUP(A288,[1]Plan!A$1:M$804,13,FALSE)&lt;&gt;"",VLOOKUP(A288,[1]Plan!A$1:M$804,13,FALSE),"")</f>
        <v/>
      </c>
      <c r="J288" s="55" t="str">
        <f>IF(VLOOKUP(A288,[1]Plan!A$1:N$804,14,FALSE)&lt;&gt;"",VLOOKUP(A288,[1]Plan!A$1:N$804,14,FALSE),IF(VLOOKUP(A288,[1]Plan!A$1:O$804,15,FALSE)&lt;&gt;"",VLOOKUP(A288,[1]Plan!A$1:O$804,15,FALSE),""))</f>
        <v/>
      </c>
      <c r="K288" s="56" t="str">
        <f>IF(VLOOKUP(A288,[1]Plan!A$1:P$804,16,FALSE)&lt;&gt;"",VLOOKUP(A288,[1]Plan!A$1:P$804,16,FALSE),"")</f>
        <v/>
      </c>
      <c r="L288" s="55"/>
      <c r="M288" s="55"/>
      <c r="N288" s="55"/>
      <c r="O288" s="57">
        <f>IF(F288=0,E288,F288)</f>
        <v>0</v>
      </c>
      <c r="P288" s="57" t="b">
        <f>OR(H288="Y",I288="Y")</f>
        <v>0</v>
      </c>
      <c r="Q288" s="58">
        <f>IF(P288,O288*'[1]ETC Data'!$H$3*'[1]ETC Data'!$I$3,0)</f>
        <v>0</v>
      </c>
      <c r="R288" s="58">
        <f>Q288-(Q288*((VLOOKUP(A288,[1]Plan!A$1:Z$804,26,FALSE)/100)))</f>
        <v>0</v>
      </c>
      <c r="S288" s="58">
        <f>IF(P288,O288*'[1]ETC Data'!$H$3*'[1]ETC Data'!$J$3,0)</f>
        <v>0</v>
      </c>
      <c r="T288" s="58">
        <f>S288-(S288*((VLOOKUP(A288,[1]Plan!A$1:AA$804,27,FALSE)/100)))</f>
        <v>0</v>
      </c>
      <c r="U288" s="58">
        <f>IF(P288,O288*'[1]ETC Data'!$H$3*'[1]ETC Data'!$K$3,0)</f>
        <v>0</v>
      </c>
      <c r="V288" s="58">
        <f>U288-(U288*((VLOOKUP(A288,[1]Plan!A$1:AB$804,28,FALSE)/100)))</f>
        <v>0</v>
      </c>
      <c r="W288" s="58">
        <f>IF(P288,O288*'[1]ETC Data'!$H$3*'[1]ETC Data'!$L$3,0)</f>
        <v>0</v>
      </c>
      <c r="X288" s="58">
        <f>W288-(W288*((VLOOKUP(A288,[1]Plan!A$1:AC$804,29,FALSE)/100)))</f>
        <v>0</v>
      </c>
      <c r="Y288" s="59"/>
      <c r="Z288" s="60" t="b">
        <f>OR(H288="Y",J288="Y")</f>
        <v>0</v>
      </c>
      <c r="AA288" s="58">
        <f>IF(Z288,O288*'[1]ETC Data'!$H$4*'[1]ETC Data'!$I$4,0)</f>
        <v>0</v>
      </c>
      <c r="AB288" s="58">
        <f>AA288-(AA288*((VLOOKUP(A288,[1]Plan!A$1:AI$804,35,FALSE)/100)))</f>
        <v>0</v>
      </c>
      <c r="AC288" s="58">
        <f>IF(Z288,O288*'[1]ETC Data'!$H$4*'[1]ETC Data'!$J$4,0)</f>
        <v>0</v>
      </c>
      <c r="AD288" s="58">
        <f>AC288-(AC288*((VLOOKUP(A288,[1]Plan!A$1:AJ$804,36,FALSE)/100)))</f>
        <v>0</v>
      </c>
      <c r="AE288" s="58">
        <f>IF(Z288,O288*'[1]ETC Data'!$H$4*'[1]ETC Data'!$K$4,0)</f>
        <v>0</v>
      </c>
      <c r="AF288" s="58">
        <f>AE288-(AE288*((VLOOKUP(A288,[1]Plan!A$1:AK$804,37,FALSE)/100)))</f>
        <v>0</v>
      </c>
      <c r="AG288" s="58">
        <f>IF(Z288,O288*'[1]ETC Data'!$H$4*'[1]ETC Data'!$L$4,0)</f>
        <v>0</v>
      </c>
      <c r="AH288" s="58">
        <f>AG288-(AG288*((VLOOKUP(A288,[1]Plan!A$1:AP$804,42,FALSE)/100)))</f>
        <v>0</v>
      </c>
      <c r="AI288" s="60"/>
      <c r="AJ288" s="60" t="b">
        <f>OR(H288="Y",K288="Y")</f>
        <v>0</v>
      </c>
      <c r="AK288" s="61">
        <f>IF(AJ288,O288*'[1]ETC Data'!$H$5*'[1]ETC Data'!$I$5,0)</f>
        <v>0</v>
      </c>
      <c r="AL288" s="58">
        <f>AK288-(AK288*((VLOOKUP(A288,[1]Plan!A$1:AY$804,51,FALSE)/100)))</f>
        <v>0</v>
      </c>
      <c r="AM288" s="58">
        <f>IF(AJ288,O288*'[1]ETC Data'!$H$5*'[1]ETC Data'!$J$5,0)</f>
        <v>0</v>
      </c>
      <c r="AN288" s="58">
        <f>AM288-(AM288*((VLOOKUP(A288,[1]Plan!A$1:BA$804,53,FALSE)/100)))</f>
        <v>0</v>
      </c>
      <c r="AO288" s="61">
        <f>IF(AJ288,O288*'[1]ETC Data'!$H$5*'[1]ETC Data'!$K$5,0)</f>
        <v>0</v>
      </c>
      <c r="AP288" s="58">
        <f>AO288-(AO288*((VLOOKUP(A288,[1]Plan!A$1:BB$804,54,FALSE)/100)))</f>
        <v>0</v>
      </c>
      <c r="AQ288" s="58">
        <f>IF(AJ288,O288*'[1]ETC Data'!$H$5*'[1]ETC Data'!$L$5,0)</f>
        <v>0</v>
      </c>
      <c r="AR288" s="58">
        <f>AQ288-(AQ288*((VLOOKUP(A288,[1]Plan!A$1:BD$804,56,FALSE)/100)))</f>
        <v>0</v>
      </c>
      <c r="AS288" s="20">
        <f>VLOOKUP(A288,'[1]PR Matrix'!A:B,2,FALSE)</f>
        <v>0</v>
      </c>
      <c r="AT288" s="21">
        <f>R288+T288+V288+X288+AB288+AD288+AF288+AH288+AL288+AN288+AP288+AR288</f>
        <v>0</v>
      </c>
      <c r="AU288" s="21">
        <f>Q288+S288+U288+W288+AA288+AC288+AE288+AG288+AK288+AM288+AO288+AQ288</f>
        <v>0</v>
      </c>
      <c r="AV288" s="21">
        <f>R288+AB288+AL288</f>
        <v>0</v>
      </c>
      <c r="AW288" s="21">
        <f>T288+AD288+AN288</f>
        <v>0</v>
      </c>
      <c r="AX288" s="21">
        <f>V288+AF288+AP288</f>
        <v>0</v>
      </c>
      <c r="AY288" s="21">
        <f>X288+AH288+AR288</f>
        <v>0</v>
      </c>
    </row>
    <row r="289" spans="1:51" hidden="1" x14ac:dyDescent="0.2">
      <c r="A289" s="50" t="s">
        <v>496</v>
      </c>
      <c r="B289" s="51" t="s">
        <v>208</v>
      </c>
      <c r="C289" s="51"/>
      <c r="D289" s="51"/>
      <c r="E289" s="52">
        <f>IF(G289="Y",VLOOKUP(B289&amp;"|"&amp;C289,'[1]ETC Data'!$C$2:$D$16,2,FALSE),0)</f>
        <v>0</v>
      </c>
      <c r="F289" s="52">
        <f>IF(D289="",0,IF(G289="Y",VLOOKUP(B289&amp;"|"&amp;D289,'[1]ETC Data'!$C$2:$D$16,2,FALSE),0))</f>
        <v>0</v>
      </c>
      <c r="G289" s="53" t="str">
        <f>IF(VLOOKUP(A289,[1]Plan!A$1:H$804,8,FALSE)&lt;&gt;"",VLOOKUP(A289,[1]Plan!A$1:H$804,8,FALSE),"")</f>
        <v>N</v>
      </c>
      <c r="H289" s="54" t="str">
        <f>IF(VLOOKUP(A289,[1]Plan!A$1:L$804,12,FALSE)&lt;&gt;"",VLOOKUP(A289,[1]Plan!A$1:L$804,12,FALSE),"")</f>
        <v/>
      </c>
      <c r="I289" s="55" t="str">
        <f>IF(VLOOKUP(A289,[1]Plan!A$1:M$804,13,FALSE)&lt;&gt;"",VLOOKUP(A289,[1]Plan!A$1:M$804,13,FALSE),"")</f>
        <v/>
      </c>
      <c r="J289" s="55" t="str">
        <f>IF(VLOOKUP(A289,[1]Plan!A$1:N$804,14,FALSE)&lt;&gt;"",VLOOKUP(A289,[1]Plan!A$1:N$804,14,FALSE),IF(VLOOKUP(A289,[1]Plan!A$1:O$804,15,FALSE)&lt;&gt;"",VLOOKUP(A289,[1]Plan!A$1:O$804,15,FALSE),""))</f>
        <v/>
      </c>
      <c r="K289" s="56" t="str">
        <f>IF(VLOOKUP(A289,[1]Plan!A$1:P$804,16,FALSE)&lt;&gt;"",VLOOKUP(A289,[1]Plan!A$1:P$804,16,FALSE),"")</f>
        <v/>
      </c>
      <c r="L289" s="55"/>
      <c r="M289" s="55"/>
      <c r="N289" s="55"/>
      <c r="O289" s="57">
        <f>IF(F289=0,E289,F289)</f>
        <v>0</v>
      </c>
      <c r="P289" s="57" t="b">
        <f>OR(H289="Y",I289="Y")</f>
        <v>0</v>
      </c>
      <c r="Q289" s="58">
        <f>IF(P289,O289*'[1]ETC Data'!$H$3*'[1]ETC Data'!$I$3,0)</f>
        <v>0</v>
      </c>
      <c r="R289" s="58">
        <f>Q289-(Q289*((VLOOKUP(A289,[1]Plan!A$1:Z$804,26,FALSE)/100)))</f>
        <v>0</v>
      </c>
      <c r="S289" s="58">
        <f>IF(P289,O289*'[1]ETC Data'!$H$3*'[1]ETC Data'!$J$3,0)</f>
        <v>0</v>
      </c>
      <c r="T289" s="58">
        <f>S289-(S289*((VLOOKUP(A289,[1]Plan!A$1:AA$804,27,FALSE)/100)))</f>
        <v>0</v>
      </c>
      <c r="U289" s="58">
        <f>IF(P289,O289*'[1]ETC Data'!$H$3*'[1]ETC Data'!$K$3,0)</f>
        <v>0</v>
      </c>
      <c r="V289" s="58">
        <f>U289-(U289*((VLOOKUP(A289,[1]Plan!A$1:AB$804,28,FALSE)/100)))</f>
        <v>0</v>
      </c>
      <c r="W289" s="58">
        <f>IF(P289,O289*'[1]ETC Data'!$H$3*'[1]ETC Data'!$L$3,0)</f>
        <v>0</v>
      </c>
      <c r="X289" s="58">
        <f>W289-(W289*((VLOOKUP(A289,[1]Plan!A$1:AC$804,29,FALSE)/100)))</f>
        <v>0</v>
      </c>
      <c r="Y289" s="59"/>
      <c r="Z289" s="60" t="b">
        <f>OR(H289="Y",J289="Y")</f>
        <v>0</v>
      </c>
      <c r="AA289" s="58">
        <f>IF(Z289,O289*'[1]ETC Data'!$H$4*'[1]ETC Data'!$I$4,0)</f>
        <v>0</v>
      </c>
      <c r="AB289" s="58">
        <f>AA289-(AA289*((VLOOKUP(A289,[1]Plan!A$1:AI$804,35,FALSE)/100)))</f>
        <v>0</v>
      </c>
      <c r="AC289" s="58">
        <f>IF(Z289,O289*'[1]ETC Data'!$H$4*'[1]ETC Data'!$J$4,0)</f>
        <v>0</v>
      </c>
      <c r="AD289" s="58">
        <f>AC289-(AC289*((VLOOKUP(A289,[1]Plan!A$1:AJ$804,36,FALSE)/100)))</f>
        <v>0</v>
      </c>
      <c r="AE289" s="58">
        <f>IF(Z289,O289*'[1]ETC Data'!$H$4*'[1]ETC Data'!$K$4,0)</f>
        <v>0</v>
      </c>
      <c r="AF289" s="58">
        <f>AE289-(AE289*((VLOOKUP(A289,[1]Plan!A$1:AK$804,37,FALSE)/100)))</f>
        <v>0</v>
      </c>
      <c r="AG289" s="58">
        <f>IF(Z289,O289*'[1]ETC Data'!$H$4*'[1]ETC Data'!$L$4,0)</f>
        <v>0</v>
      </c>
      <c r="AH289" s="58">
        <f>AG289-(AG289*((VLOOKUP(A289,[1]Plan!A$1:AP$804,42,FALSE)/100)))</f>
        <v>0</v>
      </c>
      <c r="AI289" s="60"/>
      <c r="AJ289" s="60" t="b">
        <f>OR(H289="Y",K289="Y")</f>
        <v>0</v>
      </c>
      <c r="AK289" s="61">
        <f>IF(AJ289,O289*'[1]ETC Data'!$H$5*'[1]ETC Data'!$I$5,0)</f>
        <v>0</v>
      </c>
      <c r="AL289" s="58">
        <f>AK289-(AK289*((VLOOKUP(A289,[1]Plan!A$1:AY$804,51,FALSE)/100)))</f>
        <v>0</v>
      </c>
      <c r="AM289" s="58">
        <f>IF(AJ289,O289*'[1]ETC Data'!$H$5*'[1]ETC Data'!$J$5,0)</f>
        <v>0</v>
      </c>
      <c r="AN289" s="58">
        <f>AM289-(AM289*((VLOOKUP(A289,[1]Plan!A$1:BA$804,53,FALSE)/100)))</f>
        <v>0</v>
      </c>
      <c r="AO289" s="61">
        <f>IF(AJ289,O289*'[1]ETC Data'!$H$5*'[1]ETC Data'!$K$5,0)</f>
        <v>0</v>
      </c>
      <c r="AP289" s="58">
        <f>AO289-(AO289*((VLOOKUP(A289,[1]Plan!A$1:BB$804,54,FALSE)/100)))</f>
        <v>0</v>
      </c>
      <c r="AQ289" s="58">
        <f>IF(AJ289,O289*'[1]ETC Data'!$H$5*'[1]ETC Data'!$L$5,0)</f>
        <v>0</v>
      </c>
      <c r="AR289" s="58">
        <f>AQ289-(AQ289*((VLOOKUP(A289,[1]Plan!A$1:BD$804,56,FALSE)/100)))</f>
        <v>0</v>
      </c>
      <c r="AS289" s="20">
        <f>VLOOKUP(A289,'[1]PR Matrix'!A:B,2,FALSE)</f>
        <v>0</v>
      </c>
      <c r="AT289" s="21">
        <f>R289+T289+V289+X289+AB289+AD289+AF289+AH289+AL289+AN289+AP289+AR289</f>
        <v>0</v>
      </c>
      <c r="AU289" s="21">
        <f>Q289+S289+U289+W289+AA289+AC289+AE289+AG289+AK289+AM289+AO289+AQ289</f>
        <v>0</v>
      </c>
      <c r="AV289" s="21">
        <f>R289+AB289+AL289</f>
        <v>0</v>
      </c>
      <c r="AW289" s="21">
        <f>T289+AD289+AN289</f>
        <v>0</v>
      </c>
      <c r="AX289" s="21">
        <f>V289+AF289+AP289</f>
        <v>0</v>
      </c>
      <c r="AY289" s="21">
        <f>X289+AH289+AR289</f>
        <v>0</v>
      </c>
    </row>
    <row r="290" spans="1:51" x14ac:dyDescent="0.2">
      <c r="A290" s="50" t="s">
        <v>374</v>
      </c>
      <c r="B290" s="51" t="s">
        <v>209</v>
      </c>
      <c r="C290" s="51" t="s">
        <v>208</v>
      </c>
      <c r="D290" s="51"/>
      <c r="E290" s="63">
        <f>IF(G290="Y",VLOOKUP(B290&amp;"|"&amp;C290,'[1]ETC Data'!$C$2:$D$16,2,FALSE),0)</f>
        <v>45</v>
      </c>
      <c r="F290" s="63">
        <f>IF(D290="",0,IF(G290="Y",VLOOKUP(B290&amp;"|"&amp;D290,'[1]ETC Data'!$C$2:$D$16,2,FALSE),0))</f>
        <v>0</v>
      </c>
      <c r="G290" s="53" t="str">
        <f>IF(VLOOKUP(A290,[1]Plan!A$1:H$804,8,FALSE)&lt;&gt;"",VLOOKUP(A290,[1]Plan!A$1:H$804,8,FALSE),"")</f>
        <v>Y</v>
      </c>
      <c r="H290" s="54" t="str">
        <f>IF(VLOOKUP(A290,[1]Plan!A$1:L$804,12,FALSE)&lt;&gt;"",VLOOKUP(A290,[1]Plan!A$1:L$804,12,FALSE),"")</f>
        <v/>
      </c>
      <c r="I290" s="55" t="str">
        <f>IF(VLOOKUP(A290,[1]Plan!A$1:M$804,13,FALSE)&lt;&gt;"",VLOOKUP(A290,[1]Plan!A$1:M$804,13,FALSE),"")</f>
        <v/>
      </c>
      <c r="J290" s="55" t="str">
        <f>IF(VLOOKUP(A290,[1]Plan!A$1:N$804,14,FALSE)&lt;&gt;"",VLOOKUP(A290,[1]Plan!A$1:N$804,14,FALSE),IF(VLOOKUP(A290,[1]Plan!A$1:O$804,15,FALSE)&lt;&gt;"",VLOOKUP(A290,[1]Plan!A$1:O$804,15,FALSE),""))</f>
        <v/>
      </c>
      <c r="K290" s="56" t="str">
        <f>IF(VLOOKUP(A290,[1]Plan!A$1:P$804,16,FALSE)&lt;&gt;"",VLOOKUP(A290,[1]Plan!A$1:P$804,16,FALSE),"")</f>
        <v>Y</v>
      </c>
      <c r="L290" s="55"/>
      <c r="M290" s="55"/>
      <c r="N290" s="55"/>
      <c r="O290" s="57">
        <f>IF(F290=0,E290,F290)</f>
        <v>45</v>
      </c>
      <c r="P290" s="57" t="b">
        <f>OR(H290="Y",I290="Y")</f>
        <v>0</v>
      </c>
      <c r="Q290" s="58">
        <f>IF(P290,O290*'[1]ETC Data'!$H$3*'[1]ETC Data'!$I$3,0)</f>
        <v>0</v>
      </c>
      <c r="R290" s="58">
        <f>Q290-(Q290*((VLOOKUP(A290,[1]Plan!A$1:Z$804,26,FALSE)/100)))</f>
        <v>0</v>
      </c>
      <c r="S290" s="58">
        <f>IF(P290,O290*'[1]ETC Data'!$H$3*'[1]ETC Data'!$J$3,0)</f>
        <v>0</v>
      </c>
      <c r="T290" s="58">
        <f>S290-(S290*((VLOOKUP(A290,[1]Plan!A$1:AA$804,27,FALSE)/100)))</f>
        <v>0</v>
      </c>
      <c r="U290" s="58">
        <f>IF(P290,O290*'[1]ETC Data'!$H$3*'[1]ETC Data'!$K$3,0)</f>
        <v>0</v>
      </c>
      <c r="V290" s="58">
        <f>U290-(U290*((VLOOKUP(A290,[1]Plan!A$1:AB$804,28,FALSE)/100)))</f>
        <v>0</v>
      </c>
      <c r="W290" s="58">
        <f>IF(P290,O290*'[1]ETC Data'!$H$3*'[1]ETC Data'!$L$3,0)</f>
        <v>0</v>
      </c>
      <c r="X290" s="58">
        <f>W290-(W290*((VLOOKUP(A290,[1]Plan!A$1:AC$804,29,FALSE)/100)))</f>
        <v>0</v>
      </c>
      <c r="Y290" s="59"/>
      <c r="Z290" s="60" t="b">
        <f>OR(H290="Y",J290="Y")</f>
        <v>0</v>
      </c>
      <c r="AA290" s="58">
        <f>IF(Z290,O290*'[1]ETC Data'!$H$4*'[1]ETC Data'!$I$4,0)</f>
        <v>0</v>
      </c>
      <c r="AB290" s="58">
        <f>AA290-(AA290*((VLOOKUP(A290,[1]Plan!A$1:AI$804,35,FALSE)/100)))</f>
        <v>0</v>
      </c>
      <c r="AC290" s="58">
        <f>IF(Z290,O290*'[1]ETC Data'!$H$4*'[1]ETC Data'!$J$4,0)</f>
        <v>0</v>
      </c>
      <c r="AD290" s="58">
        <f>AC290-(AC290*((VLOOKUP(A290,[1]Plan!A$1:AJ$804,36,FALSE)/100)))</f>
        <v>0</v>
      </c>
      <c r="AE290" s="58">
        <f>IF(Z290,O290*'[1]ETC Data'!$H$4*'[1]ETC Data'!$K$4,0)</f>
        <v>0</v>
      </c>
      <c r="AF290" s="58">
        <f>AE290-(AE290*((VLOOKUP(A290,[1]Plan!A$1:AK$804,37,FALSE)/100)))</f>
        <v>0</v>
      </c>
      <c r="AG290" s="58">
        <f>IF(Z290,O290*'[1]ETC Data'!$H$4*'[1]ETC Data'!$L$4,0)</f>
        <v>0</v>
      </c>
      <c r="AH290" s="58">
        <f>AG290-(AG290*((VLOOKUP(A290,[1]Plan!A$1:AP$804,42,FALSE)/100)))</f>
        <v>0</v>
      </c>
      <c r="AI290" s="60"/>
      <c r="AJ290" s="60" t="b">
        <f>OR(H290="Y",K290="Y")</f>
        <v>1</v>
      </c>
      <c r="AK290" s="61">
        <f>IF(AJ290,O290*'[1]ETC Data'!$H$5*'[1]ETC Data'!$I$5,0)</f>
        <v>5.6048115519526798</v>
      </c>
      <c r="AL290" s="58">
        <f>AK290-(AK290*((VLOOKUP(A290,[1]Plan!A$1:AY$804,51,FALSE)/100)))</f>
        <v>0</v>
      </c>
      <c r="AM290" s="58">
        <f>IF(AJ290,O290*'[1]ETC Data'!$H$5*'[1]ETC Data'!$J$5,0)</f>
        <v>2.8024057759763399</v>
      </c>
      <c r="AN290" s="58">
        <f>AM290-(AM290*((VLOOKUP(A290,[1]Plan!A$1:BA$804,53,FALSE)/100)))</f>
        <v>0</v>
      </c>
      <c r="AO290" s="61">
        <f>IF(AJ290,O290*'[1]ETC Data'!$H$5*'[1]ETC Data'!$K$5,0)</f>
        <v>2.0177321587029646</v>
      </c>
      <c r="AP290" s="58">
        <f>AO290-(AO290*((VLOOKUP(A290,[1]Plan!A$1:BB$804,54,FALSE)/100)))</f>
        <v>0</v>
      </c>
      <c r="AQ290" s="58">
        <f>IF(AJ290,O290*'[1]ETC Data'!$H$5*'[1]ETC Data'!$L$5,0)</f>
        <v>0.78467361727337526</v>
      </c>
      <c r="AR290" s="58">
        <f>AQ290-(AQ290*((VLOOKUP(A290,[1]Plan!A$1:BD$804,56,FALSE)/100)))</f>
        <v>0</v>
      </c>
      <c r="AS290" s="20">
        <f>VLOOKUP(A290,'[1]PR Matrix'!A:B,2,FALSE)</f>
        <v>6247</v>
      </c>
      <c r="AT290" s="21">
        <f>R290+T290+V290+X290+AB290+AD290+AF290+AH290+AL290+AN290+AP290+AR290</f>
        <v>0</v>
      </c>
      <c r="AU290" s="21">
        <f>Q290+S290+U290+W290+AA290+AC290+AE290+AG290+AK290+AM290+AO290+AQ290</f>
        <v>11.20962310390536</v>
      </c>
      <c r="AV290" s="21">
        <f>R290+AB290+AL290</f>
        <v>0</v>
      </c>
      <c r="AW290" s="21">
        <f>T290+AD290+AN290</f>
        <v>0</v>
      </c>
      <c r="AX290" s="21">
        <f>V290+AF290+AP290</f>
        <v>0</v>
      </c>
      <c r="AY290" s="21">
        <f>X290+AH290+AR290</f>
        <v>0</v>
      </c>
    </row>
    <row r="291" spans="1:51" x14ac:dyDescent="0.2">
      <c r="A291" s="50" t="s">
        <v>388</v>
      </c>
      <c r="B291" s="51" t="s">
        <v>208</v>
      </c>
      <c r="C291" s="51" t="s">
        <v>208</v>
      </c>
      <c r="D291" s="51"/>
      <c r="E291" s="63">
        <f>IF(G291="Y",VLOOKUP(B291&amp;"|"&amp;C291,'[1]ETC Data'!$C$2:$D$16,2,FALSE),0)</f>
        <v>104</v>
      </c>
      <c r="F291" s="63">
        <f>IF(D291="",0,IF(G291="Y",VLOOKUP(B291&amp;"|"&amp;D291,'[1]ETC Data'!$C$2:$D$16,2,FALSE),0))</f>
        <v>0</v>
      </c>
      <c r="G291" s="53" t="str">
        <f>IF(VLOOKUP(A291,[1]Plan!A$1:H$804,8,FALSE)&lt;&gt;"",VLOOKUP(A291,[1]Plan!A$1:H$804,8,FALSE),"")</f>
        <v>Y</v>
      </c>
      <c r="H291" s="54" t="str">
        <f>IF(VLOOKUP(A291,[1]Plan!A$1:L$804,12,FALSE)&lt;&gt;"",VLOOKUP(A291,[1]Plan!A$1:L$804,12,FALSE),"")</f>
        <v/>
      </c>
      <c r="I291" s="55" t="str">
        <f>IF(VLOOKUP(A291,[1]Plan!A$1:M$804,13,FALSE)&lt;&gt;"",VLOOKUP(A291,[1]Plan!A$1:M$804,13,FALSE),"")</f>
        <v>Y</v>
      </c>
      <c r="J291" s="55" t="str">
        <f>IF(VLOOKUP(A291,[1]Plan!A$1:N$804,14,FALSE)&lt;&gt;"",VLOOKUP(A291,[1]Plan!A$1:N$804,14,FALSE),IF(VLOOKUP(A291,[1]Plan!A$1:O$804,15,FALSE)&lt;&gt;"",VLOOKUP(A291,[1]Plan!A$1:O$804,15,FALSE),""))</f>
        <v>Y</v>
      </c>
      <c r="K291" s="56" t="str">
        <f>IF(VLOOKUP(A291,[1]Plan!A$1:P$804,16,FALSE)&lt;&gt;"",VLOOKUP(A291,[1]Plan!A$1:P$804,16,FALSE),"")</f>
        <v>Y</v>
      </c>
      <c r="L291" s="55"/>
      <c r="M291" s="55"/>
      <c r="N291" s="55"/>
      <c r="O291" s="57">
        <f>IF(F291=0,E291,F291)</f>
        <v>104</v>
      </c>
      <c r="P291" s="57" t="b">
        <f>OR(H291="Y",I291="Y")</f>
        <v>1</v>
      </c>
      <c r="Q291" s="58">
        <f>IF(P291,O291*'[1]ETC Data'!$H$3*'[1]ETC Data'!$I$3,0)</f>
        <v>20.504048661252135</v>
      </c>
      <c r="R291" s="58">
        <f>Q291-(Q291*((VLOOKUP(A291,[1]Plan!A$1:Z$804,26,FALSE)/100)))</f>
        <v>0</v>
      </c>
      <c r="S291" s="58">
        <f>IF(P291,O291*'[1]ETC Data'!$H$3*'[1]ETC Data'!$J$3,0)</f>
        <v>4.9209716787005116</v>
      </c>
      <c r="T291" s="58">
        <f>S291-(S291*((VLOOKUP(A291,[1]Plan!A$1:AA$804,27,FALSE)/100)))</f>
        <v>0</v>
      </c>
      <c r="U291" s="58">
        <f>IF(P291,O291*'[1]ETC Data'!$H$3*'[1]ETC Data'!$K$3,0)</f>
        <v>1.366936577416809</v>
      </c>
      <c r="V291" s="58">
        <f>U291-(U291*((VLOOKUP(A291,[1]Plan!A$1:AB$804,28,FALSE)/100)))</f>
        <v>0</v>
      </c>
      <c r="W291" s="58">
        <f>IF(P291,O291*'[1]ETC Data'!$H$3*'[1]ETC Data'!$L$3,0)</f>
        <v>0.54677463096672352</v>
      </c>
      <c r="X291" s="58">
        <f>W291-(W291*((VLOOKUP(A291,[1]Plan!A$1:AC$804,29,FALSE)/100)))</f>
        <v>0</v>
      </c>
      <c r="Y291" s="59"/>
      <c r="Z291" s="60" t="b">
        <f>OR(H291="Y",J291="Y")</f>
        <v>1</v>
      </c>
      <c r="AA291" s="58">
        <f>IF(Z291,O291*'[1]ETC Data'!$H$4*'[1]ETC Data'!$I$4,0)</f>
        <v>25.377291972430161</v>
      </c>
      <c r="AB291" s="58">
        <f>AA291-(AA291*((VLOOKUP(A291,[1]Plan!A$1:AI$804,35,FALSE)/100)))</f>
        <v>0</v>
      </c>
      <c r="AC291" s="58">
        <f>IF(Z291,O291*'[1]ETC Data'!$H$4*'[1]ETC Data'!$J$4,0)</f>
        <v>12.68864598621508</v>
      </c>
      <c r="AD291" s="58">
        <f>AC291-(AC291*((VLOOKUP(A291,[1]Plan!A$1:AJ$804,36,FALSE)/100)))</f>
        <v>0</v>
      </c>
      <c r="AE291" s="58">
        <f>IF(Z291,O291*'[1]ETC Data'!$H$4*'[1]ETC Data'!$K$4,0)</f>
        <v>9.1358251100748582</v>
      </c>
      <c r="AF291" s="58">
        <f>AE291-(AE291*((VLOOKUP(A291,[1]Plan!A$1:AK$804,37,FALSE)/100)))</f>
        <v>0</v>
      </c>
      <c r="AG291" s="58">
        <f>IF(Z291,O291*'[1]ETC Data'!$H$4*'[1]ETC Data'!$L$4,0)</f>
        <v>3.5528208761402227</v>
      </c>
      <c r="AH291" s="58">
        <f>AG291-(AG291*((VLOOKUP(A291,[1]Plan!A$1:AP$804,42,FALSE)/100)))</f>
        <v>0</v>
      </c>
      <c r="AI291" s="60"/>
      <c r="AJ291" s="60" t="b">
        <f>OR(H291="Y",K291="Y")</f>
        <v>1</v>
      </c>
      <c r="AK291" s="61">
        <f>IF(AJ291,O291*'[1]ETC Data'!$H$5*'[1]ETC Data'!$I$5,0)</f>
        <v>12.953342253401749</v>
      </c>
      <c r="AL291" s="58">
        <f>AK291-(AK291*((VLOOKUP(A291,[1]Plan!A$1:AY$804,51,FALSE)/100)))</f>
        <v>0</v>
      </c>
      <c r="AM291" s="58">
        <f>IF(AJ291,O291*'[1]ETC Data'!$H$5*'[1]ETC Data'!$J$5,0)</f>
        <v>6.4766711267008743</v>
      </c>
      <c r="AN291" s="58">
        <f>AM291-(AM291*((VLOOKUP(A291,[1]Plan!A$1:BA$804,53,FALSE)/100)))</f>
        <v>0</v>
      </c>
      <c r="AO291" s="61">
        <f>IF(AJ291,O291*'[1]ETC Data'!$H$5*'[1]ETC Data'!$K$5,0)</f>
        <v>4.6632032112246291</v>
      </c>
      <c r="AP291" s="58">
        <f>AO291-(AO291*((VLOOKUP(A291,[1]Plan!A$1:BB$804,54,FALSE)/100)))</f>
        <v>0</v>
      </c>
      <c r="AQ291" s="58">
        <f>IF(AJ291,O291*'[1]ETC Data'!$H$5*'[1]ETC Data'!$L$5,0)</f>
        <v>1.813467915476245</v>
      </c>
      <c r="AR291" s="58">
        <f>AQ291-(AQ291*((VLOOKUP(A291,[1]Plan!A$1:BD$804,56,FALSE)/100)))</f>
        <v>0</v>
      </c>
      <c r="AS291" s="20" t="str">
        <f>VLOOKUP(A291,'[1]PR Matrix'!A:B,2,FALSE)</f>
        <v>6232, 6275</v>
      </c>
      <c r="AT291" s="21">
        <f>R291+T291+V291+X291+AB291+AD291+AF291+AH291+AL291+AN291+AP291+AR291</f>
        <v>0</v>
      </c>
      <c r="AU291" s="21">
        <f>Q291+S291+U291+W291+AA291+AC291+AE291+AG291+AK291+AM291+AO291+AQ291</f>
        <v>103.99999999999999</v>
      </c>
      <c r="AV291" s="21">
        <f>R291+AB291+AL291</f>
        <v>0</v>
      </c>
      <c r="AW291" s="21">
        <f>T291+AD291+AN291</f>
        <v>0</v>
      </c>
      <c r="AX291" s="21">
        <f>V291+AF291+AP291</f>
        <v>0</v>
      </c>
      <c r="AY291" s="21">
        <f>X291+AH291+AR291</f>
        <v>0</v>
      </c>
    </row>
    <row r="292" spans="1:51" x14ac:dyDescent="0.2">
      <c r="A292" s="50" t="s">
        <v>410</v>
      </c>
      <c r="B292" s="51" t="s">
        <v>208</v>
      </c>
      <c r="C292" s="51" t="s">
        <v>209</v>
      </c>
      <c r="D292" s="51"/>
      <c r="E292" s="63">
        <f>IF(G292="Y",VLOOKUP(B292&amp;"|"&amp;C292,'[1]ETC Data'!$C$2:$D$16,2,FALSE),0)</f>
        <v>48</v>
      </c>
      <c r="F292" s="63">
        <f>IF(D292="",0,IF(G292="Y",VLOOKUP(B292&amp;"|"&amp;D292,'[1]ETC Data'!$C$2:$D$16,2,FALSE),0))</f>
        <v>0</v>
      </c>
      <c r="G292" s="53" t="str">
        <f>IF(VLOOKUP(A292,[1]Plan!A$1:H$804,8,FALSE)&lt;&gt;"",VLOOKUP(A292,[1]Plan!A$1:H$804,8,FALSE),"")</f>
        <v>Y</v>
      </c>
      <c r="H292" s="54" t="str">
        <f>IF(VLOOKUP(A292,[1]Plan!A$1:L$804,12,FALSE)&lt;&gt;"",VLOOKUP(A292,[1]Plan!A$1:L$804,12,FALSE),"")</f>
        <v/>
      </c>
      <c r="I292" s="55" t="str">
        <f>IF(VLOOKUP(A292,[1]Plan!A$1:M$804,13,FALSE)&lt;&gt;"",VLOOKUP(A292,[1]Plan!A$1:M$804,13,FALSE),"")</f>
        <v/>
      </c>
      <c r="J292" s="55" t="str">
        <f>IF(VLOOKUP(A292,[1]Plan!A$1:N$804,14,FALSE)&lt;&gt;"",VLOOKUP(A292,[1]Plan!A$1:N$804,14,FALSE),IF(VLOOKUP(A292,[1]Plan!A$1:O$804,15,FALSE)&lt;&gt;"",VLOOKUP(A292,[1]Plan!A$1:O$804,15,FALSE),""))</f>
        <v>Y</v>
      </c>
      <c r="K292" s="56" t="str">
        <f>IF(VLOOKUP(A292,[1]Plan!A$1:P$804,16,FALSE)&lt;&gt;"",VLOOKUP(A292,[1]Plan!A$1:P$804,16,FALSE),"")</f>
        <v>Y</v>
      </c>
      <c r="L292" s="55"/>
      <c r="M292" s="55"/>
      <c r="N292" s="55"/>
      <c r="O292" s="57">
        <f>IF(F292=0,E292,F292)</f>
        <v>48</v>
      </c>
      <c r="P292" s="57" t="b">
        <f>OR(H292="Y",I292="Y")</f>
        <v>0</v>
      </c>
      <c r="Q292" s="58">
        <f>IF(P292,O292*'[1]ETC Data'!$H$3*'[1]ETC Data'!$I$3,0)</f>
        <v>0</v>
      </c>
      <c r="R292" s="58">
        <f>Q292-(Q292*((VLOOKUP(A292,[1]Plan!A$1:Z$804,26,FALSE)/100)))</f>
        <v>0</v>
      </c>
      <c r="S292" s="58">
        <f>IF(P292,O292*'[1]ETC Data'!$H$3*'[1]ETC Data'!$J$3,0)</f>
        <v>0</v>
      </c>
      <c r="T292" s="58">
        <f>S292-(S292*((VLOOKUP(A292,[1]Plan!A$1:AA$804,27,FALSE)/100)))</f>
        <v>0</v>
      </c>
      <c r="U292" s="58">
        <f>IF(P292,O292*'[1]ETC Data'!$H$3*'[1]ETC Data'!$K$3,0)</f>
        <v>0</v>
      </c>
      <c r="V292" s="58">
        <f>U292-(U292*((VLOOKUP(A292,[1]Plan!A$1:AB$804,28,FALSE)/100)))</f>
        <v>0</v>
      </c>
      <c r="W292" s="58">
        <f>IF(P292,O292*'[1]ETC Data'!$H$3*'[1]ETC Data'!$L$3,0)</f>
        <v>0</v>
      </c>
      <c r="X292" s="58">
        <f>W292-(W292*((VLOOKUP(A292,[1]Plan!A$1:AC$804,29,FALSE)/100)))</f>
        <v>0</v>
      </c>
      <c r="Y292" s="59"/>
      <c r="Z292" s="60" t="b">
        <f>OR(H292="Y",J292="Y")</f>
        <v>1</v>
      </c>
      <c r="AA292" s="58">
        <f>IF(Z292,O292*'[1]ETC Data'!$H$4*'[1]ETC Data'!$I$4,0)</f>
        <v>11.712596294967767</v>
      </c>
      <c r="AB292" s="58">
        <f>AA292-(AA292*((VLOOKUP(A292,[1]Plan!A$1:AI$804,35,FALSE)/100)))</f>
        <v>0</v>
      </c>
      <c r="AC292" s="58">
        <f>IF(Z292,O292*'[1]ETC Data'!$H$4*'[1]ETC Data'!$J$4,0)</f>
        <v>5.8562981474838836</v>
      </c>
      <c r="AD292" s="58">
        <f>AC292-(AC292*((VLOOKUP(A292,[1]Plan!A$1:AJ$804,36,FALSE)/100)))</f>
        <v>0</v>
      </c>
      <c r="AE292" s="58">
        <f>IF(Z292,O292*'[1]ETC Data'!$H$4*'[1]ETC Data'!$K$4,0)</f>
        <v>4.2165346661883962</v>
      </c>
      <c r="AF292" s="58">
        <f>AE292-(AE292*((VLOOKUP(A292,[1]Plan!A$1:AK$804,37,FALSE)/100)))</f>
        <v>0</v>
      </c>
      <c r="AG292" s="58">
        <f>IF(Z292,O292*'[1]ETC Data'!$H$4*'[1]ETC Data'!$L$4,0)</f>
        <v>1.6397634812954875</v>
      </c>
      <c r="AH292" s="58">
        <f>AG292-(AG292*((VLOOKUP(A292,[1]Plan!A$1:AP$804,42,FALSE)/100)))</f>
        <v>0</v>
      </c>
      <c r="AI292" s="60"/>
      <c r="AJ292" s="60" t="b">
        <f>OR(H292="Y",K292="Y")</f>
        <v>1</v>
      </c>
      <c r="AK292" s="61">
        <f>IF(AJ292,O292*'[1]ETC Data'!$H$5*'[1]ETC Data'!$I$5,0)</f>
        <v>5.9784656554161915</v>
      </c>
      <c r="AL292" s="58">
        <f>AK292-(AK292*((VLOOKUP(A292,[1]Plan!A$1:AY$804,51,FALSE)/100)))</f>
        <v>0</v>
      </c>
      <c r="AM292" s="58">
        <f>IF(AJ292,O292*'[1]ETC Data'!$H$5*'[1]ETC Data'!$J$5,0)</f>
        <v>2.9892328277080957</v>
      </c>
      <c r="AN292" s="58">
        <v>6</v>
      </c>
      <c r="AO292" s="61">
        <f>IF(AJ292,O292*'[1]ETC Data'!$H$5*'[1]ETC Data'!$K$5,0)</f>
        <v>2.1522476359498288</v>
      </c>
      <c r="AP292" s="58">
        <f>AO292-(AO292*((VLOOKUP(A292,[1]Plan!A$1:BB$804,54,FALSE)/100)))</f>
        <v>0</v>
      </c>
      <c r="AQ292" s="58">
        <f>IF(AJ292,O292*'[1]ETC Data'!$H$5*'[1]ETC Data'!$L$5,0)</f>
        <v>0.83698519175826691</v>
      </c>
      <c r="AR292" s="58">
        <f>AQ292-(AQ292*((VLOOKUP(A292,[1]Plan!A$1:BD$804,56,FALSE)/100)))</f>
        <v>0</v>
      </c>
      <c r="AS292" s="20">
        <f>VLOOKUP(A292,'[1]PR Matrix'!A:B,2,FALSE)</f>
        <v>6217</v>
      </c>
      <c r="AT292" s="21">
        <f>R292+T292+V292+X292+AB292+AD292+AF292+AH292+AL292+AN292+AP292+AR292</f>
        <v>6</v>
      </c>
      <c r="AU292" s="21">
        <f>Q292+S292+U292+W292+AA292+AC292+AE292+AG292+AK292+AM292+AO292+AQ292</f>
        <v>35.382123900767915</v>
      </c>
      <c r="AV292" s="21">
        <f>R292+AB292+AL292</f>
        <v>0</v>
      </c>
      <c r="AW292" s="21">
        <f>T292+AD292+AN292</f>
        <v>6</v>
      </c>
      <c r="AX292" s="21">
        <f>V292+AF292+AP292</f>
        <v>0</v>
      </c>
      <c r="AY292" s="21">
        <f>X292+AH292+AR292</f>
        <v>0</v>
      </c>
    </row>
    <row r="293" spans="1:51" hidden="1" x14ac:dyDescent="0.2">
      <c r="A293" s="50" t="s">
        <v>500</v>
      </c>
      <c r="B293" s="51" t="s">
        <v>208</v>
      </c>
      <c r="C293" s="51" t="s">
        <v>208</v>
      </c>
      <c r="D293" s="51"/>
      <c r="E293" s="52">
        <f>IF(G293="Y",VLOOKUP(B293&amp;"|"&amp;C293,'[1]ETC Data'!$C$2:$D$16,2,FALSE),0)</f>
        <v>0</v>
      </c>
      <c r="F293" s="52">
        <f>IF(D293="",0,IF(G293="Y",VLOOKUP(B293&amp;"|"&amp;D293,'[1]ETC Data'!$C$2:$D$16,2,FALSE),0))</f>
        <v>0</v>
      </c>
      <c r="G293" s="53" t="str">
        <f>IF(VLOOKUP(A293,[1]Plan!A$1:H$804,8,FALSE)&lt;&gt;"",VLOOKUP(A293,[1]Plan!A$1:H$804,8,FALSE),"")</f>
        <v>N</v>
      </c>
      <c r="H293" s="54" t="str">
        <f>IF(VLOOKUP(A293,[1]Plan!A$1:L$804,12,FALSE)&lt;&gt;"",VLOOKUP(A293,[1]Plan!A$1:L$804,12,FALSE),"")</f>
        <v/>
      </c>
      <c r="I293" s="55" t="str">
        <f>IF(VLOOKUP(A293,[1]Plan!A$1:M$804,13,FALSE)&lt;&gt;"",VLOOKUP(A293,[1]Plan!A$1:M$804,13,FALSE),"")</f>
        <v/>
      </c>
      <c r="J293" s="55" t="str">
        <f>IF(VLOOKUP(A293,[1]Plan!A$1:N$804,14,FALSE)&lt;&gt;"",VLOOKUP(A293,[1]Plan!A$1:N$804,14,FALSE),IF(VLOOKUP(A293,[1]Plan!A$1:O$804,15,FALSE)&lt;&gt;"",VLOOKUP(A293,[1]Plan!A$1:O$804,15,FALSE),""))</f>
        <v/>
      </c>
      <c r="K293" s="56" t="str">
        <f>IF(VLOOKUP(A293,[1]Plan!A$1:P$804,16,FALSE)&lt;&gt;"",VLOOKUP(A293,[1]Plan!A$1:P$804,16,FALSE),"")</f>
        <v/>
      </c>
      <c r="L293" s="55"/>
      <c r="M293" s="55"/>
      <c r="N293" s="55"/>
      <c r="O293" s="57">
        <f>IF(F293=0,E293,F293)</f>
        <v>0</v>
      </c>
      <c r="P293" s="57" t="b">
        <f>OR(H293="Y",I293="Y")</f>
        <v>0</v>
      </c>
      <c r="Q293" s="58">
        <f>IF(P293,O293*'[1]ETC Data'!$H$3*'[1]ETC Data'!$I$3,0)</f>
        <v>0</v>
      </c>
      <c r="R293" s="58">
        <f>Q293-(Q293*((VLOOKUP(A293,[1]Plan!A$1:Z$804,26,FALSE)/100)))</f>
        <v>0</v>
      </c>
      <c r="S293" s="58">
        <f>IF(P293,O293*'[1]ETC Data'!$H$3*'[1]ETC Data'!$J$3,0)</f>
        <v>0</v>
      </c>
      <c r="T293" s="58">
        <v>10</v>
      </c>
      <c r="U293" s="58">
        <f>IF(P293,O293*'[1]ETC Data'!$H$3*'[1]ETC Data'!$K$3,0)</f>
        <v>0</v>
      </c>
      <c r="V293" s="58">
        <f>U293-(U293*((VLOOKUP(A293,[1]Plan!A$1:AB$804,28,FALSE)/100)))</f>
        <v>0</v>
      </c>
      <c r="W293" s="58">
        <f>IF(P293,O293*'[1]ETC Data'!$H$3*'[1]ETC Data'!$L$3,0)</f>
        <v>0</v>
      </c>
      <c r="X293" s="58">
        <f>W293-(W293*((VLOOKUP(A293,[1]Plan!A$1:AC$804,29,FALSE)/100)))</f>
        <v>0</v>
      </c>
      <c r="Y293" s="59"/>
      <c r="Z293" s="60" t="b">
        <f>OR(H293="Y",J293="Y")</f>
        <v>0</v>
      </c>
      <c r="AA293" s="58">
        <f>IF(Z293,O293*'[1]ETC Data'!$H$4*'[1]ETC Data'!$I$4,0)</f>
        <v>0</v>
      </c>
      <c r="AB293" s="58">
        <f>AA293-(AA293*((VLOOKUP(A293,[1]Plan!A$1:AI$804,35,FALSE)/100)))</f>
        <v>0</v>
      </c>
      <c r="AC293" s="58">
        <f>IF(Z293,O293*'[1]ETC Data'!$H$4*'[1]ETC Data'!$J$4,0)</f>
        <v>0</v>
      </c>
      <c r="AD293" s="58">
        <f>AC293-(AC293*((VLOOKUP(A293,[1]Plan!A$1:AJ$804,36,FALSE)/100)))</f>
        <v>0</v>
      </c>
      <c r="AE293" s="58">
        <f>IF(Z293,O293*'[1]ETC Data'!$H$4*'[1]ETC Data'!$K$4,0)</f>
        <v>0</v>
      </c>
      <c r="AF293" s="58">
        <f>AE293-(AE293*((VLOOKUP(A293,[1]Plan!A$1:AK$804,37,FALSE)/100)))</f>
        <v>0</v>
      </c>
      <c r="AG293" s="58">
        <f>IF(Z293,O293*'[1]ETC Data'!$H$4*'[1]ETC Data'!$L$4,0)</f>
        <v>0</v>
      </c>
      <c r="AH293" s="58">
        <f>AG293-(AG293*((VLOOKUP(A293,[1]Plan!A$1:AP$804,42,FALSE)/100)))</f>
        <v>0</v>
      </c>
      <c r="AI293" s="60"/>
      <c r="AJ293" s="60" t="b">
        <f>OR(H293="Y",K293="Y")</f>
        <v>0</v>
      </c>
      <c r="AK293" s="61">
        <f>IF(AJ293,O293*'[1]ETC Data'!$H$5*'[1]ETC Data'!$I$5,0)</f>
        <v>0</v>
      </c>
      <c r="AL293" s="58">
        <f>AK293-(AK293*((VLOOKUP(A293,[1]Plan!A$1:AY$804,51,FALSE)/100)))</f>
        <v>0</v>
      </c>
      <c r="AM293" s="58">
        <f>IF(AJ293,O293*'[1]ETC Data'!$H$5*'[1]ETC Data'!$J$5,0)</f>
        <v>0</v>
      </c>
      <c r="AN293" s="58">
        <v>13</v>
      </c>
      <c r="AO293" s="61">
        <f>IF(AJ293,O293*'[1]ETC Data'!$H$5*'[1]ETC Data'!$K$5,0)</f>
        <v>0</v>
      </c>
      <c r="AP293" s="58">
        <f>AO293-(AO293*((VLOOKUP(A293,[1]Plan!A$1:BB$804,54,FALSE)/100)))</f>
        <v>0</v>
      </c>
      <c r="AQ293" s="58">
        <f>IF(AJ293,O293*'[1]ETC Data'!$H$5*'[1]ETC Data'!$L$5,0)</f>
        <v>0</v>
      </c>
      <c r="AR293" s="58">
        <f>AQ293-(AQ293*((VLOOKUP(A293,[1]Plan!A$1:BD$804,56,FALSE)/100)))</f>
        <v>0</v>
      </c>
      <c r="AS293" s="20">
        <f>VLOOKUP(A293,'[1]PR Matrix'!A:B,2,FALSE)</f>
        <v>0</v>
      </c>
      <c r="AT293" s="21">
        <f>R293+T293+V293+X293+AB293+AD293+AF293+AH293+AL293+AN293+AP293+AR293</f>
        <v>23</v>
      </c>
      <c r="AU293" s="21">
        <f>Q293+S293+U293+W293+AA293+AC293+AE293+AG293+AK293+AM293+AO293+AQ293</f>
        <v>0</v>
      </c>
      <c r="AV293" s="21">
        <f>R293+AB293+AL293</f>
        <v>0</v>
      </c>
      <c r="AW293" s="21">
        <f>T293+AD293+AN293</f>
        <v>23</v>
      </c>
      <c r="AX293" s="21">
        <f>V293+AF293+AP293</f>
        <v>0</v>
      </c>
      <c r="AY293" s="21">
        <f>X293+AH293+AR293</f>
        <v>0</v>
      </c>
    </row>
    <row r="294" spans="1:51" hidden="1" x14ac:dyDescent="0.2">
      <c r="A294" s="67" t="s">
        <v>501</v>
      </c>
      <c r="B294" s="51" t="s">
        <v>208</v>
      </c>
      <c r="C294" s="51" t="s">
        <v>208</v>
      </c>
      <c r="D294" s="51"/>
      <c r="E294" s="52">
        <f>IF(G294="Y",VLOOKUP(B294&amp;"|"&amp;C294,'[1]ETC Data'!$C$2:$D$16,2,FALSE),0)</f>
        <v>0</v>
      </c>
      <c r="F294" s="52">
        <f>IF(D294="",0,IF(G294="Y",VLOOKUP(B294&amp;"|"&amp;D294,'[1]ETC Data'!$C$2:$D$16,2,FALSE),0))</f>
        <v>0</v>
      </c>
      <c r="G294" s="53" t="str">
        <f>IF(VLOOKUP(A294,[1]Plan!A$1:H$804,8,FALSE)&lt;&gt;"",VLOOKUP(A294,[1]Plan!A$1:H$804,8,FALSE),"")</f>
        <v>N</v>
      </c>
      <c r="H294" s="54" t="str">
        <f>IF(VLOOKUP(A294,[1]Plan!A$1:L$804,12,FALSE)&lt;&gt;"",VLOOKUP(A294,[1]Plan!A$1:L$804,12,FALSE),"")</f>
        <v/>
      </c>
      <c r="I294" s="55" t="str">
        <f>IF(VLOOKUP(A294,[1]Plan!A$1:M$804,13,FALSE)&lt;&gt;"",VLOOKUP(A294,[1]Plan!A$1:M$804,13,FALSE),"")</f>
        <v/>
      </c>
      <c r="J294" s="55" t="str">
        <f>IF(VLOOKUP(A294,[1]Plan!A$1:N$804,14,FALSE)&lt;&gt;"",VLOOKUP(A294,[1]Plan!A$1:N$804,14,FALSE),IF(VLOOKUP(A294,[1]Plan!A$1:O$804,15,FALSE)&lt;&gt;"",VLOOKUP(A294,[1]Plan!A$1:O$804,15,FALSE),""))</f>
        <v/>
      </c>
      <c r="K294" s="56" t="str">
        <f>IF(VLOOKUP(A294,[1]Plan!A$1:P$804,16,FALSE)&lt;&gt;"",VLOOKUP(A294,[1]Plan!A$1:P$804,16,FALSE),"")</f>
        <v/>
      </c>
      <c r="L294" s="55"/>
      <c r="M294" s="55"/>
      <c r="N294" s="55"/>
      <c r="O294" s="57">
        <f>IF(F294=0,E294,F294)</f>
        <v>0</v>
      </c>
      <c r="P294" s="57" t="b">
        <f>OR(H294="Y",I294="Y")</f>
        <v>0</v>
      </c>
      <c r="Q294" s="58">
        <f>IF(P294,O294*'[1]ETC Data'!$H$3*'[1]ETC Data'!$I$3,0)</f>
        <v>0</v>
      </c>
      <c r="R294" s="58">
        <f>Q294-(Q294*((VLOOKUP(A294,[1]Plan!A$1:Z$804,26,FALSE)/100)))</f>
        <v>0</v>
      </c>
      <c r="S294" s="58">
        <f>IF(P294,O294*'[1]ETC Data'!$H$3*'[1]ETC Data'!$J$3,0)</f>
        <v>0</v>
      </c>
      <c r="T294" s="58">
        <v>10</v>
      </c>
      <c r="U294" s="58">
        <f>IF(P294,O294*'[1]ETC Data'!$H$3*'[1]ETC Data'!$K$3,0)</f>
        <v>0</v>
      </c>
      <c r="V294" s="58">
        <f>U294-(U294*((VLOOKUP(A294,[1]Plan!A$1:AB$804,28,FALSE)/100)))</f>
        <v>0</v>
      </c>
      <c r="W294" s="58">
        <f>IF(P294,O294*'[1]ETC Data'!$H$3*'[1]ETC Data'!$L$3,0)</f>
        <v>0</v>
      </c>
      <c r="X294" s="58">
        <f>W294-(W294*((VLOOKUP(A294,[1]Plan!A$1:AC$804,29,FALSE)/100)))</f>
        <v>0</v>
      </c>
      <c r="Y294" s="59"/>
      <c r="Z294" s="60" t="b">
        <f>OR(H294="Y",J294="Y")</f>
        <v>0</v>
      </c>
      <c r="AA294" s="58">
        <f>IF(Z294,O294*'[1]ETC Data'!$H$4*'[1]ETC Data'!$I$4,0)</f>
        <v>0</v>
      </c>
      <c r="AB294" s="58">
        <f>AA294-(AA294*((VLOOKUP(A294,[1]Plan!A$1:AI$804,35,FALSE)/100)))</f>
        <v>0</v>
      </c>
      <c r="AC294" s="58">
        <f>IF(Z294,O294*'[1]ETC Data'!$H$4*'[1]ETC Data'!$J$4,0)</f>
        <v>0</v>
      </c>
      <c r="AD294" s="58">
        <f>AC294-(AC294*((VLOOKUP(A294,[1]Plan!A$1:AJ$804,36,FALSE)/100)))</f>
        <v>0</v>
      </c>
      <c r="AE294" s="58">
        <f>IF(Z294,O294*'[1]ETC Data'!$H$4*'[1]ETC Data'!$K$4,0)</f>
        <v>0</v>
      </c>
      <c r="AF294" s="58">
        <f>AE294-(AE294*((VLOOKUP(A294,[1]Plan!A$1:AK$804,37,FALSE)/100)))</f>
        <v>0</v>
      </c>
      <c r="AG294" s="58">
        <f>IF(Z294,O294*'[1]ETC Data'!$H$4*'[1]ETC Data'!$L$4,0)</f>
        <v>0</v>
      </c>
      <c r="AH294" s="58">
        <f>AG294-(AG294*((VLOOKUP(A294,[1]Plan!A$1:AP$804,42,FALSE)/100)))</f>
        <v>0</v>
      </c>
      <c r="AI294" s="60"/>
      <c r="AJ294" s="60" t="b">
        <f>OR(H294="Y",K294="Y")</f>
        <v>0</v>
      </c>
      <c r="AK294" s="61">
        <f>IF(AJ294,O294*'[1]ETC Data'!$H$5*'[1]ETC Data'!$I$5,0)</f>
        <v>0</v>
      </c>
      <c r="AL294" s="58">
        <f>AK294-(AK294*((VLOOKUP(A294,[1]Plan!A$1:AY$804,51,FALSE)/100)))</f>
        <v>0</v>
      </c>
      <c r="AM294" s="58">
        <f>IF(AJ294,O294*'[1]ETC Data'!$H$5*'[1]ETC Data'!$J$5,0)</f>
        <v>0</v>
      </c>
      <c r="AN294" s="58">
        <v>13</v>
      </c>
      <c r="AO294" s="61">
        <f>IF(AJ294,O294*'[1]ETC Data'!$H$5*'[1]ETC Data'!$K$5,0)</f>
        <v>0</v>
      </c>
      <c r="AP294" s="58">
        <f>AO294-(AO294*((VLOOKUP(A294,[1]Plan!A$1:BB$804,54,FALSE)/100)))</f>
        <v>0</v>
      </c>
      <c r="AQ294" s="58">
        <f>IF(AJ294,O294*'[1]ETC Data'!$H$5*'[1]ETC Data'!$L$5,0)</f>
        <v>0</v>
      </c>
      <c r="AR294" s="58">
        <f>AQ294-(AQ294*((VLOOKUP(A294,[1]Plan!A$1:BD$804,56,FALSE)/100)))</f>
        <v>0</v>
      </c>
      <c r="AS294" s="20">
        <f>VLOOKUP(A294,'[1]PR Matrix'!A:B,2,FALSE)</f>
        <v>0</v>
      </c>
      <c r="AT294" s="21">
        <f>R294+T294+V294+X294+AB294+AD294+AF294+AH294+AL294+AN294+AP294+AR294</f>
        <v>23</v>
      </c>
      <c r="AU294" s="21">
        <f>Q294+S294+U294+W294+AA294+AC294+AE294+AG294+AK294+AM294+AO294+AQ294</f>
        <v>0</v>
      </c>
      <c r="AV294" s="21">
        <f>R294+AB294+AL294</f>
        <v>0</v>
      </c>
      <c r="AW294" s="21">
        <f>T294+AD294+AN294</f>
        <v>23</v>
      </c>
      <c r="AX294" s="21">
        <f>V294+AF294+AP294</f>
        <v>0</v>
      </c>
      <c r="AY294" s="21">
        <f>X294+AH294+AR294</f>
        <v>0</v>
      </c>
    </row>
    <row r="295" spans="1:51" hidden="1" x14ac:dyDescent="0.2">
      <c r="A295" s="68" t="s">
        <v>502</v>
      </c>
      <c r="B295" s="51" t="s">
        <v>209</v>
      </c>
      <c r="C295" s="51"/>
      <c r="D295" s="51"/>
      <c r="E295" s="52">
        <f>IF(G295="Y",VLOOKUP(B295&amp;"|"&amp;C295,'[1]ETC Data'!$C$2:$D$16,2,FALSE),0)</f>
        <v>0</v>
      </c>
      <c r="F295" s="52">
        <f>IF(D295="",0,IF(G295="Y",VLOOKUP(B295&amp;"|"&amp;D295,'[1]ETC Data'!$C$2:$D$16,2,FALSE),0))</f>
        <v>0</v>
      </c>
      <c r="G295" s="53" t="str">
        <f>IF(VLOOKUP(A295,[1]Plan!A$1:H$804,8,FALSE)&lt;&gt;"",VLOOKUP(A295,[1]Plan!A$1:H$804,8,FALSE),"")</f>
        <v>N</v>
      </c>
      <c r="H295" s="54" t="str">
        <f>IF(VLOOKUP(A295,[1]Plan!A$1:L$804,12,FALSE)&lt;&gt;"",VLOOKUP(A295,[1]Plan!A$1:L$804,12,FALSE),"")</f>
        <v/>
      </c>
      <c r="I295" s="55" t="str">
        <f>IF(VLOOKUP(A295,[1]Plan!A$1:M$804,13,FALSE)&lt;&gt;"",VLOOKUP(A295,[1]Plan!A$1:M$804,13,FALSE),"")</f>
        <v/>
      </c>
      <c r="J295" s="55" t="str">
        <f>IF(VLOOKUP(A295,[1]Plan!A$1:N$804,14,FALSE)&lt;&gt;"",VLOOKUP(A295,[1]Plan!A$1:N$804,14,FALSE),IF(VLOOKUP(A295,[1]Plan!A$1:O$804,15,FALSE)&lt;&gt;"",VLOOKUP(A295,[1]Plan!A$1:O$804,15,FALSE),""))</f>
        <v/>
      </c>
      <c r="K295" s="56" t="str">
        <f>IF(VLOOKUP(A295,[1]Plan!A$1:P$804,16,FALSE)&lt;&gt;"",VLOOKUP(A295,[1]Plan!A$1:P$804,16,FALSE),"")</f>
        <v/>
      </c>
      <c r="L295" s="55"/>
      <c r="M295" s="55"/>
      <c r="N295" s="55"/>
      <c r="O295" s="57">
        <f>IF(F295=0,E295,F295)</f>
        <v>0</v>
      </c>
      <c r="P295" s="57" t="b">
        <f>OR(H295="Y",I295="Y")</f>
        <v>0</v>
      </c>
      <c r="Q295" s="58">
        <f>IF(P295,O295*'[1]ETC Data'!$H$3*'[1]ETC Data'!$I$3,0)</f>
        <v>0</v>
      </c>
      <c r="R295" s="58">
        <f>Q295-(Q295*((VLOOKUP(A295,[1]Plan!A$1:Z$804,26,FALSE)/100)))</f>
        <v>0</v>
      </c>
      <c r="S295" s="58">
        <f>IF(P295,O295*'[1]ETC Data'!$H$3*'[1]ETC Data'!$J$3,0)</f>
        <v>0</v>
      </c>
      <c r="T295" s="58">
        <f>S295-(S295*((VLOOKUP(A295,[1]Plan!A$1:AA$804,27,FALSE)/100)))</f>
        <v>0</v>
      </c>
      <c r="U295" s="58">
        <f>IF(P295,O295*'[1]ETC Data'!$H$3*'[1]ETC Data'!$K$3,0)</f>
        <v>0</v>
      </c>
      <c r="V295" s="58">
        <f>U295-(U295*((VLOOKUP(A295,[1]Plan!A$1:AB$804,28,FALSE)/100)))</f>
        <v>0</v>
      </c>
      <c r="W295" s="58">
        <f>IF(P295,O295*'[1]ETC Data'!$H$3*'[1]ETC Data'!$L$3,0)</f>
        <v>0</v>
      </c>
      <c r="X295" s="58">
        <f>W295-(W295*((VLOOKUP(A295,[1]Plan!A$1:AC$804,29,FALSE)/100)))</f>
        <v>0</v>
      </c>
      <c r="Y295" s="59"/>
      <c r="Z295" s="60" t="b">
        <f>OR(H295="Y",J295="Y")</f>
        <v>0</v>
      </c>
      <c r="AA295" s="58">
        <f>IF(Z295,O295*'[1]ETC Data'!$H$4*'[1]ETC Data'!$I$4,0)</f>
        <v>0</v>
      </c>
      <c r="AB295" s="58">
        <f>AA295-(AA295*((VLOOKUP(A295,[1]Plan!A$1:AI$804,35,FALSE)/100)))</f>
        <v>0</v>
      </c>
      <c r="AC295" s="58">
        <f>IF(Z295,O295*'[1]ETC Data'!$H$4*'[1]ETC Data'!$J$4,0)</f>
        <v>0</v>
      </c>
      <c r="AD295" s="58">
        <f>AC295-(AC295*((VLOOKUP(A295,[1]Plan!A$1:AJ$804,36,FALSE)/100)))</f>
        <v>0</v>
      </c>
      <c r="AE295" s="58">
        <f>IF(Z295,O295*'[1]ETC Data'!$H$4*'[1]ETC Data'!$K$4,0)</f>
        <v>0</v>
      </c>
      <c r="AF295" s="58">
        <f>AE295-(AE295*((VLOOKUP(A295,[1]Plan!A$1:AK$804,37,FALSE)/100)))</f>
        <v>0</v>
      </c>
      <c r="AG295" s="58">
        <f>IF(Z295,O295*'[1]ETC Data'!$H$4*'[1]ETC Data'!$L$4,0)</f>
        <v>0</v>
      </c>
      <c r="AH295" s="58">
        <f>AG295-(AG295*((VLOOKUP(A295,[1]Plan!A$1:AP$804,42,FALSE)/100)))</f>
        <v>0</v>
      </c>
      <c r="AI295" s="60"/>
      <c r="AJ295" s="60" t="b">
        <f>OR(H295="Y",K295="Y")</f>
        <v>0</v>
      </c>
      <c r="AK295" s="61">
        <f>IF(AJ295,O295*'[1]ETC Data'!$H$5*'[1]ETC Data'!$I$5,0)</f>
        <v>0</v>
      </c>
      <c r="AL295" s="58">
        <f>AK295-(AK295*((VLOOKUP(A295,[1]Plan!A$1:AY$804,51,FALSE)/100)))</f>
        <v>0</v>
      </c>
      <c r="AM295" s="58">
        <f>IF(AJ295,O295*'[1]ETC Data'!$H$5*'[1]ETC Data'!$J$5,0)</f>
        <v>0</v>
      </c>
      <c r="AN295" s="58">
        <f>AM295-(AM295*((VLOOKUP(A295,[1]Plan!A$1:BA$804,53,FALSE)/100)))</f>
        <v>0</v>
      </c>
      <c r="AO295" s="61">
        <f>IF(AJ295,O295*'[1]ETC Data'!$H$5*'[1]ETC Data'!$K$5,0)</f>
        <v>0</v>
      </c>
      <c r="AP295" s="58">
        <f>AO295-(AO295*((VLOOKUP(A295,[1]Plan!A$1:BB$804,54,FALSE)/100)))</f>
        <v>0</v>
      </c>
      <c r="AQ295" s="58">
        <f>IF(AJ295,O295*'[1]ETC Data'!$H$5*'[1]ETC Data'!$L$5,0)</f>
        <v>0</v>
      </c>
      <c r="AR295" s="58">
        <f>AQ295-(AQ295*((VLOOKUP(A295,[1]Plan!A$1:BD$804,56,FALSE)/100)))</f>
        <v>0</v>
      </c>
      <c r="AS295" s="20">
        <f>VLOOKUP(A295,'[1]PR Matrix'!A:B,2,FALSE)</f>
        <v>0</v>
      </c>
      <c r="AT295" s="21">
        <f>R295+T295+V295+X295+AB295+AD295+AF295+AH295+AL295+AN295+AP295+AR295</f>
        <v>0</v>
      </c>
      <c r="AU295" s="21">
        <f>Q295+S295+U295+W295+AA295+AC295+AE295+AG295+AK295+AM295+AO295+AQ295</f>
        <v>0</v>
      </c>
      <c r="AV295" s="21">
        <f>R295+AB295+AL295</f>
        <v>0</v>
      </c>
      <c r="AW295" s="21">
        <f>T295+AD295+AN295</f>
        <v>0</v>
      </c>
      <c r="AX295" s="21">
        <f>V295+AF295+AP295</f>
        <v>0</v>
      </c>
      <c r="AY295" s="21">
        <f>X295+AH295+AR295</f>
        <v>0</v>
      </c>
    </row>
    <row r="296" spans="1:51" hidden="1" x14ac:dyDescent="0.2">
      <c r="A296" s="70" t="s">
        <v>503</v>
      </c>
      <c r="B296" s="51" t="s">
        <v>208</v>
      </c>
      <c r="C296" s="51"/>
      <c r="D296" s="51"/>
      <c r="E296" s="52">
        <f>IF(G296="Y",VLOOKUP(B296&amp;"|"&amp;C296,'[1]ETC Data'!$C$2:$D$16,2,FALSE),0)</f>
        <v>0</v>
      </c>
      <c r="F296" s="52">
        <f>IF(D296="",0,IF(G296="Y",VLOOKUP(B296&amp;"|"&amp;D296,'[1]ETC Data'!$C$2:$D$16,2,FALSE),0))</f>
        <v>0</v>
      </c>
      <c r="G296" s="53" t="str">
        <f>IF(VLOOKUP(A296,[1]Plan!A$1:H$804,8,FALSE)&lt;&gt;"",VLOOKUP(A296,[1]Plan!A$1:H$804,8,FALSE),"")</f>
        <v>N</v>
      </c>
      <c r="H296" s="54" t="str">
        <f>IF(VLOOKUP(A296,[1]Plan!A$1:L$804,12,FALSE)&lt;&gt;"",VLOOKUP(A296,[1]Plan!A$1:L$804,12,FALSE),"")</f>
        <v/>
      </c>
      <c r="I296" s="55" t="str">
        <f>IF(VLOOKUP(A296,[1]Plan!A$1:M$804,13,FALSE)&lt;&gt;"",VLOOKUP(A296,[1]Plan!A$1:M$804,13,FALSE),"")</f>
        <v/>
      </c>
      <c r="J296" s="55" t="str">
        <f>IF(VLOOKUP(A296,[1]Plan!A$1:N$804,14,FALSE)&lt;&gt;"",VLOOKUP(A296,[1]Plan!A$1:N$804,14,FALSE),IF(VLOOKUP(A296,[1]Plan!A$1:O$804,15,FALSE)&lt;&gt;"",VLOOKUP(A296,[1]Plan!A$1:O$804,15,FALSE),""))</f>
        <v/>
      </c>
      <c r="K296" s="56" t="str">
        <f>IF(VLOOKUP(A296,[1]Plan!A$1:P$804,16,FALSE)&lt;&gt;"",VLOOKUP(A296,[1]Plan!A$1:P$804,16,FALSE),"")</f>
        <v/>
      </c>
      <c r="L296" s="55"/>
      <c r="M296" s="55"/>
      <c r="N296" s="55"/>
      <c r="O296" s="57">
        <f>IF(F296=0,E296,F296)</f>
        <v>0</v>
      </c>
      <c r="P296" s="57" t="b">
        <f>OR(H296="Y",I296="Y")</f>
        <v>0</v>
      </c>
      <c r="Q296" s="58">
        <f>IF(P296,O296*'[1]ETC Data'!$H$3*'[1]ETC Data'!$I$3,0)</f>
        <v>0</v>
      </c>
      <c r="R296" s="58">
        <f>Q296-(Q296*((VLOOKUP(A296,[1]Plan!A$1:Z$804,26,FALSE)/100)))</f>
        <v>0</v>
      </c>
      <c r="S296" s="58">
        <f>IF(P296,O296*'[1]ETC Data'!$H$3*'[1]ETC Data'!$J$3,0)</f>
        <v>0</v>
      </c>
      <c r="T296" s="58">
        <f>S296-(S296*((VLOOKUP(A296,[1]Plan!A$1:AA$804,27,FALSE)/100)))</f>
        <v>0</v>
      </c>
      <c r="U296" s="58">
        <f>IF(P296,O296*'[1]ETC Data'!$H$3*'[1]ETC Data'!$K$3,0)</f>
        <v>0</v>
      </c>
      <c r="V296" s="58">
        <f>U296-(U296*((VLOOKUP(A296,[1]Plan!A$1:AB$804,28,FALSE)/100)))</f>
        <v>0</v>
      </c>
      <c r="W296" s="58">
        <f>IF(P296,O296*'[1]ETC Data'!$H$3*'[1]ETC Data'!$L$3,0)</f>
        <v>0</v>
      </c>
      <c r="X296" s="58">
        <f>W296-(W296*((VLOOKUP(A296,[1]Plan!A$1:AC$804,29,FALSE)/100)))</f>
        <v>0</v>
      </c>
      <c r="Y296" s="59"/>
      <c r="Z296" s="60" t="b">
        <f>OR(H296="Y",J296="Y")</f>
        <v>0</v>
      </c>
      <c r="AA296" s="58">
        <f>IF(Z296,O296*'[1]ETC Data'!$H$4*'[1]ETC Data'!$I$4,0)</f>
        <v>0</v>
      </c>
      <c r="AB296" s="58">
        <f>AA296-(AA296*((VLOOKUP(A296,[1]Plan!A$1:AI$804,35,FALSE)/100)))</f>
        <v>0</v>
      </c>
      <c r="AC296" s="58">
        <f>IF(Z296,O296*'[1]ETC Data'!$H$4*'[1]ETC Data'!$J$4,0)</f>
        <v>0</v>
      </c>
      <c r="AD296" s="58">
        <f>AC296-(AC296*((VLOOKUP(A296,[1]Plan!A$1:AJ$804,36,FALSE)/100)))</f>
        <v>0</v>
      </c>
      <c r="AE296" s="58">
        <f>IF(Z296,O296*'[1]ETC Data'!$H$4*'[1]ETC Data'!$K$4,0)</f>
        <v>0</v>
      </c>
      <c r="AF296" s="58">
        <f>AE296-(AE296*((VLOOKUP(A296,[1]Plan!A$1:AK$804,37,FALSE)/100)))</f>
        <v>0</v>
      </c>
      <c r="AG296" s="58">
        <f>IF(Z296,O296*'[1]ETC Data'!$H$4*'[1]ETC Data'!$L$4,0)</f>
        <v>0</v>
      </c>
      <c r="AH296" s="58">
        <f>AG296-(AG296*((VLOOKUP(A296,[1]Plan!A$1:AP$804,42,FALSE)/100)))</f>
        <v>0</v>
      </c>
      <c r="AI296" s="60"/>
      <c r="AJ296" s="60" t="b">
        <f>OR(H296="Y",K296="Y")</f>
        <v>0</v>
      </c>
      <c r="AK296" s="61">
        <f>IF(AJ296,O296*'[1]ETC Data'!$H$5*'[1]ETC Data'!$I$5,0)</f>
        <v>0</v>
      </c>
      <c r="AL296" s="58">
        <f>AK296-(AK296*((VLOOKUP(A296,[1]Plan!A$1:AY$804,51,FALSE)/100)))</f>
        <v>0</v>
      </c>
      <c r="AM296" s="58">
        <f>IF(AJ296,O296*'[1]ETC Data'!$H$5*'[1]ETC Data'!$J$5,0)</f>
        <v>0</v>
      </c>
      <c r="AN296" s="58">
        <f>AM296-(AM296*((VLOOKUP(A296,[1]Plan!A$1:BA$804,53,FALSE)/100)))</f>
        <v>0</v>
      </c>
      <c r="AO296" s="61">
        <f>IF(AJ296,O296*'[1]ETC Data'!$H$5*'[1]ETC Data'!$K$5,0)</f>
        <v>0</v>
      </c>
      <c r="AP296" s="58">
        <f>AO296-(AO296*((VLOOKUP(A296,[1]Plan!A$1:BB$804,54,FALSE)/100)))</f>
        <v>0</v>
      </c>
      <c r="AQ296" s="58">
        <f>IF(AJ296,O296*'[1]ETC Data'!$H$5*'[1]ETC Data'!$L$5,0)</f>
        <v>0</v>
      </c>
      <c r="AR296" s="58">
        <f>AQ296-(AQ296*((VLOOKUP(A296,[1]Plan!A$1:BD$804,56,FALSE)/100)))</f>
        <v>0</v>
      </c>
      <c r="AS296" s="20">
        <f>VLOOKUP(A296,'[1]PR Matrix'!A:B,2,FALSE)</f>
        <v>0</v>
      </c>
      <c r="AT296" s="21">
        <f>R296+T296+V296+X296+AB296+AD296+AF296+AH296+AL296+AN296+AP296+AR296</f>
        <v>0</v>
      </c>
      <c r="AU296" s="21">
        <f>Q296+S296+U296+W296+AA296+AC296+AE296+AG296+AK296+AM296+AO296+AQ296</f>
        <v>0</v>
      </c>
      <c r="AV296" s="21">
        <f>R296+AB296+AL296</f>
        <v>0</v>
      </c>
      <c r="AW296" s="21">
        <f>T296+AD296+AN296</f>
        <v>0</v>
      </c>
      <c r="AX296" s="21">
        <f>V296+AF296+AP296</f>
        <v>0</v>
      </c>
      <c r="AY296" s="21">
        <f>X296+AH296+AR296</f>
        <v>0</v>
      </c>
    </row>
    <row r="297" spans="1:51" hidden="1" x14ac:dyDescent="0.2">
      <c r="A297" s="71" t="s">
        <v>504</v>
      </c>
      <c r="B297" s="51" t="s">
        <v>209</v>
      </c>
      <c r="C297" s="51"/>
      <c r="D297" s="51"/>
      <c r="E297" s="52">
        <f>IF(G297="Y",VLOOKUP(B297&amp;"|"&amp;C297,'[1]ETC Data'!$C$2:$D$16,2,FALSE),0)</f>
        <v>0</v>
      </c>
      <c r="F297" s="52">
        <f>IF(D297="",0,IF(G297="Y",VLOOKUP(B297&amp;"|"&amp;D297,'[1]ETC Data'!$C$2:$D$16,2,FALSE),0))</f>
        <v>0</v>
      </c>
      <c r="G297" s="53" t="str">
        <f>IF(VLOOKUP(A297,[1]Plan!A$1:H$804,8,FALSE)&lt;&gt;"",VLOOKUP(A297,[1]Plan!A$1:H$804,8,FALSE),"")</f>
        <v>N</v>
      </c>
      <c r="H297" s="54" t="str">
        <f>IF(VLOOKUP(A297,[1]Plan!A$1:L$804,12,FALSE)&lt;&gt;"",VLOOKUP(A297,[1]Plan!A$1:L$804,12,FALSE),"")</f>
        <v/>
      </c>
      <c r="I297" s="55" t="str">
        <f>IF(VLOOKUP(A297,[1]Plan!A$1:M$804,13,FALSE)&lt;&gt;"",VLOOKUP(A297,[1]Plan!A$1:M$804,13,FALSE),"")</f>
        <v/>
      </c>
      <c r="J297" s="55" t="str">
        <f>IF(VLOOKUP(A297,[1]Plan!A$1:N$804,14,FALSE)&lt;&gt;"",VLOOKUP(A297,[1]Plan!A$1:N$804,14,FALSE),IF(VLOOKUP(A297,[1]Plan!A$1:O$804,15,FALSE)&lt;&gt;"",VLOOKUP(A297,[1]Plan!A$1:O$804,15,FALSE),""))</f>
        <v/>
      </c>
      <c r="K297" s="56" t="str">
        <f>IF(VLOOKUP(A297,[1]Plan!A$1:P$804,16,FALSE)&lt;&gt;"",VLOOKUP(A297,[1]Plan!A$1:P$804,16,FALSE),"")</f>
        <v/>
      </c>
      <c r="L297" s="55"/>
      <c r="M297" s="55"/>
      <c r="N297" s="55"/>
      <c r="O297" s="57">
        <f>IF(F297=0,E297,F297)</f>
        <v>0</v>
      </c>
      <c r="P297" s="57" t="b">
        <f>OR(H297="Y",I297="Y")</f>
        <v>0</v>
      </c>
      <c r="Q297" s="58">
        <f>IF(P297,O297*'[1]ETC Data'!$H$3*'[1]ETC Data'!$I$3,0)</f>
        <v>0</v>
      </c>
      <c r="R297" s="58">
        <f>Q297-(Q297*((VLOOKUP(A297,[1]Plan!A$1:Z$804,26,FALSE)/100)))</f>
        <v>0</v>
      </c>
      <c r="S297" s="58">
        <f>IF(P297,O297*'[1]ETC Data'!$H$3*'[1]ETC Data'!$J$3,0)</f>
        <v>0</v>
      </c>
      <c r="T297" s="58">
        <f>S297-(S297*((VLOOKUP(A297,[1]Plan!A$1:AA$804,27,FALSE)/100)))</f>
        <v>0</v>
      </c>
      <c r="U297" s="58">
        <f>IF(P297,O297*'[1]ETC Data'!$H$3*'[1]ETC Data'!$K$3,0)</f>
        <v>0</v>
      </c>
      <c r="V297" s="58">
        <f>U297-(U297*((VLOOKUP(A297,[1]Plan!A$1:AB$804,28,FALSE)/100)))</f>
        <v>0</v>
      </c>
      <c r="W297" s="58">
        <f>IF(P297,O297*'[1]ETC Data'!$H$3*'[1]ETC Data'!$L$3,0)</f>
        <v>0</v>
      </c>
      <c r="X297" s="58">
        <f>W297-(W297*((VLOOKUP(A297,[1]Plan!A$1:AC$804,29,FALSE)/100)))</f>
        <v>0</v>
      </c>
      <c r="Y297" s="59"/>
      <c r="Z297" s="60" t="b">
        <f>OR(H297="Y",J297="Y")</f>
        <v>0</v>
      </c>
      <c r="AA297" s="58">
        <f>IF(Z297,O297*'[1]ETC Data'!$H$4*'[1]ETC Data'!$I$4,0)</f>
        <v>0</v>
      </c>
      <c r="AB297" s="58">
        <f>AA297-(AA297*((VLOOKUP(A297,[1]Plan!A$1:AI$804,35,FALSE)/100)))</f>
        <v>0</v>
      </c>
      <c r="AC297" s="58">
        <f>IF(Z297,O297*'[1]ETC Data'!$H$4*'[1]ETC Data'!$J$4,0)</f>
        <v>0</v>
      </c>
      <c r="AD297" s="58">
        <f>AC297-(AC297*((VLOOKUP(A297,[1]Plan!A$1:AJ$804,36,FALSE)/100)))</f>
        <v>0</v>
      </c>
      <c r="AE297" s="58">
        <f>IF(Z297,O297*'[1]ETC Data'!$H$4*'[1]ETC Data'!$K$4,0)</f>
        <v>0</v>
      </c>
      <c r="AF297" s="58">
        <f>AE297-(AE297*((VLOOKUP(A297,[1]Plan!A$1:AK$804,37,FALSE)/100)))</f>
        <v>0</v>
      </c>
      <c r="AG297" s="58">
        <f>IF(Z297,O297*'[1]ETC Data'!$H$4*'[1]ETC Data'!$L$4,0)</f>
        <v>0</v>
      </c>
      <c r="AH297" s="58">
        <f>AG297-(AG297*((VLOOKUP(A297,[1]Plan!A$1:AP$804,42,FALSE)/100)))</f>
        <v>0</v>
      </c>
      <c r="AI297" s="60"/>
      <c r="AJ297" s="60" t="b">
        <f>OR(H297="Y",K297="Y")</f>
        <v>0</v>
      </c>
      <c r="AK297" s="61">
        <f>IF(AJ297,O297*'[1]ETC Data'!$H$5*'[1]ETC Data'!$I$5,0)</f>
        <v>0</v>
      </c>
      <c r="AL297" s="58">
        <f>AK297-(AK297*((VLOOKUP(A297,[1]Plan!A$1:AY$804,51,FALSE)/100)))</f>
        <v>0</v>
      </c>
      <c r="AM297" s="58">
        <f>IF(AJ297,O297*'[1]ETC Data'!$H$5*'[1]ETC Data'!$J$5,0)</f>
        <v>0</v>
      </c>
      <c r="AN297" s="58">
        <f>AM297-(AM297*((VLOOKUP(A297,[1]Plan!A$1:BA$804,53,FALSE)/100)))</f>
        <v>0</v>
      </c>
      <c r="AO297" s="61">
        <f>IF(AJ297,O297*'[1]ETC Data'!$H$5*'[1]ETC Data'!$K$5,0)</f>
        <v>0</v>
      </c>
      <c r="AP297" s="58">
        <f>AO297-(AO297*((VLOOKUP(A297,[1]Plan!A$1:BB$804,54,FALSE)/100)))</f>
        <v>0</v>
      </c>
      <c r="AQ297" s="58">
        <f>IF(AJ297,O297*'[1]ETC Data'!$H$5*'[1]ETC Data'!$L$5,0)</f>
        <v>0</v>
      </c>
      <c r="AR297" s="58">
        <f>AQ297-(AQ297*((VLOOKUP(A297,[1]Plan!A$1:BD$804,56,FALSE)/100)))</f>
        <v>0</v>
      </c>
      <c r="AS297" s="20">
        <f>VLOOKUP(A297,'[1]PR Matrix'!A:B,2,FALSE)</f>
        <v>0</v>
      </c>
      <c r="AT297" s="21">
        <f>R297+T297+V297+X297+AB297+AD297+AF297+AH297+AL297+AN297+AP297+AR297</f>
        <v>0</v>
      </c>
      <c r="AU297" s="21">
        <f>Q297+S297+U297+W297+AA297+AC297+AE297+AG297+AK297+AM297+AO297+AQ297</f>
        <v>0</v>
      </c>
      <c r="AV297" s="21">
        <f>R297+AB297+AL297</f>
        <v>0</v>
      </c>
      <c r="AW297" s="21">
        <f>T297+AD297+AN297</f>
        <v>0</v>
      </c>
      <c r="AX297" s="21">
        <f>V297+AF297+AP297</f>
        <v>0</v>
      </c>
      <c r="AY297" s="21">
        <f>X297+AH297+AR297</f>
        <v>0</v>
      </c>
    </row>
    <row r="298" spans="1:51" hidden="1" x14ac:dyDescent="0.2">
      <c r="A298" s="65" t="s">
        <v>505</v>
      </c>
      <c r="B298" s="51" t="s">
        <v>208</v>
      </c>
      <c r="C298" s="51"/>
      <c r="D298" s="51"/>
      <c r="E298" s="52">
        <f>IF(G298="Y",VLOOKUP(B298&amp;"|"&amp;C298,'[1]ETC Data'!$C$2:$D$16,2,FALSE),0)</f>
        <v>0</v>
      </c>
      <c r="F298" s="52">
        <f>IF(D298="",0,IF(G298="Y",VLOOKUP(B298&amp;"|"&amp;D298,'[1]ETC Data'!$C$2:$D$16,2,FALSE),0))</f>
        <v>0</v>
      </c>
      <c r="G298" s="53" t="str">
        <f>IF(VLOOKUP(A298,[1]Plan!A$1:H$804,8,FALSE)&lt;&gt;"",VLOOKUP(A298,[1]Plan!A$1:H$804,8,FALSE),"")</f>
        <v>N</v>
      </c>
      <c r="H298" s="54" t="str">
        <f>IF(VLOOKUP(A298,[1]Plan!A$1:L$804,12,FALSE)&lt;&gt;"",VLOOKUP(A298,[1]Plan!A$1:L$804,12,FALSE),"")</f>
        <v/>
      </c>
      <c r="I298" s="55" t="str">
        <f>IF(VLOOKUP(A298,[1]Plan!A$1:M$804,13,FALSE)&lt;&gt;"",VLOOKUP(A298,[1]Plan!A$1:M$804,13,FALSE),"")</f>
        <v/>
      </c>
      <c r="J298" s="55" t="str">
        <f>IF(VLOOKUP(A298,[1]Plan!A$1:N$804,14,FALSE)&lt;&gt;"",VLOOKUP(A298,[1]Plan!A$1:N$804,14,FALSE),IF(VLOOKUP(A298,[1]Plan!A$1:O$804,15,FALSE)&lt;&gt;"",VLOOKUP(A298,[1]Plan!A$1:O$804,15,FALSE),""))</f>
        <v/>
      </c>
      <c r="K298" s="56" t="str">
        <f>IF(VLOOKUP(A298,[1]Plan!A$1:P$804,16,FALSE)&lt;&gt;"",VLOOKUP(A298,[1]Plan!A$1:P$804,16,FALSE),"")</f>
        <v/>
      </c>
      <c r="L298" s="55"/>
      <c r="M298" s="55"/>
      <c r="N298" s="55"/>
      <c r="O298" s="57">
        <f>IF(F298=0,E298,F298)</f>
        <v>0</v>
      </c>
      <c r="P298" s="57" t="b">
        <f>OR(H298="Y",I298="Y")</f>
        <v>0</v>
      </c>
      <c r="Q298" s="58">
        <f>IF(P298,O298*'[1]ETC Data'!$H$3*'[1]ETC Data'!$I$3,0)</f>
        <v>0</v>
      </c>
      <c r="R298" s="58">
        <f>Q298-(Q298*((VLOOKUP(A298,[1]Plan!A$1:Z$804,26,FALSE)/100)))</f>
        <v>0</v>
      </c>
      <c r="S298" s="58">
        <f>IF(P298,O298*'[1]ETC Data'!$H$3*'[1]ETC Data'!$J$3,0)</f>
        <v>0</v>
      </c>
      <c r="T298" s="58">
        <f>S298-(S298*((VLOOKUP(A298,[1]Plan!A$1:AA$804,27,FALSE)/100)))</f>
        <v>0</v>
      </c>
      <c r="U298" s="58">
        <f>IF(P298,O298*'[1]ETC Data'!$H$3*'[1]ETC Data'!$K$3,0)</f>
        <v>0</v>
      </c>
      <c r="V298" s="58">
        <f>U298-(U298*((VLOOKUP(A298,[1]Plan!A$1:AB$804,28,FALSE)/100)))</f>
        <v>0</v>
      </c>
      <c r="W298" s="58">
        <f>IF(P298,O298*'[1]ETC Data'!$H$3*'[1]ETC Data'!$L$3,0)</f>
        <v>0</v>
      </c>
      <c r="X298" s="58">
        <f>W298-(W298*((VLOOKUP(A298,[1]Plan!A$1:AC$804,29,FALSE)/100)))</f>
        <v>0</v>
      </c>
      <c r="Y298" s="59"/>
      <c r="Z298" s="60" t="b">
        <f>OR(H298="Y",J298="Y")</f>
        <v>0</v>
      </c>
      <c r="AA298" s="58">
        <f>IF(Z298,O298*'[1]ETC Data'!$H$4*'[1]ETC Data'!$I$4,0)</f>
        <v>0</v>
      </c>
      <c r="AB298" s="58">
        <f>AA298-(AA298*((VLOOKUP(A298,[1]Plan!A$1:AI$804,35,FALSE)/100)))</f>
        <v>0</v>
      </c>
      <c r="AC298" s="58">
        <f>IF(Z298,O298*'[1]ETC Data'!$H$4*'[1]ETC Data'!$J$4,0)</f>
        <v>0</v>
      </c>
      <c r="AD298" s="58">
        <f>AC298-(AC298*((VLOOKUP(A298,[1]Plan!A$1:AJ$804,36,FALSE)/100)))</f>
        <v>0</v>
      </c>
      <c r="AE298" s="58">
        <f>IF(Z298,O298*'[1]ETC Data'!$H$4*'[1]ETC Data'!$K$4,0)</f>
        <v>0</v>
      </c>
      <c r="AF298" s="58">
        <f>AE298-(AE298*((VLOOKUP(A298,[1]Plan!A$1:AK$804,37,FALSE)/100)))</f>
        <v>0</v>
      </c>
      <c r="AG298" s="58">
        <f>IF(Z298,O298*'[1]ETC Data'!$H$4*'[1]ETC Data'!$L$4,0)</f>
        <v>0</v>
      </c>
      <c r="AH298" s="58">
        <f>AG298-(AG298*((VLOOKUP(A298,[1]Plan!A$1:AP$804,42,FALSE)/100)))</f>
        <v>0</v>
      </c>
      <c r="AI298" s="60"/>
      <c r="AJ298" s="60" t="b">
        <f>OR(H298="Y",K298="Y")</f>
        <v>0</v>
      </c>
      <c r="AK298" s="61">
        <f>IF(AJ298,O298*'[1]ETC Data'!$H$5*'[1]ETC Data'!$I$5,0)</f>
        <v>0</v>
      </c>
      <c r="AL298" s="58">
        <f>AK298-(AK298*((VLOOKUP(A298,[1]Plan!A$1:AY$804,51,FALSE)/100)))</f>
        <v>0</v>
      </c>
      <c r="AM298" s="58">
        <f>IF(AJ298,O298*'[1]ETC Data'!$H$5*'[1]ETC Data'!$J$5,0)</f>
        <v>0</v>
      </c>
      <c r="AN298" s="58">
        <f>AM298-(AM298*((VLOOKUP(A298,[1]Plan!A$1:BA$804,53,FALSE)/100)))</f>
        <v>0</v>
      </c>
      <c r="AO298" s="61">
        <f>IF(AJ298,O298*'[1]ETC Data'!$H$5*'[1]ETC Data'!$K$5,0)</f>
        <v>0</v>
      </c>
      <c r="AP298" s="58">
        <f>AO298-(AO298*((VLOOKUP(A298,[1]Plan!A$1:BB$804,54,FALSE)/100)))</f>
        <v>0</v>
      </c>
      <c r="AQ298" s="58">
        <f>IF(AJ298,O298*'[1]ETC Data'!$H$5*'[1]ETC Data'!$L$5,0)</f>
        <v>0</v>
      </c>
      <c r="AR298" s="58">
        <f>AQ298-(AQ298*((VLOOKUP(A298,[1]Plan!A$1:BD$804,56,FALSE)/100)))</f>
        <v>0</v>
      </c>
      <c r="AS298" s="20">
        <f>VLOOKUP(A298,'[1]PR Matrix'!A:B,2,FALSE)</f>
        <v>0</v>
      </c>
      <c r="AT298" s="21">
        <f>R298+T298+V298+X298+AB298+AD298+AF298+AH298+AL298+AN298+AP298+AR298</f>
        <v>0</v>
      </c>
      <c r="AU298" s="21">
        <f>Q298+S298+U298+W298+AA298+AC298+AE298+AG298+AK298+AM298+AO298+AQ298</f>
        <v>0</v>
      </c>
      <c r="AV298" s="21">
        <f>R298+AB298+AL298</f>
        <v>0</v>
      </c>
      <c r="AW298" s="21">
        <f>T298+AD298+AN298</f>
        <v>0</v>
      </c>
      <c r="AX298" s="21">
        <f>V298+AF298+AP298</f>
        <v>0</v>
      </c>
      <c r="AY298" s="21">
        <f>X298+AH298+AR298</f>
        <v>0</v>
      </c>
    </row>
    <row r="299" spans="1:51" hidden="1" x14ac:dyDescent="0.2">
      <c r="A299" s="62" t="s">
        <v>506</v>
      </c>
      <c r="B299" s="51" t="s">
        <v>208</v>
      </c>
      <c r="C299" s="51"/>
      <c r="D299" s="51"/>
      <c r="E299" s="52">
        <f>IF(G299="Y",VLOOKUP(B299&amp;"|"&amp;C299,'[1]ETC Data'!$C$2:$D$16,2,FALSE),0)</f>
        <v>0</v>
      </c>
      <c r="F299" s="52">
        <f>IF(D299="",0,IF(G299="Y",VLOOKUP(B299&amp;"|"&amp;D299,'[1]ETC Data'!$C$2:$D$16,2,FALSE),0))</f>
        <v>0</v>
      </c>
      <c r="G299" s="53" t="str">
        <f>IF(VLOOKUP(A299,[1]Plan!A$1:H$804,8,FALSE)&lt;&gt;"",VLOOKUP(A299,[1]Plan!A$1:H$804,8,FALSE),"")</f>
        <v>N</v>
      </c>
      <c r="H299" s="54" t="str">
        <f>IF(VLOOKUP(A299,[1]Plan!A$1:L$804,12,FALSE)&lt;&gt;"",VLOOKUP(A299,[1]Plan!A$1:L$804,12,FALSE),"")</f>
        <v/>
      </c>
      <c r="I299" s="55" t="str">
        <f>IF(VLOOKUP(A299,[1]Plan!A$1:M$804,13,FALSE)&lt;&gt;"",VLOOKUP(A299,[1]Plan!A$1:M$804,13,FALSE),"")</f>
        <v/>
      </c>
      <c r="J299" s="55" t="str">
        <f>IF(VLOOKUP(A299,[1]Plan!A$1:N$804,14,FALSE)&lt;&gt;"",VLOOKUP(A299,[1]Plan!A$1:N$804,14,FALSE),IF(VLOOKUP(A299,[1]Plan!A$1:O$804,15,FALSE)&lt;&gt;"",VLOOKUP(A299,[1]Plan!A$1:O$804,15,FALSE),""))</f>
        <v/>
      </c>
      <c r="K299" s="56" t="str">
        <f>IF(VLOOKUP(A299,[1]Plan!A$1:P$804,16,FALSE)&lt;&gt;"",VLOOKUP(A299,[1]Plan!A$1:P$804,16,FALSE),"")</f>
        <v/>
      </c>
      <c r="L299" s="55"/>
      <c r="M299" s="55"/>
      <c r="N299" s="55"/>
      <c r="O299" s="57">
        <f>IF(F299=0,E299,F299)</f>
        <v>0</v>
      </c>
      <c r="P299" s="57" t="b">
        <f>OR(H299="Y",I299="Y")</f>
        <v>0</v>
      </c>
      <c r="Q299" s="58">
        <f>IF(P299,O299*'[1]ETC Data'!$H$3*'[1]ETC Data'!$I$3,0)</f>
        <v>0</v>
      </c>
      <c r="R299" s="58">
        <f>Q299-(Q299*((VLOOKUP(A299,[1]Plan!A$1:Z$804,26,FALSE)/100)))</f>
        <v>0</v>
      </c>
      <c r="S299" s="58">
        <f>IF(P299,O299*'[1]ETC Data'!$H$3*'[1]ETC Data'!$J$3,0)</f>
        <v>0</v>
      </c>
      <c r="T299" s="58">
        <f>S299-(S299*((VLOOKUP(A299,[1]Plan!A$1:AA$804,27,FALSE)/100)))</f>
        <v>0</v>
      </c>
      <c r="U299" s="58">
        <f>IF(P299,O299*'[1]ETC Data'!$H$3*'[1]ETC Data'!$K$3,0)</f>
        <v>0</v>
      </c>
      <c r="V299" s="58">
        <f>U299-(U299*((VLOOKUP(A299,[1]Plan!A$1:AB$804,28,FALSE)/100)))</f>
        <v>0</v>
      </c>
      <c r="W299" s="58">
        <f>IF(P299,O299*'[1]ETC Data'!$H$3*'[1]ETC Data'!$L$3,0)</f>
        <v>0</v>
      </c>
      <c r="X299" s="58">
        <f>W299-(W299*((VLOOKUP(A299,[1]Plan!A$1:AC$804,29,FALSE)/100)))</f>
        <v>0</v>
      </c>
      <c r="Y299" s="59"/>
      <c r="Z299" s="60" t="b">
        <f>OR(H299="Y",J299="Y")</f>
        <v>0</v>
      </c>
      <c r="AA299" s="58">
        <f>IF(Z299,O299*'[1]ETC Data'!$H$4*'[1]ETC Data'!$I$4,0)</f>
        <v>0</v>
      </c>
      <c r="AB299" s="58">
        <f>AA299-(AA299*((VLOOKUP(A299,[1]Plan!A$1:AI$804,35,FALSE)/100)))</f>
        <v>0</v>
      </c>
      <c r="AC299" s="58">
        <f>IF(Z299,O299*'[1]ETC Data'!$H$4*'[1]ETC Data'!$J$4,0)</f>
        <v>0</v>
      </c>
      <c r="AD299" s="58">
        <f>AC299-(AC299*((VLOOKUP(A299,[1]Plan!A$1:AJ$804,36,FALSE)/100)))</f>
        <v>0</v>
      </c>
      <c r="AE299" s="58">
        <f>IF(Z299,O299*'[1]ETC Data'!$H$4*'[1]ETC Data'!$K$4,0)</f>
        <v>0</v>
      </c>
      <c r="AF299" s="58">
        <f>AE299-(AE299*((VLOOKUP(A299,[1]Plan!A$1:AK$804,37,FALSE)/100)))</f>
        <v>0</v>
      </c>
      <c r="AG299" s="58">
        <f>IF(Z299,O299*'[1]ETC Data'!$H$4*'[1]ETC Data'!$L$4,0)</f>
        <v>0</v>
      </c>
      <c r="AH299" s="58">
        <f>AG299-(AG299*((VLOOKUP(A299,[1]Plan!A$1:AP$804,42,FALSE)/100)))</f>
        <v>0</v>
      </c>
      <c r="AI299" s="60"/>
      <c r="AJ299" s="60" t="b">
        <f>OR(H299="Y",K299="Y")</f>
        <v>0</v>
      </c>
      <c r="AK299" s="61">
        <f>IF(AJ299,O299*'[1]ETC Data'!$H$5*'[1]ETC Data'!$I$5,0)</f>
        <v>0</v>
      </c>
      <c r="AL299" s="58">
        <f>AK299-(AK299*((VLOOKUP(A299,[1]Plan!A$1:AY$804,51,FALSE)/100)))</f>
        <v>0</v>
      </c>
      <c r="AM299" s="58">
        <f>IF(AJ299,O299*'[1]ETC Data'!$H$5*'[1]ETC Data'!$J$5,0)</f>
        <v>0</v>
      </c>
      <c r="AN299" s="58">
        <f>AM299-(AM299*((VLOOKUP(A299,[1]Plan!A$1:BA$804,53,FALSE)/100)))</f>
        <v>0</v>
      </c>
      <c r="AO299" s="61">
        <f>IF(AJ299,O299*'[1]ETC Data'!$H$5*'[1]ETC Data'!$K$5,0)</f>
        <v>0</v>
      </c>
      <c r="AP299" s="58">
        <f>AO299-(AO299*((VLOOKUP(A299,[1]Plan!A$1:BB$804,54,FALSE)/100)))</f>
        <v>0</v>
      </c>
      <c r="AQ299" s="58">
        <f>IF(AJ299,O299*'[1]ETC Data'!$H$5*'[1]ETC Data'!$L$5,0)</f>
        <v>0</v>
      </c>
      <c r="AR299" s="58">
        <f>AQ299-(AQ299*((VLOOKUP(A299,[1]Plan!A$1:BD$804,56,FALSE)/100)))</f>
        <v>0</v>
      </c>
      <c r="AS299" s="20">
        <f>VLOOKUP(A299,'[1]PR Matrix'!A:B,2,FALSE)</f>
        <v>0</v>
      </c>
      <c r="AT299" s="21">
        <f>R299+T299+V299+X299+AB299+AD299+AF299+AH299+AL299+AN299+AP299+AR299</f>
        <v>0</v>
      </c>
      <c r="AU299" s="21">
        <f>Q299+S299+U299+W299+AA299+AC299+AE299+AG299+AK299+AM299+AO299+AQ299</f>
        <v>0</v>
      </c>
      <c r="AV299" s="21">
        <f>R299+AB299+AL299</f>
        <v>0</v>
      </c>
      <c r="AW299" s="21">
        <f>T299+AD299+AN299</f>
        <v>0</v>
      </c>
      <c r="AX299" s="21">
        <f>V299+AF299+AP299</f>
        <v>0</v>
      </c>
      <c r="AY299" s="21">
        <f>X299+AH299+AR299</f>
        <v>0</v>
      </c>
    </row>
    <row r="300" spans="1:51" hidden="1" x14ac:dyDescent="0.2">
      <c r="A300" s="70" t="s">
        <v>507</v>
      </c>
      <c r="B300" s="51" t="s">
        <v>208</v>
      </c>
      <c r="C300" s="51"/>
      <c r="D300" s="51"/>
      <c r="E300" s="52">
        <f>IF(G300="Y",VLOOKUP(B300&amp;"|"&amp;C300,'[1]ETC Data'!$C$2:$D$16,2,FALSE),0)</f>
        <v>0</v>
      </c>
      <c r="F300" s="52">
        <f>IF(D300="",0,IF(G300="Y",VLOOKUP(B300&amp;"|"&amp;D300,'[1]ETC Data'!$C$2:$D$16,2,FALSE),0))</f>
        <v>0</v>
      </c>
      <c r="G300" s="53" t="str">
        <f>IF(VLOOKUP(A300,[1]Plan!A$1:H$804,8,FALSE)&lt;&gt;"",VLOOKUP(A300,[1]Plan!A$1:H$804,8,FALSE),"")</f>
        <v>N</v>
      </c>
      <c r="H300" s="54" t="str">
        <f>IF(VLOOKUP(A300,[1]Plan!A$1:L$804,12,FALSE)&lt;&gt;"",VLOOKUP(A300,[1]Plan!A$1:L$804,12,FALSE),"")</f>
        <v/>
      </c>
      <c r="I300" s="55" t="str">
        <f>IF(VLOOKUP(A300,[1]Plan!A$1:M$804,13,FALSE)&lt;&gt;"",VLOOKUP(A300,[1]Plan!A$1:M$804,13,FALSE),"")</f>
        <v/>
      </c>
      <c r="J300" s="55" t="str">
        <f>IF(VLOOKUP(A300,[1]Plan!A$1:N$804,14,FALSE)&lt;&gt;"",VLOOKUP(A300,[1]Plan!A$1:N$804,14,FALSE),IF(VLOOKUP(A300,[1]Plan!A$1:O$804,15,FALSE)&lt;&gt;"",VLOOKUP(A300,[1]Plan!A$1:O$804,15,FALSE),""))</f>
        <v/>
      </c>
      <c r="K300" s="56" t="str">
        <f>IF(VLOOKUP(A300,[1]Plan!A$1:P$804,16,FALSE)&lt;&gt;"",VLOOKUP(A300,[1]Plan!A$1:P$804,16,FALSE),"")</f>
        <v/>
      </c>
      <c r="L300" s="55"/>
      <c r="M300" s="55"/>
      <c r="N300" s="55"/>
      <c r="O300" s="57">
        <f>IF(F300=0,E300,F300)</f>
        <v>0</v>
      </c>
      <c r="P300" s="57" t="b">
        <f>OR(H300="Y",I300="Y")</f>
        <v>0</v>
      </c>
      <c r="Q300" s="58">
        <f>IF(P300,O300*'[1]ETC Data'!$H$3*'[1]ETC Data'!$I$3,0)</f>
        <v>0</v>
      </c>
      <c r="R300" s="58">
        <f>Q300-(Q300*((VLOOKUP(A300,[1]Plan!A$1:Z$804,26,FALSE)/100)))</f>
        <v>0</v>
      </c>
      <c r="S300" s="58">
        <f>IF(P300,O300*'[1]ETC Data'!$H$3*'[1]ETC Data'!$J$3,0)</f>
        <v>0</v>
      </c>
      <c r="T300" s="58">
        <f>S300-(S300*((VLOOKUP(A300,[1]Plan!A$1:AA$804,27,FALSE)/100)))</f>
        <v>0</v>
      </c>
      <c r="U300" s="58">
        <f>IF(P300,O300*'[1]ETC Data'!$H$3*'[1]ETC Data'!$K$3,0)</f>
        <v>0</v>
      </c>
      <c r="V300" s="58">
        <f>U300-(U300*((VLOOKUP(A300,[1]Plan!A$1:AB$804,28,FALSE)/100)))</f>
        <v>0</v>
      </c>
      <c r="W300" s="58">
        <f>IF(P300,O300*'[1]ETC Data'!$H$3*'[1]ETC Data'!$L$3,0)</f>
        <v>0</v>
      </c>
      <c r="X300" s="58">
        <f>W300-(W300*((VLOOKUP(A300,[1]Plan!A$1:AC$804,29,FALSE)/100)))</f>
        <v>0</v>
      </c>
      <c r="Y300" s="59"/>
      <c r="Z300" s="60" t="b">
        <f>OR(H300="Y",J300="Y")</f>
        <v>0</v>
      </c>
      <c r="AA300" s="58">
        <f>IF(Z300,O300*'[1]ETC Data'!$H$4*'[1]ETC Data'!$I$4,0)</f>
        <v>0</v>
      </c>
      <c r="AB300" s="58">
        <f>AA300-(AA300*((VLOOKUP(A300,[1]Plan!A$1:AI$804,35,FALSE)/100)))</f>
        <v>0</v>
      </c>
      <c r="AC300" s="58">
        <f>IF(Z300,O300*'[1]ETC Data'!$H$4*'[1]ETC Data'!$J$4,0)</f>
        <v>0</v>
      </c>
      <c r="AD300" s="58">
        <f>AC300-(AC300*((VLOOKUP(A300,[1]Plan!A$1:AJ$804,36,FALSE)/100)))</f>
        <v>0</v>
      </c>
      <c r="AE300" s="58">
        <f>IF(Z300,O300*'[1]ETC Data'!$H$4*'[1]ETC Data'!$K$4,0)</f>
        <v>0</v>
      </c>
      <c r="AF300" s="58">
        <f>AE300-(AE300*((VLOOKUP(A300,[1]Plan!A$1:AK$804,37,FALSE)/100)))</f>
        <v>0</v>
      </c>
      <c r="AG300" s="58">
        <f>IF(Z300,O300*'[1]ETC Data'!$H$4*'[1]ETC Data'!$L$4,0)</f>
        <v>0</v>
      </c>
      <c r="AH300" s="58">
        <f>AG300-(AG300*((VLOOKUP(A300,[1]Plan!A$1:AP$804,42,FALSE)/100)))</f>
        <v>0</v>
      </c>
      <c r="AI300" s="60"/>
      <c r="AJ300" s="60" t="b">
        <f>OR(H300="Y",K300="Y")</f>
        <v>0</v>
      </c>
      <c r="AK300" s="61">
        <f>IF(AJ300,O300*'[1]ETC Data'!$H$5*'[1]ETC Data'!$I$5,0)</f>
        <v>0</v>
      </c>
      <c r="AL300" s="58">
        <f>AK300-(AK300*((VLOOKUP(A300,[1]Plan!A$1:AY$804,51,FALSE)/100)))</f>
        <v>0</v>
      </c>
      <c r="AM300" s="58">
        <f>IF(AJ300,O300*'[1]ETC Data'!$H$5*'[1]ETC Data'!$J$5,0)</f>
        <v>0</v>
      </c>
      <c r="AN300" s="58">
        <f>AM300-(AM300*((VLOOKUP(A300,[1]Plan!A$1:BA$804,53,FALSE)/100)))</f>
        <v>0</v>
      </c>
      <c r="AO300" s="61">
        <f>IF(AJ300,O300*'[1]ETC Data'!$H$5*'[1]ETC Data'!$K$5,0)</f>
        <v>0</v>
      </c>
      <c r="AP300" s="58">
        <f>AO300-(AO300*((VLOOKUP(A300,[1]Plan!A$1:BB$804,54,FALSE)/100)))</f>
        <v>0</v>
      </c>
      <c r="AQ300" s="58">
        <f>IF(AJ300,O300*'[1]ETC Data'!$H$5*'[1]ETC Data'!$L$5,0)</f>
        <v>0</v>
      </c>
      <c r="AR300" s="58">
        <f>AQ300-(AQ300*((VLOOKUP(A300,[1]Plan!A$1:BD$804,56,FALSE)/100)))</f>
        <v>0</v>
      </c>
      <c r="AS300" s="20">
        <f>VLOOKUP(A300,'[1]PR Matrix'!A:B,2,FALSE)</f>
        <v>0</v>
      </c>
      <c r="AT300" s="21">
        <f>R300+T300+V300+X300+AB300+AD300+AF300+AH300+AL300+AN300+AP300+AR300</f>
        <v>0</v>
      </c>
      <c r="AU300" s="21">
        <f>Q300+S300+U300+W300+AA300+AC300+AE300+AG300+AK300+AM300+AO300+AQ300</f>
        <v>0</v>
      </c>
      <c r="AV300" s="21">
        <f>R300+AB300+AL300</f>
        <v>0</v>
      </c>
      <c r="AW300" s="21">
        <f>T300+AD300+AN300</f>
        <v>0</v>
      </c>
      <c r="AX300" s="21">
        <f>V300+AF300+AP300</f>
        <v>0</v>
      </c>
      <c r="AY300" s="21">
        <f>X300+AH300+AR300</f>
        <v>0</v>
      </c>
    </row>
    <row r="301" spans="1:51" hidden="1" x14ac:dyDescent="0.2">
      <c r="A301" s="70" t="s">
        <v>508</v>
      </c>
      <c r="B301" s="51" t="s">
        <v>209</v>
      </c>
      <c r="C301" s="51"/>
      <c r="D301" s="51"/>
      <c r="E301" s="52">
        <f>IF(G301="Y",VLOOKUP(B301&amp;"|"&amp;C301,'[1]ETC Data'!$C$2:$D$16,2,FALSE),0)</f>
        <v>0</v>
      </c>
      <c r="F301" s="52">
        <f>IF(D301="",0,IF(G301="Y",VLOOKUP(B301&amp;"|"&amp;D301,'[1]ETC Data'!$C$2:$D$16,2,FALSE),0))</f>
        <v>0</v>
      </c>
      <c r="G301" s="53" t="str">
        <f>IF(VLOOKUP(A301,[1]Plan!A$1:H$804,8,FALSE)&lt;&gt;"",VLOOKUP(A301,[1]Plan!A$1:H$804,8,FALSE),"")</f>
        <v>N</v>
      </c>
      <c r="H301" s="54" t="str">
        <f>IF(VLOOKUP(A301,[1]Plan!A$1:L$804,12,FALSE)&lt;&gt;"",VLOOKUP(A301,[1]Plan!A$1:L$804,12,FALSE),"")</f>
        <v/>
      </c>
      <c r="I301" s="55" t="str">
        <f>IF(VLOOKUP(A301,[1]Plan!A$1:M$804,13,FALSE)&lt;&gt;"",VLOOKUP(A301,[1]Plan!A$1:M$804,13,FALSE),"")</f>
        <v/>
      </c>
      <c r="J301" s="55" t="str">
        <f>IF(VLOOKUP(A301,[1]Plan!A$1:N$804,14,FALSE)&lt;&gt;"",VLOOKUP(A301,[1]Plan!A$1:N$804,14,FALSE),IF(VLOOKUP(A301,[1]Plan!A$1:O$804,15,FALSE)&lt;&gt;"",VLOOKUP(A301,[1]Plan!A$1:O$804,15,FALSE),""))</f>
        <v/>
      </c>
      <c r="K301" s="56" t="str">
        <f>IF(VLOOKUP(A301,[1]Plan!A$1:P$804,16,FALSE)&lt;&gt;"",VLOOKUP(A301,[1]Plan!A$1:P$804,16,FALSE),"")</f>
        <v/>
      </c>
      <c r="L301" s="55"/>
      <c r="M301" s="55"/>
      <c r="N301" s="55"/>
      <c r="O301" s="57">
        <f>IF(F301=0,E301,F301)</f>
        <v>0</v>
      </c>
      <c r="P301" s="57" t="b">
        <f>OR(H301="Y",I301="Y")</f>
        <v>0</v>
      </c>
      <c r="Q301" s="58">
        <f>IF(P301,O301*'[1]ETC Data'!$H$3*'[1]ETC Data'!$I$3,0)</f>
        <v>0</v>
      </c>
      <c r="R301" s="58">
        <f>Q301-(Q301*((VLOOKUP(A301,[1]Plan!A$1:Z$804,26,FALSE)/100)))</f>
        <v>0</v>
      </c>
      <c r="S301" s="58">
        <f>IF(P301,O301*'[1]ETC Data'!$H$3*'[1]ETC Data'!$J$3,0)</f>
        <v>0</v>
      </c>
      <c r="T301" s="58">
        <f>S301-(S301*((VLOOKUP(A301,[1]Plan!A$1:AA$804,27,FALSE)/100)))</f>
        <v>0</v>
      </c>
      <c r="U301" s="58">
        <f>IF(P301,O301*'[1]ETC Data'!$H$3*'[1]ETC Data'!$K$3,0)</f>
        <v>0</v>
      </c>
      <c r="V301" s="58">
        <f>U301-(U301*((VLOOKUP(A301,[1]Plan!A$1:AB$804,28,FALSE)/100)))</f>
        <v>0</v>
      </c>
      <c r="W301" s="58">
        <f>IF(P301,O301*'[1]ETC Data'!$H$3*'[1]ETC Data'!$L$3,0)</f>
        <v>0</v>
      </c>
      <c r="X301" s="58">
        <f>W301-(W301*((VLOOKUP(A301,[1]Plan!A$1:AC$804,29,FALSE)/100)))</f>
        <v>0</v>
      </c>
      <c r="Y301" s="59"/>
      <c r="Z301" s="60" t="b">
        <f>OR(H301="Y",J301="Y")</f>
        <v>0</v>
      </c>
      <c r="AA301" s="58">
        <f>IF(Z301,O301*'[1]ETC Data'!$H$4*'[1]ETC Data'!$I$4,0)</f>
        <v>0</v>
      </c>
      <c r="AB301" s="58">
        <f>AA301-(AA301*((VLOOKUP(A301,[1]Plan!A$1:AI$804,35,FALSE)/100)))</f>
        <v>0</v>
      </c>
      <c r="AC301" s="58">
        <f>IF(Z301,O301*'[1]ETC Data'!$H$4*'[1]ETC Data'!$J$4,0)</f>
        <v>0</v>
      </c>
      <c r="AD301" s="58">
        <f>AC301-(AC301*((VLOOKUP(A301,[1]Plan!A$1:AJ$804,36,FALSE)/100)))</f>
        <v>0</v>
      </c>
      <c r="AE301" s="58">
        <f>IF(Z301,O301*'[1]ETC Data'!$H$4*'[1]ETC Data'!$K$4,0)</f>
        <v>0</v>
      </c>
      <c r="AF301" s="58">
        <f>AE301-(AE301*((VLOOKUP(A301,[1]Plan!A$1:AK$804,37,FALSE)/100)))</f>
        <v>0</v>
      </c>
      <c r="AG301" s="58">
        <f>IF(Z301,O301*'[1]ETC Data'!$H$4*'[1]ETC Data'!$L$4,0)</f>
        <v>0</v>
      </c>
      <c r="AH301" s="58">
        <f>AG301-(AG301*((VLOOKUP(A301,[1]Plan!A$1:AP$804,42,FALSE)/100)))</f>
        <v>0</v>
      </c>
      <c r="AI301" s="60"/>
      <c r="AJ301" s="60" t="b">
        <f>OR(H301="Y",K301="Y")</f>
        <v>0</v>
      </c>
      <c r="AK301" s="61">
        <f>IF(AJ301,O301*'[1]ETC Data'!$H$5*'[1]ETC Data'!$I$5,0)</f>
        <v>0</v>
      </c>
      <c r="AL301" s="58">
        <f>AK301-(AK301*((VLOOKUP(A301,[1]Plan!A$1:AY$804,51,FALSE)/100)))</f>
        <v>0</v>
      </c>
      <c r="AM301" s="58">
        <f>IF(AJ301,O301*'[1]ETC Data'!$H$5*'[1]ETC Data'!$J$5,0)</f>
        <v>0</v>
      </c>
      <c r="AN301" s="58">
        <f>AM301-(AM301*((VLOOKUP(A301,[1]Plan!A$1:BA$804,53,FALSE)/100)))</f>
        <v>0</v>
      </c>
      <c r="AO301" s="61">
        <f>IF(AJ301,O301*'[1]ETC Data'!$H$5*'[1]ETC Data'!$K$5,0)</f>
        <v>0</v>
      </c>
      <c r="AP301" s="58">
        <f>AO301-(AO301*((VLOOKUP(A301,[1]Plan!A$1:BB$804,54,FALSE)/100)))</f>
        <v>0</v>
      </c>
      <c r="AQ301" s="58">
        <f>IF(AJ301,O301*'[1]ETC Data'!$H$5*'[1]ETC Data'!$L$5,0)</f>
        <v>0</v>
      </c>
      <c r="AR301" s="58">
        <f>AQ301-(AQ301*((VLOOKUP(A301,[1]Plan!A$1:BD$804,56,FALSE)/100)))</f>
        <v>0</v>
      </c>
      <c r="AS301" s="20">
        <f>VLOOKUP(A301,'[1]PR Matrix'!A:B,2,FALSE)</f>
        <v>0</v>
      </c>
      <c r="AT301" s="21">
        <f>R301+T301+V301+X301+AB301+AD301+AF301+AH301+AL301+AN301+AP301+AR301</f>
        <v>0</v>
      </c>
      <c r="AU301" s="21">
        <f>Q301+S301+U301+W301+AA301+AC301+AE301+AG301+AK301+AM301+AO301+AQ301</f>
        <v>0</v>
      </c>
      <c r="AV301" s="21">
        <f>R301+AB301+AL301</f>
        <v>0</v>
      </c>
      <c r="AW301" s="21">
        <f>T301+AD301+AN301</f>
        <v>0</v>
      </c>
      <c r="AX301" s="21">
        <f>V301+AF301+AP301</f>
        <v>0</v>
      </c>
      <c r="AY301" s="21">
        <f>X301+AH301+AR301</f>
        <v>0</v>
      </c>
    </row>
    <row r="302" spans="1:51" hidden="1" x14ac:dyDescent="0.2">
      <c r="A302" s="70" t="s">
        <v>509</v>
      </c>
      <c r="B302" s="51" t="s">
        <v>209</v>
      </c>
      <c r="C302" s="51"/>
      <c r="D302" s="51"/>
      <c r="E302" s="52">
        <f>IF(G302="Y",VLOOKUP(B302&amp;"|"&amp;C302,'[1]ETC Data'!$C$2:$D$16,2,FALSE),0)</f>
        <v>0</v>
      </c>
      <c r="F302" s="52">
        <f>IF(D302="",0,IF(G302="Y",VLOOKUP(B302&amp;"|"&amp;D302,'[1]ETC Data'!$C$2:$D$16,2,FALSE),0))</f>
        <v>0</v>
      </c>
      <c r="G302" s="53" t="str">
        <f>IF(VLOOKUP(A302,[1]Plan!A$1:H$804,8,FALSE)&lt;&gt;"",VLOOKUP(A302,[1]Plan!A$1:H$804,8,FALSE),"")</f>
        <v>N</v>
      </c>
      <c r="H302" s="54" t="str">
        <f>IF(VLOOKUP(A302,[1]Plan!A$1:L$804,12,FALSE)&lt;&gt;"",VLOOKUP(A302,[1]Plan!A$1:L$804,12,FALSE),"")</f>
        <v/>
      </c>
      <c r="I302" s="55" t="str">
        <f>IF(VLOOKUP(A302,[1]Plan!A$1:M$804,13,FALSE)&lt;&gt;"",VLOOKUP(A302,[1]Plan!A$1:M$804,13,FALSE),"")</f>
        <v/>
      </c>
      <c r="J302" s="55" t="str">
        <f>IF(VLOOKUP(A302,[1]Plan!A$1:N$804,14,FALSE)&lt;&gt;"",VLOOKUP(A302,[1]Plan!A$1:N$804,14,FALSE),IF(VLOOKUP(A302,[1]Plan!A$1:O$804,15,FALSE)&lt;&gt;"",VLOOKUP(A302,[1]Plan!A$1:O$804,15,FALSE),""))</f>
        <v/>
      </c>
      <c r="K302" s="56" t="str">
        <f>IF(VLOOKUP(A302,[1]Plan!A$1:P$804,16,FALSE)&lt;&gt;"",VLOOKUP(A302,[1]Plan!A$1:P$804,16,FALSE),"")</f>
        <v/>
      </c>
      <c r="L302" s="55"/>
      <c r="M302" s="55"/>
      <c r="N302" s="55"/>
      <c r="O302" s="57">
        <f>IF(F302=0,E302,F302)</f>
        <v>0</v>
      </c>
      <c r="P302" s="57" t="b">
        <f>OR(H302="Y",I302="Y")</f>
        <v>0</v>
      </c>
      <c r="Q302" s="58">
        <f>IF(P302,O302*'[1]ETC Data'!$H$3*'[1]ETC Data'!$I$3,0)</f>
        <v>0</v>
      </c>
      <c r="R302" s="58">
        <f>Q302-(Q302*((VLOOKUP(A302,[1]Plan!A$1:Z$804,26,FALSE)/100)))</f>
        <v>0</v>
      </c>
      <c r="S302" s="58">
        <f>IF(P302,O302*'[1]ETC Data'!$H$3*'[1]ETC Data'!$J$3,0)</f>
        <v>0</v>
      </c>
      <c r="T302" s="58">
        <f>S302-(S302*((VLOOKUP(A302,[1]Plan!A$1:AA$804,27,FALSE)/100)))</f>
        <v>0</v>
      </c>
      <c r="U302" s="58">
        <f>IF(P302,O302*'[1]ETC Data'!$H$3*'[1]ETC Data'!$K$3,0)</f>
        <v>0</v>
      </c>
      <c r="V302" s="58">
        <f>U302-(U302*((VLOOKUP(A302,[1]Plan!A$1:AB$804,28,FALSE)/100)))</f>
        <v>0</v>
      </c>
      <c r="W302" s="58">
        <f>IF(P302,O302*'[1]ETC Data'!$H$3*'[1]ETC Data'!$L$3,0)</f>
        <v>0</v>
      </c>
      <c r="X302" s="58">
        <f>W302-(W302*((VLOOKUP(A302,[1]Plan!A$1:AC$804,29,FALSE)/100)))</f>
        <v>0</v>
      </c>
      <c r="Y302" s="59"/>
      <c r="Z302" s="60" t="b">
        <f>OR(H302="Y",J302="Y")</f>
        <v>0</v>
      </c>
      <c r="AA302" s="58">
        <f>IF(Z302,O302*'[1]ETC Data'!$H$4*'[1]ETC Data'!$I$4,0)</f>
        <v>0</v>
      </c>
      <c r="AB302" s="58">
        <f>AA302-(AA302*((VLOOKUP(A302,[1]Plan!A$1:AI$804,35,FALSE)/100)))</f>
        <v>0</v>
      </c>
      <c r="AC302" s="58">
        <f>IF(Z302,O302*'[1]ETC Data'!$H$4*'[1]ETC Data'!$J$4,0)</f>
        <v>0</v>
      </c>
      <c r="AD302" s="58">
        <f>AC302-(AC302*((VLOOKUP(A302,[1]Plan!A$1:AJ$804,36,FALSE)/100)))</f>
        <v>0</v>
      </c>
      <c r="AE302" s="58">
        <f>IF(Z302,O302*'[1]ETC Data'!$H$4*'[1]ETC Data'!$K$4,0)</f>
        <v>0</v>
      </c>
      <c r="AF302" s="58">
        <f>AE302-(AE302*((VLOOKUP(A302,[1]Plan!A$1:AK$804,37,FALSE)/100)))</f>
        <v>0</v>
      </c>
      <c r="AG302" s="58">
        <f>IF(Z302,O302*'[1]ETC Data'!$H$4*'[1]ETC Data'!$L$4,0)</f>
        <v>0</v>
      </c>
      <c r="AH302" s="58">
        <f>AG302-(AG302*((VLOOKUP(A302,[1]Plan!A$1:AP$804,42,FALSE)/100)))</f>
        <v>0</v>
      </c>
      <c r="AI302" s="60"/>
      <c r="AJ302" s="60" t="b">
        <f>OR(H302="Y",K302="Y")</f>
        <v>0</v>
      </c>
      <c r="AK302" s="61">
        <f>IF(AJ302,O302*'[1]ETC Data'!$H$5*'[1]ETC Data'!$I$5,0)</f>
        <v>0</v>
      </c>
      <c r="AL302" s="58">
        <f>AK302-(AK302*((VLOOKUP(A302,[1]Plan!A$1:AY$804,51,FALSE)/100)))</f>
        <v>0</v>
      </c>
      <c r="AM302" s="58">
        <f>IF(AJ302,O302*'[1]ETC Data'!$H$5*'[1]ETC Data'!$J$5,0)</f>
        <v>0</v>
      </c>
      <c r="AN302" s="58">
        <f>AM302-(AM302*((VLOOKUP(A302,[1]Plan!A$1:BA$804,53,FALSE)/100)))</f>
        <v>0</v>
      </c>
      <c r="AO302" s="61">
        <f>IF(AJ302,O302*'[1]ETC Data'!$H$5*'[1]ETC Data'!$K$5,0)</f>
        <v>0</v>
      </c>
      <c r="AP302" s="58">
        <f>AO302-(AO302*((VLOOKUP(A302,[1]Plan!A$1:BB$804,54,FALSE)/100)))</f>
        <v>0</v>
      </c>
      <c r="AQ302" s="58">
        <f>IF(AJ302,O302*'[1]ETC Data'!$H$5*'[1]ETC Data'!$L$5,0)</f>
        <v>0</v>
      </c>
      <c r="AR302" s="58">
        <f>AQ302-(AQ302*((VLOOKUP(A302,[1]Plan!A$1:BD$804,56,FALSE)/100)))</f>
        <v>0</v>
      </c>
      <c r="AS302" s="20">
        <f>VLOOKUP(A302,'[1]PR Matrix'!A:B,2,FALSE)</f>
        <v>0</v>
      </c>
      <c r="AT302" s="21">
        <f>R302+T302+V302+X302+AB302+AD302+AF302+AH302+AL302+AN302+AP302+AR302</f>
        <v>0</v>
      </c>
      <c r="AU302" s="21">
        <f>Q302+S302+U302+W302+AA302+AC302+AE302+AG302+AK302+AM302+AO302+AQ302</f>
        <v>0</v>
      </c>
      <c r="AV302" s="21">
        <f>R302+AB302+AL302</f>
        <v>0</v>
      </c>
      <c r="AW302" s="21">
        <f>T302+AD302+AN302</f>
        <v>0</v>
      </c>
      <c r="AX302" s="21">
        <f>V302+AF302+AP302</f>
        <v>0</v>
      </c>
      <c r="AY302" s="21">
        <f>X302+AH302+AR302</f>
        <v>0</v>
      </c>
    </row>
    <row r="303" spans="1:51" hidden="1" x14ac:dyDescent="0.2">
      <c r="A303" s="70" t="s">
        <v>510</v>
      </c>
      <c r="B303" s="51" t="s">
        <v>208</v>
      </c>
      <c r="C303" s="51"/>
      <c r="D303" s="51"/>
      <c r="E303" s="52">
        <f>IF(G303="Y",VLOOKUP(B303&amp;"|"&amp;C303,'[1]ETC Data'!$C$2:$D$16,2,FALSE),0)</f>
        <v>0</v>
      </c>
      <c r="F303" s="52">
        <f>IF(D303="",0,IF(G303="Y",VLOOKUP(B303&amp;"|"&amp;D303,'[1]ETC Data'!$C$2:$D$16,2,FALSE),0))</f>
        <v>0</v>
      </c>
      <c r="G303" s="53" t="str">
        <f>IF(VLOOKUP(A303,[1]Plan!A$1:H$804,8,FALSE)&lt;&gt;"",VLOOKUP(A303,[1]Plan!A$1:H$804,8,FALSE),"")</f>
        <v>N</v>
      </c>
      <c r="H303" s="54" t="str">
        <f>IF(VLOOKUP(A303,[1]Plan!A$1:L$804,12,FALSE)&lt;&gt;"",VLOOKUP(A303,[1]Plan!A$1:L$804,12,FALSE),"")</f>
        <v/>
      </c>
      <c r="I303" s="55" t="str">
        <f>IF(VLOOKUP(A303,[1]Plan!A$1:M$804,13,FALSE)&lt;&gt;"",VLOOKUP(A303,[1]Plan!A$1:M$804,13,FALSE),"")</f>
        <v/>
      </c>
      <c r="J303" s="55" t="str">
        <f>IF(VLOOKUP(A303,[1]Plan!A$1:N$804,14,FALSE)&lt;&gt;"",VLOOKUP(A303,[1]Plan!A$1:N$804,14,FALSE),IF(VLOOKUP(A303,[1]Plan!A$1:O$804,15,FALSE)&lt;&gt;"",VLOOKUP(A303,[1]Plan!A$1:O$804,15,FALSE),""))</f>
        <v/>
      </c>
      <c r="K303" s="56" t="str">
        <f>IF(VLOOKUP(A303,[1]Plan!A$1:P$804,16,FALSE)&lt;&gt;"",VLOOKUP(A303,[1]Plan!A$1:P$804,16,FALSE),"")</f>
        <v/>
      </c>
      <c r="L303" s="55"/>
      <c r="M303" s="55"/>
      <c r="N303" s="55"/>
      <c r="O303" s="57">
        <f>IF(F303=0,E303,F303)</f>
        <v>0</v>
      </c>
      <c r="P303" s="57" t="b">
        <f>OR(H303="Y",I303="Y")</f>
        <v>0</v>
      </c>
      <c r="Q303" s="58">
        <f>IF(P303,O303*'[1]ETC Data'!$H$3*'[1]ETC Data'!$I$3,0)</f>
        <v>0</v>
      </c>
      <c r="R303" s="58">
        <f>Q303-(Q303*((VLOOKUP(A303,[1]Plan!A$1:Z$804,26,FALSE)/100)))</f>
        <v>0</v>
      </c>
      <c r="S303" s="58">
        <f>IF(P303,O303*'[1]ETC Data'!$H$3*'[1]ETC Data'!$J$3,0)</f>
        <v>0</v>
      </c>
      <c r="T303" s="58">
        <f>S303-(S303*((VLOOKUP(A303,[1]Plan!A$1:AA$804,27,FALSE)/100)))</f>
        <v>0</v>
      </c>
      <c r="U303" s="58">
        <f>IF(P303,O303*'[1]ETC Data'!$H$3*'[1]ETC Data'!$K$3,0)</f>
        <v>0</v>
      </c>
      <c r="V303" s="58">
        <f>U303-(U303*((VLOOKUP(A303,[1]Plan!A$1:AB$804,28,FALSE)/100)))</f>
        <v>0</v>
      </c>
      <c r="W303" s="58">
        <f>IF(P303,O303*'[1]ETC Data'!$H$3*'[1]ETC Data'!$L$3,0)</f>
        <v>0</v>
      </c>
      <c r="X303" s="58">
        <f>W303-(W303*((VLOOKUP(A303,[1]Plan!A$1:AC$804,29,FALSE)/100)))</f>
        <v>0</v>
      </c>
      <c r="Y303" s="59"/>
      <c r="Z303" s="60" t="b">
        <f>OR(H303="Y",J303="Y")</f>
        <v>0</v>
      </c>
      <c r="AA303" s="58">
        <f>IF(Z303,O303*'[1]ETC Data'!$H$4*'[1]ETC Data'!$I$4,0)</f>
        <v>0</v>
      </c>
      <c r="AB303" s="58">
        <f>AA303-(AA303*((VLOOKUP(A303,[1]Plan!A$1:AI$804,35,FALSE)/100)))</f>
        <v>0</v>
      </c>
      <c r="AC303" s="58">
        <f>IF(Z303,O303*'[1]ETC Data'!$H$4*'[1]ETC Data'!$J$4,0)</f>
        <v>0</v>
      </c>
      <c r="AD303" s="58">
        <f>AC303-(AC303*((VLOOKUP(A303,[1]Plan!A$1:AJ$804,36,FALSE)/100)))</f>
        <v>0</v>
      </c>
      <c r="AE303" s="58">
        <f>IF(Z303,O303*'[1]ETC Data'!$H$4*'[1]ETC Data'!$K$4,0)</f>
        <v>0</v>
      </c>
      <c r="AF303" s="58">
        <f>AE303-(AE303*((VLOOKUP(A303,[1]Plan!A$1:AK$804,37,FALSE)/100)))</f>
        <v>0</v>
      </c>
      <c r="AG303" s="58">
        <f>IF(Z303,O303*'[1]ETC Data'!$H$4*'[1]ETC Data'!$L$4,0)</f>
        <v>0</v>
      </c>
      <c r="AH303" s="58">
        <f>AG303-(AG303*((VLOOKUP(A303,[1]Plan!A$1:AP$804,42,FALSE)/100)))</f>
        <v>0</v>
      </c>
      <c r="AI303" s="60"/>
      <c r="AJ303" s="60" t="b">
        <f>OR(H303="Y",K303="Y")</f>
        <v>0</v>
      </c>
      <c r="AK303" s="61">
        <f>IF(AJ303,O303*'[1]ETC Data'!$H$5*'[1]ETC Data'!$I$5,0)</f>
        <v>0</v>
      </c>
      <c r="AL303" s="58">
        <f>AK303-(AK303*((VLOOKUP(A303,[1]Plan!A$1:AY$804,51,FALSE)/100)))</f>
        <v>0</v>
      </c>
      <c r="AM303" s="58">
        <f>IF(AJ303,O303*'[1]ETC Data'!$H$5*'[1]ETC Data'!$J$5,0)</f>
        <v>0</v>
      </c>
      <c r="AN303" s="58">
        <f>AM303-(AM303*((VLOOKUP(A303,[1]Plan!A$1:BA$804,53,FALSE)/100)))</f>
        <v>0</v>
      </c>
      <c r="AO303" s="61">
        <f>IF(AJ303,O303*'[1]ETC Data'!$H$5*'[1]ETC Data'!$K$5,0)</f>
        <v>0</v>
      </c>
      <c r="AP303" s="58">
        <f>AO303-(AO303*((VLOOKUP(A303,[1]Plan!A$1:BB$804,54,FALSE)/100)))</f>
        <v>0</v>
      </c>
      <c r="AQ303" s="58">
        <f>IF(AJ303,O303*'[1]ETC Data'!$H$5*'[1]ETC Data'!$L$5,0)</f>
        <v>0</v>
      </c>
      <c r="AR303" s="58">
        <f>AQ303-(AQ303*((VLOOKUP(A303,[1]Plan!A$1:BD$804,56,FALSE)/100)))</f>
        <v>0</v>
      </c>
      <c r="AS303" s="20">
        <f>VLOOKUP(A303,'[1]PR Matrix'!A:B,2,FALSE)</f>
        <v>0</v>
      </c>
      <c r="AT303" s="21">
        <f>R303+T303+V303+X303+AB303+AD303+AF303+AH303+AL303+AN303+AP303+AR303</f>
        <v>0</v>
      </c>
      <c r="AU303" s="21">
        <f>Q303+S303+U303+W303+AA303+AC303+AE303+AG303+AK303+AM303+AO303+AQ303</f>
        <v>0</v>
      </c>
      <c r="AV303" s="21">
        <f>R303+AB303+AL303</f>
        <v>0</v>
      </c>
      <c r="AW303" s="21">
        <f>T303+AD303+AN303</f>
        <v>0</v>
      </c>
      <c r="AX303" s="21">
        <f>V303+AF303+AP303</f>
        <v>0</v>
      </c>
      <c r="AY303" s="21">
        <f>X303+AH303+AR303</f>
        <v>0</v>
      </c>
    </row>
    <row r="304" spans="1:51" hidden="1" x14ac:dyDescent="0.2">
      <c r="A304" s="70" t="s">
        <v>511</v>
      </c>
      <c r="B304" s="51" t="s">
        <v>208</v>
      </c>
      <c r="C304" s="51"/>
      <c r="D304" s="51"/>
      <c r="E304" s="52">
        <f>IF(G304="Y",VLOOKUP(B304&amp;"|"&amp;C304,'[1]ETC Data'!$C$2:$D$16,2,FALSE),0)</f>
        <v>0</v>
      </c>
      <c r="F304" s="52">
        <f>IF(D304="",0,IF(G304="Y",VLOOKUP(B304&amp;"|"&amp;D304,'[1]ETC Data'!$C$2:$D$16,2,FALSE),0))</f>
        <v>0</v>
      </c>
      <c r="G304" s="53" t="str">
        <f>IF(VLOOKUP(A304,[1]Plan!A$1:H$804,8,FALSE)&lt;&gt;"",VLOOKUP(A304,[1]Plan!A$1:H$804,8,FALSE),"")</f>
        <v>N</v>
      </c>
      <c r="H304" s="54" t="str">
        <f>IF(VLOOKUP(A304,[1]Plan!A$1:L$804,12,FALSE)&lt;&gt;"",VLOOKUP(A304,[1]Plan!A$1:L$804,12,FALSE),"")</f>
        <v/>
      </c>
      <c r="I304" s="55" t="str">
        <f>IF(VLOOKUP(A304,[1]Plan!A$1:M$804,13,FALSE)&lt;&gt;"",VLOOKUP(A304,[1]Plan!A$1:M$804,13,FALSE),"")</f>
        <v/>
      </c>
      <c r="J304" s="55" t="str">
        <f>IF(VLOOKUP(A304,[1]Plan!A$1:N$804,14,FALSE)&lt;&gt;"",VLOOKUP(A304,[1]Plan!A$1:N$804,14,FALSE),IF(VLOOKUP(A304,[1]Plan!A$1:O$804,15,FALSE)&lt;&gt;"",VLOOKUP(A304,[1]Plan!A$1:O$804,15,FALSE),""))</f>
        <v/>
      </c>
      <c r="K304" s="56" t="str">
        <f>IF(VLOOKUP(A304,[1]Plan!A$1:P$804,16,FALSE)&lt;&gt;"",VLOOKUP(A304,[1]Plan!A$1:P$804,16,FALSE),"")</f>
        <v/>
      </c>
      <c r="L304" s="55"/>
      <c r="M304" s="55"/>
      <c r="N304" s="55"/>
      <c r="O304" s="57">
        <f>IF(F304=0,E304,F304)</f>
        <v>0</v>
      </c>
      <c r="P304" s="57" t="b">
        <f>OR(H304="Y",I304="Y")</f>
        <v>0</v>
      </c>
      <c r="Q304" s="58">
        <f>IF(P304,O304*'[1]ETC Data'!$H$3*'[1]ETC Data'!$I$3,0)</f>
        <v>0</v>
      </c>
      <c r="R304" s="58">
        <f>Q304-(Q304*((VLOOKUP(A304,[1]Plan!A$1:Z$804,26,FALSE)/100)))</f>
        <v>0</v>
      </c>
      <c r="S304" s="58">
        <f>IF(P304,O304*'[1]ETC Data'!$H$3*'[1]ETC Data'!$J$3,0)</f>
        <v>0</v>
      </c>
      <c r="T304" s="58">
        <f>S304-(S304*((VLOOKUP(A304,[1]Plan!A$1:AA$804,27,FALSE)/100)))</f>
        <v>0</v>
      </c>
      <c r="U304" s="58">
        <f>IF(P304,O304*'[1]ETC Data'!$H$3*'[1]ETC Data'!$K$3,0)</f>
        <v>0</v>
      </c>
      <c r="V304" s="58">
        <f>U304-(U304*((VLOOKUP(A304,[1]Plan!A$1:AB$804,28,FALSE)/100)))</f>
        <v>0</v>
      </c>
      <c r="W304" s="58">
        <f>IF(P304,O304*'[1]ETC Data'!$H$3*'[1]ETC Data'!$L$3,0)</f>
        <v>0</v>
      </c>
      <c r="X304" s="58">
        <f>W304-(W304*((VLOOKUP(A304,[1]Plan!A$1:AC$804,29,FALSE)/100)))</f>
        <v>0</v>
      </c>
      <c r="Y304" s="59"/>
      <c r="Z304" s="60" t="b">
        <f>OR(H304="Y",J304="Y")</f>
        <v>0</v>
      </c>
      <c r="AA304" s="58">
        <f>IF(Z304,O304*'[1]ETC Data'!$H$4*'[1]ETC Data'!$I$4,0)</f>
        <v>0</v>
      </c>
      <c r="AB304" s="58">
        <f>AA304-(AA304*((VLOOKUP(A304,[1]Plan!A$1:AI$804,35,FALSE)/100)))</f>
        <v>0</v>
      </c>
      <c r="AC304" s="58">
        <f>IF(Z304,O304*'[1]ETC Data'!$H$4*'[1]ETC Data'!$J$4,0)</f>
        <v>0</v>
      </c>
      <c r="AD304" s="58">
        <f>AC304-(AC304*((VLOOKUP(A304,[1]Plan!A$1:AJ$804,36,FALSE)/100)))</f>
        <v>0</v>
      </c>
      <c r="AE304" s="58">
        <f>IF(Z304,O304*'[1]ETC Data'!$H$4*'[1]ETC Data'!$K$4,0)</f>
        <v>0</v>
      </c>
      <c r="AF304" s="58">
        <f>AE304-(AE304*((VLOOKUP(A304,[1]Plan!A$1:AK$804,37,FALSE)/100)))</f>
        <v>0</v>
      </c>
      <c r="AG304" s="58">
        <f>IF(Z304,O304*'[1]ETC Data'!$H$4*'[1]ETC Data'!$L$4,0)</f>
        <v>0</v>
      </c>
      <c r="AH304" s="58">
        <f>AG304-(AG304*((VLOOKUP(A304,[1]Plan!A$1:AP$804,42,FALSE)/100)))</f>
        <v>0</v>
      </c>
      <c r="AI304" s="60"/>
      <c r="AJ304" s="60" t="b">
        <f>OR(H304="Y",K304="Y")</f>
        <v>0</v>
      </c>
      <c r="AK304" s="61">
        <f>IF(AJ304,O304*'[1]ETC Data'!$H$5*'[1]ETC Data'!$I$5,0)</f>
        <v>0</v>
      </c>
      <c r="AL304" s="58">
        <f>AK304-(AK304*((VLOOKUP(A304,[1]Plan!A$1:AY$804,51,FALSE)/100)))</f>
        <v>0</v>
      </c>
      <c r="AM304" s="58">
        <f>IF(AJ304,O304*'[1]ETC Data'!$H$5*'[1]ETC Data'!$J$5,0)</f>
        <v>0</v>
      </c>
      <c r="AN304" s="58">
        <f>AM304-(AM304*((VLOOKUP(A304,[1]Plan!A$1:BA$804,53,FALSE)/100)))</f>
        <v>0</v>
      </c>
      <c r="AO304" s="61">
        <f>IF(AJ304,O304*'[1]ETC Data'!$H$5*'[1]ETC Data'!$K$5,0)</f>
        <v>0</v>
      </c>
      <c r="AP304" s="58">
        <f>AO304-(AO304*((VLOOKUP(A304,[1]Plan!A$1:BB$804,54,FALSE)/100)))</f>
        <v>0</v>
      </c>
      <c r="AQ304" s="58">
        <f>IF(AJ304,O304*'[1]ETC Data'!$H$5*'[1]ETC Data'!$L$5,0)</f>
        <v>0</v>
      </c>
      <c r="AR304" s="58">
        <f>AQ304-(AQ304*((VLOOKUP(A304,[1]Plan!A$1:BD$804,56,FALSE)/100)))</f>
        <v>0</v>
      </c>
      <c r="AS304" s="20">
        <f>VLOOKUP(A304,'[1]PR Matrix'!A:B,2,FALSE)</f>
        <v>0</v>
      </c>
      <c r="AT304" s="21">
        <f>R304+T304+V304+X304+AB304+AD304+AF304+AH304+AL304+AN304+AP304+AR304</f>
        <v>0</v>
      </c>
      <c r="AU304" s="21">
        <f>Q304+S304+U304+W304+AA304+AC304+AE304+AG304+AK304+AM304+AO304+AQ304</f>
        <v>0</v>
      </c>
      <c r="AV304" s="21">
        <f>R304+AB304+AL304</f>
        <v>0</v>
      </c>
      <c r="AW304" s="21">
        <f>T304+AD304+AN304</f>
        <v>0</v>
      </c>
      <c r="AX304" s="21">
        <f>V304+AF304+AP304</f>
        <v>0</v>
      </c>
      <c r="AY304" s="21">
        <f>X304+AH304+AR304</f>
        <v>0</v>
      </c>
    </row>
    <row r="305" spans="1:51" hidden="1" x14ac:dyDescent="0.2">
      <c r="A305" s="70" t="s">
        <v>512</v>
      </c>
      <c r="B305" s="51" t="s">
        <v>208</v>
      </c>
      <c r="C305" s="51"/>
      <c r="D305" s="51"/>
      <c r="E305" s="52">
        <f>IF(G305="Y",VLOOKUP(B305&amp;"|"&amp;C305,'[1]ETC Data'!$C$2:$D$16,2,FALSE),0)</f>
        <v>0</v>
      </c>
      <c r="F305" s="52">
        <f>IF(D305="",0,IF(G305="Y",VLOOKUP(B305&amp;"|"&amp;D305,'[1]ETC Data'!$C$2:$D$16,2,FALSE),0))</f>
        <v>0</v>
      </c>
      <c r="G305" s="53" t="str">
        <f>IF(VLOOKUP(A305,[1]Plan!A$1:H$804,8,FALSE)&lt;&gt;"",VLOOKUP(A305,[1]Plan!A$1:H$804,8,FALSE),"")</f>
        <v>N</v>
      </c>
      <c r="H305" s="54" t="str">
        <f>IF(VLOOKUP(A305,[1]Plan!A$1:L$804,12,FALSE)&lt;&gt;"",VLOOKUP(A305,[1]Plan!A$1:L$804,12,FALSE),"")</f>
        <v/>
      </c>
      <c r="I305" s="55" t="str">
        <f>IF(VLOOKUP(A305,[1]Plan!A$1:M$804,13,FALSE)&lt;&gt;"",VLOOKUP(A305,[1]Plan!A$1:M$804,13,FALSE),"")</f>
        <v/>
      </c>
      <c r="J305" s="55" t="str">
        <f>IF(VLOOKUP(A305,[1]Plan!A$1:N$804,14,FALSE)&lt;&gt;"",VLOOKUP(A305,[1]Plan!A$1:N$804,14,FALSE),IF(VLOOKUP(A305,[1]Plan!A$1:O$804,15,FALSE)&lt;&gt;"",VLOOKUP(A305,[1]Plan!A$1:O$804,15,FALSE),""))</f>
        <v/>
      </c>
      <c r="K305" s="56" t="str">
        <f>IF(VLOOKUP(A305,[1]Plan!A$1:P$804,16,FALSE)&lt;&gt;"",VLOOKUP(A305,[1]Plan!A$1:P$804,16,FALSE),"")</f>
        <v/>
      </c>
      <c r="L305" s="55"/>
      <c r="M305" s="55"/>
      <c r="N305" s="55"/>
      <c r="O305" s="57">
        <f>IF(F305=0,E305,F305)</f>
        <v>0</v>
      </c>
      <c r="P305" s="57" t="b">
        <f>OR(H305="Y",I305="Y")</f>
        <v>0</v>
      </c>
      <c r="Q305" s="58">
        <f>IF(P305,O305*'[1]ETC Data'!$H$3*'[1]ETC Data'!$I$3,0)</f>
        <v>0</v>
      </c>
      <c r="R305" s="58">
        <f>Q305-(Q305*((VLOOKUP(A305,[1]Plan!A$1:Z$804,26,FALSE)/100)))</f>
        <v>0</v>
      </c>
      <c r="S305" s="58">
        <f>IF(P305,O305*'[1]ETC Data'!$H$3*'[1]ETC Data'!$J$3,0)</f>
        <v>0</v>
      </c>
      <c r="T305" s="58">
        <f>S305-(S305*((VLOOKUP(A305,[1]Plan!A$1:AA$804,27,FALSE)/100)))</f>
        <v>0</v>
      </c>
      <c r="U305" s="58">
        <f>IF(P305,O305*'[1]ETC Data'!$H$3*'[1]ETC Data'!$K$3,0)</f>
        <v>0</v>
      </c>
      <c r="V305" s="58">
        <f>U305-(U305*((VLOOKUP(A305,[1]Plan!A$1:AB$804,28,FALSE)/100)))</f>
        <v>0</v>
      </c>
      <c r="W305" s="58">
        <f>IF(P305,O305*'[1]ETC Data'!$H$3*'[1]ETC Data'!$L$3,0)</f>
        <v>0</v>
      </c>
      <c r="X305" s="58">
        <f>W305-(W305*((VLOOKUP(A305,[1]Plan!A$1:AC$804,29,FALSE)/100)))</f>
        <v>0</v>
      </c>
      <c r="Y305" s="59"/>
      <c r="Z305" s="60" t="b">
        <f>OR(H305="Y",J305="Y")</f>
        <v>0</v>
      </c>
      <c r="AA305" s="58">
        <f>IF(Z305,O305*'[1]ETC Data'!$H$4*'[1]ETC Data'!$I$4,0)</f>
        <v>0</v>
      </c>
      <c r="AB305" s="58">
        <f>AA305-(AA305*((VLOOKUP(A305,[1]Plan!A$1:AI$804,35,FALSE)/100)))</f>
        <v>0</v>
      </c>
      <c r="AC305" s="58">
        <f>IF(Z305,O305*'[1]ETC Data'!$H$4*'[1]ETC Data'!$J$4,0)</f>
        <v>0</v>
      </c>
      <c r="AD305" s="58">
        <f>AC305-(AC305*((VLOOKUP(A305,[1]Plan!A$1:AJ$804,36,FALSE)/100)))</f>
        <v>0</v>
      </c>
      <c r="AE305" s="58">
        <f>IF(Z305,O305*'[1]ETC Data'!$H$4*'[1]ETC Data'!$K$4,0)</f>
        <v>0</v>
      </c>
      <c r="AF305" s="58">
        <f>AE305-(AE305*((VLOOKUP(A305,[1]Plan!A$1:AK$804,37,FALSE)/100)))</f>
        <v>0</v>
      </c>
      <c r="AG305" s="58">
        <f>IF(Z305,O305*'[1]ETC Data'!$H$4*'[1]ETC Data'!$L$4,0)</f>
        <v>0</v>
      </c>
      <c r="AH305" s="58">
        <f>AG305-(AG305*((VLOOKUP(A305,[1]Plan!A$1:AP$804,42,FALSE)/100)))</f>
        <v>0</v>
      </c>
      <c r="AI305" s="60"/>
      <c r="AJ305" s="60" t="b">
        <f>OR(H305="Y",K305="Y")</f>
        <v>0</v>
      </c>
      <c r="AK305" s="61">
        <f>IF(AJ305,O305*'[1]ETC Data'!$H$5*'[1]ETC Data'!$I$5,0)</f>
        <v>0</v>
      </c>
      <c r="AL305" s="58">
        <f>AK305-(AK305*((VLOOKUP(A305,[1]Plan!A$1:AY$804,51,FALSE)/100)))</f>
        <v>0</v>
      </c>
      <c r="AM305" s="58">
        <f>IF(AJ305,O305*'[1]ETC Data'!$H$5*'[1]ETC Data'!$J$5,0)</f>
        <v>0</v>
      </c>
      <c r="AN305" s="58">
        <f>AM305-(AM305*((VLOOKUP(A305,[1]Plan!A$1:BA$804,53,FALSE)/100)))</f>
        <v>0</v>
      </c>
      <c r="AO305" s="61">
        <f>IF(AJ305,O305*'[1]ETC Data'!$H$5*'[1]ETC Data'!$K$5,0)</f>
        <v>0</v>
      </c>
      <c r="AP305" s="58">
        <f>AO305-(AO305*((VLOOKUP(A305,[1]Plan!A$1:BB$804,54,FALSE)/100)))</f>
        <v>0</v>
      </c>
      <c r="AQ305" s="58">
        <f>IF(AJ305,O305*'[1]ETC Data'!$H$5*'[1]ETC Data'!$L$5,0)</f>
        <v>0</v>
      </c>
      <c r="AR305" s="58">
        <f>AQ305-(AQ305*((VLOOKUP(A305,[1]Plan!A$1:BD$804,56,FALSE)/100)))</f>
        <v>0</v>
      </c>
      <c r="AS305" s="20">
        <f>VLOOKUP(A305,'[1]PR Matrix'!A:B,2,FALSE)</f>
        <v>0</v>
      </c>
      <c r="AT305" s="21">
        <f>R305+T305+V305+X305+AB305+AD305+AF305+AH305+AL305+AN305+AP305+AR305</f>
        <v>0</v>
      </c>
      <c r="AU305" s="21">
        <f>Q305+S305+U305+W305+AA305+AC305+AE305+AG305+AK305+AM305+AO305+AQ305</f>
        <v>0</v>
      </c>
      <c r="AV305" s="21">
        <f>R305+AB305+AL305</f>
        <v>0</v>
      </c>
      <c r="AW305" s="21">
        <f>T305+AD305+AN305</f>
        <v>0</v>
      </c>
      <c r="AX305" s="21">
        <f>V305+AF305+AP305</f>
        <v>0</v>
      </c>
      <c r="AY305" s="21">
        <f>X305+AH305+AR305</f>
        <v>0</v>
      </c>
    </row>
    <row r="306" spans="1:51" x14ac:dyDescent="0.2">
      <c r="A306" s="67" t="s">
        <v>426</v>
      </c>
      <c r="B306" s="51" t="s">
        <v>208</v>
      </c>
      <c r="C306" s="51" t="s">
        <v>209</v>
      </c>
      <c r="D306" s="51"/>
      <c r="E306" s="63">
        <f>IF(G306="Y",VLOOKUP(B306&amp;"|"&amp;C306,'[1]ETC Data'!$C$2:$D$16,2,FALSE),0)</f>
        <v>48</v>
      </c>
      <c r="F306" s="63">
        <f>IF(D306="",0,IF(G306="Y",VLOOKUP(B306&amp;"|"&amp;D306,'[1]ETC Data'!$C$2:$D$16,2,FALSE),0))</f>
        <v>0</v>
      </c>
      <c r="G306" s="53" t="str">
        <f>IF(VLOOKUP(A306,[1]Plan!A$1:H$804,8,FALSE)&lt;&gt;"",VLOOKUP(A306,[1]Plan!A$1:H$804,8,FALSE),"")</f>
        <v>Y</v>
      </c>
      <c r="H306" s="54" t="str">
        <f>IF(VLOOKUP(A306,[1]Plan!A$1:L$804,12,FALSE)&lt;&gt;"",VLOOKUP(A306,[1]Plan!A$1:L$804,12,FALSE),"")</f>
        <v/>
      </c>
      <c r="I306" s="55" t="str">
        <f>IF(VLOOKUP(A306,[1]Plan!A$1:M$804,13,FALSE)&lt;&gt;"",VLOOKUP(A306,[1]Plan!A$1:M$804,13,FALSE),"")</f>
        <v/>
      </c>
      <c r="J306" s="55" t="str">
        <f>IF(VLOOKUP(A306,[1]Plan!A$1:N$804,14,FALSE)&lt;&gt;"",VLOOKUP(A306,[1]Plan!A$1:N$804,14,FALSE),IF(VLOOKUP(A306,[1]Plan!A$1:O$804,15,FALSE)&lt;&gt;"",VLOOKUP(A306,[1]Plan!A$1:O$804,15,FALSE),""))</f>
        <v>Y</v>
      </c>
      <c r="K306" s="56" t="str">
        <f>IF(VLOOKUP(A306,[1]Plan!A$1:P$804,16,FALSE)&lt;&gt;"",VLOOKUP(A306,[1]Plan!A$1:P$804,16,FALSE),"")</f>
        <v>Y</v>
      </c>
      <c r="L306" s="55"/>
      <c r="M306" s="55"/>
      <c r="N306" s="55"/>
      <c r="O306" s="57">
        <f>IF(F306=0,E306,F306)</f>
        <v>48</v>
      </c>
      <c r="P306" s="57" t="b">
        <f>OR(H306="Y",I306="Y")</f>
        <v>0</v>
      </c>
      <c r="Q306" s="58">
        <f>IF(P306,O306*'[1]ETC Data'!$H$3*'[1]ETC Data'!$I$3,0)</f>
        <v>0</v>
      </c>
      <c r="R306" s="58">
        <f>Q306-(Q306*((VLOOKUP(A306,[1]Plan!A$1:Z$804,26,FALSE)/100)))</f>
        <v>0</v>
      </c>
      <c r="S306" s="58">
        <f>IF(P306,O306*'[1]ETC Data'!$H$3*'[1]ETC Data'!$J$3,0)</f>
        <v>0</v>
      </c>
      <c r="T306" s="58">
        <f>S306-(S306*((VLOOKUP(A306,[1]Plan!A$1:AA$804,27,FALSE)/100)))</f>
        <v>0</v>
      </c>
      <c r="U306" s="58">
        <f>IF(P306,O306*'[1]ETC Data'!$H$3*'[1]ETC Data'!$K$3,0)</f>
        <v>0</v>
      </c>
      <c r="V306" s="58">
        <f>U306-(U306*((VLOOKUP(A306,[1]Plan!A$1:AB$804,28,FALSE)/100)))</f>
        <v>0</v>
      </c>
      <c r="W306" s="58">
        <f>IF(P306,O306*'[1]ETC Data'!$H$3*'[1]ETC Data'!$L$3,0)</f>
        <v>0</v>
      </c>
      <c r="X306" s="58">
        <f>W306-(W306*((VLOOKUP(A306,[1]Plan!A$1:AC$804,29,FALSE)/100)))</f>
        <v>0</v>
      </c>
      <c r="Y306" s="59"/>
      <c r="Z306" s="60" t="b">
        <f>OR(H306="Y",J306="Y")</f>
        <v>1</v>
      </c>
      <c r="AA306" s="58">
        <f>IF(Z306,O306*'[1]ETC Data'!$H$4*'[1]ETC Data'!$I$4,0)</f>
        <v>11.712596294967767</v>
      </c>
      <c r="AB306" s="58">
        <f>AA306-(AA306*((VLOOKUP(A306,[1]Plan!A$1:AI$804,35,FALSE)/100)))</f>
        <v>0</v>
      </c>
      <c r="AC306" s="58">
        <f>IF(Z306,O306*'[1]ETC Data'!$H$4*'[1]ETC Data'!$J$4,0)</f>
        <v>5.8562981474838836</v>
      </c>
      <c r="AD306" s="58">
        <f>AC306-(AC306*((VLOOKUP(A306,[1]Plan!A$1:AJ$804,36,FALSE)/100)))</f>
        <v>0</v>
      </c>
      <c r="AE306" s="58">
        <f>IF(Z306,O306*'[1]ETC Data'!$H$4*'[1]ETC Data'!$K$4,0)</f>
        <v>4.2165346661883962</v>
      </c>
      <c r="AF306" s="58">
        <f>AE306-(AE306*((VLOOKUP(A306,[1]Plan!A$1:AK$804,37,FALSE)/100)))</f>
        <v>0</v>
      </c>
      <c r="AG306" s="58">
        <f>IF(Z306,O306*'[1]ETC Data'!$H$4*'[1]ETC Data'!$L$4,0)</f>
        <v>1.6397634812954875</v>
      </c>
      <c r="AH306" s="58">
        <f>AG306-(AG306*((VLOOKUP(A306,[1]Plan!A$1:AP$804,42,FALSE)/100)))</f>
        <v>0</v>
      </c>
      <c r="AI306" s="60"/>
      <c r="AJ306" s="60" t="b">
        <f>OR(H306="Y",K306="Y")</f>
        <v>1</v>
      </c>
      <c r="AK306" s="61">
        <f>IF(AJ306,O306*'[1]ETC Data'!$H$5*'[1]ETC Data'!$I$5,0)</f>
        <v>5.9784656554161915</v>
      </c>
      <c r="AL306" s="58">
        <v>10</v>
      </c>
      <c r="AM306" s="58">
        <f>IF(AJ306,O306*'[1]ETC Data'!$H$5*'[1]ETC Data'!$J$5,0)</f>
        <v>2.9892328277080957</v>
      </c>
      <c r="AN306" s="58">
        <f>AM306-(AM306*((VLOOKUP(A306,[1]Plan!A$1:BA$804,53,FALSE)/100)))</f>
        <v>0</v>
      </c>
      <c r="AO306" s="61">
        <f>IF(AJ306,O306*'[1]ETC Data'!$H$5*'[1]ETC Data'!$K$5,0)</f>
        <v>2.1522476359498288</v>
      </c>
      <c r="AP306" s="58">
        <f>AO306-(AO306*((VLOOKUP(A306,[1]Plan!A$1:BB$804,54,FALSE)/100)))</f>
        <v>0</v>
      </c>
      <c r="AQ306" s="58">
        <f>IF(AJ306,O306*'[1]ETC Data'!$H$5*'[1]ETC Data'!$L$5,0)</f>
        <v>0.83698519175826691</v>
      </c>
      <c r="AR306" s="58">
        <f>AQ306-(AQ306*((VLOOKUP(A306,[1]Plan!A$1:BD$804,56,FALSE)/100)))</f>
        <v>0</v>
      </c>
      <c r="AS306" s="20">
        <f>VLOOKUP(A306,'[1]PR Matrix'!A:B,2,FALSE)</f>
        <v>6216</v>
      </c>
      <c r="AT306" s="21">
        <f>R306+T306+V306+X306+AB306+AD306+AF306+AH306+AL306+AN306+AP306+AR306</f>
        <v>10</v>
      </c>
      <c r="AU306" s="21">
        <f>Q306+S306+U306+W306+AA306+AC306+AE306+AG306+AK306+AM306+AO306+AQ306</f>
        <v>35.382123900767915</v>
      </c>
      <c r="AV306" s="21">
        <f>R306+AB306+AL306</f>
        <v>10</v>
      </c>
      <c r="AW306" s="21">
        <f>T306+AD306+AN306</f>
        <v>0</v>
      </c>
      <c r="AX306" s="21">
        <f>V306+AF306+AP306</f>
        <v>0</v>
      </c>
      <c r="AY306" s="21">
        <f>X306+AH306+AR306</f>
        <v>0</v>
      </c>
    </row>
    <row r="307" spans="1:51" hidden="1" x14ac:dyDescent="0.2">
      <c r="A307" s="66" t="s">
        <v>514</v>
      </c>
      <c r="B307" s="51" t="s">
        <v>208</v>
      </c>
      <c r="C307" s="51"/>
      <c r="D307" s="51"/>
      <c r="E307" s="52">
        <f>IF(G307="Y",VLOOKUP(B307&amp;"|"&amp;C307,'[1]ETC Data'!$C$2:$D$16,2,FALSE),0)</f>
        <v>0</v>
      </c>
      <c r="F307" s="52">
        <f>IF(D307="",0,IF(G307="Y",VLOOKUP(B307&amp;"|"&amp;D307,'[1]ETC Data'!$C$2:$D$16,2,FALSE),0))</f>
        <v>0</v>
      </c>
      <c r="G307" s="53" t="str">
        <f>IF(VLOOKUP(A307,[1]Plan!A$1:H$804,8,FALSE)&lt;&gt;"",VLOOKUP(A307,[1]Plan!A$1:H$804,8,FALSE),"")</f>
        <v>N</v>
      </c>
      <c r="H307" s="54" t="str">
        <f>IF(VLOOKUP(A307,[1]Plan!A$1:L$804,12,FALSE)&lt;&gt;"",VLOOKUP(A307,[1]Plan!A$1:L$804,12,FALSE),"")</f>
        <v/>
      </c>
      <c r="I307" s="55" t="str">
        <f>IF(VLOOKUP(A307,[1]Plan!A$1:M$804,13,FALSE)&lt;&gt;"",VLOOKUP(A307,[1]Plan!A$1:M$804,13,FALSE),"")</f>
        <v/>
      </c>
      <c r="J307" s="55" t="str">
        <f>IF(VLOOKUP(A307,[1]Plan!A$1:N$804,14,FALSE)&lt;&gt;"",VLOOKUP(A307,[1]Plan!A$1:N$804,14,FALSE),IF(VLOOKUP(A307,[1]Plan!A$1:O$804,15,FALSE)&lt;&gt;"",VLOOKUP(A307,[1]Plan!A$1:O$804,15,FALSE),""))</f>
        <v/>
      </c>
      <c r="K307" s="56" t="str">
        <f>IF(VLOOKUP(A307,[1]Plan!A$1:P$804,16,FALSE)&lt;&gt;"",VLOOKUP(A307,[1]Plan!A$1:P$804,16,FALSE),"")</f>
        <v/>
      </c>
      <c r="L307" s="55"/>
      <c r="M307" s="55"/>
      <c r="N307" s="55"/>
      <c r="O307" s="57">
        <f>IF(F307=0,E307,F307)</f>
        <v>0</v>
      </c>
      <c r="P307" s="57" t="b">
        <f>OR(H307="Y",I307="Y")</f>
        <v>0</v>
      </c>
      <c r="Q307" s="58">
        <f>IF(P307,O307*'[1]ETC Data'!$H$3*'[1]ETC Data'!$I$3,0)</f>
        <v>0</v>
      </c>
      <c r="R307" s="58">
        <f>Q307-(Q307*((VLOOKUP(A307,[1]Plan!A$1:Z$804,26,FALSE)/100)))</f>
        <v>0</v>
      </c>
      <c r="S307" s="58">
        <f>IF(P307,O307*'[1]ETC Data'!$H$3*'[1]ETC Data'!$J$3,0)</f>
        <v>0</v>
      </c>
      <c r="T307" s="58">
        <f>S307-(S307*((VLOOKUP(A307,[1]Plan!A$1:AA$804,27,FALSE)/100)))</f>
        <v>0</v>
      </c>
      <c r="U307" s="58">
        <f>IF(P307,O307*'[1]ETC Data'!$H$3*'[1]ETC Data'!$K$3,0)</f>
        <v>0</v>
      </c>
      <c r="V307" s="58">
        <f>U307-(U307*((VLOOKUP(A307,[1]Plan!A$1:AB$804,28,FALSE)/100)))</f>
        <v>0</v>
      </c>
      <c r="W307" s="58">
        <f>IF(P307,O307*'[1]ETC Data'!$H$3*'[1]ETC Data'!$L$3,0)</f>
        <v>0</v>
      </c>
      <c r="X307" s="58">
        <f>W307-(W307*((VLOOKUP(A307,[1]Plan!A$1:AC$804,29,FALSE)/100)))</f>
        <v>0</v>
      </c>
      <c r="Y307" s="59"/>
      <c r="Z307" s="60" t="b">
        <f>OR(H307="Y",J307="Y")</f>
        <v>0</v>
      </c>
      <c r="AA307" s="58">
        <f>IF(Z307,O307*'[1]ETC Data'!$H$4*'[1]ETC Data'!$I$4,0)</f>
        <v>0</v>
      </c>
      <c r="AB307" s="58">
        <f>AA307-(AA307*((VLOOKUP(A307,[1]Plan!A$1:AI$804,35,FALSE)/100)))</f>
        <v>0</v>
      </c>
      <c r="AC307" s="58">
        <f>IF(Z307,O307*'[1]ETC Data'!$H$4*'[1]ETC Data'!$J$4,0)</f>
        <v>0</v>
      </c>
      <c r="AD307" s="58">
        <f>AC307-(AC307*((VLOOKUP(A307,[1]Plan!A$1:AJ$804,36,FALSE)/100)))</f>
        <v>0</v>
      </c>
      <c r="AE307" s="58">
        <f>IF(Z307,O307*'[1]ETC Data'!$H$4*'[1]ETC Data'!$K$4,0)</f>
        <v>0</v>
      </c>
      <c r="AF307" s="58">
        <f>AE307-(AE307*((VLOOKUP(A307,[1]Plan!A$1:AK$804,37,FALSE)/100)))</f>
        <v>0</v>
      </c>
      <c r="AG307" s="58">
        <f>IF(Z307,O307*'[1]ETC Data'!$H$4*'[1]ETC Data'!$L$4,0)</f>
        <v>0</v>
      </c>
      <c r="AH307" s="58">
        <f>AG307-(AG307*((VLOOKUP(A307,[1]Plan!A$1:AP$804,42,FALSE)/100)))</f>
        <v>0</v>
      </c>
      <c r="AI307" s="60"/>
      <c r="AJ307" s="60" t="b">
        <f>OR(H307="Y",K307="Y")</f>
        <v>0</v>
      </c>
      <c r="AK307" s="61">
        <f>IF(AJ307,O307*'[1]ETC Data'!$H$5*'[1]ETC Data'!$I$5,0)</f>
        <v>0</v>
      </c>
      <c r="AL307" s="58">
        <f>AK307-(AK307*((VLOOKUP(A307,[1]Plan!A$1:AY$804,51,FALSE)/100)))</f>
        <v>0</v>
      </c>
      <c r="AM307" s="58">
        <f>IF(AJ307,O307*'[1]ETC Data'!$H$5*'[1]ETC Data'!$J$5,0)</f>
        <v>0</v>
      </c>
      <c r="AN307" s="58">
        <f>AM307-(AM307*((VLOOKUP(A307,[1]Plan!A$1:BA$804,53,FALSE)/100)))</f>
        <v>0</v>
      </c>
      <c r="AO307" s="61">
        <f>IF(AJ307,O307*'[1]ETC Data'!$H$5*'[1]ETC Data'!$K$5,0)</f>
        <v>0</v>
      </c>
      <c r="AP307" s="58">
        <f>AO307-(AO307*((VLOOKUP(A307,[1]Plan!A$1:BB$804,54,FALSE)/100)))</f>
        <v>0</v>
      </c>
      <c r="AQ307" s="58">
        <f>IF(AJ307,O307*'[1]ETC Data'!$H$5*'[1]ETC Data'!$L$5,0)</f>
        <v>0</v>
      </c>
      <c r="AR307" s="58">
        <f>AQ307-(AQ307*((VLOOKUP(A307,[1]Plan!A$1:BD$804,56,FALSE)/100)))</f>
        <v>0</v>
      </c>
      <c r="AS307" s="20">
        <f>VLOOKUP(A307,'[1]PR Matrix'!A:B,2,FALSE)</f>
        <v>0</v>
      </c>
      <c r="AT307" s="21">
        <f>R307+T307+V307+X307+AB307+AD307+AF307+AH307+AL307+AN307+AP307+AR307</f>
        <v>0</v>
      </c>
      <c r="AU307" s="21">
        <f>Q307+S307+U307+W307+AA307+AC307+AE307+AG307+AK307+AM307+AO307+AQ307</f>
        <v>0</v>
      </c>
      <c r="AV307" s="21">
        <f>R307+AB307+AL307</f>
        <v>0</v>
      </c>
      <c r="AW307" s="21">
        <f>T307+AD307+AN307</f>
        <v>0</v>
      </c>
      <c r="AX307" s="21">
        <f>V307+AF307+AP307</f>
        <v>0</v>
      </c>
      <c r="AY307" s="21">
        <f>X307+AH307+AR307</f>
        <v>0</v>
      </c>
    </row>
    <row r="308" spans="1:51" hidden="1" x14ac:dyDescent="0.2">
      <c r="A308" s="50" t="s">
        <v>515</v>
      </c>
      <c r="B308" s="51" t="s">
        <v>258</v>
      </c>
      <c r="C308" s="51"/>
      <c r="D308" s="51"/>
      <c r="E308" s="52">
        <f>IF(G308="Y",VLOOKUP(B308&amp;"|"&amp;C308,'[1]ETC Data'!$C$2:$D$16,2,FALSE),0)</f>
        <v>0</v>
      </c>
      <c r="F308" s="52">
        <f>IF(D308="",0,IF(G308="Y",VLOOKUP(B308&amp;"|"&amp;D308,'[1]ETC Data'!$C$2:$D$16,2,FALSE),0))</f>
        <v>0</v>
      </c>
      <c r="G308" s="53" t="str">
        <f>IF(VLOOKUP(A308,[1]Plan!A$1:H$804,8,FALSE)&lt;&gt;"",VLOOKUP(A308,[1]Plan!A$1:H$804,8,FALSE),"")</f>
        <v>N</v>
      </c>
      <c r="H308" s="54" t="str">
        <f>IF(VLOOKUP(A308,[1]Plan!A$1:L$804,12,FALSE)&lt;&gt;"",VLOOKUP(A308,[1]Plan!A$1:L$804,12,FALSE),"")</f>
        <v/>
      </c>
      <c r="I308" s="55" t="str">
        <f>IF(VLOOKUP(A308,[1]Plan!A$1:M$804,13,FALSE)&lt;&gt;"",VLOOKUP(A308,[1]Plan!A$1:M$804,13,FALSE),"")</f>
        <v/>
      </c>
      <c r="J308" s="55" t="str">
        <f>IF(VLOOKUP(A308,[1]Plan!A$1:N$804,14,FALSE)&lt;&gt;"",VLOOKUP(A308,[1]Plan!A$1:N$804,14,FALSE),IF(VLOOKUP(A308,[1]Plan!A$1:O$804,15,FALSE)&lt;&gt;"",VLOOKUP(A308,[1]Plan!A$1:O$804,15,FALSE),""))</f>
        <v/>
      </c>
      <c r="K308" s="56" t="str">
        <f>IF(VLOOKUP(A308,[1]Plan!A$1:P$804,16,FALSE)&lt;&gt;"",VLOOKUP(A308,[1]Plan!A$1:P$804,16,FALSE),"")</f>
        <v/>
      </c>
      <c r="L308" s="55"/>
      <c r="M308" s="55"/>
      <c r="N308" s="55"/>
      <c r="O308" s="57">
        <f>IF(F308=0,E308,F308)</f>
        <v>0</v>
      </c>
      <c r="P308" s="57" t="b">
        <f>OR(H308="Y",I308="Y")</f>
        <v>0</v>
      </c>
      <c r="Q308" s="58">
        <f>IF(P308,O308*'[1]ETC Data'!$H$3*'[1]ETC Data'!$I$3,0)</f>
        <v>0</v>
      </c>
      <c r="R308" s="58">
        <f>Q308-(Q308*((VLOOKUP(A308,[1]Plan!A$1:Z$804,26,FALSE)/100)))</f>
        <v>0</v>
      </c>
      <c r="S308" s="58">
        <f>IF(P308,O308*'[1]ETC Data'!$H$3*'[1]ETC Data'!$J$3,0)</f>
        <v>0</v>
      </c>
      <c r="T308" s="58">
        <f>S308-(S308*((VLOOKUP(A308,[1]Plan!A$1:AA$804,27,FALSE)/100)))</f>
        <v>0</v>
      </c>
      <c r="U308" s="58">
        <f>IF(P308,O308*'[1]ETC Data'!$H$3*'[1]ETC Data'!$K$3,0)</f>
        <v>0</v>
      </c>
      <c r="V308" s="58">
        <f>U308-(U308*((VLOOKUP(A308,[1]Plan!A$1:AB$804,28,FALSE)/100)))</f>
        <v>0</v>
      </c>
      <c r="W308" s="58">
        <f>IF(P308,O308*'[1]ETC Data'!$H$3*'[1]ETC Data'!$L$3,0)</f>
        <v>0</v>
      </c>
      <c r="X308" s="58">
        <f>W308-(W308*((VLOOKUP(A308,[1]Plan!A$1:AC$804,29,FALSE)/100)))</f>
        <v>0</v>
      </c>
      <c r="Y308" s="59"/>
      <c r="Z308" s="60" t="b">
        <f>OR(H308="Y",J308="Y")</f>
        <v>0</v>
      </c>
      <c r="AA308" s="58">
        <f>IF(Z308,O308*'[1]ETC Data'!$H$4*'[1]ETC Data'!$I$4,0)</f>
        <v>0</v>
      </c>
      <c r="AB308" s="58">
        <f>AA308-(AA308*((VLOOKUP(A308,[1]Plan!A$1:AI$804,35,FALSE)/100)))</f>
        <v>0</v>
      </c>
      <c r="AC308" s="58">
        <f>IF(Z308,O308*'[1]ETC Data'!$H$4*'[1]ETC Data'!$J$4,0)</f>
        <v>0</v>
      </c>
      <c r="AD308" s="58">
        <f>AC308-(AC308*((VLOOKUP(A308,[1]Plan!A$1:AJ$804,36,FALSE)/100)))</f>
        <v>0</v>
      </c>
      <c r="AE308" s="58">
        <f>IF(Z308,O308*'[1]ETC Data'!$H$4*'[1]ETC Data'!$K$4,0)</f>
        <v>0</v>
      </c>
      <c r="AF308" s="58">
        <f>AE308-(AE308*((VLOOKUP(A308,[1]Plan!A$1:AK$804,37,FALSE)/100)))</f>
        <v>0</v>
      </c>
      <c r="AG308" s="58">
        <f>IF(Z308,O308*'[1]ETC Data'!$H$4*'[1]ETC Data'!$L$4,0)</f>
        <v>0</v>
      </c>
      <c r="AH308" s="58">
        <f>AG308-(AG308*((VLOOKUP(A308,[1]Plan!A$1:AP$804,42,FALSE)/100)))</f>
        <v>0</v>
      </c>
      <c r="AI308" s="60"/>
      <c r="AJ308" s="60" t="b">
        <f>OR(H308="Y",K308="Y")</f>
        <v>0</v>
      </c>
      <c r="AK308" s="61">
        <f>IF(AJ308,O308*'[1]ETC Data'!$H$5*'[1]ETC Data'!$I$5,0)</f>
        <v>0</v>
      </c>
      <c r="AL308" s="58">
        <f>AK308-(AK308*((VLOOKUP(A308,[1]Plan!A$1:AY$804,51,FALSE)/100)))</f>
        <v>0</v>
      </c>
      <c r="AM308" s="58">
        <f>IF(AJ308,O308*'[1]ETC Data'!$H$5*'[1]ETC Data'!$J$5,0)</f>
        <v>0</v>
      </c>
      <c r="AN308" s="58">
        <f>AM308-(AM308*((VLOOKUP(A308,[1]Plan!A$1:BA$804,53,FALSE)/100)))</f>
        <v>0</v>
      </c>
      <c r="AO308" s="61">
        <f>IF(AJ308,O308*'[1]ETC Data'!$H$5*'[1]ETC Data'!$K$5,0)</f>
        <v>0</v>
      </c>
      <c r="AP308" s="58">
        <f>AO308-(AO308*((VLOOKUP(A308,[1]Plan!A$1:BB$804,54,FALSE)/100)))</f>
        <v>0</v>
      </c>
      <c r="AQ308" s="58">
        <f>IF(AJ308,O308*'[1]ETC Data'!$H$5*'[1]ETC Data'!$L$5,0)</f>
        <v>0</v>
      </c>
      <c r="AR308" s="58">
        <f>AQ308-(AQ308*((VLOOKUP(A308,[1]Plan!A$1:BD$804,56,FALSE)/100)))</f>
        <v>0</v>
      </c>
      <c r="AS308" s="20">
        <f>VLOOKUP(A308,'[1]PR Matrix'!A:B,2,FALSE)</f>
        <v>0</v>
      </c>
      <c r="AT308" s="21">
        <f>R308+T308+V308+X308+AB308+AD308+AF308+AH308+AL308+AN308+AP308+AR308</f>
        <v>0</v>
      </c>
      <c r="AU308" s="21">
        <f>Q308+S308+U308+W308+AA308+AC308+AE308+AG308+AK308+AM308+AO308+AQ308</f>
        <v>0</v>
      </c>
      <c r="AV308" s="21">
        <f>R308+AB308+AL308</f>
        <v>0</v>
      </c>
      <c r="AW308" s="21">
        <f>T308+AD308+AN308</f>
        <v>0</v>
      </c>
      <c r="AX308" s="21">
        <f>V308+AF308+AP308</f>
        <v>0</v>
      </c>
      <c r="AY308" s="21">
        <f>X308+AH308+AR308</f>
        <v>0</v>
      </c>
    </row>
    <row r="309" spans="1:51" x14ac:dyDescent="0.2">
      <c r="A309" s="50" t="s">
        <v>497</v>
      </c>
      <c r="B309" s="51" t="s">
        <v>209</v>
      </c>
      <c r="C309" s="51" t="s">
        <v>209</v>
      </c>
      <c r="D309" s="51"/>
      <c r="E309" s="63">
        <f>IF(G309="Y",VLOOKUP(B309&amp;"|"&amp;C309,'[1]ETC Data'!$C$2:$D$16,2,FALSE),0)</f>
        <v>25</v>
      </c>
      <c r="F309" s="63">
        <f>IF(D309="",0,IF(G309="Y",VLOOKUP(B309&amp;"|"&amp;D309,'[1]ETC Data'!$C$2:$D$16,2,FALSE),0))</f>
        <v>0</v>
      </c>
      <c r="G309" s="53" t="str">
        <f>IF(VLOOKUP(A309,[1]Plan!A$1:H$804,8,FALSE)&lt;&gt;"",VLOOKUP(A309,[1]Plan!A$1:H$804,8,FALSE),"")</f>
        <v>Y</v>
      </c>
      <c r="H309" s="54" t="str">
        <f>IF(VLOOKUP(A309,[1]Plan!A$1:L$804,12,FALSE)&lt;&gt;"",VLOOKUP(A309,[1]Plan!A$1:L$804,12,FALSE),"")</f>
        <v/>
      </c>
      <c r="I309" s="55" t="str">
        <f>IF(VLOOKUP(A309,[1]Plan!A$1:M$804,13,FALSE)&lt;&gt;"",VLOOKUP(A309,[1]Plan!A$1:M$804,13,FALSE),"")</f>
        <v/>
      </c>
      <c r="J309" s="55" t="str">
        <f>IF(VLOOKUP(A309,[1]Plan!A$1:N$804,14,FALSE)&lt;&gt;"",VLOOKUP(A309,[1]Plan!A$1:N$804,14,FALSE),IF(VLOOKUP(A309,[1]Plan!A$1:O$804,15,FALSE)&lt;&gt;"",VLOOKUP(A309,[1]Plan!A$1:O$804,15,FALSE),""))</f>
        <v>Y</v>
      </c>
      <c r="K309" s="56" t="str">
        <f>IF(VLOOKUP(A309,[1]Plan!A$1:P$804,16,FALSE)&lt;&gt;"",VLOOKUP(A309,[1]Plan!A$1:P$804,16,FALSE),"")</f>
        <v/>
      </c>
      <c r="L309" s="55"/>
      <c r="M309" s="55"/>
      <c r="N309" s="55"/>
      <c r="O309" s="57">
        <f>IF(F309=0,E309,F309)</f>
        <v>25</v>
      </c>
      <c r="P309" s="57" t="b">
        <f>OR(H309="Y",I309="Y")</f>
        <v>0</v>
      </c>
      <c r="Q309" s="58">
        <f>IF(P309,O309*'[1]ETC Data'!$H$3*'[1]ETC Data'!$I$3,0)</f>
        <v>0</v>
      </c>
      <c r="R309" s="58">
        <f>Q309-(Q309*((VLOOKUP(A309,[1]Plan!A$1:Z$804,26,FALSE)/100)))</f>
        <v>0</v>
      </c>
      <c r="S309" s="58">
        <f>IF(P309,O309*'[1]ETC Data'!$H$3*'[1]ETC Data'!$J$3,0)</f>
        <v>0</v>
      </c>
      <c r="T309" s="58">
        <f>S309-(S309*((VLOOKUP(A309,[1]Plan!A$1:AA$804,27,FALSE)/100)))</f>
        <v>0</v>
      </c>
      <c r="U309" s="58">
        <f>IF(P309,O309*'[1]ETC Data'!$H$3*'[1]ETC Data'!$K$3,0)</f>
        <v>0</v>
      </c>
      <c r="V309" s="58">
        <f>U309-(U309*((VLOOKUP(A309,[1]Plan!A$1:AB$804,28,FALSE)/100)))</f>
        <v>0</v>
      </c>
      <c r="W309" s="58">
        <f>IF(P309,O309*'[1]ETC Data'!$H$3*'[1]ETC Data'!$L$3,0)</f>
        <v>0</v>
      </c>
      <c r="X309" s="58">
        <f>W309-(W309*((VLOOKUP(A309,[1]Plan!A$1:AC$804,29,FALSE)/100)))</f>
        <v>0</v>
      </c>
      <c r="Y309" s="59"/>
      <c r="Z309" s="60" t="b">
        <f>OR(H309="Y",J309="Y")</f>
        <v>1</v>
      </c>
      <c r="AA309" s="58">
        <f>IF(Z309,O309*'[1]ETC Data'!$H$4*'[1]ETC Data'!$I$4,0)</f>
        <v>6.1003105702957114</v>
      </c>
      <c r="AB309" s="58">
        <f>AA309-(AA309*((VLOOKUP(A309,[1]Plan!A$1:AI$804,35,FALSE)/100)))</f>
        <v>6.1003105702957114</v>
      </c>
      <c r="AC309" s="58">
        <f>IF(Z309,O309*'[1]ETC Data'!$H$4*'[1]ETC Data'!$J$4,0)</f>
        <v>3.0501552851478557</v>
      </c>
      <c r="AD309" s="58">
        <f>AC309-(AC309*((VLOOKUP(A309,[1]Plan!A$1:AJ$804,36,FALSE)/100)))</f>
        <v>3.0501552851478557</v>
      </c>
      <c r="AE309" s="58">
        <f>IF(Z309,O309*'[1]ETC Data'!$H$4*'[1]ETC Data'!$K$4,0)</f>
        <v>2.1961118053064559</v>
      </c>
      <c r="AF309" s="58">
        <f>AE309-(AE309*((VLOOKUP(A309,[1]Plan!A$1:AK$804,37,FALSE)/100)))</f>
        <v>2.1961118053064559</v>
      </c>
      <c r="AG309" s="58">
        <f>IF(Z309,O309*'[1]ETC Data'!$H$4*'[1]ETC Data'!$L$4,0)</f>
        <v>0.85404347984139972</v>
      </c>
      <c r="AH309" s="58">
        <f>AG309-(AG309*((VLOOKUP(A309,[1]Plan!A$1:AP$804,42,FALSE)/100)))</f>
        <v>0.85404347984139972</v>
      </c>
      <c r="AI309" s="60"/>
      <c r="AJ309" s="60" t="b">
        <f>OR(H309="Y",K309="Y")</f>
        <v>0</v>
      </c>
      <c r="AK309" s="61">
        <f>IF(AJ309,O309*'[1]ETC Data'!$H$5*'[1]ETC Data'!$I$5,0)</f>
        <v>0</v>
      </c>
      <c r="AL309" s="58">
        <f>AK309-(AK309*((VLOOKUP(A309,[1]Plan!A$1:AY$804,51,FALSE)/100)))</f>
        <v>0</v>
      </c>
      <c r="AM309" s="58">
        <f>IF(AJ309,O309*'[1]ETC Data'!$H$5*'[1]ETC Data'!$J$5,0)</f>
        <v>0</v>
      </c>
      <c r="AN309" s="58">
        <f>AM309-(AM309*((VLOOKUP(A309,[1]Plan!A$1:BA$804,53,FALSE)/100)))</f>
        <v>0</v>
      </c>
      <c r="AO309" s="61">
        <f>IF(AJ309,O309*'[1]ETC Data'!$H$5*'[1]ETC Data'!$K$5,0)</f>
        <v>0</v>
      </c>
      <c r="AP309" s="58">
        <f>AO309-(AO309*((VLOOKUP(A309,[1]Plan!A$1:BB$804,54,FALSE)/100)))</f>
        <v>0</v>
      </c>
      <c r="AQ309" s="58">
        <f>IF(AJ309,O309*'[1]ETC Data'!$H$5*'[1]ETC Data'!$L$5,0)</f>
        <v>0</v>
      </c>
      <c r="AR309" s="58">
        <f>AQ309-(AQ309*((VLOOKUP(A309,[1]Plan!A$1:BD$804,56,FALSE)/100)))</f>
        <v>0</v>
      </c>
      <c r="AS309" s="20">
        <f>VLOOKUP(A309,'[1]PR Matrix'!A:B,2,FALSE)</f>
        <v>6207</v>
      </c>
      <c r="AT309" s="21">
        <f>R309+T309+V309+X309+AB309+AD309+AF309+AH309+AL309+AN309+AP309+AR309</f>
        <v>12.200621140591423</v>
      </c>
      <c r="AU309" s="21">
        <f>Q309+S309+U309+W309+AA309+AC309+AE309+AG309+AK309+AM309+AO309+AQ309</f>
        <v>12.200621140591423</v>
      </c>
      <c r="AV309" s="21">
        <f>R309+AB309+AL309</f>
        <v>6.1003105702957114</v>
      </c>
      <c r="AW309" s="21">
        <f>T309+AD309+AN309</f>
        <v>3.0501552851478557</v>
      </c>
      <c r="AX309" s="21">
        <f>V309+AF309+AP309</f>
        <v>2.1961118053064559</v>
      </c>
      <c r="AY309" s="21">
        <f>X309+AH309+AR309</f>
        <v>0.85404347984139972</v>
      </c>
    </row>
    <row r="310" spans="1:51" hidden="1" x14ac:dyDescent="0.2">
      <c r="A310" s="50" t="s">
        <v>517</v>
      </c>
      <c r="B310" s="51" t="s">
        <v>208</v>
      </c>
      <c r="C310" s="51"/>
      <c r="D310" s="51"/>
      <c r="E310" s="52">
        <f>IF(G310="Y",VLOOKUP(B310&amp;"|"&amp;C310,'[1]ETC Data'!$C$2:$D$16,2,FALSE),0)</f>
        <v>0</v>
      </c>
      <c r="F310" s="52">
        <f>IF(D310="",0,IF(G310="Y",VLOOKUP(B310&amp;"|"&amp;D310,'[1]ETC Data'!$C$2:$D$16,2,FALSE),0))</f>
        <v>0</v>
      </c>
      <c r="G310" s="53" t="str">
        <f>IF(VLOOKUP(A310,[1]Plan!A$1:H$804,8,FALSE)&lt;&gt;"",VLOOKUP(A310,[1]Plan!A$1:H$804,8,FALSE),"")</f>
        <v>N</v>
      </c>
      <c r="H310" s="54" t="str">
        <f>IF(VLOOKUP(A310,[1]Plan!A$1:L$804,12,FALSE)&lt;&gt;"",VLOOKUP(A310,[1]Plan!A$1:L$804,12,FALSE),"")</f>
        <v/>
      </c>
      <c r="I310" s="55" t="str">
        <f>IF(VLOOKUP(A310,[1]Plan!A$1:M$804,13,FALSE)&lt;&gt;"",VLOOKUP(A310,[1]Plan!A$1:M$804,13,FALSE),"")</f>
        <v/>
      </c>
      <c r="J310" s="55" t="str">
        <f>IF(VLOOKUP(A310,[1]Plan!A$1:N$804,14,FALSE)&lt;&gt;"",VLOOKUP(A310,[1]Plan!A$1:N$804,14,FALSE),IF(VLOOKUP(A310,[1]Plan!A$1:O$804,15,FALSE)&lt;&gt;"",VLOOKUP(A310,[1]Plan!A$1:O$804,15,FALSE),""))</f>
        <v/>
      </c>
      <c r="K310" s="56" t="str">
        <f>IF(VLOOKUP(A310,[1]Plan!A$1:P$804,16,FALSE)&lt;&gt;"",VLOOKUP(A310,[1]Plan!A$1:P$804,16,FALSE),"")</f>
        <v/>
      </c>
      <c r="L310" s="55"/>
      <c r="M310" s="55"/>
      <c r="N310" s="55"/>
      <c r="O310" s="57">
        <f>IF(F310=0,E310,F310)</f>
        <v>0</v>
      </c>
      <c r="P310" s="57" t="b">
        <f>OR(H310="Y",I310="Y")</f>
        <v>0</v>
      </c>
      <c r="Q310" s="58">
        <f>IF(P310,O310*'[1]ETC Data'!$H$3*'[1]ETC Data'!$I$3,0)</f>
        <v>0</v>
      </c>
      <c r="R310" s="58">
        <f>Q310-(Q310*((VLOOKUP(A310,[1]Plan!A$1:Z$804,26,FALSE)/100)))</f>
        <v>0</v>
      </c>
      <c r="S310" s="58">
        <f>IF(P310,O310*'[1]ETC Data'!$H$3*'[1]ETC Data'!$J$3,0)</f>
        <v>0</v>
      </c>
      <c r="T310" s="58">
        <f>S310-(S310*((VLOOKUP(A310,[1]Plan!A$1:AA$804,27,FALSE)/100)))</f>
        <v>0</v>
      </c>
      <c r="U310" s="58">
        <f>IF(P310,O310*'[1]ETC Data'!$H$3*'[1]ETC Data'!$K$3,0)</f>
        <v>0</v>
      </c>
      <c r="V310" s="58">
        <f>U310-(U310*((VLOOKUP(A310,[1]Plan!A$1:AB$804,28,FALSE)/100)))</f>
        <v>0</v>
      </c>
      <c r="W310" s="58">
        <f>IF(P310,O310*'[1]ETC Data'!$H$3*'[1]ETC Data'!$L$3,0)</f>
        <v>0</v>
      </c>
      <c r="X310" s="58">
        <f>W310-(W310*((VLOOKUP(A310,[1]Plan!A$1:AC$804,29,FALSE)/100)))</f>
        <v>0</v>
      </c>
      <c r="Y310" s="59"/>
      <c r="Z310" s="60" t="b">
        <f>OR(H310="Y",J310="Y")</f>
        <v>0</v>
      </c>
      <c r="AA310" s="58">
        <f>IF(Z310,O310*'[1]ETC Data'!$H$4*'[1]ETC Data'!$I$4,0)</f>
        <v>0</v>
      </c>
      <c r="AB310" s="58">
        <f>AA310-(AA310*((VLOOKUP(A310,[1]Plan!A$1:AI$804,35,FALSE)/100)))</f>
        <v>0</v>
      </c>
      <c r="AC310" s="58">
        <f>IF(Z310,O310*'[1]ETC Data'!$H$4*'[1]ETC Data'!$J$4,0)</f>
        <v>0</v>
      </c>
      <c r="AD310" s="58">
        <f>AC310-(AC310*((VLOOKUP(A310,[1]Plan!A$1:AJ$804,36,FALSE)/100)))</f>
        <v>0</v>
      </c>
      <c r="AE310" s="58">
        <f>IF(Z310,O310*'[1]ETC Data'!$H$4*'[1]ETC Data'!$K$4,0)</f>
        <v>0</v>
      </c>
      <c r="AF310" s="58">
        <f>AE310-(AE310*((VLOOKUP(A310,[1]Plan!A$1:AK$804,37,FALSE)/100)))</f>
        <v>0</v>
      </c>
      <c r="AG310" s="58">
        <f>IF(Z310,O310*'[1]ETC Data'!$H$4*'[1]ETC Data'!$L$4,0)</f>
        <v>0</v>
      </c>
      <c r="AH310" s="58">
        <f>AG310-(AG310*((VLOOKUP(A310,[1]Plan!A$1:AP$804,42,FALSE)/100)))</f>
        <v>0</v>
      </c>
      <c r="AI310" s="60"/>
      <c r="AJ310" s="60" t="b">
        <f>OR(H310="Y",K310="Y")</f>
        <v>0</v>
      </c>
      <c r="AK310" s="61">
        <f>IF(AJ310,O310*'[1]ETC Data'!$H$5*'[1]ETC Data'!$I$5,0)</f>
        <v>0</v>
      </c>
      <c r="AL310" s="58">
        <f>AK310-(AK310*((VLOOKUP(A310,[1]Plan!A$1:AY$804,51,FALSE)/100)))</f>
        <v>0</v>
      </c>
      <c r="AM310" s="58">
        <f>IF(AJ310,O310*'[1]ETC Data'!$H$5*'[1]ETC Data'!$J$5,0)</f>
        <v>0</v>
      </c>
      <c r="AN310" s="58">
        <f>AM310-(AM310*((VLOOKUP(A310,[1]Plan!A$1:BA$804,53,FALSE)/100)))</f>
        <v>0</v>
      </c>
      <c r="AO310" s="61">
        <f>IF(AJ310,O310*'[1]ETC Data'!$H$5*'[1]ETC Data'!$K$5,0)</f>
        <v>0</v>
      </c>
      <c r="AP310" s="58">
        <f>AO310-(AO310*((VLOOKUP(A310,[1]Plan!A$1:BB$804,54,FALSE)/100)))</f>
        <v>0</v>
      </c>
      <c r="AQ310" s="58">
        <f>IF(AJ310,O310*'[1]ETC Data'!$H$5*'[1]ETC Data'!$L$5,0)</f>
        <v>0</v>
      </c>
      <c r="AR310" s="58">
        <f>AQ310-(AQ310*((VLOOKUP(A310,[1]Plan!A$1:BD$804,56,FALSE)/100)))</f>
        <v>0</v>
      </c>
      <c r="AS310" s="20">
        <f>VLOOKUP(A310,'[1]PR Matrix'!A:B,2,FALSE)</f>
        <v>0</v>
      </c>
      <c r="AT310" s="21">
        <f>R310+T310+V310+X310+AB310+AD310+AF310+AH310+AL310+AN310+AP310+AR310</f>
        <v>0</v>
      </c>
      <c r="AU310" s="21">
        <f>Q310+S310+U310+W310+AA310+AC310+AE310+AG310+AK310+AM310+AO310+AQ310</f>
        <v>0</v>
      </c>
      <c r="AV310" s="21">
        <f>R310+AB310+AL310</f>
        <v>0</v>
      </c>
      <c r="AW310" s="21">
        <f>T310+AD310+AN310</f>
        <v>0</v>
      </c>
      <c r="AX310" s="21">
        <f>V310+AF310+AP310</f>
        <v>0</v>
      </c>
      <c r="AY310" s="21">
        <f>X310+AH310+AR310</f>
        <v>0</v>
      </c>
    </row>
    <row r="311" spans="1:51" hidden="1" x14ac:dyDescent="0.2">
      <c r="A311" s="50" t="s">
        <v>518</v>
      </c>
      <c r="B311" s="51" t="s">
        <v>209</v>
      </c>
      <c r="C311" s="51"/>
      <c r="D311" s="51"/>
      <c r="E311" s="52">
        <f>IF(G311="Y",VLOOKUP(B311&amp;"|"&amp;C311,'[1]ETC Data'!$C$2:$D$16,2,FALSE),0)</f>
        <v>0</v>
      </c>
      <c r="F311" s="52">
        <f>IF(D311="",0,IF(G311="Y",VLOOKUP(B311&amp;"|"&amp;D311,'[1]ETC Data'!$C$2:$D$16,2,FALSE),0))</f>
        <v>0</v>
      </c>
      <c r="G311" s="53" t="str">
        <f>IF(VLOOKUP(A311,[1]Plan!A$1:H$804,8,FALSE)&lt;&gt;"",VLOOKUP(A311,[1]Plan!A$1:H$804,8,FALSE),"")</f>
        <v>N</v>
      </c>
      <c r="H311" s="54" t="str">
        <f>IF(VLOOKUP(A311,[1]Plan!A$1:L$804,12,FALSE)&lt;&gt;"",VLOOKUP(A311,[1]Plan!A$1:L$804,12,FALSE),"")</f>
        <v/>
      </c>
      <c r="I311" s="55" t="str">
        <f>IF(VLOOKUP(A311,[1]Plan!A$1:M$804,13,FALSE)&lt;&gt;"",VLOOKUP(A311,[1]Plan!A$1:M$804,13,FALSE),"")</f>
        <v/>
      </c>
      <c r="J311" s="55" t="str">
        <f>IF(VLOOKUP(A311,[1]Plan!A$1:N$804,14,FALSE)&lt;&gt;"",VLOOKUP(A311,[1]Plan!A$1:N$804,14,FALSE),IF(VLOOKUP(A311,[1]Plan!A$1:O$804,15,FALSE)&lt;&gt;"",VLOOKUP(A311,[1]Plan!A$1:O$804,15,FALSE),""))</f>
        <v/>
      </c>
      <c r="K311" s="56" t="str">
        <f>IF(VLOOKUP(A311,[1]Plan!A$1:P$804,16,FALSE)&lt;&gt;"",VLOOKUP(A311,[1]Plan!A$1:P$804,16,FALSE),"")</f>
        <v/>
      </c>
      <c r="L311" s="55"/>
      <c r="M311" s="55"/>
      <c r="N311" s="55"/>
      <c r="O311" s="57">
        <f>IF(F311=0,E311,F311)</f>
        <v>0</v>
      </c>
      <c r="P311" s="57" t="b">
        <f>OR(H311="Y",I311="Y")</f>
        <v>0</v>
      </c>
      <c r="Q311" s="58">
        <f>IF(P311,O311*'[1]ETC Data'!$H$3*'[1]ETC Data'!$I$3,0)</f>
        <v>0</v>
      </c>
      <c r="R311" s="58">
        <f>Q311-(Q311*((VLOOKUP(A311,[1]Plan!A$1:Z$804,26,FALSE)/100)))</f>
        <v>0</v>
      </c>
      <c r="S311" s="58">
        <f>IF(P311,O311*'[1]ETC Data'!$H$3*'[1]ETC Data'!$J$3,0)</f>
        <v>0</v>
      </c>
      <c r="T311" s="58">
        <f>S311-(S311*((VLOOKUP(A311,[1]Plan!A$1:AA$804,27,FALSE)/100)))</f>
        <v>0</v>
      </c>
      <c r="U311" s="58">
        <f>IF(P311,O311*'[1]ETC Data'!$H$3*'[1]ETC Data'!$K$3,0)</f>
        <v>0</v>
      </c>
      <c r="V311" s="58">
        <f>U311-(U311*((VLOOKUP(A311,[1]Plan!A$1:AB$804,28,FALSE)/100)))</f>
        <v>0</v>
      </c>
      <c r="W311" s="58">
        <f>IF(P311,O311*'[1]ETC Data'!$H$3*'[1]ETC Data'!$L$3,0)</f>
        <v>0</v>
      </c>
      <c r="X311" s="58">
        <f>W311-(W311*((VLOOKUP(A311,[1]Plan!A$1:AC$804,29,FALSE)/100)))</f>
        <v>0</v>
      </c>
      <c r="Y311" s="59"/>
      <c r="Z311" s="60" t="b">
        <f>OR(H311="Y",J311="Y")</f>
        <v>0</v>
      </c>
      <c r="AA311" s="58">
        <f>IF(Z311,O311*'[1]ETC Data'!$H$4*'[1]ETC Data'!$I$4,0)</f>
        <v>0</v>
      </c>
      <c r="AB311" s="58">
        <f>AA311-(AA311*((VLOOKUP(A311,[1]Plan!A$1:AI$804,35,FALSE)/100)))</f>
        <v>0</v>
      </c>
      <c r="AC311" s="58">
        <f>IF(Z311,O311*'[1]ETC Data'!$H$4*'[1]ETC Data'!$J$4,0)</f>
        <v>0</v>
      </c>
      <c r="AD311" s="58">
        <f>AC311-(AC311*((VLOOKUP(A311,[1]Plan!A$1:AJ$804,36,FALSE)/100)))</f>
        <v>0</v>
      </c>
      <c r="AE311" s="58">
        <f>IF(Z311,O311*'[1]ETC Data'!$H$4*'[1]ETC Data'!$K$4,0)</f>
        <v>0</v>
      </c>
      <c r="AF311" s="58">
        <f>AE311-(AE311*((VLOOKUP(A311,[1]Plan!A$1:AK$804,37,FALSE)/100)))</f>
        <v>0</v>
      </c>
      <c r="AG311" s="58">
        <f>IF(Z311,O311*'[1]ETC Data'!$H$4*'[1]ETC Data'!$L$4,0)</f>
        <v>0</v>
      </c>
      <c r="AH311" s="58">
        <f>AG311-(AG311*((VLOOKUP(A311,[1]Plan!A$1:AP$804,42,FALSE)/100)))</f>
        <v>0</v>
      </c>
      <c r="AI311" s="60"/>
      <c r="AJ311" s="60" t="b">
        <f>OR(H311="Y",K311="Y")</f>
        <v>0</v>
      </c>
      <c r="AK311" s="61">
        <f>IF(AJ311,O311*'[1]ETC Data'!$H$5*'[1]ETC Data'!$I$5,0)</f>
        <v>0</v>
      </c>
      <c r="AL311" s="58">
        <f>AK311-(AK311*((VLOOKUP(A311,[1]Plan!A$1:AY$804,51,FALSE)/100)))</f>
        <v>0</v>
      </c>
      <c r="AM311" s="58">
        <f>IF(AJ311,O311*'[1]ETC Data'!$H$5*'[1]ETC Data'!$J$5,0)</f>
        <v>0</v>
      </c>
      <c r="AN311" s="58">
        <f>AM311-(AM311*((VLOOKUP(A311,[1]Plan!A$1:BA$804,53,FALSE)/100)))</f>
        <v>0</v>
      </c>
      <c r="AO311" s="61">
        <f>IF(AJ311,O311*'[1]ETC Data'!$H$5*'[1]ETC Data'!$K$5,0)</f>
        <v>0</v>
      </c>
      <c r="AP311" s="58">
        <f>AO311-(AO311*((VLOOKUP(A311,[1]Plan!A$1:BB$804,54,FALSE)/100)))</f>
        <v>0</v>
      </c>
      <c r="AQ311" s="58">
        <f>IF(AJ311,O311*'[1]ETC Data'!$H$5*'[1]ETC Data'!$L$5,0)</f>
        <v>0</v>
      </c>
      <c r="AR311" s="58">
        <f>AQ311-(AQ311*((VLOOKUP(A311,[1]Plan!A$1:BD$804,56,FALSE)/100)))</f>
        <v>0</v>
      </c>
      <c r="AS311" s="20">
        <f>VLOOKUP(A311,'[1]PR Matrix'!A:B,2,FALSE)</f>
        <v>0</v>
      </c>
      <c r="AT311" s="21">
        <f>R311+T311+V311+X311+AB311+AD311+AF311+AH311+AL311+AN311+AP311+AR311</f>
        <v>0</v>
      </c>
      <c r="AU311" s="21">
        <f>Q311+S311+U311+W311+AA311+AC311+AE311+AG311+AK311+AM311+AO311+AQ311</f>
        <v>0</v>
      </c>
      <c r="AV311" s="21">
        <f>R311+AB311+AL311</f>
        <v>0</v>
      </c>
      <c r="AW311" s="21">
        <f>T311+AD311+AN311</f>
        <v>0</v>
      </c>
      <c r="AX311" s="21">
        <f>V311+AF311+AP311</f>
        <v>0</v>
      </c>
      <c r="AY311" s="21">
        <f>X311+AH311+AR311</f>
        <v>0</v>
      </c>
    </row>
    <row r="312" spans="1:51" hidden="1" x14ac:dyDescent="0.2">
      <c r="A312" s="50" t="s">
        <v>519</v>
      </c>
      <c r="B312" s="51" t="s">
        <v>209</v>
      </c>
      <c r="C312" s="51"/>
      <c r="D312" s="51"/>
      <c r="E312" s="52">
        <f>IF(G312="Y",VLOOKUP(B312&amp;"|"&amp;C312,'[1]ETC Data'!$C$2:$D$16,2,FALSE),0)</f>
        <v>0</v>
      </c>
      <c r="F312" s="52">
        <f>IF(D312="",0,IF(G312="Y",VLOOKUP(B312&amp;"|"&amp;D312,'[1]ETC Data'!$C$2:$D$16,2,FALSE),0))</f>
        <v>0</v>
      </c>
      <c r="G312" s="53" t="str">
        <f>IF(VLOOKUP(A312,[1]Plan!A$1:H$804,8,FALSE)&lt;&gt;"",VLOOKUP(A312,[1]Plan!A$1:H$804,8,FALSE),"")</f>
        <v>N</v>
      </c>
      <c r="H312" s="54" t="str">
        <f>IF(VLOOKUP(A312,[1]Plan!A$1:L$804,12,FALSE)&lt;&gt;"",VLOOKUP(A312,[1]Plan!A$1:L$804,12,FALSE),"")</f>
        <v/>
      </c>
      <c r="I312" s="55" t="str">
        <f>IF(VLOOKUP(A312,[1]Plan!A$1:M$804,13,FALSE)&lt;&gt;"",VLOOKUP(A312,[1]Plan!A$1:M$804,13,FALSE),"")</f>
        <v/>
      </c>
      <c r="J312" s="55" t="str">
        <f>IF(VLOOKUP(A312,[1]Plan!A$1:N$804,14,FALSE)&lt;&gt;"",VLOOKUP(A312,[1]Plan!A$1:N$804,14,FALSE),IF(VLOOKUP(A312,[1]Plan!A$1:O$804,15,FALSE)&lt;&gt;"",VLOOKUP(A312,[1]Plan!A$1:O$804,15,FALSE),""))</f>
        <v/>
      </c>
      <c r="K312" s="56" t="str">
        <f>IF(VLOOKUP(A312,[1]Plan!A$1:P$804,16,FALSE)&lt;&gt;"",VLOOKUP(A312,[1]Plan!A$1:P$804,16,FALSE),"")</f>
        <v/>
      </c>
      <c r="L312" s="55"/>
      <c r="M312" s="55"/>
      <c r="N312" s="55"/>
      <c r="O312" s="57">
        <f>IF(F312=0,E312,F312)</f>
        <v>0</v>
      </c>
      <c r="P312" s="57" t="b">
        <f>OR(H312="Y",I312="Y")</f>
        <v>0</v>
      </c>
      <c r="Q312" s="58">
        <f>IF(P312,O312*'[1]ETC Data'!$H$3*'[1]ETC Data'!$I$3,0)</f>
        <v>0</v>
      </c>
      <c r="R312" s="58">
        <f>Q312-(Q312*((VLOOKUP(A312,[1]Plan!A$1:Z$804,26,FALSE)/100)))</f>
        <v>0</v>
      </c>
      <c r="S312" s="58">
        <f>IF(P312,O312*'[1]ETC Data'!$H$3*'[1]ETC Data'!$J$3,0)</f>
        <v>0</v>
      </c>
      <c r="T312" s="58">
        <f>S312-(S312*((VLOOKUP(A312,[1]Plan!A$1:AA$804,27,FALSE)/100)))</f>
        <v>0</v>
      </c>
      <c r="U312" s="58">
        <f>IF(P312,O312*'[1]ETC Data'!$H$3*'[1]ETC Data'!$K$3,0)</f>
        <v>0</v>
      </c>
      <c r="V312" s="58">
        <f>U312-(U312*((VLOOKUP(A312,[1]Plan!A$1:AB$804,28,FALSE)/100)))</f>
        <v>0</v>
      </c>
      <c r="W312" s="58">
        <f>IF(P312,O312*'[1]ETC Data'!$H$3*'[1]ETC Data'!$L$3,0)</f>
        <v>0</v>
      </c>
      <c r="X312" s="58">
        <f>W312-(W312*((VLOOKUP(A312,[1]Plan!A$1:AC$804,29,FALSE)/100)))</f>
        <v>0</v>
      </c>
      <c r="Y312" s="59"/>
      <c r="Z312" s="60" t="b">
        <f>OR(H312="Y",J312="Y")</f>
        <v>0</v>
      </c>
      <c r="AA312" s="58">
        <f>IF(Z312,O312*'[1]ETC Data'!$H$4*'[1]ETC Data'!$I$4,0)</f>
        <v>0</v>
      </c>
      <c r="AB312" s="58">
        <f>AA312-(AA312*((VLOOKUP(A312,[1]Plan!A$1:AI$804,35,FALSE)/100)))</f>
        <v>0</v>
      </c>
      <c r="AC312" s="58">
        <f>IF(Z312,O312*'[1]ETC Data'!$H$4*'[1]ETC Data'!$J$4,0)</f>
        <v>0</v>
      </c>
      <c r="AD312" s="58">
        <f>AC312-(AC312*((VLOOKUP(A312,[1]Plan!A$1:AJ$804,36,FALSE)/100)))</f>
        <v>0</v>
      </c>
      <c r="AE312" s="58">
        <f>IF(Z312,O312*'[1]ETC Data'!$H$4*'[1]ETC Data'!$K$4,0)</f>
        <v>0</v>
      </c>
      <c r="AF312" s="58">
        <f>AE312-(AE312*((VLOOKUP(A312,[1]Plan!A$1:AK$804,37,FALSE)/100)))</f>
        <v>0</v>
      </c>
      <c r="AG312" s="58">
        <f>IF(Z312,O312*'[1]ETC Data'!$H$4*'[1]ETC Data'!$L$4,0)</f>
        <v>0</v>
      </c>
      <c r="AH312" s="58">
        <f>AG312-(AG312*((VLOOKUP(A312,[1]Plan!A$1:AP$804,42,FALSE)/100)))</f>
        <v>0</v>
      </c>
      <c r="AI312" s="60"/>
      <c r="AJ312" s="60" t="b">
        <f>OR(H312="Y",K312="Y")</f>
        <v>0</v>
      </c>
      <c r="AK312" s="61">
        <f>IF(AJ312,O312*'[1]ETC Data'!$H$5*'[1]ETC Data'!$I$5,0)</f>
        <v>0</v>
      </c>
      <c r="AL312" s="58">
        <f>AK312-(AK312*((VLOOKUP(A312,[1]Plan!A$1:AY$804,51,FALSE)/100)))</f>
        <v>0</v>
      </c>
      <c r="AM312" s="58">
        <f>IF(AJ312,O312*'[1]ETC Data'!$H$5*'[1]ETC Data'!$J$5,0)</f>
        <v>0</v>
      </c>
      <c r="AN312" s="58">
        <f>AM312-(AM312*((VLOOKUP(A312,[1]Plan!A$1:BA$804,53,FALSE)/100)))</f>
        <v>0</v>
      </c>
      <c r="AO312" s="61">
        <f>IF(AJ312,O312*'[1]ETC Data'!$H$5*'[1]ETC Data'!$K$5,0)</f>
        <v>0</v>
      </c>
      <c r="AP312" s="58">
        <f>AO312-(AO312*((VLOOKUP(A312,[1]Plan!A$1:BB$804,54,FALSE)/100)))</f>
        <v>0</v>
      </c>
      <c r="AQ312" s="58">
        <f>IF(AJ312,O312*'[1]ETC Data'!$H$5*'[1]ETC Data'!$L$5,0)</f>
        <v>0</v>
      </c>
      <c r="AR312" s="58">
        <f>AQ312-(AQ312*((VLOOKUP(A312,[1]Plan!A$1:BD$804,56,FALSE)/100)))</f>
        <v>0</v>
      </c>
      <c r="AS312" s="20">
        <f>VLOOKUP(A312,'[1]PR Matrix'!A:B,2,FALSE)</f>
        <v>0</v>
      </c>
      <c r="AT312" s="21">
        <f>R312+T312+V312+X312+AB312+AD312+AF312+AH312+AL312+AN312+AP312+AR312</f>
        <v>0</v>
      </c>
      <c r="AU312" s="21">
        <f>Q312+S312+U312+W312+AA312+AC312+AE312+AG312+AK312+AM312+AO312+AQ312</f>
        <v>0</v>
      </c>
      <c r="AV312" s="21">
        <f>R312+AB312+AL312</f>
        <v>0</v>
      </c>
      <c r="AW312" s="21">
        <f>T312+AD312+AN312</f>
        <v>0</v>
      </c>
      <c r="AX312" s="21">
        <f>V312+AF312+AP312</f>
        <v>0</v>
      </c>
      <c r="AY312" s="21">
        <f>X312+AH312+AR312</f>
        <v>0</v>
      </c>
    </row>
    <row r="313" spans="1:51" hidden="1" x14ac:dyDescent="0.2">
      <c r="A313" s="50" t="s">
        <v>520</v>
      </c>
      <c r="B313" s="51" t="s">
        <v>208</v>
      </c>
      <c r="C313" s="51"/>
      <c r="D313" s="51"/>
      <c r="E313" s="52">
        <f>IF(G313="Y",VLOOKUP(B313&amp;"|"&amp;C313,'[1]ETC Data'!$C$2:$D$16,2,FALSE),0)</f>
        <v>0</v>
      </c>
      <c r="F313" s="52">
        <f>IF(D313="",0,IF(G313="Y",VLOOKUP(B313&amp;"|"&amp;D313,'[1]ETC Data'!$C$2:$D$16,2,FALSE),0))</f>
        <v>0</v>
      </c>
      <c r="G313" s="53" t="str">
        <f>IF(VLOOKUP(A313,[1]Plan!A$1:H$804,8,FALSE)&lt;&gt;"",VLOOKUP(A313,[1]Plan!A$1:H$804,8,FALSE),"")</f>
        <v>N</v>
      </c>
      <c r="H313" s="54" t="str">
        <f>IF(VLOOKUP(A313,[1]Plan!A$1:L$804,12,FALSE)&lt;&gt;"",VLOOKUP(A313,[1]Plan!A$1:L$804,12,FALSE),"")</f>
        <v/>
      </c>
      <c r="I313" s="55" t="str">
        <f>IF(VLOOKUP(A313,[1]Plan!A$1:M$804,13,FALSE)&lt;&gt;"",VLOOKUP(A313,[1]Plan!A$1:M$804,13,FALSE),"")</f>
        <v/>
      </c>
      <c r="J313" s="55" t="str">
        <f>IF(VLOOKUP(A313,[1]Plan!A$1:N$804,14,FALSE)&lt;&gt;"",VLOOKUP(A313,[1]Plan!A$1:N$804,14,FALSE),IF(VLOOKUP(A313,[1]Plan!A$1:O$804,15,FALSE)&lt;&gt;"",VLOOKUP(A313,[1]Plan!A$1:O$804,15,FALSE),""))</f>
        <v/>
      </c>
      <c r="K313" s="56" t="str">
        <f>IF(VLOOKUP(A313,[1]Plan!A$1:P$804,16,FALSE)&lt;&gt;"",VLOOKUP(A313,[1]Plan!A$1:P$804,16,FALSE),"")</f>
        <v/>
      </c>
      <c r="L313" s="55"/>
      <c r="M313" s="55"/>
      <c r="N313" s="55"/>
      <c r="O313" s="57">
        <f>IF(F313=0,E313,F313)</f>
        <v>0</v>
      </c>
      <c r="P313" s="57" t="b">
        <f>OR(H313="Y",I313="Y")</f>
        <v>0</v>
      </c>
      <c r="Q313" s="58">
        <f>IF(P313,O313*'[1]ETC Data'!$H$3*'[1]ETC Data'!$I$3,0)</f>
        <v>0</v>
      </c>
      <c r="R313" s="58">
        <f>Q313-(Q313*((VLOOKUP(A313,[1]Plan!A$1:Z$804,26,FALSE)/100)))</f>
        <v>0</v>
      </c>
      <c r="S313" s="58">
        <f>IF(P313,O313*'[1]ETC Data'!$H$3*'[1]ETC Data'!$J$3,0)</f>
        <v>0</v>
      </c>
      <c r="T313" s="58">
        <f>S313-(S313*((VLOOKUP(A313,[1]Plan!A$1:AA$804,27,FALSE)/100)))</f>
        <v>0</v>
      </c>
      <c r="U313" s="58">
        <f>IF(P313,O313*'[1]ETC Data'!$H$3*'[1]ETC Data'!$K$3,0)</f>
        <v>0</v>
      </c>
      <c r="V313" s="58">
        <f>U313-(U313*((VLOOKUP(A313,[1]Plan!A$1:AB$804,28,FALSE)/100)))</f>
        <v>0</v>
      </c>
      <c r="W313" s="58">
        <f>IF(P313,O313*'[1]ETC Data'!$H$3*'[1]ETC Data'!$L$3,0)</f>
        <v>0</v>
      </c>
      <c r="X313" s="58">
        <f>W313-(W313*((VLOOKUP(A313,[1]Plan!A$1:AC$804,29,FALSE)/100)))</f>
        <v>0</v>
      </c>
      <c r="Y313" s="59"/>
      <c r="Z313" s="60" t="b">
        <f>OR(H313="Y",J313="Y")</f>
        <v>0</v>
      </c>
      <c r="AA313" s="58">
        <f>IF(Z313,O313*'[1]ETC Data'!$H$4*'[1]ETC Data'!$I$4,0)</f>
        <v>0</v>
      </c>
      <c r="AB313" s="58">
        <f>AA313-(AA313*((VLOOKUP(A313,[1]Plan!A$1:AI$804,35,FALSE)/100)))</f>
        <v>0</v>
      </c>
      <c r="AC313" s="58">
        <f>IF(Z313,O313*'[1]ETC Data'!$H$4*'[1]ETC Data'!$J$4,0)</f>
        <v>0</v>
      </c>
      <c r="AD313" s="58">
        <f>AC313-(AC313*((VLOOKUP(A313,[1]Plan!A$1:AJ$804,36,FALSE)/100)))</f>
        <v>0</v>
      </c>
      <c r="AE313" s="58">
        <f>IF(Z313,O313*'[1]ETC Data'!$H$4*'[1]ETC Data'!$K$4,0)</f>
        <v>0</v>
      </c>
      <c r="AF313" s="58">
        <f>AE313-(AE313*((VLOOKUP(A313,[1]Plan!A$1:AK$804,37,FALSE)/100)))</f>
        <v>0</v>
      </c>
      <c r="AG313" s="58">
        <f>IF(Z313,O313*'[1]ETC Data'!$H$4*'[1]ETC Data'!$L$4,0)</f>
        <v>0</v>
      </c>
      <c r="AH313" s="58">
        <f>AG313-(AG313*((VLOOKUP(A313,[1]Plan!A$1:AP$804,42,FALSE)/100)))</f>
        <v>0</v>
      </c>
      <c r="AI313" s="60"/>
      <c r="AJ313" s="60" t="b">
        <f>OR(H313="Y",K313="Y")</f>
        <v>0</v>
      </c>
      <c r="AK313" s="61">
        <f>IF(AJ313,O313*'[1]ETC Data'!$H$5*'[1]ETC Data'!$I$5,0)</f>
        <v>0</v>
      </c>
      <c r="AL313" s="58">
        <f>AK313-(AK313*((VLOOKUP(A313,[1]Plan!A$1:AY$804,51,FALSE)/100)))</f>
        <v>0</v>
      </c>
      <c r="AM313" s="58">
        <f>IF(AJ313,O313*'[1]ETC Data'!$H$5*'[1]ETC Data'!$J$5,0)</f>
        <v>0</v>
      </c>
      <c r="AN313" s="58">
        <f>AM313-(AM313*((VLOOKUP(A313,[1]Plan!A$1:BA$804,53,FALSE)/100)))</f>
        <v>0</v>
      </c>
      <c r="AO313" s="61">
        <f>IF(AJ313,O313*'[1]ETC Data'!$H$5*'[1]ETC Data'!$K$5,0)</f>
        <v>0</v>
      </c>
      <c r="AP313" s="58">
        <f>AO313-(AO313*((VLOOKUP(A313,[1]Plan!A$1:BB$804,54,FALSE)/100)))</f>
        <v>0</v>
      </c>
      <c r="AQ313" s="58">
        <f>IF(AJ313,O313*'[1]ETC Data'!$H$5*'[1]ETC Data'!$L$5,0)</f>
        <v>0</v>
      </c>
      <c r="AR313" s="58">
        <f>AQ313-(AQ313*((VLOOKUP(A313,[1]Plan!A$1:BD$804,56,FALSE)/100)))</f>
        <v>0</v>
      </c>
      <c r="AS313" s="20">
        <f>VLOOKUP(A313,'[1]PR Matrix'!A:B,2,FALSE)</f>
        <v>0</v>
      </c>
      <c r="AT313" s="21">
        <f>R313+T313+V313+X313+AB313+AD313+AF313+AH313+AL313+AN313+AP313+AR313</f>
        <v>0</v>
      </c>
      <c r="AU313" s="21">
        <f>Q313+S313+U313+W313+AA313+AC313+AE313+AG313+AK313+AM313+AO313+AQ313</f>
        <v>0</v>
      </c>
      <c r="AV313" s="21">
        <f>R313+AB313+AL313</f>
        <v>0</v>
      </c>
      <c r="AW313" s="21">
        <f>T313+AD313+AN313</f>
        <v>0</v>
      </c>
      <c r="AX313" s="21">
        <f>V313+AF313+AP313</f>
        <v>0</v>
      </c>
      <c r="AY313" s="21">
        <f>X313+AH313+AR313</f>
        <v>0</v>
      </c>
    </row>
    <row r="314" spans="1:51" hidden="1" x14ac:dyDescent="0.2">
      <c r="A314" s="50" t="s">
        <v>521</v>
      </c>
      <c r="B314" s="51" t="s">
        <v>208</v>
      </c>
      <c r="C314" s="51"/>
      <c r="D314" s="51"/>
      <c r="E314" s="52">
        <f>IF(G314="Y",VLOOKUP(B314&amp;"|"&amp;C314,'[1]ETC Data'!$C$2:$D$16,2,FALSE),0)</f>
        <v>0</v>
      </c>
      <c r="F314" s="52">
        <f>IF(D314="",0,IF(G314="Y",VLOOKUP(B314&amp;"|"&amp;D314,'[1]ETC Data'!$C$2:$D$16,2,FALSE),0))</f>
        <v>0</v>
      </c>
      <c r="G314" s="53" t="str">
        <f>IF(VLOOKUP(A314,[1]Plan!A$1:H$804,8,FALSE)&lt;&gt;"",VLOOKUP(A314,[1]Plan!A$1:H$804,8,FALSE),"")</f>
        <v>N</v>
      </c>
      <c r="H314" s="54" t="str">
        <f>IF(VLOOKUP(A314,[1]Plan!A$1:L$804,12,FALSE)&lt;&gt;"",VLOOKUP(A314,[1]Plan!A$1:L$804,12,FALSE),"")</f>
        <v/>
      </c>
      <c r="I314" s="55" t="str">
        <f>IF(VLOOKUP(A314,[1]Plan!A$1:M$804,13,FALSE)&lt;&gt;"",VLOOKUP(A314,[1]Plan!A$1:M$804,13,FALSE),"")</f>
        <v/>
      </c>
      <c r="J314" s="55" t="str">
        <f>IF(VLOOKUP(A314,[1]Plan!A$1:N$804,14,FALSE)&lt;&gt;"",VLOOKUP(A314,[1]Plan!A$1:N$804,14,FALSE),IF(VLOOKUP(A314,[1]Plan!A$1:O$804,15,FALSE)&lt;&gt;"",VLOOKUP(A314,[1]Plan!A$1:O$804,15,FALSE),""))</f>
        <v/>
      </c>
      <c r="K314" s="56" t="str">
        <f>IF(VLOOKUP(A314,[1]Plan!A$1:P$804,16,FALSE)&lt;&gt;"",VLOOKUP(A314,[1]Plan!A$1:P$804,16,FALSE),"")</f>
        <v/>
      </c>
      <c r="L314" s="55"/>
      <c r="M314" s="55"/>
      <c r="N314" s="55"/>
      <c r="O314" s="57">
        <f>IF(F314=0,E314,F314)</f>
        <v>0</v>
      </c>
      <c r="P314" s="57" t="b">
        <f>OR(H314="Y",I314="Y")</f>
        <v>0</v>
      </c>
      <c r="Q314" s="58">
        <f>IF(P314,O314*'[1]ETC Data'!$H$3*'[1]ETC Data'!$I$3,0)</f>
        <v>0</v>
      </c>
      <c r="R314" s="58">
        <f>Q314-(Q314*((VLOOKUP(A314,[1]Plan!A$1:Z$804,26,FALSE)/100)))</f>
        <v>0</v>
      </c>
      <c r="S314" s="58">
        <f>IF(P314,O314*'[1]ETC Data'!$H$3*'[1]ETC Data'!$J$3,0)</f>
        <v>0</v>
      </c>
      <c r="T314" s="58">
        <f>S314-(S314*((VLOOKUP(A314,[1]Plan!A$1:AA$804,27,FALSE)/100)))</f>
        <v>0</v>
      </c>
      <c r="U314" s="58">
        <f>IF(P314,O314*'[1]ETC Data'!$H$3*'[1]ETC Data'!$K$3,0)</f>
        <v>0</v>
      </c>
      <c r="V314" s="58">
        <f>U314-(U314*((VLOOKUP(A314,[1]Plan!A$1:AB$804,28,FALSE)/100)))</f>
        <v>0</v>
      </c>
      <c r="W314" s="58">
        <f>IF(P314,O314*'[1]ETC Data'!$H$3*'[1]ETC Data'!$L$3,0)</f>
        <v>0</v>
      </c>
      <c r="X314" s="58">
        <f>W314-(W314*((VLOOKUP(A314,[1]Plan!A$1:AC$804,29,FALSE)/100)))</f>
        <v>0</v>
      </c>
      <c r="Y314" s="59"/>
      <c r="Z314" s="60" t="b">
        <f>OR(H314="Y",J314="Y")</f>
        <v>0</v>
      </c>
      <c r="AA314" s="58">
        <f>IF(Z314,O314*'[1]ETC Data'!$H$4*'[1]ETC Data'!$I$4,0)</f>
        <v>0</v>
      </c>
      <c r="AB314" s="58">
        <f>AA314-(AA314*((VLOOKUP(A314,[1]Plan!A$1:AI$804,35,FALSE)/100)))</f>
        <v>0</v>
      </c>
      <c r="AC314" s="58">
        <f>IF(Z314,O314*'[1]ETC Data'!$H$4*'[1]ETC Data'!$J$4,0)</f>
        <v>0</v>
      </c>
      <c r="AD314" s="58">
        <f>AC314-(AC314*((VLOOKUP(A314,[1]Plan!A$1:AJ$804,36,FALSE)/100)))</f>
        <v>0</v>
      </c>
      <c r="AE314" s="58">
        <f>IF(Z314,O314*'[1]ETC Data'!$H$4*'[1]ETC Data'!$K$4,0)</f>
        <v>0</v>
      </c>
      <c r="AF314" s="58">
        <f>AE314-(AE314*((VLOOKUP(A314,[1]Plan!A$1:AK$804,37,FALSE)/100)))</f>
        <v>0</v>
      </c>
      <c r="AG314" s="58">
        <f>IF(Z314,O314*'[1]ETC Data'!$H$4*'[1]ETC Data'!$L$4,0)</f>
        <v>0</v>
      </c>
      <c r="AH314" s="58">
        <f>AG314-(AG314*((VLOOKUP(A314,[1]Plan!A$1:AP$804,42,FALSE)/100)))</f>
        <v>0</v>
      </c>
      <c r="AI314" s="60"/>
      <c r="AJ314" s="60" t="b">
        <f>OR(H314="Y",K314="Y")</f>
        <v>0</v>
      </c>
      <c r="AK314" s="61">
        <f>IF(AJ314,O314*'[1]ETC Data'!$H$5*'[1]ETC Data'!$I$5,0)</f>
        <v>0</v>
      </c>
      <c r="AL314" s="58">
        <f>AK314-(AK314*((VLOOKUP(A314,[1]Plan!A$1:AY$804,51,FALSE)/100)))</f>
        <v>0</v>
      </c>
      <c r="AM314" s="58">
        <f>IF(AJ314,O314*'[1]ETC Data'!$H$5*'[1]ETC Data'!$J$5,0)</f>
        <v>0</v>
      </c>
      <c r="AN314" s="58">
        <f>AM314-(AM314*((VLOOKUP(A314,[1]Plan!A$1:BA$804,53,FALSE)/100)))</f>
        <v>0</v>
      </c>
      <c r="AO314" s="61">
        <f>IF(AJ314,O314*'[1]ETC Data'!$H$5*'[1]ETC Data'!$K$5,0)</f>
        <v>0</v>
      </c>
      <c r="AP314" s="58">
        <f>AO314-(AO314*((VLOOKUP(A314,[1]Plan!A$1:BB$804,54,FALSE)/100)))</f>
        <v>0</v>
      </c>
      <c r="AQ314" s="58">
        <f>IF(AJ314,O314*'[1]ETC Data'!$H$5*'[1]ETC Data'!$L$5,0)</f>
        <v>0</v>
      </c>
      <c r="AR314" s="58">
        <f>AQ314-(AQ314*((VLOOKUP(A314,[1]Plan!A$1:BD$804,56,FALSE)/100)))</f>
        <v>0</v>
      </c>
      <c r="AS314" s="20">
        <f>VLOOKUP(A314,'[1]PR Matrix'!A:B,2,FALSE)</f>
        <v>0</v>
      </c>
      <c r="AT314" s="21">
        <f>R314+T314+V314+X314+AB314+AD314+AF314+AH314+AL314+AN314+AP314+AR314</f>
        <v>0</v>
      </c>
      <c r="AU314" s="21">
        <f>Q314+S314+U314+W314+AA314+AC314+AE314+AG314+AK314+AM314+AO314+AQ314</f>
        <v>0</v>
      </c>
      <c r="AV314" s="21">
        <f>R314+AB314+AL314</f>
        <v>0</v>
      </c>
      <c r="AW314" s="21">
        <f>T314+AD314+AN314</f>
        <v>0</v>
      </c>
      <c r="AX314" s="21">
        <f>V314+AF314+AP314</f>
        <v>0</v>
      </c>
      <c r="AY314" s="21">
        <f>X314+AH314+AR314</f>
        <v>0</v>
      </c>
    </row>
    <row r="315" spans="1:51" hidden="1" x14ac:dyDescent="0.2">
      <c r="A315" s="50" t="s">
        <v>522</v>
      </c>
      <c r="B315" s="51" t="s">
        <v>208</v>
      </c>
      <c r="C315" s="51"/>
      <c r="D315" s="51"/>
      <c r="E315" s="52">
        <f>IF(G315="Y",VLOOKUP(B315&amp;"|"&amp;C315,'[1]ETC Data'!$C$2:$D$16,2,FALSE),0)</f>
        <v>0</v>
      </c>
      <c r="F315" s="52">
        <f>IF(D315="",0,IF(G315="Y",VLOOKUP(B315&amp;"|"&amp;D315,'[1]ETC Data'!$C$2:$D$16,2,FALSE),0))</f>
        <v>0</v>
      </c>
      <c r="G315" s="53" t="str">
        <f>IF(VLOOKUP(A315,[1]Plan!A$1:H$804,8,FALSE)&lt;&gt;"",VLOOKUP(A315,[1]Plan!A$1:H$804,8,FALSE),"")</f>
        <v>N</v>
      </c>
      <c r="H315" s="54" t="str">
        <f>IF(VLOOKUP(A315,[1]Plan!A$1:L$804,12,FALSE)&lt;&gt;"",VLOOKUP(A315,[1]Plan!A$1:L$804,12,FALSE),"")</f>
        <v/>
      </c>
      <c r="I315" s="55" t="str">
        <f>IF(VLOOKUP(A315,[1]Plan!A$1:M$804,13,FALSE)&lt;&gt;"",VLOOKUP(A315,[1]Plan!A$1:M$804,13,FALSE),"")</f>
        <v/>
      </c>
      <c r="J315" s="55" t="str">
        <f>IF(VLOOKUP(A315,[1]Plan!A$1:N$804,14,FALSE)&lt;&gt;"",VLOOKUP(A315,[1]Plan!A$1:N$804,14,FALSE),IF(VLOOKUP(A315,[1]Plan!A$1:O$804,15,FALSE)&lt;&gt;"",VLOOKUP(A315,[1]Plan!A$1:O$804,15,FALSE),""))</f>
        <v/>
      </c>
      <c r="K315" s="56" t="str">
        <f>IF(VLOOKUP(A315,[1]Plan!A$1:P$804,16,FALSE)&lt;&gt;"",VLOOKUP(A315,[1]Plan!A$1:P$804,16,FALSE),"")</f>
        <v/>
      </c>
      <c r="L315" s="55"/>
      <c r="M315" s="55"/>
      <c r="N315" s="55"/>
      <c r="O315" s="57">
        <f>IF(F315=0,E315,F315)</f>
        <v>0</v>
      </c>
      <c r="P315" s="57" t="b">
        <f>OR(H315="Y",I315="Y")</f>
        <v>0</v>
      </c>
      <c r="Q315" s="58">
        <f>IF(P315,O315*'[1]ETC Data'!$H$3*'[1]ETC Data'!$I$3,0)</f>
        <v>0</v>
      </c>
      <c r="R315" s="58">
        <f>Q315-(Q315*((VLOOKUP(A315,[1]Plan!A$1:Z$804,26,FALSE)/100)))</f>
        <v>0</v>
      </c>
      <c r="S315" s="58">
        <f>IF(P315,O315*'[1]ETC Data'!$H$3*'[1]ETC Data'!$J$3,0)</f>
        <v>0</v>
      </c>
      <c r="T315" s="58">
        <f>S315-(S315*((VLOOKUP(A315,[1]Plan!A$1:AA$804,27,FALSE)/100)))</f>
        <v>0</v>
      </c>
      <c r="U315" s="58">
        <f>IF(P315,O315*'[1]ETC Data'!$H$3*'[1]ETC Data'!$K$3,0)</f>
        <v>0</v>
      </c>
      <c r="V315" s="58">
        <f>U315-(U315*((VLOOKUP(A315,[1]Plan!A$1:AB$804,28,FALSE)/100)))</f>
        <v>0</v>
      </c>
      <c r="W315" s="58">
        <f>IF(P315,O315*'[1]ETC Data'!$H$3*'[1]ETC Data'!$L$3,0)</f>
        <v>0</v>
      </c>
      <c r="X315" s="58">
        <f>W315-(W315*((VLOOKUP(A315,[1]Plan!A$1:AC$804,29,FALSE)/100)))</f>
        <v>0</v>
      </c>
      <c r="Y315" s="59"/>
      <c r="Z315" s="60" t="b">
        <f>OR(H315="Y",J315="Y")</f>
        <v>0</v>
      </c>
      <c r="AA315" s="58">
        <f>IF(Z315,O315*'[1]ETC Data'!$H$4*'[1]ETC Data'!$I$4,0)</f>
        <v>0</v>
      </c>
      <c r="AB315" s="58">
        <f>AA315-(AA315*((VLOOKUP(A315,[1]Plan!A$1:AI$804,35,FALSE)/100)))</f>
        <v>0</v>
      </c>
      <c r="AC315" s="58">
        <f>IF(Z315,O315*'[1]ETC Data'!$H$4*'[1]ETC Data'!$J$4,0)</f>
        <v>0</v>
      </c>
      <c r="AD315" s="58">
        <f>AC315-(AC315*((VLOOKUP(A315,[1]Plan!A$1:AJ$804,36,FALSE)/100)))</f>
        <v>0</v>
      </c>
      <c r="AE315" s="58">
        <f>IF(Z315,O315*'[1]ETC Data'!$H$4*'[1]ETC Data'!$K$4,0)</f>
        <v>0</v>
      </c>
      <c r="AF315" s="58">
        <f>AE315-(AE315*((VLOOKUP(A315,[1]Plan!A$1:AK$804,37,FALSE)/100)))</f>
        <v>0</v>
      </c>
      <c r="AG315" s="58">
        <f>IF(Z315,O315*'[1]ETC Data'!$H$4*'[1]ETC Data'!$L$4,0)</f>
        <v>0</v>
      </c>
      <c r="AH315" s="58">
        <f>AG315-(AG315*((VLOOKUP(A315,[1]Plan!A$1:AP$804,42,FALSE)/100)))</f>
        <v>0</v>
      </c>
      <c r="AI315" s="60"/>
      <c r="AJ315" s="60" t="b">
        <f>OR(H315="Y",K315="Y")</f>
        <v>0</v>
      </c>
      <c r="AK315" s="61">
        <f>IF(AJ315,O315*'[1]ETC Data'!$H$5*'[1]ETC Data'!$I$5,0)</f>
        <v>0</v>
      </c>
      <c r="AL315" s="58">
        <f>AK315-(AK315*((VLOOKUP(A315,[1]Plan!A$1:AY$804,51,FALSE)/100)))</f>
        <v>0</v>
      </c>
      <c r="AM315" s="58">
        <f>IF(AJ315,O315*'[1]ETC Data'!$H$5*'[1]ETC Data'!$J$5,0)</f>
        <v>0</v>
      </c>
      <c r="AN315" s="58">
        <f>AM315-(AM315*((VLOOKUP(A315,[1]Plan!A$1:BA$804,53,FALSE)/100)))</f>
        <v>0</v>
      </c>
      <c r="AO315" s="61">
        <f>IF(AJ315,O315*'[1]ETC Data'!$H$5*'[1]ETC Data'!$K$5,0)</f>
        <v>0</v>
      </c>
      <c r="AP315" s="58">
        <f>AO315-(AO315*((VLOOKUP(A315,[1]Plan!A$1:BB$804,54,FALSE)/100)))</f>
        <v>0</v>
      </c>
      <c r="AQ315" s="58">
        <f>IF(AJ315,O315*'[1]ETC Data'!$H$5*'[1]ETC Data'!$L$5,0)</f>
        <v>0</v>
      </c>
      <c r="AR315" s="58">
        <f>AQ315-(AQ315*((VLOOKUP(A315,[1]Plan!A$1:BD$804,56,FALSE)/100)))</f>
        <v>0</v>
      </c>
      <c r="AS315" s="20">
        <f>VLOOKUP(A315,'[1]PR Matrix'!A:B,2,FALSE)</f>
        <v>0</v>
      </c>
      <c r="AT315" s="21">
        <f>R315+T315+V315+X315+AB315+AD315+AF315+AH315+AL315+AN315+AP315+AR315</f>
        <v>0</v>
      </c>
      <c r="AU315" s="21">
        <f>Q315+S315+U315+W315+AA315+AC315+AE315+AG315+AK315+AM315+AO315+AQ315</f>
        <v>0</v>
      </c>
      <c r="AV315" s="21">
        <f>R315+AB315+AL315</f>
        <v>0</v>
      </c>
      <c r="AW315" s="21">
        <f>T315+AD315+AN315</f>
        <v>0</v>
      </c>
      <c r="AX315" s="21">
        <f>V315+AF315+AP315</f>
        <v>0</v>
      </c>
      <c r="AY315" s="21">
        <f>X315+AH315+AR315</f>
        <v>0</v>
      </c>
    </row>
    <row r="316" spans="1:51" hidden="1" x14ac:dyDescent="0.2">
      <c r="A316" s="50" t="s">
        <v>523</v>
      </c>
      <c r="B316" s="51" t="s">
        <v>208</v>
      </c>
      <c r="C316" s="51"/>
      <c r="D316" s="51"/>
      <c r="E316" s="52">
        <f>IF(G316="Y",VLOOKUP(B316&amp;"|"&amp;C316,'[1]ETC Data'!$C$2:$D$16,2,FALSE),0)</f>
        <v>0</v>
      </c>
      <c r="F316" s="52">
        <f>IF(D316="",0,IF(G316="Y",VLOOKUP(B316&amp;"|"&amp;D316,'[1]ETC Data'!$C$2:$D$16,2,FALSE),0))</f>
        <v>0</v>
      </c>
      <c r="G316" s="53" t="str">
        <f>IF(VLOOKUP(A316,[1]Plan!A$1:H$804,8,FALSE)&lt;&gt;"",VLOOKUP(A316,[1]Plan!A$1:H$804,8,FALSE),"")</f>
        <v>N</v>
      </c>
      <c r="H316" s="54" t="str">
        <f>IF(VLOOKUP(A316,[1]Plan!A$1:L$804,12,FALSE)&lt;&gt;"",VLOOKUP(A316,[1]Plan!A$1:L$804,12,FALSE),"")</f>
        <v/>
      </c>
      <c r="I316" s="55" t="str">
        <f>IF(VLOOKUP(A316,[1]Plan!A$1:M$804,13,FALSE)&lt;&gt;"",VLOOKUP(A316,[1]Plan!A$1:M$804,13,FALSE),"")</f>
        <v/>
      </c>
      <c r="J316" s="55" t="str">
        <f>IF(VLOOKUP(A316,[1]Plan!A$1:N$804,14,FALSE)&lt;&gt;"",VLOOKUP(A316,[1]Plan!A$1:N$804,14,FALSE),IF(VLOOKUP(A316,[1]Plan!A$1:O$804,15,FALSE)&lt;&gt;"",VLOOKUP(A316,[1]Plan!A$1:O$804,15,FALSE),""))</f>
        <v/>
      </c>
      <c r="K316" s="56" t="str">
        <f>IF(VLOOKUP(A316,[1]Plan!A$1:P$804,16,FALSE)&lt;&gt;"",VLOOKUP(A316,[1]Plan!A$1:P$804,16,FALSE),"")</f>
        <v/>
      </c>
      <c r="L316" s="55"/>
      <c r="M316" s="55"/>
      <c r="N316" s="55"/>
      <c r="O316" s="57">
        <f>IF(F316=0,E316,F316)</f>
        <v>0</v>
      </c>
      <c r="P316" s="57" t="b">
        <f>OR(H316="Y",I316="Y")</f>
        <v>0</v>
      </c>
      <c r="Q316" s="58">
        <f>IF(P316,O316*'[1]ETC Data'!$H$3*'[1]ETC Data'!$I$3,0)</f>
        <v>0</v>
      </c>
      <c r="R316" s="58">
        <f>Q316-(Q316*((VLOOKUP(A316,[1]Plan!A$1:Z$804,26,FALSE)/100)))</f>
        <v>0</v>
      </c>
      <c r="S316" s="58">
        <f>IF(P316,O316*'[1]ETC Data'!$H$3*'[1]ETC Data'!$J$3,0)</f>
        <v>0</v>
      </c>
      <c r="T316" s="58">
        <f>S316-(S316*((VLOOKUP(A316,[1]Plan!A$1:AA$804,27,FALSE)/100)))</f>
        <v>0</v>
      </c>
      <c r="U316" s="58">
        <f>IF(P316,O316*'[1]ETC Data'!$H$3*'[1]ETC Data'!$K$3,0)</f>
        <v>0</v>
      </c>
      <c r="V316" s="58">
        <f>U316-(U316*((VLOOKUP(A316,[1]Plan!A$1:AB$804,28,FALSE)/100)))</f>
        <v>0</v>
      </c>
      <c r="W316" s="58">
        <f>IF(P316,O316*'[1]ETC Data'!$H$3*'[1]ETC Data'!$L$3,0)</f>
        <v>0</v>
      </c>
      <c r="X316" s="58">
        <f>W316-(W316*((VLOOKUP(A316,[1]Plan!A$1:AC$804,29,FALSE)/100)))</f>
        <v>0</v>
      </c>
      <c r="Y316" s="59"/>
      <c r="Z316" s="60" t="b">
        <f>OR(H316="Y",J316="Y")</f>
        <v>0</v>
      </c>
      <c r="AA316" s="58">
        <f>IF(Z316,O316*'[1]ETC Data'!$H$4*'[1]ETC Data'!$I$4,0)</f>
        <v>0</v>
      </c>
      <c r="AB316" s="58">
        <f>AA316-(AA316*((VLOOKUP(A316,[1]Plan!A$1:AI$804,35,FALSE)/100)))</f>
        <v>0</v>
      </c>
      <c r="AC316" s="58">
        <f>IF(Z316,O316*'[1]ETC Data'!$H$4*'[1]ETC Data'!$J$4,0)</f>
        <v>0</v>
      </c>
      <c r="AD316" s="58">
        <f>AC316-(AC316*((VLOOKUP(A316,[1]Plan!A$1:AJ$804,36,FALSE)/100)))</f>
        <v>0</v>
      </c>
      <c r="AE316" s="58">
        <f>IF(Z316,O316*'[1]ETC Data'!$H$4*'[1]ETC Data'!$K$4,0)</f>
        <v>0</v>
      </c>
      <c r="AF316" s="58">
        <f>AE316-(AE316*((VLOOKUP(A316,[1]Plan!A$1:AK$804,37,FALSE)/100)))</f>
        <v>0</v>
      </c>
      <c r="AG316" s="58">
        <f>IF(Z316,O316*'[1]ETC Data'!$H$4*'[1]ETC Data'!$L$4,0)</f>
        <v>0</v>
      </c>
      <c r="AH316" s="58">
        <f>AG316-(AG316*((VLOOKUP(A316,[1]Plan!A$1:AP$804,42,FALSE)/100)))</f>
        <v>0</v>
      </c>
      <c r="AI316" s="60"/>
      <c r="AJ316" s="60" t="b">
        <f>OR(H316="Y",K316="Y")</f>
        <v>0</v>
      </c>
      <c r="AK316" s="61">
        <f>IF(AJ316,O316*'[1]ETC Data'!$H$5*'[1]ETC Data'!$I$5,0)</f>
        <v>0</v>
      </c>
      <c r="AL316" s="58">
        <f>AK316-(AK316*((VLOOKUP(A316,[1]Plan!A$1:AY$804,51,FALSE)/100)))</f>
        <v>0</v>
      </c>
      <c r="AM316" s="58">
        <f>IF(AJ316,O316*'[1]ETC Data'!$H$5*'[1]ETC Data'!$J$5,0)</f>
        <v>0</v>
      </c>
      <c r="AN316" s="58">
        <f>AM316-(AM316*((VLOOKUP(A316,[1]Plan!A$1:BA$804,53,FALSE)/100)))</f>
        <v>0</v>
      </c>
      <c r="AO316" s="61">
        <f>IF(AJ316,O316*'[1]ETC Data'!$H$5*'[1]ETC Data'!$K$5,0)</f>
        <v>0</v>
      </c>
      <c r="AP316" s="58">
        <f>AO316-(AO316*((VLOOKUP(A316,[1]Plan!A$1:BB$804,54,FALSE)/100)))</f>
        <v>0</v>
      </c>
      <c r="AQ316" s="58">
        <f>IF(AJ316,O316*'[1]ETC Data'!$H$5*'[1]ETC Data'!$L$5,0)</f>
        <v>0</v>
      </c>
      <c r="AR316" s="58">
        <f>AQ316-(AQ316*((VLOOKUP(A316,[1]Plan!A$1:BD$804,56,FALSE)/100)))</f>
        <v>0</v>
      </c>
      <c r="AS316" s="20">
        <f>VLOOKUP(A316,'[1]PR Matrix'!A:B,2,FALSE)</f>
        <v>0</v>
      </c>
      <c r="AT316" s="21">
        <f>R316+T316+V316+X316+AB316+AD316+AF316+AH316+AL316+AN316+AP316+AR316</f>
        <v>0</v>
      </c>
      <c r="AU316" s="21">
        <f>Q316+S316+U316+W316+AA316+AC316+AE316+AG316+AK316+AM316+AO316+AQ316</f>
        <v>0</v>
      </c>
      <c r="AV316" s="21">
        <f>R316+AB316+AL316</f>
        <v>0</v>
      </c>
      <c r="AW316" s="21">
        <f>T316+AD316+AN316</f>
        <v>0</v>
      </c>
      <c r="AX316" s="21">
        <f>V316+AF316+AP316</f>
        <v>0</v>
      </c>
      <c r="AY316" s="21">
        <f>X316+AH316+AR316</f>
        <v>0</v>
      </c>
    </row>
    <row r="317" spans="1:51" hidden="1" x14ac:dyDescent="0.2">
      <c r="A317" s="50" t="s">
        <v>524</v>
      </c>
      <c r="B317" s="51" t="s">
        <v>208</v>
      </c>
      <c r="C317" s="51"/>
      <c r="D317" s="51"/>
      <c r="E317" s="52">
        <f>IF(G317="Y",VLOOKUP(B317&amp;"|"&amp;C317,'[1]ETC Data'!$C$2:$D$16,2,FALSE),0)</f>
        <v>0</v>
      </c>
      <c r="F317" s="52">
        <f>IF(D317="",0,IF(G317="Y",VLOOKUP(B317&amp;"|"&amp;D317,'[1]ETC Data'!$C$2:$D$16,2,FALSE),0))</f>
        <v>0</v>
      </c>
      <c r="G317" s="53" t="str">
        <f>IF(VLOOKUP(A317,[1]Plan!A$1:H$804,8,FALSE)&lt;&gt;"",VLOOKUP(A317,[1]Plan!A$1:H$804,8,FALSE),"")</f>
        <v>N</v>
      </c>
      <c r="H317" s="54" t="str">
        <f>IF(VLOOKUP(A317,[1]Plan!A$1:L$804,12,FALSE)&lt;&gt;"",VLOOKUP(A317,[1]Plan!A$1:L$804,12,FALSE),"")</f>
        <v/>
      </c>
      <c r="I317" s="55" t="str">
        <f>IF(VLOOKUP(A317,[1]Plan!A$1:M$804,13,FALSE)&lt;&gt;"",VLOOKUP(A317,[1]Plan!A$1:M$804,13,FALSE),"")</f>
        <v/>
      </c>
      <c r="J317" s="55" t="str">
        <f>IF(VLOOKUP(A317,[1]Plan!A$1:N$804,14,FALSE)&lt;&gt;"",VLOOKUP(A317,[1]Plan!A$1:N$804,14,FALSE),IF(VLOOKUP(A317,[1]Plan!A$1:O$804,15,FALSE)&lt;&gt;"",VLOOKUP(A317,[1]Plan!A$1:O$804,15,FALSE),""))</f>
        <v/>
      </c>
      <c r="K317" s="56" t="str">
        <f>IF(VLOOKUP(A317,[1]Plan!A$1:P$804,16,FALSE)&lt;&gt;"",VLOOKUP(A317,[1]Plan!A$1:P$804,16,FALSE),"")</f>
        <v/>
      </c>
      <c r="L317" s="55"/>
      <c r="M317" s="55"/>
      <c r="N317" s="55"/>
      <c r="O317" s="57">
        <f>IF(F317=0,E317,F317)</f>
        <v>0</v>
      </c>
      <c r="P317" s="57" t="b">
        <f>OR(H317="Y",I317="Y")</f>
        <v>0</v>
      </c>
      <c r="Q317" s="58">
        <f>IF(P317,O317*'[1]ETC Data'!$H$3*'[1]ETC Data'!$I$3,0)</f>
        <v>0</v>
      </c>
      <c r="R317" s="58">
        <f>Q317-(Q317*((VLOOKUP(A317,[1]Plan!A$1:Z$804,26,FALSE)/100)))</f>
        <v>0</v>
      </c>
      <c r="S317" s="58">
        <f>IF(P317,O317*'[1]ETC Data'!$H$3*'[1]ETC Data'!$J$3,0)</f>
        <v>0</v>
      </c>
      <c r="T317" s="58">
        <f>S317-(S317*((VLOOKUP(A317,[1]Plan!A$1:AA$804,27,FALSE)/100)))</f>
        <v>0</v>
      </c>
      <c r="U317" s="58">
        <f>IF(P317,O317*'[1]ETC Data'!$H$3*'[1]ETC Data'!$K$3,0)</f>
        <v>0</v>
      </c>
      <c r="V317" s="58">
        <f>U317-(U317*((VLOOKUP(A317,[1]Plan!A$1:AB$804,28,FALSE)/100)))</f>
        <v>0</v>
      </c>
      <c r="W317" s="58">
        <f>IF(P317,O317*'[1]ETC Data'!$H$3*'[1]ETC Data'!$L$3,0)</f>
        <v>0</v>
      </c>
      <c r="X317" s="58">
        <f>W317-(W317*((VLOOKUP(A317,[1]Plan!A$1:AC$804,29,FALSE)/100)))</f>
        <v>0</v>
      </c>
      <c r="Y317" s="59"/>
      <c r="Z317" s="60" t="b">
        <f>OR(H317="Y",J317="Y")</f>
        <v>0</v>
      </c>
      <c r="AA317" s="58">
        <f>IF(Z317,O317*'[1]ETC Data'!$H$4*'[1]ETC Data'!$I$4,0)</f>
        <v>0</v>
      </c>
      <c r="AB317" s="58">
        <f>AA317-(AA317*((VLOOKUP(A317,[1]Plan!A$1:AI$804,35,FALSE)/100)))</f>
        <v>0</v>
      </c>
      <c r="AC317" s="58">
        <f>IF(Z317,O317*'[1]ETC Data'!$H$4*'[1]ETC Data'!$J$4,0)</f>
        <v>0</v>
      </c>
      <c r="AD317" s="58">
        <f>AC317-(AC317*((VLOOKUP(A317,[1]Plan!A$1:AJ$804,36,FALSE)/100)))</f>
        <v>0</v>
      </c>
      <c r="AE317" s="58">
        <f>IF(Z317,O317*'[1]ETC Data'!$H$4*'[1]ETC Data'!$K$4,0)</f>
        <v>0</v>
      </c>
      <c r="AF317" s="58">
        <f>AE317-(AE317*((VLOOKUP(A317,[1]Plan!A$1:AK$804,37,FALSE)/100)))</f>
        <v>0</v>
      </c>
      <c r="AG317" s="58">
        <f>IF(Z317,O317*'[1]ETC Data'!$H$4*'[1]ETC Data'!$L$4,0)</f>
        <v>0</v>
      </c>
      <c r="AH317" s="58">
        <f>AG317-(AG317*((VLOOKUP(A317,[1]Plan!A$1:AP$804,42,FALSE)/100)))</f>
        <v>0</v>
      </c>
      <c r="AI317" s="60"/>
      <c r="AJ317" s="60" t="b">
        <f>OR(H317="Y",K317="Y")</f>
        <v>0</v>
      </c>
      <c r="AK317" s="61">
        <f>IF(AJ317,O317*'[1]ETC Data'!$H$5*'[1]ETC Data'!$I$5,0)</f>
        <v>0</v>
      </c>
      <c r="AL317" s="58">
        <f>AK317-(AK317*((VLOOKUP(A317,[1]Plan!A$1:AY$804,51,FALSE)/100)))</f>
        <v>0</v>
      </c>
      <c r="AM317" s="58">
        <f>IF(AJ317,O317*'[1]ETC Data'!$H$5*'[1]ETC Data'!$J$5,0)</f>
        <v>0</v>
      </c>
      <c r="AN317" s="58">
        <f>AM317-(AM317*((VLOOKUP(A317,[1]Plan!A$1:BA$804,53,FALSE)/100)))</f>
        <v>0</v>
      </c>
      <c r="AO317" s="61">
        <f>IF(AJ317,O317*'[1]ETC Data'!$H$5*'[1]ETC Data'!$K$5,0)</f>
        <v>0</v>
      </c>
      <c r="AP317" s="58">
        <f>AO317-(AO317*((VLOOKUP(A317,[1]Plan!A$1:BB$804,54,FALSE)/100)))</f>
        <v>0</v>
      </c>
      <c r="AQ317" s="58">
        <f>IF(AJ317,O317*'[1]ETC Data'!$H$5*'[1]ETC Data'!$L$5,0)</f>
        <v>0</v>
      </c>
      <c r="AR317" s="58">
        <f>AQ317-(AQ317*((VLOOKUP(A317,[1]Plan!A$1:BD$804,56,FALSE)/100)))</f>
        <v>0</v>
      </c>
      <c r="AS317" s="20">
        <f>VLOOKUP(A317,'[1]PR Matrix'!A:B,2,FALSE)</f>
        <v>0</v>
      </c>
      <c r="AT317" s="21">
        <f>R317+T317+V317+X317+AB317+AD317+AF317+AH317+AL317+AN317+AP317+AR317</f>
        <v>0</v>
      </c>
      <c r="AU317" s="21">
        <f>Q317+S317+U317+W317+AA317+AC317+AE317+AG317+AK317+AM317+AO317+AQ317</f>
        <v>0</v>
      </c>
      <c r="AV317" s="21">
        <f>R317+AB317+AL317</f>
        <v>0</v>
      </c>
      <c r="AW317" s="21">
        <f>T317+AD317+AN317</f>
        <v>0</v>
      </c>
      <c r="AX317" s="21">
        <f>V317+AF317+AP317</f>
        <v>0</v>
      </c>
      <c r="AY317" s="21">
        <f>X317+AH317+AR317</f>
        <v>0</v>
      </c>
    </row>
    <row r="318" spans="1:51" hidden="1" x14ac:dyDescent="0.2">
      <c r="A318" s="50" t="s">
        <v>525</v>
      </c>
      <c r="B318" s="51" t="s">
        <v>208</v>
      </c>
      <c r="C318" s="51"/>
      <c r="D318" s="51"/>
      <c r="E318" s="52">
        <f>IF(G318="Y",VLOOKUP(B318&amp;"|"&amp;C318,'[1]ETC Data'!$C$2:$D$16,2,FALSE),0)</f>
        <v>0</v>
      </c>
      <c r="F318" s="52">
        <f>IF(D318="",0,IF(G318="Y",VLOOKUP(B318&amp;"|"&amp;D318,'[1]ETC Data'!$C$2:$D$16,2,FALSE),0))</f>
        <v>0</v>
      </c>
      <c r="G318" s="53" t="str">
        <f>IF(VLOOKUP(A318,[1]Plan!A$1:H$804,8,FALSE)&lt;&gt;"",VLOOKUP(A318,[1]Plan!A$1:H$804,8,FALSE),"")</f>
        <v>N</v>
      </c>
      <c r="H318" s="54" t="str">
        <f>IF(VLOOKUP(A318,[1]Plan!A$1:L$804,12,FALSE)&lt;&gt;"",VLOOKUP(A318,[1]Plan!A$1:L$804,12,FALSE),"")</f>
        <v/>
      </c>
      <c r="I318" s="55" t="str">
        <f>IF(VLOOKUP(A318,[1]Plan!A$1:M$804,13,FALSE)&lt;&gt;"",VLOOKUP(A318,[1]Plan!A$1:M$804,13,FALSE),"")</f>
        <v>Y</v>
      </c>
      <c r="J318" s="55" t="str">
        <f>IF(VLOOKUP(A318,[1]Plan!A$1:N$804,14,FALSE)&lt;&gt;"",VLOOKUP(A318,[1]Plan!A$1:N$804,14,FALSE),IF(VLOOKUP(A318,[1]Plan!A$1:O$804,15,FALSE)&lt;&gt;"",VLOOKUP(A318,[1]Plan!A$1:O$804,15,FALSE),""))</f>
        <v>Y</v>
      </c>
      <c r="K318" s="56" t="str">
        <f>IF(VLOOKUP(A318,[1]Plan!A$1:P$804,16,FALSE)&lt;&gt;"",VLOOKUP(A318,[1]Plan!A$1:P$804,16,FALSE),"")</f>
        <v>Y</v>
      </c>
      <c r="L318" s="55"/>
      <c r="M318" s="55"/>
      <c r="N318" s="55"/>
      <c r="O318" s="57">
        <f>IF(F318=0,E318,F318)</f>
        <v>0</v>
      </c>
      <c r="P318" s="57" t="b">
        <f>OR(H318="Y",I318="Y")</f>
        <v>1</v>
      </c>
      <c r="Q318" s="58">
        <f>IF(P318,O318*'[1]ETC Data'!$H$3*'[1]ETC Data'!$I$3,0)</f>
        <v>0</v>
      </c>
      <c r="R318" s="58">
        <f>Q318-(Q318*((VLOOKUP(A318,[1]Plan!A$1:Z$804,26,FALSE)/100)))</f>
        <v>0</v>
      </c>
      <c r="S318" s="58">
        <f>IF(P318,O318*'[1]ETC Data'!$H$3*'[1]ETC Data'!$J$3,0)</f>
        <v>0</v>
      </c>
      <c r="T318" s="58">
        <f>S318-(S318*((VLOOKUP(A318,[1]Plan!A$1:AA$804,27,FALSE)/100)))</f>
        <v>0</v>
      </c>
      <c r="U318" s="58">
        <f>IF(P318,O318*'[1]ETC Data'!$H$3*'[1]ETC Data'!$K$3,0)</f>
        <v>0</v>
      </c>
      <c r="V318" s="58">
        <f>U318-(U318*((VLOOKUP(A318,[1]Plan!A$1:AB$804,28,FALSE)/100)))</f>
        <v>0</v>
      </c>
      <c r="W318" s="58">
        <f>IF(P318,O318*'[1]ETC Data'!$H$3*'[1]ETC Data'!$L$3,0)</f>
        <v>0</v>
      </c>
      <c r="X318" s="58">
        <f>W318-(W318*((VLOOKUP(A318,[1]Plan!A$1:AC$804,29,FALSE)/100)))</f>
        <v>0</v>
      </c>
      <c r="Y318" s="59"/>
      <c r="Z318" s="60" t="b">
        <f>OR(H318="Y",J318="Y")</f>
        <v>1</v>
      </c>
      <c r="AA318" s="58">
        <f>IF(Z318,O318*'[1]ETC Data'!$H$4*'[1]ETC Data'!$I$4,0)</f>
        <v>0</v>
      </c>
      <c r="AB318" s="58">
        <f>AA318-(AA318*((VLOOKUP(A318,[1]Plan!A$1:AI$804,35,FALSE)/100)))</f>
        <v>0</v>
      </c>
      <c r="AC318" s="58">
        <f>IF(Z318,O318*'[1]ETC Data'!$H$4*'[1]ETC Data'!$J$4,0)</f>
        <v>0</v>
      </c>
      <c r="AD318" s="58">
        <f>AC318-(AC318*((VLOOKUP(A318,[1]Plan!A$1:AJ$804,36,FALSE)/100)))</f>
        <v>0</v>
      </c>
      <c r="AE318" s="58">
        <f>IF(Z318,O318*'[1]ETC Data'!$H$4*'[1]ETC Data'!$K$4,0)</f>
        <v>0</v>
      </c>
      <c r="AF318" s="58">
        <f>AE318-(AE318*((VLOOKUP(A318,[1]Plan!A$1:AK$804,37,FALSE)/100)))</f>
        <v>0</v>
      </c>
      <c r="AG318" s="58">
        <f>IF(Z318,O318*'[1]ETC Data'!$H$4*'[1]ETC Data'!$L$4,0)</f>
        <v>0</v>
      </c>
      <c r="AH318" s="58">
        <f>AG318-(AG318*((VLOOKUP(A318,[1]Plan!A$1:AP$804,42,FALSE)/100)))</f>
        <v>0</v>
      </c>
      <c r="AI318" s="60"/>
      <c r="AJ318" s="60" t="b">
        <f>OR(H318="Y",K318="Y")</f>
        <v>1</v>
      </c>
      <c r="AK318" s="61">
        <f>IF(AJ318,O318*'[1]ETC Data'!$H$5*'[1]ETC Data'!$I$5,0)</f>
        <v>0</v>
      </c>
      <c r="AL318" s="58">
        <f>AK318-(AK318*((VLOOKUP(A318,[1]Plan!A$1:AY$804,51,FALSE)/100)))</f>
        <v>0</v>
      </c>
      <c r="AM318" s="58">
        <f>IF(AJ318,O318*'[1]ETC Data'!$H$5*'[1]ETC Data'!$J$5,0)</f>
        <v>0</v>
      </c>
      <c r="AN318" s="58">
        <f>AM318-(AM318*((VLOOKUP(A318,[1]Plan!A$1:BA$804,53,FALSE)/100)))</f>
        <v>0</v>
      </c>
      <c r="AO318" s="61">
        <f>IF(AJ318,O318*'[1]ETC Data'!$H$5*'[1]ETC Data'!$K$5,0)</f>
        <v>0</v>
      </c>
      <c r="AP318" s="58">
        <f>AO318-(AO318*((VLOOKUP(A318,[1]Plan!A$1:BB$804,54,FALSE)/100)))</f>
        <v>0</v>
      </c>
      <c r="AQ318" s="58">
        <f>IF(AJ318,O318*'[1]ETC Data'!$H$5*'[1]ETC Data'!$L$5,0)</f>
        <v>0</v>
      </c>
      <c r="AR318" s="58">
        <f>AQ318-(AQ318*((VLOOKUP(A318,[1]Plan!A$1:BD$804,56,FALSE)/100)))</f>
        <v>0</v>
      </c>
      <c r="AS318" s="20">
        <f>VLOOKUP(A318,'[1]PR Matrix'!A:B,2,FALSE)</f>
        <v>0</v>
      </c>
      <c r="AT318" s="21">
        <f>R318+T318+V318+X318+AB318+AD318+AF318+AH318+AL318+AN318+AP318+AR318</f>
        <v>0</v>
      </c>
      <c r="AU318" s="21">
        <f>Q318+S318+U318+W318+AA318+AC318+AE318+AG318+AK318+AM318+AO318+AQ318</f>
        <v>0</v>
      </c>
      <c r="AV318" s="21">
        <f>R318+AB318+AL318</f>
        <v>0</v>
      </c>
      <c r="AW318" s="21">
        <f>T318+AD318+AN318</f>
        <v>0</v>
      </c>
      <c r="AX318" s="21">
        <f>V318+AF318+AP318</f>
        <v>0</v>
      </c>
      <c r="AY318" s="21">
        <f>X318+AH318+AR318</f>
        <v>0</v>
      </c>
    </row>
    <row r="319" spans="1:51" hidden="1" x14ac:dyDescent="0.2">
      <c r="A319" s="50" t="s">
        <v>526</v>
      </c>
      <c r="B319" s="51" t="s">
        <v>209</v>
      </c>
      <c r="C319" s="51"/>
      <c r="D319" s="51"/>
      <c r="E319" s="52">
        <f>IF(G319="Y",VLOOKUP(B319&amp;"|"&amp;C319,'[1]ETC Data'!$C$2:$D$16,2,FALSE),0)</f>
        <v>0</v>
      </c>
      <c r="F319" s="52">
        <f>IF(D319="",0,IF(G319="Y",VLOOKUP(B319&amp;"|"&amp;D319,'[1]ETC Data'!$C$2:$D$16,2,FALSE),0))</f>
        <v>0</v>
      </c>
      <c r="G319" s="53" t="str">
        <f>IF(VLOOKUP(A319,[1]Plan!A$1:H$804,8,FALSE)&lt;&gt;"",VLOOKUP(A319,[1]Plan!A$1:H$804,8,FALSE),"")</f>
        <v>N</v>
      </c>
      <c r="H319" s="54" t="str">
        <f>IF(VLOOKUP(A319,[1]Plan!A$1:L$804,12,FALSE)&lt;&gt;"",VLOOKUP(A319,[1]Plan!A$1:L$804,12,FALSE),"")</f>
        <v/>
      </c>
      <c r="I319" s="55" t="str">
        <f>IF(VLOOKUP(A319,[1]Plan!A$1:M$804,13,FALSE)&lt;&gt;"",VLOOKUP(A319,[1]Plan!A$1:M$804,13,FALSE),"")</f>
        <v/>
      </c>
      <c r="J319" s="55" t="str">
        <f>IF(VLOOKUP(A319,[1]Plan!A$1:N$804,14,FALSE)&lt;&gt;"",VLOOKUP(A319,[1]Plan!A$1:N$804,14,FALSE),IF(VLOOKUP(A319,[1]Plan!A$1:O$804,15,FALSE)&lt;&gt;"",VLOOKUP(A319,[1]Plan!A$1:O$804,15,FALSE),""))</f>
        <v/>
      </c>
      <c r="K319" s="56" t="str">
        <f>IF(VLOOKUP(A319,[1]Plan!A$1:P$804,16,FALSE)&lt;&gt;"",VLOOKUP(A319,[1]Plan!A$1:P$804,16,FALSE),"")</f>
        <v/>
      </c>
      <c r="L319" s="55"/>
      <c r="M319" s="55"/>
      <c r="N319" s="55"/>
      <c r="O319" s="57">
        <f>IF(F319=0,E319,F319)</f>
        <v>0</v>
      </c>
      <c r="P319" s="57" t="b">
        <f>OR(H319="Y",I319="Y")</f>
        <v>0</v>
      </c>
      <c r="Q319" s="58">
        <f>IF(P319,O319*'[1]ETC Data'!$H$3*'[1]ETC Data'!$I$3,0)</f>
        <v>0</v>
      </c>
      <c r="R319" s="58">
        <f>Q319-(Q319*((VLOOKUP(A319,[1]Plan!A$1:Z$804,26,FALSE)/100)))</f>
        <v>0</v>
      </c>
      <c r="S319" s="58">
        <f>IF(P319,O319*'[1]ETC Data'!$H$3*'[1]ETC Data'!$J$3,0)</f>
        <v>0</v>
      </c>
      <c r="T319" s="58">
        <f>S319-(S319*((VLOOKUP(A319,[1]Plan!A$1:AA$804,27,FALSE)/100)))</f>
        <v>0</v>
      </c>
      <c r="U319" s="58">
        <f>IF(P319,O319*'[1]ETC Data'!$H$3*'[1]ETC Data'!$K$3,0)</f>
        <v>0</v>
      </c>
      <c r="V319" s="58">
        <f>U319-(U319*((VLOOKUP(A319,[1]Plan!A$1:AB$804,28,FALSE)/100)))</f>
        <v>0</v>
      </c>
      <c r="W319" s="58">
        <f>IF(P319,O319*'[1]ETC Data'!$H$3*'[1]ETC Data'!$L$3,0)</f>
        <v>0</v>
      </c>
      <c r="X319" s="58">
        <f>W319-(W319*((VLOOKUP(A319,[1]Plan!A$1:AC$804,29,FALSE)/100)))</f>
        <v>0</v>
      </c>
      <c r="Y319" s="59"/>
      <c r="Z319" s="60" t="b">
        <f>OR(H319="Y",J319="Y")</f>
        <v>0</v>
      </c>
      <c r="AA319" s="58">
        <f>IF(Z319,O319*'[1]ETC Data'!$H$4*'[1]ETC Data'!$I$4,0)</f>
        <v>0</v>
      </c>
      <c r="AB319" s="58">
        <f>AA319-(AA319*((VLOOKUP(A319,[1]Plan!A$1:AI$804,35,FALSE)/100)))</f>
        <v>0</v>
      </c>
      <c r="AC319" s="58">
        <f>IF(Z319,O319*'[1]ETC Data'!$H$4*'[1]ETC Data'!$J$4,0)</f>
        <v>0</v>
      </c>
      <c r="AD319" s="58">
        <f>AC319-(AC319*((VLOOKUP(A319,[1]Plan!A$1:AJ$804,36,FALSE)/100)))</f>
        <v>0</v>
      </c>
      <c r="AE319" s="58">
        <f>IF(Z319,O319*'[1]ETC Data'!$H$4*'[1]ETC Data'!$K$4,0)</f>
        <v>0</v>
      </c>
      <c r="AF319" s="58">
        <f>AE319-(AE319*((VLOOKUP(A319,[1]Plan!A$1:AK$804,37,FALSE)/100)))</f>
        <v>0</v>
      </c>
      <c r="AG319" s="58">
        <f>IF(Z319,O319*'[1]ETC Data'!$H$4*'[1]ETC Data'!$L$4,0)</f>
        <v>0</v>
      </c>
      <c r="AH319" s="58">
        <f>AG319-(AG319*((VLOOKUP(A319,[1]Plan!A$1:AP$804,42,FALSE)/100)))</f>
        <v>0</v>
      </c>
      <c r="AI319" s="60"/>
      <c r="AJ319" s="60" t="b">
        <f>OR(H319="Y",K319="Y")</f>
        <v>0</v>
      </c>
      <c r="AK319" s="61">
        <f>IF(AJ319,O319*'[1]ETC Data'!$H$5*'[1]ETC Data'!$I$5,0)</f>
        <v>0</v>
      </c>
      <c r="AL319" s="58">
        <f>AK319-(AK319*((VLOOKUP(A319,[1]Plan!A$1:AY$804,51,FALSE)/100)))</f>
        <v>0</v>
      </c>
      <c r="AM319" s="58">
        <f>IF(AJ319,O319*'[1]ETC Data'!$H$5*'[1]ETC Data'!$J$5,0)</f>
        <v>0</v>
      </c>
      <c r="AN319" s="58">
        <f>AM319-(AM319*((VLOOKUP(A319,[1]Plan!A$1:BA$804,53,FALSE)/100)))</f>
        <v>0</v>
      </c>
      <c r="AO319" s="61">
        <f>IF(AJ319,O319*'[1]ETC Data'!$H$5*'[1]ETC Data'!$K$5,0)</f>
        <v>0</v>
      </c>
      <c r="AP319" s="58">
        <f>AO319-(AO319*((VLOOKUP(A319,[1]Plan!A$1:BB$804,54,FALSE)/100)))</f>
        <v>0</v>
      </c>
      <c r="AQ319" s="58">
        <f>IF(AJ319,O319*'[1]ETC Data'!$H$5*'[1]ETC Data'!$L$5,0)</f>
        <v>0</v>
      </c>
      <c r="AR319" s="58">
        <f>AQ319-(AQ319*((VLOOKUP(A319,[1]Plan!A$1:BD$804,56,FALSE)/100)))</f>
        <v>0</v>
      </c>
      <c r="AS319" s="20">
        <f>VLOOKUP(A319,'[1]PR Matrix'!A:B,2,FALSE)</f>
        <v>0</v>
      </c>
      <c r="AT319" s="21">
        <f>R319+T319+V319+X319+AB319+AD319+AF319+AH319+AL319+AN319+AP319+AR319</f>
        <v>0</v>
      </c>
      <c r="AU319" s="21">
        <f>Q319+S319+U319+W319+AA319+AC319+AE319+AG319+AK319+AM319+AO319+AQ319</f>
        <v>0</v>
      </c>
      <c r="AV319" s="21">
        <f>R319+AB319+AL319</f>
        <v>0</v>
      </c>
      <c r="AW319" s="21">
        <f>T319+AD319+AN319</f>
        <v>0</v>
      </c>
      <c r="AX319" s="21">
        <f>V319+AF319+AP319</f>
        <v>0</v>
      </c>
      <c r="AY319" s="21">
        <f>X319+AH319+AR319</f>
        <v>0</v>
      </c>
    </row>
    <row r="320" spans="1:51" hidden="1" x14ac:dyDescent="0.2">
      <c r="A320" s="50" t="s">
        <v>527</v>
      </c>
      <c r="B320" s="51" t="s">
        <v>208</v>
      </c>
      <c r="C320" s="51" t="s">
        <v>208</v>
      </c>
      <c r="D320" s="51"/>
      <c r="E320" s="52">
        <f>IF(G320="Y",VLOOKUP(B320&amp;"|"&amp;C320,'[1]ETC Data'!$C$2:$D$16,2,FALSE),0)</f>
        <v>0</v>
      </c>
      <c r="F320" s="52">
        <f>IF(D320="",0,IF(G320="Y",VLOOKUP(B320&amp;"|"&amp;D320,'[1]ETC Data'!$C$2:$D$16,2,FALSE),0))</f>
        <v>0</v>
      </c>
      <c r="G320" s="53" t="str">
        <f>IF(VLOOKUP(A320,[1]Plan!A$1:H$804,8,FALSE)&lt;&gt;"",VLOOKUP(A320,[1]Plan!A$1:H$804,8,FALSE),"")</f>
        <v>N</v>
      </c>
      <c r="H320" s="54" t="str">
        <f>IF(VLOOKUP(A320,[1]Plan!A$1:L$804,12,FALSE)&lt;&gt;"",VLOOKUP(A320,[1]Plan!A$1:L$804,12,FALSE),"")</f>
        <v/>
      </c>
      <c r="I320" s="55" t="str">
        <f>IF(VLOOKUP(A320,[1]Plan!A$1:M$804,13,FALSE)&lt;&gt;"",VLOOKUP(A320,[1]Plan!A$1:M$804,13,FALSE),"")</f>
        <v/>
      </c>
      <c r="J320" s="55" t="str">
        <f>IF(VLOOKUP(A320,[1]Plan!A$1:N$804,14,FALSE)&lt;&gt;"",VLOOKUP(A320,[1]Plan!A$1:N$804,14,FALSE),IF(VLOOKUP(A320,[1]Plan!A$1:O$804,15,FALSE)&lt;&gt;"",VLOOKUP(A320,[1]Plan!A$1:O$804,15,FALSE),""))</f>
        <v/>
      </c>
      <c r="K320" s="56" t="str">
        <f>IF(VLOOKUP(A320,[1]Plan!A$1:P$804,16,FALSE)&lt;&gt;"",VLOOKUP(A320,[1]Plan!A$1:P$804,16,FALSE),"")</f>
        <v/>
      </c>
      <c r="L320" s="55"/>
      <c r="M320" s="55"/>
      <c r="N320" s="55"/>
      <c r="O320" s="57">
        <f>IF(F320=0,E320,F320)</f>
        <v>0</v>
      </c>
      <c r="P320" s="57" t="b">
        <f>OR(H320="Y",I320="Y")</f>
        <v>0</v>
      </c>
      <c r="Q320" s="58">
        <f>IF(P320,O320*'[1]ETC Data'!$H$3*'[1]ETC Data'!$I$3,0)</f>
        <v>0</v>
      </c>
      <c r="R320" s="58">
        <f>Q320-(Q320*((VLOOKUP(A320,[1]Plan!A$1:Z$804,26,FALSE)/100)))</f>
        <v>0</v>
      </c>
      <c r="S320" s="58">
        <f>IF(P320,O320*'[1]ETC Data'!$H$3*'[1]ETC Data'!$J$3,0)</f>
        <v>0</v>
      </c>
      <c r="T320" s="58">
        <f>S320-(S320*((VLOOKUP(A320,[1]Plan!A$1:AA$804,27,FALSE)/100)))</f>
        <v>0</v>
      </c>
      <c r="U320" s="58">
        <f>IF(P320,O320*'[1]ETC Data'!$H$3*'[1]ETC Data'!$K$3,0)</f>
        <v>0</v>
      </c>
      <c r="V320" s="58">
        <f>U320-(U320*((VLOOKUP(A320,[1]Plan!A$1:AB$804,28,FALSE)/100)))</f>
        <v>0</v>
      </c>
      <c r="W320" s="58">
        <f>IF(P320,O320*'[1]ETC Data'!$H$3*'[1]ETC Data'!$L$3,0)</f>
        <v>0</v>
      </c>
      <c r="X320" s="58">
        <f>W320-(W320*((VLOOKUP(A320,[1]Plan!A$1:AC$804,29,FALSE)/100)))</f>
        <v>0</v>
      </c>
      <c r="Y320" s="59"/>
      <c r="Z320" s="60" t="b">
        <f>OR(H320="Y",J320="Y")</f>
        <v>0</v>
      </c>
      <c r="AA320" s="58">
        <f>IF(Z320,O320*'[1]ETC Data'!$H$4*'[1]ETC Data'!$I$4,0)</f>
        <v>0</v>
      </c>
      <c r="AB320" s="58">
        <f>AA320-(AA320*((VLOOKUP(A320,[1]Plan!A$1:AI$804,35,FALSE)/100)))</f>
        <v>0</v>
      </c>
      <c r="AC320" s="58">
        <f>IF(Z320,O320*'[1]ETC Data'!$H$4*'[1]ETC Data'!$J$4,0)</f>
        <v>0</v>
      </c>
      <c r="AD320" s="58">
        <f>AC320-(AC320*((VLOOKUP(A320,[1]Plan!A$1:AJ$804,36,FALSE)/100)))</f>
        <v>0</v>
      </c>
      <c r="AE320" s="58">
        <f>IF(Z320,O320*'[1]ETC Data'!$H$4*'[1]ETC Data'!$K$4,0)</f>
        <v>0</v>
      </c>
      <c r="AF320" s="58">
        <f>AE320-(AE320*((VLOOKUP(A320,[1]Plan!A$1:AK$804,37,FALSE)/100)))</f>
        <v>0</v>
      </c>
      <c r="AG320" s="58">
        <f>IF(Z320,O320*'[1]ETC Data'!$H$4*'[1]ETC Data'!$L$4,0)</f>
        <v>0</v>
      </c>
      <c r="AH320" s="58">
        <f>AG320-(AG320*((VLOOKUP(A320,[1]Plan!A$1:AP$804,42,FALSE)/100)))</f>
        <v>0</v>
      </c>
      <c r="AI320" s="60"/>
      <c r="AJ320" s="60" t="b">
        <f>OR(H320="Y",K320="Y")</f>
        <v>0</v>
      </c>
      <c r="AK320" s="61">
        <f>IF(AJ320,O320*'[1]ETC Data'!$H$5*'[1]ETC Data'!$I$5,0)</f>
        <v>0</v>
      </c>
      <c r="AL320" s="58">
        <f>AK320-(AK320*((VLOOKUP(A320,[1]Plan!A$1:AY$804,51,FALSE)/100)))</f>
        <v>0</v>
      </c>
      <c r="AM320" s="58">
        <f>IF(AJ320,O320*'[1]ETC Data'!$H$5*'[1]ETC Data'!$J$5,0)</f>
        <v>0</v>
      </c>
      <c r="AN320" s="58">
        <f>AM320-(AM320*((VLOOKUP(A320,[1]Plan!A$1:BA$804,53,FALSE)/100)))</f>
        <v>0</v>
      </c>
      <c r="AO320" s="61">
        <f>IF(AJ320,O320*'[1]ETC Data'!$H$5*'[1]ETC Data'!$K$5,0)</f>
        <v>0</v>
      </c>
      <c r="AP320" s="58">
        <f>AO320-(AO320*((VLOOKUP(A320,[1]Plan!A$1:BB$804,54,FALSE)/100)))</f>
        <v>0</v>
      </c>
      <c r="AQ320" s="58">
        <f>IF(AJ320,O320*'[1]ETC Data'!$H$5*'[1]ETC Data'!$L$5,0)</f>
        <v>0</v>
      </c>
      <c r="AR320" s="58">
        <f>AQ320-(AQ320*((VLOOKUP(A320,[1]Plan!A$1:BD$804,56,FALSE)/100)))</f>
        <v>0</v>
      </c>
      <c r="AS320" s="20">
        <f>VLOOKUP(A320,'[1]PR Matrix'!A:B,2,FALSE)</f>
        <v>0</v>
      </c>
      <c r="AT320" s="21">
        <f>R320+T320+V320+X320+AB320+AD320+AF320+AH320+AL320+AN320+AP320+AR320</f>
        <v>0</v>
      </c>
      <c r="AU320" s="21">
        <f>Q320+S320+U320+W320+AA320+AC320+AE320+AG320+AK320+AM320+AO320+AQ320</f>
        <v>0</v>
      </c>
      <c r="AV320" s="21">
        <f>R320+AB320+AL320</f>
        <v>0</v>
      </c>
      <c r="AW320" s="21">
        <f>T320+AD320+AN320</f>
        <v>0</v>
      </c>
      <c r="AX320" s="21">
        <f>V320+AF320+AP320</f>
        <v>0</v>
      </c>
      <c r="AY320" s="21">
        <f>X320+AH320+AR320</f>
        <v>0</v>
      </c>
    </row>
    <row r="321" spans="1:51" hidden="1" x14ac:dyDescent="0.2">
      <c r="A321" s="50" t="s">
        <v>528</v>
      </c>
      <c r="B321" s="51" t="s">
        <v>209</v>
      </c>
      <c r="C321" s="51" t="s">
        <v>258</v>
      </c>
      <c r="D321" s="51"/>
      <c r="E321" s="52">
        <f>IF(G321="Y",VLOOKUP(B321&amp;"|"&amp;C321,'[1]ETC Data'!$C$2:$D$16,2,FALSE),0)</f>
        <v>0</v>
      </c>
      <c r="F321" s="52">
        <f>IF(D321="",0,IF(G321="Y",VLOOKUP(B321&amp;"|"&amp;D321,'[1]ETC Data'!$C$2:$D$16,2,FALSE),0))</f>
        <v>0</v>
      </c>
      <c r="G321" s="53" t="str">
        <f>IF(VLOOKUP(A321,[1]Plan!A$1:H$804,8,FALSE)&lt;&gt;"",VLOOKUP(A321,[1]Plan!A$1:H$804,8,FALSE),"")</f>
        <v>N</v>
      </c>
      <c r="H321" s="54" t="str">
        <f>IF(VLOOKUP(A321,[1]Plan!A$1:L$804,12,FALSE)&lt;&gt;"",VLOOKUP(A321,[1]Plan!A$1:L$804,12,FALSE),"")</f>
        <v/>
      </c>
      <c r="I321" s="55" t="str">
        <f>IF(VLOOKUP(A321,[1]Plan!A$1:M$804,13,FALSE)&lt;&gt;"",VLOOKUP(A321,[1]Plan!A$1:M$804,13,FALSE),"")</f>
        <v/>
      </c>
      <c r="J321" s="55" t="str">
        <f>IF(VLOOKUP(A321,[1]Plan!A$1:N$804,14,FALSE)&lt;&gt;"",VLOOKUP(A321,[1]Plan!A$1:N$804,14,FALSE),IF(VLOOKUP(A321,[1]Plan!A$1:O$804,15,FALSE)&lt;&gt;"",VLOOKUP(A321,[1]Plan!A$1:O$804,15,FALSE),""))</f>
        <v/>
      </c>
      <c r="K321" s="56" t="str">
        <f>IF(VLOOKUP(A321,[1]Plan!A$1:P$804,16,FALSE)&lt;&gt;"",VLOOKUP(A321,[1]Plan!A$1:P$804,16,FALSE),"")</f>
        <v/>
      </c>
      <c r="L321" s="55"/>
      <c r="M321" s="55"/>
      <c r="N321" s="55"/>
      <c r="O321" s="57">
        <f>IF(F321=0,E321,F321)</f>
        <v>0</v>
      </c>
      <c r="P321" s="57" t="b">
        <f>OR(H321="Y",I321="Y")</f>
        <v>0</v>
      </c>
      <c r="Q321" s="58">
        <f>IF(P321,O321*'[1]ETC Data'!$H$3*'[1]ETC Data'!$I$3,0)</f>
        <v>0</v>
      </c>
      <c r="R321" s="58">
        <f>Q321-(Q321*((VLOOKUP(A321,[1]Plan!A$1:Z$804,26,FALSE)/100)))</f>
        <v>0</v>
      </c>
      <c r="S321" s="58">
        <f>IF(P321,O321*'[1]ETC Data'!$H$3*'[1]ETC Data'!$J$3,0)</f>
        <v>0</v>
      </c>
      <c r="T321" s="58">
        <f>S321-(S321*((VLOOKUP(A321,[1]Plan!A$1:AA$804,27,FALSE)/100)))</f>
        <v>0</v>
      </c>
      <c r="U321" s="58">
        <f>IF(P321,O321*'[1]ETC Data'!$H$3*'[1]ETC Data'!$K$3,0)</f>
        <v>0</v>
      </c>
      <c r="V321" s="58">
        <f>U321-(U321*((VLOOKUP(A321,[1]Plan!A$1:AB$804,28,FALSE)/100)))</f>
        <v>0</v>
      </c>
      <c r="W321" s="58">
        <f>IF(P321,O321*'[1]ETC Data'!$H$3*'[1]ETC Data'!$L$3,0)</f>
        <v>0</v>
      </c>
      <c r="X321" s="58">
        <f>W321-(W321*((VLOOKUP(A321,[1]Plan!A$1:AC$804,29,FALSE)/100)))</f>
        <v>0</v>
      </c>
      <c r="Y321" s="59"/>
      <c r="Z321" s="60" t="b">
        <f>OR(H321="Y",J321="Y")</f>
        <v>0</v>
      </c>
      <c r="AA321" s="58">
        <f>IF(Z321,O321*'[1]ETC Data'!$H$4*'[1]ETC Data'!$I$4,0)</f>
        <v>0</v>
      </c>
      <c r="AB321" s="58">
        <f>AA321-(AA321*((VLOOKUP(A321,[1]Plan!A$1:AI$804,35,FALSE)/100)))</f>
        <v>0</v>
      </c>
      <c r="AC321" s="58">
        <f>IF(Z321,O321*'[1]ETC Data'!$H$4*'[1]ETC Data'!$J$4,0)</f>
        <v>0</v>
      </c>
      <c r="AD321" s="58">
        <f>AC321-(AC321*((VLOOKUP(A321,[1]Plan!A$1:AJ$804,36,FALSE)/100)))</f>
        <v>0</v>
      </c>
      <c r="AE321" s="58">
        <f>IF(Z321,O321*'[1]ETC Data'!$H$4*'[1]ETC Data'!$K$4,0)</f>
        <v>0</v>
      </c>
      <c r="AF321" s="58">
        <f>AE321-(AE321*((VLOOKUP(A321,[1]Plan!A$1:AK$804,37,FALSE)/100)))</f>
        <v>0</v>
      </c>
      <c r="AG321" s="58">
        <f>IF(Z321,O321*'[1]ETC Data'!$H$4*'[1]ETC Data'!$L$4,0)</f>
        <v>0</v>
      </c>
      <c r="AH321" s="58">
        <f>AG321-(AG321*((VLOOKUP(A321,[1]Plan!A$1:AP$804,42,FALSE)/100)))</f>
        <v>0</v>
      </c>
      <c r="AI321" s="60"/>
      <c r="AJ321" s="60" t="b">
        <f>OR(H321="Y",K321="Y")</f>
        <v>0</v>
      </c>
      <c r="AK321" s="61">
        <f>IF(AJ321,O321*'[1]ETC Data'!$H$5*'[1]ETC Data'!$I$5,0)</f>
        <v>0</v>
      </c>
      <c r="AL321" s="58">
        <f>AK321-(AK321*((VLOOKUP(A321,[1]Plan!A$1:AY$804,51,FALSE)/100)))</f>
        <v>0</v>
      </c>
      <c r="AM321" s="58">
        <f>IF(AJ321,O321*'[1]ETC Data'!$H$5*'[1]ETC Data'!$J$5,0)</f>
        <v>0</v>
      </c>
      <c r="AN321" s="58">
        <f>AM321-(AM321*((VLOOKUP(A321,[1]Plan!A$1:BA$804,53,FALSE)/100)))</f>
        <v>0</v>
      </c>
      <c r="AO321" s="61">
        <f>IF(AJ321,O321*'[1]ETC Data'!$H$5*'[1]ETC Data'!$K$5,0)</f>
        <v>0</v>
      </c>
      <c r="AP321" s="58">
        <f>AO321-(AO321*((VLOOKUP(A321,[1]Plan!A$1:BB$804,54,FALSE)/100)))</f>
        <v>0</v>
      </c>
      <c r="AQ321" s="58">
        <f>IF(AJ321,O321*'[1]ETC Data'!$H$5*'[1]ETC Data'!$L$5,0)</f>
        <v>0</v>
      </c>
      <c r="AR321" s="58">
        <f>AQ321-(AQ321*((VLOOKUP(A321,[1]Plan!A$1:BD$804,56,FALSE)/100)))</f>
        <v>0</v>
      </c>
      <c r="AS321" s="20">
        <f>VLOOKUP(A321,'[1]PR Matrix'!A:B,2,FALSE)</f>
        <v>0</v>
      </c>
      <c r="AT321" s="21">
        <f>R321+T321+V321+X321+AB321+AD321+AF321+AH321+AL321+AN321+AP321+AR321</f>
        <v>0</v>
      </c>
      <c r="AU321" s="21">
        <f>Q321+S321+U321+W321+AA321+AC321+AE321+AG321+AK321+AM321+AO321+AQ321</f>
        <v>0</v>
      </c>
      <c r="AV321" s="21">
        <f>R321+AB321+AL321</f>
        <v>0</v>
      </c>
      <c r="AW321" s="21">
        <f>T321+AD321+AN321</f>
        <v>0</v>
      </c>
      <c r="AX321" s="21">
        <f>V321+AF321+AP321</f>
        <v>0</v>
      </c>
      <c r="AY321" s="21">
        <f>X321+AH321+AR321</f>
        <v>0</v>
      </c>
    </row>
    <row r="322" spans="1:51" hidden="1" x14ac:dyDescent="0.2">
      <c r="A322" s="50" t="s">
        <v>529</v>
      </c>
      <c r="B322" s="51" t="s">
        <v>209</v>
      </c>
      <c r="C322" s="51"/>
      <c r="D322" s="51"/>
      <c r="E322" s="52">
        <f>IF(G322="Y",VLOOKUP(B322&amp;"|"&amp;C322,'[1]ETC Data'!$C$2:$D$16,2,FALSE),0)</f>
        <v>0</v>
      </c>
      <c r="F322" s="52">
        <f>IF(D322="",0,IF(G322="Y",VLOOKUP(B322&amp;"|"&amp;D322,'[1]ETC Data'!$C$2:$D$16,2,FALSE),0))</f>
        <v>0</v>
      </c>
      <c r="G322" s="53" t="str">
        <f>IF(VLOOKUP(A322,[1]Plan!A$1:H$804,8,FALSE)&lt;&gt;"",VLOOKUP(A322,[1]Plan!A$1:H$804,8,FALSE),"")</f>
        <v>N</v>
      </c>
      <c r="H322" s="54" t="str">
        <f>IF(VLOOKUP(A322,[1]Plan!A$1:L$804,12,FALSE)&lt;&gt;"",VLOOKUP(A322,[1]Plan!A$1:L$804,12,FALSE),"")</f>
        <v/>
      </c>
      <c r="I322" s="55" t="str">
        <f>IF(VLOOKUP(A322,[1]Plan!A$1:M$804,13,FALSE)&lt;&gt;"",VLOOKUP(A322,[1]Plan!A$1:M$804,13,FALSE),"")</f>
        <v/>
      </c>
      <c r="J322" s="55" t="str">
        <f>IF(VLOOKUP(A322,[1]Plan!A$1:N$804,14,FALSE)&lt;&gt;"",VLOOKUP(A322,[1]Plan!A$1:N$804,14,FALSE),IF(VLOOKUP(A322,[1]Plan!A$1:O$804,15,FALSE)&lt;&gt;"",VLOOKUP(A322,[1]Plan!A$1:O$804,15,FALSE),""))</f>
        <v/>
      </c>
      <c r="K322" s="56" t="str">
        <f>IF(VLOOKUP(A322,[1]Plan!A$1:P$804,16,FALSE)&lt;&gt;"",VLOOKUP(A322,[1]Plan!A$1:P$804,16,FALSE),"")</f>
        <v/>
      </c>
      <c r="L322" s="55"/>
      <c r="M322" s="55"/>
      <c r="N322" s="55"/>
      <c r="O322" s="57">
        <f>IF(F322=0,E322,F322)</f>
        <v>0</v>
      </c>
      <c r="P322" s="57" t="b">
        <f>OR(H322="Y",I322="Y")</f>
        <v>0</v>
      </c>
      <c r="Q322" s="58">
        <f>IF(P322,O322*'[1]ETC Data'!$H$3*'[1]ETC Data'!$I$3,0)</f>
        <v>0</v>
      </c>
      <c r="R322" s="58">
        <f>Q322-(Q322*((VLOOKUP(A322,[1]Plan!A$1:Z$804,26,FALSE)/100)))</f>
        <v>0</v>
      </c>
      <c r="S322" s="58">
        <f>IF(P322,O322*'[1]ETC Data'!$H$3*'[1]ETC Data'!$J$3,0)</f>
        <v>0</v>
      </c>
      <c r="T322" s="58">
        <f>S322-(S322*((VLOOKUP(A322,[1]Plan!A$1:AA$804,27,FALSE)/100)))</f>
        <v>0</v>
      </c>
      <c r="U322" s="58">
        <f>IF(P322,O322*'[1]ETC Data'!$H$3*'[1]ETC Data'!$K$3,0)</f>
        <v>0</v>
      </c>
      <c r="V322" s="58">
        <f>U322-(U322*((VLOOKUP(A322,[1]Plan!A$1:AB$804,28,FALSE)/100)))</f>
        <v>0</v>
      </c>
      <c r="W322" s="58">
        <f>IF(P322,O322*'[1]ETC Data'!$H$3*'[1]ETC Data'!$L$3,0)</f>
        <v>0</v>
      </c>
      <c r="X322" s="58">
        <f>W322-(W322*((VLOOKUP(A322,[1]Plan!A$1:AC$804,29,FALSE)/100)))</f>
        <v>0</v>
      </c>
      <c r="Y322" s="59"/>
      <c r="Z322" s="60" t="b">
        <f>OR(H322="Y",J322="Y")</f>
        <v>0</v>
      </c>
      <c r="AA322" s="58">
        <f>IF(Z322,O322*'[1]ETC Data'!$H$4*'[1]ETC Data'!$I$4,0)</f>
        <v>0</v>
      </c>
      <c r="AB322" s="58">
        <f>AA322-(AA322*((VLOOKUP(A322,[1]Plan!A$1:AI$804,35,FALSE)/100)))</f>
        <v>0</v>
      </c>
      <c r="AC322" s="58">
        <f>IF(Z322,O322*'[1]ETC Data'!$H$4*'[1]ETC Data'!$J$4,0)</f>
        <v>0</v>
      </c>
      <c r="AD322" s="58">
        <f>AC322-(AC322*((VLOOKUP(A322,[1]Plan!A$1:AJ$804,36,FALSE)/100)))</f>
        <v>0</v>
      </c>
      <c r="AE322" s="58">
        <f>IF(Z322,O322*'[1]ETC Data'!$H$4*'[1]ETC Data'!$K$4,0)</f>
        <v>0</v>
      </c>
      <c r="AF322" s="58">
        <f>AE322-(AE322*((VLOOKUP(A322,[1]Plan!A$1:AK$804,37,FALSE)/100)))</f>
        <v>0</v>
      </c>
      <c r="AG322" s="58">
        <f>IF(Z322,O322*'[1]ETC Data'!$H$4*'[1]ETC Data'!$L$4,0)</f>
        <v>0</v>
      </c>
      <c r="AH322" s="58">
        <f>AG322-(AG322*((VLOOKUP(A322,[1]Plan!A$1:AP$804,42,FALSE)/100)))</f>
        <v>0</v>
      </c>
      <c r="AI322" s="60"/>
      <c r="AJ322" s="60" t="b">
        <f>OR(H322="Y",K322="Y")</f>
        <v>0</v>
      </c>
      <c r="AK322" s="61">
        <f>IF(AJ322,O322*'[1]ETC Data'!$H$5*'[1]ETC Data'!$I$5,0)</f>
        <v>0</v>
      </c>
      <c r="AL322" s="58">
        <f>AK322-(AK322*((VLOOKUP(A322,[1]Plan!A$1:AY$804,51,FALSE)/100)))</f>
        <v>0</v>
      </c>
      <c r="AM322" s="58">
        <f>IF(AJ322,O322*'[1]ETC Data'!$H$5*'[1]ETC Data'!$J$5,0)</f>
        <v>0</v>
      </c>
      <c r="AN322" s="58">
        <f>AM322-(AM322*((VLOOKUP(A322,[1]Plan!A$1:BA$804,53,FALSE)/100)))</f>
        <v>0</v>
      </c>
      <c r="AO322" s="61">
        <f>IF(AJ322,O322*'[1]ETC Data'!$H$5*'[1]ETC Data'!$K$5,0)</f>
        <v>0</v>
      </c>
      <c r="AP322" s="58">
        <f>AO322-(AO322*((VLOOKUP(A322,[1]Plan!A$1:BB$804,54,FALSE)/100)))</f>
        <v>0</v>
      </c>
      <c r="AQ322" s="58">
        <f>IF(AJ322,O322*'[1]ETC Data'!$H$5*'[1]ETC Data'!$L$5,0)</f>
        <v>0</v>
      </c>
      <c r="AR322" s="58">
        <f>AQ322-(AQ322*((VLOOKUP(A322,[1]Plan!A$1:BD$804,56,FALSE)/100)))</f>
        <v>0</v>
      </c>
      <c r="AS322" s="20">
        <f>VLOOKUP(A322,'[1]PR Matrix'!A:B,2,FALSE)</f>
        <v>0</v>
      </c>
      <c r="AT322" s="21">
        <f>R322+T322+V322+X322+AB322+AD322+AF322+AH322+AL322+AN322+AP322+AR322</f>
        <v>0</v>
      </c>
      <c r="AU322" s="21">
        <f>Q322+S322+U322+W322+AA322+AC322+AE322+AG322+AK322+AM322+AO322+AQ322</f>
        <v>0</v>
      </c>
      <c r="AV322" s="21">
        <f>R322+AB322+AL322</f>
        <v>0</v>
      </c>
      <c r="AW322" s="21">
        <f>T322+AD322+AN322</f>
        <v>0</v>
      </c>
      <c r="AX322" s="21">
        <f>V322+AF322+AP322</f>
        <v>0</v>
      </c>
      <c r="AY322" s="21">
        <f>X322+AH322+AR322</f>
        <v>0</v>
      </c>
    </row>
    <row r="323" spans="1:51" hidden="1" x14ac:dyDescent="0.2">
      <c r="A323" s="50" t="s">
        <v>530</v>
      </c>
      <c r="B323" s="51" t="s">
        <v>208</v>
      </c>
      <c r="C323" s="51"/>
      <c r="D323" s="51"/>
      <c r="E323" s="52">
        <f>IF(G323="Y",VLOOKUP(B323&amp;"|"&amp;C323,'[1]ETC Data'!$C$2:$D$16,2,FALSE),0)</f>
        <v>0</v>
      </c>
      <c r="F323" s="52">
        <f>IF(D323="",0,IF(G323="Y",VLOOKUP(B323&amp;"|"&amp;D323,'[1]ETC Data'!$C$2:$D$16,2,FALSE),0))</f>
        <v>0</v>
      </c>
      <c r="G323" s="53" t="str">
        <f>IF(VLOOKUP(A323,[1]Plan!A$1:H$804,8,FALSE)&lt;&gt;"",VLOOKUP(A323,[1]Plan!A$1:H$804,8,FALSE),"")</f>
        <v>N</v>
      </c>
      <c r="H323" s="54" t="str">
        <f>IF(VLOOKUP(A323,[1]Plan!A$1:L$804,12,FALSE)&lt;&gt;"",VLOOKUP(A323,[1]Plan!A$1:L$804,12,FALSE),"")</f>
        <v/>
      </c>
      <c r="I323" s="55" t="str">
        <f>IF(VLOOKUP(A323,[1]Plan!A$1:M$804,13,FALSE)&lt;&gt;"",VLOOKUP(A323,[1]Plan!A$1:M$804,13,FALSE),"")</f>
        <v/>
      </c>
      <c r="J323" s="55" t="str">
        <f>IF(VLOOKUP(A323,[1]Plan!A$1:N$804,14,FALSE)&lt;&gt;"",VLOOKUP(A323,[1]Plan!A$1:N$804,14,FALSE),IF(VLOOKUP(A323,[1]Plan!A$1:O$804,15,FALSE)&lt;&gt;"",VLOOKUP(A323,[1]Plan!A$1:O$804,15,FALSE),""))</f>
        <v/>
      </c>
      <c r="K323" s="56" t="str">
        <f>IF(VLOOKUP(A323,[1]Plan!A$1:P$804,16,FALSE)&lt;&gt;"",VLOOKUP(A323,[1]Plan!A$1:P$804,16,FALSE),"")</f>
        <v/>
      </c>
      <c r="L323" s="55"/>
      <c r="M323" s="55"/>
      <c r="N323" s="55"/>
      <c r="O323" s="57">
        <f>IF(F323=0,E323,F323)</f>
        <v>0</v>
      </c>
      <c r="P323" s="57" t="b">
        <f>OR(H323="Y",I323="Y")</f>
        <v>0</v>
      </c>
      <c r="Q323" s="58">
        <f>IF(P323,O323*'[1]ETC Data'!$H$3*'[1]ETC Data'!$I$3,0)</f>
        <v>0</v>
      </c>
      <c r="R323" s="58">
        <f>Q323-(Q323*((VLOOKUP(A323,[1]Plan!A$1:Z$804,26,FALSE)/100)))</f>
        <v>0</v>
      </c>
      <c r="S323" s="58">
        <f>IF(P323,O323*'[1]ETC Data'!$H$3*'[1]ETC Data'!$J$3,0)</f>
        <v>0</v>
      </c>
      <c r="T323" s="58">
        <f>S323-(S323*((VLOOKUP(A323,[1]Plan!A$1:AA$804,27,FALSE)/100)))</f>
        <v>0</v>
      </c>
      <c r="U323" s="58">
        <f>IF(P323,O323*'[1]ETC Data'!$H$3*'[1]ETC Data'!$K$3,0)</f>
        <v>0</v>
      </c>
      <c r="V323" s="58">
        <f>U323-(U323*((VLOOKUP(A323,[1]Plan!A$1:AB$804,28,FALSE)/100)))</f>
        <v>0</v>
      </c>
      <c r="W323" s="58">
        <f>IF(P323,O323*'[1]ETC Data'!$H$3*'[1]ETC Data'!$L$3,0)</f>
        <v>0</v>
      </c>
      <c r="X323" s="58">
        <f>W323-(W323*((VLOOKUP(A323,[1]Plan!A$1:AC$804,29,FALSE)/100)))</f>
        <v>0</v>
      </c>
      <c r="Y323" s="59"/>
      <c r="Z323" s="60" t="b">
        <f>OR(H323="Y",J323="Y")</f>
        <v>0</v>
      </c>
      <c r="AA323" s="58">
        <f>IF(Z323,O323*'[1]ETC Data'!$H$4*'[1]ETC Data'!$I$4,0)</f>
        <v>0</v>
      </c>
      <c r="AB323" s="58">
        <f>AA323-(AA323*((VLOOKUP(A323,[1]Plan!A$1:AI$804,35,FALSE)/100)))</f>
        <v>0</v>
      </c>
      <c r="AC323" s="58">
        <f>IF(Z323,O323*'[1]ETC Data'!$H$4*'[1]ETC Data'!$J$4,0)</f>
        <v>0</v>
      </c>
      <c r="AD323" s="58">
        <f>AC323-(AC323*((VLOOKUP(A323,[1]Plan!A$1:AJ$804,36,FALSE)/100)))</f>
        <v>0</v>
      </c>
      <c r="AE323" s="58">
        <f>IF(Z323,O323*'[1]ETC Data'!$H$4*'[1]ETC Data'!$K$4,0)</f>
        <v>0</v>
      </c>
      <c r="AF323" s="58">
        <f>AE323-(AE323*((VLOOKUP(A323,[1]Plan!A$1:AK$804,37,FALSE)/100)))</f>
        <v>0</v>
      </c>
      <c r="AG323" s="58">
        <f>IF(Z323,O323*'[1]ETC Data'!$H$4*'[1]ETC Data'!$L$4,0)</f>
        <v>0</v>
      </c>
      <c r="AH323" s="58">
        <f>AG323-(AG323*((VLOOKUP(A323,[1]Plan!A$1:AP$804,42,FALSE)/100)))</f>
        <v>0</v>
      </c>
      <c r="AI323" s="60"/>
      <c r="AJ323" s="60" t="b">
        <f>OR(H323="Y",K323="Y")</f>
        <v>0</v>
      </c>
      <c r="AK323" s="61">
        <f>IF(AJ323,O323*'[1]ETC Data'!$H$5*'[1]ETC Data'!$I$5,0)</f>
        <v>0</v>
      </c>
      <c r="AL323" s="58">
        <f>AK323-(AK323*((VLOOKUP(A323,[1]Plan!A$1:AY$804,51,FALSE)/100)))</f>
        <v>0</v>
      </c>
      <c r="AM323" s="58">
        <f>IF(AJ323,O323*'[1]ETC Data'!$H$5*'[1]ETC Data'!$J$5,0)</f>
        <v>0</v>
      </c>
      <c r="AN323" s="58">
        <f>AM323-(AM323*((VLOOKUP(A323,[1]Plan!A$1:BA$804,53,FALSE)/100)))</f>
        <v>0</v>
      </c>
      <c r="AO323" s="61">
        <f>IF(AJ323,O323*'[1]ETC Data'!$H$5*'[1]ETC Data'!$K$5,0)</f>
        <v>0</v>
      </c>
      <c r="AP323" s="58">
        <f>AO323-(AO323*((VLOOKUP(A323,[1]Plan!A$1:BB$804,54,FALSE)/100)))</f>
        <v>0</v>
      </c>
      <c r="AQ323" s="58">
        <f>IF(AJ323,O323*'[1]ETC Data'!$H$5*'[1]ETC Data'!$L$5,0)</f>
        <v>0</v>
      </c>
      <c r="AR323" s="58">
        <f>AQ323-(AQ323*((VLOOKUP(A323,[1]Plan!A$1:BD$804,56,FALSE)/100)))</f>
        <v>0</v>
      </c>
      <c r="AS323" s="20">
        <f>VLOOKUP(A323,'[1]PR Matrix'!A:B,2,FALSE)</f>
        <v>0</v>
      </c>
      <c r="AT323" s="21">
        <f>R323+T323+V323+X323+AB323+AD323+AF323+AH323+AL323+AN323+AP323+AR323</f>
        <v>0</v>
      </c>
      <c r="AU323" s="21">
        <f>Q323+S323+U323+W323+AA323+AC323+AE323+AG323+AK323+AM323+AO323+AQ323</f>
        <v>0</v>
      </c>
      <c r="AV323" s="21">
        <f>R323+AB323+AL323</f>
        <v>0</v>
      </c>
      <c r="AW323" s="21">
        <f>T323+AD323+AN323</f>
        <v>0</v>
      </c>
      <c r="AX323" s="21">
        <f>V323+AF323+AP323</f>
        <v>0</v>
      </c>
      <c r="AY323" s="21">
        <f>X323+AH323+AR323</f>
        <v>0</v>
      </c>
    </row>
    <row r="324" spans="1:51" hidden="1" x14ac:dyDescent="0.2">
      <c r="A324" s="86" t="s">
        <v>531</v>
      </c>
      <c r="B324" s="51" t="s">
        <v>209</v>
      </c>
      <c r="C324" s="51"/>
      <c r="D324" s="51"/>
      <c r="E324" s="52">
        <f>IF(G324="Y",VLOOKUP(B324&amp;"|"&amp;C324,'[1]ETC Data'!$C$2:$D$16,2,FALSE),0)</f>
        <v>0</v>
      </c>
      <c r="F324" s="52">
        <f>IF(D324="",0,IF(G324="Y",VLOOKUP(B324&amp;"|"&amp;D324,'[1]ETC Data'!$C$2:$D$16,2,FALSE),0))</f>
        <v>0</v>
      </c>
      <c r="G324" s="53" t="str">
        <f>IF(VLOOKUP(A324,[1]Plan!A$1:H$804,8,FALSE)&lt;&gt;"",VLOOKUP(A324,[1]Plan!A$1:H$804,8,FALSE),"")</f>
        <v>N</v>
      </c>
      <c r="H324" s="54" t="str">
        <f>IF(VLOOKUP(A324,[1]Plan!A$1:L$804,12,FALSE)&lt;&gt;"",VLOOKUP(A324,[1]Plan!A$1:L$804,12,FALSE),"")</f>
        <v/>
      </c>
      <c r="I324" s="55" t="str">
        <f>IF(VLOOKUP(A324,[1]Plan!A$1:M$804,13,FALSE)&lt;&gt;"",VLOOKUP(A324,[1]Plan!A$1:M$804,13,FALSE),"")</f>
        <v>Y</v>
      </c>
      <c r="J324" s="55" t="str">
        <f>IF(VLOOKUP(A324,[1]Plan!A$1:N$804,14,FALSE)&lt;&gt;"",VLOOKUP(A324,[1]Plan!A$1:N$804,14,FALSE),IF(VLOOKUP(A324,[1]Plan!A$1:O$804,15,FALSE)&lt;&gt;"",VLOOKUP(A324,[1]Plan!A$1:O$804,15,FALSE),""))</f>
        <v>Y</v>
      </c>
      <c r="K324" s="56" t="str">
        <f>IF(VLOOKUP(A324,[1]Plan!A$1:P$804,16,FALSE)&lt;&gt;"",VLOOKUP(A324,[1]Plan!A$1:P$804,16,FALSE),"")</f>
        <v>Y</v>
      </c>
      <c r="L324" s="55"/>
      <c r="M324" s="55"/>
      <c r="N324" s="55"/>
      <c r="O324" s="57">
        <f>IF(F324=0,E324,F324)</f>
        <v>0</v>
      </c>
      <c r="P324" s="57" t="b">
        <f>OR(H324="Y",I324="Y")</f>
        <v>1</v>
      </c>
      <c r="Q324" s="58">
        <f>IF(P324,O324*'[1]ETC Data'!$H$3*'[1]ETC Data'!$I$3,0)</f>
        <v>0</v>
      </c>
      <c r="R324" s="58">
        <f>Q324-(Q324*((VLOOKUP(A324,[1]Plan!A$1:Z$804,26,FALSE)/100)))</f>
        <v>0</v>
      </c>
      <c r="S324" s="58">
        <f>IF(P324,O324*'[1]ETC Data'!$H$3*'[1]ETC Data'!$J$3,0)</f>
        <v>0</v>
      </c>
      <c r="T324" s="58">
        <f>S324-(S324*((VLOOKUP(A324,[1]Plan!A$1:AA$804,27,FALSE)/100)))</f>
        <v>0</v>
      </c>
      <c r="U324" s="58">
        <f>IF(P324,O324*'[1]ETC Data'!$H$3*'[1]ETC Data'!$K$3,0)</f>
        <v>0</v>
      </c>
      <c r="V324" s="58">
        <f>U324-(U324*((VLOOKUP(A324,[1]Plan!A$1:AB$804,28,FALSE)/100)))</f>
        <v>0</v>
      </c>
      <c r="W324" s="58">
        <f>IF(P324,O324*'[1]ETC Data'!$H$3*'[1]ETC Data'!$L$3,0)</f>
        <v>0</v>
      </c>
      <c r="X324" s="58">
        <f>W324-(W324*((VLOOKUP(A324,[1]Plan!A$1:AC$804,29,FALSE)/100)))</f>
        <v>0</v>
      </c>
      <c r="Y324" s="59"/>
      <c r="Z324" s="60" t="b">
        <f>OR(H324="Y",J324="Y")</f>
        <v>1</v>
      </c>
      <c r="AA324" s="58">
        <f>IF(Z324,O324*'[1]ETC Data'!$H$4*'[1]ETC Data'!$I$4,0)</f>
        <v>0</v>
      </c>
      <c r="AB324" s="58">
        <f>AA324-(AA324*((VLOOKUP(A324,[1]Plan!A$1:AI$804,35,FALSE)/100)))</f>
        <v>0</v>
      </c>
      <c r="AC324" s="58">
        <f>IF(Z324,O324*'[1]ETC Data'!$H$4*'[1]ETC Data'!$J$4,0)</f>
        <v>0</v>
      </c>
      <c r="AD324" s="58">
        <f>AC324-(AC324*((VLOOKUP(A324,[1]Plan!A$1:AJ$804,36,FALSE)/100)))</f>
        <v>0</v>
      </c>
      <c r="AE324" s="58">
        <f>IF(Z324,O324*'[1]ETC Data'!$H$4*'[1]ETC Data'!$K$4,0)</f>
        <v>0</v>
      </c>
      <c r="AF324" s="58">
        <f>AE324-(AE324*((VLOOKUP(A324,[1]Plan!A$1:AK$804,37,FALSE)/100)))</f>
        <v>0</v>
      </c>
      <c r="AG324" s="58">
        <f>IF(Z324,O324*'[1]ETC Data'!$H$4*'[1]ETC Data'!$L$4,0)</f>
        <v>0</v>
      </c>
      <c r="AH324" s="58">
        <f>AG324-(AG324*((VLOOKUP(A324,[1]Plan!A$1:AP$804,42,FALSE)/100)))</f>
        <v>0</v>
      </c>
      <c r="AI324" s="60"/>
      <c r="AJ324" s="60" t="b">
        <f>OR(H324="Y",K324="Y")</f>
        <v>1</v>
      </c>
      <c r="AK324" s="61">
        <f>IF(AJ324,O324*'[1]ETC Data'!$H$5*'[1]ETC Data'!$I$5,0)</f>
        <v>0</v>
      </c>
      <c r="AL324" s="58">
        <f>AK324-(AK324*((VLOOKUP(A324,[1]Plan!A$1:AY$804,51,FALSE)/100)))</f>
        <v>0</v>
      </c>
      <c r="AM324" s="58">
        <f>IF(AJ324,O324*'[1]ETC Data'!$H$5*'[1]ETC Data'!$J$5,0)</f>
        <v>0</v>
      </c>
      <c r="AN324" s="58">
        <f>AM324-(AM324*((VLOOKUP(A324,[1]Plan!A$1:BA$804,53,FALSE)/100)))</f>
        <v>0</v>
      </c>
      <c r="AO324" s="61">
        <f>IF(AJ324,O324*'[1]ETC Data'!$H$5*'[1]ETC Data'!$K$5,0)</f>
        <v>0</v>
      </c>
      <c r="AP324" s="58">
        <f>AO324-(AO324*((VLOOKUP(A324,[1]Plan!A$1:BB$804,54,FALSE)/100)))</f>
        <v>0</v>
      </c>
      <c r="AQ324" s="58">
        <f>IF(AJ324,O324*'[1]ETC Data'!$H$5*'[1]ETC Data'!$L$5,0)</f>
        <v>0</v>
      </c>
      <c r="AR324" s="58">
        <f>AQ324-(AQ324*((VLOOKUP(A324,[1]Plan!A$1:BD$804,56,FALSE)/100)))</f>
        <v>0</v>
      </c>
      <c r="AS324" s="20">
        <f>VLOOKUP(A324,'[1]PR Matrix'!A:B,2,FALSE)</f>
        <v>0</v>
      </c>
      <c r="AT324" s="21">
        <f>R324+T324+V324+X324+AB324+AD324+AF324+AH324+AL324+AN324+AP324+AR324</f>
        <v>0</v>
      </c>
      <c r="AU324" s="21">
        <f>Q324+S324+U324+W324+AA324+AC324+AE324+AG324+AK324+AM324+AO324+AQ324</f>
        <v>0</v>
      </c>
      <c r="AV324" s="21">
        <f>R324+AB324+AL324</f>
        <v>0</v>
      </c>
      <c r="AW324" s="21">
        <f>T324+AD324+AN324</f>
        <v>0</v>
      </c>
      <c r="AX324" s="21">
        <f>V324+AF324+AP324</f>
        <v>0</v>
      </c>
      <c r="AY324" s="21">
        <f>X324+AH324+AR324</f>
        <v>0</v>
      </c>
    </row>
    <row r="325" spans="1:51" hidden="1" x14ac:dyDescent="0.2">
      <c r="A325" s="86" t="s">
        <v>532</v>
      </c>
      <c r="B325" s="51" t="s">
        <v>258</v>
      </c>
      <c r="C325" s="51"/>
      <c r="D325" s="51"/>
      <c r="E325" s="52">
        <f>IF(G325="Y",VLOOKUP(B325&amp;"|"&amp;C325,'[1]ETC Data'!$C$2:$D$16,2,FALSE),0)</f>
        <v>0</v>
      </c>
      <c r="F325" s="52">
        <f>IF(D325="",0,IF(G325="Y",VLOOKUP(B325&amp;"|"&amp;D325,'[1]ETC Data'!$C$2:$D$16,2,FALSE),0))</f>
        <v>0</v>
      </c>
      <c r="G325" s="53" t="str">
        <f>IF(VLOOKUP(A325,[1]Plan!A$1:H$804,8,FALSE)&lt;&gt;"",VLOOKUP(A325,[1]Plan!A$1:H$804,8,FALSE),"")</f>
        <v>N</v>
      </c>
      <c r="H325" s="54" t="str">
        <f>IF(VLOOKUP(A325,[1]Plan!A$1:L$804,12,FALSE)&lt;&gt;"",VLOOKUP(A325,[1]Plan!A$1:L$804,12,FALSE),"")</f>
        <v/>
      </c>
      <c r="I325" s="55" t="str">
        <f>IF(VLOOKUP(A325,[1]Plan!A$1:M$804,13,FALSE)&lt;&gt;"",VLOOKUP(A325,[1]Plan!A$1:M$804,13,FALSE),"")</f>
        <v/>
      </c>
      <c r="J325" s="55" t="str">
        <f>IF(VLOOKUP(A325,[1]Plan!A$1:N$804,14,FALSE)&lt;&gt;"",VLOOKUP(A325,[1]Plan!A$1:N$804,14,FALSE),IF(VLOOKUP(A325,[1]Plan!A$1:O$804,15,FALSE)&lt;&gt;"",VLOOKUP(A325,[1]Plan!A$1:O$804,15,FALSE),""))</f>
        <v/>
      </c>
      <c r="K325" s="56" t="str">
        <f>IF(VLOOKUP(A325,[1]Plan!A$1:P$804,16,FALSE)&lt;&gt;"",VLOOKUP(A325,[1]Plan!A$1:P$804,16,FALSE),"")</f>
        <v/>
      </c>
      <c r="L325" s="55"/>
      <c r="M325" s="55"/>
      <c r="N325" s="55"/>
      <c r="O325" s="57">
        <f>IF(F325=0,E325,F325)</f>
        <v>0</v>
      </c>
      <c r="P325" s="57" t="b">
        <f>OR(H325="Y",I325="Y")</f>
        <v>0</v>
      </c>
      <c r="Q325" s="58">
        <f>IF(P325,O325*'[1]ETC Data'!$H$3*'[1]ETC Data'!$I$3,0)</f>
        <v>0</v>
      </c>
      <c r="R325" s="58">
        <f>Q325-(Q325*((VLOOKUP(A325,[1]Plan!A$1:Z$804,26,FALSE)/100)))</f>
        <v>0</v>
      </c>
      <c r="S325" s="58">
        <f>IF(P325,O325*'[1]ETC Data'!$H$3*'[1]ETC Data'!$J$3,0)</f>
        <v>0</v>
      </c>
      <c r="T325" s="58">
        <f>S325-(S325*((VLOOKUP(A325,[1]Plan!A$1:AA$804,27,FALSE)/100)))</f>
        <v>0</v>
      </c>
      <c r="U325" s="58">
        <f>IF(P325,O325*'[1]ETC Data'!$H$3*'[1]ETC Data'!$K$3,0)</f>
        <v>0</v>
      </c>
      <c r="V325" s="58">
        <f>U325-(U325*((VLOOKUP(A325,[1]Plan!A$1:AB$804,28,FALSE)/100)))</f>
        <v>0</v>
      </c>
      <c r="W325" s="58">
        <f>IF(P325,O325*'[1]ETC Data'!$H$3*'[1]ETC Data'!$L$3,0)</f>
        <v>0</v>
      </c>
      <c r="X325" s="58">
        <f>W325-(W325*((VLOOKUP(A325,[1]Plan!A$1:AC$804,29,FALSE)/100)))</f>
        <v>0</v>
      </c>
      <c r="Y325" s="59"/>
      <c r="Z325" s="60" t="b">
        <f>OR(H325="Y",J325="Y")</f>
        <v>0</v>
      </c>
      <c r="AA325" s="58">
        <f>IF(Z325,O325*'[1]ETC Data'!$H$4*'[1]ETC Data'!$I$4,0)</f>
        <v>0</v>
      </c>
      <c r="AB325" s="58">
        <f>AA325-(AA325*((VLOOKUP(A325,[1]Plan!A$1:AI$804,35,FALSE)/100)))</f>
        <v>0</v>
      </c>
      <c r="AC325" s="58">
        <f>IF(Z325,O325*'[1]ETC Data'!$H$4*'[1]ETC Data'!$J$4,0)</f>
        <v>0</v>
      </c>
      <c r="AD325" s="58">
        <f>AC325-(AC325*((VLOOKUP(A325,[1]Plan!A$1:AJ$804,36,FALSE)/100)))</f>
        <v>0</v>
      </c>
      <c r="AE325" s="58">
        <f>IF(Z325,O325*'[1]ETC Data'!$H$4*'[1]ETC Data'!$K$4,0)</f>
        <v>0</v>
      </c>
      <c r="AF325" s="58">
        <f>AE325-(AE325*((VLOOKUP(A325,[1]Plan!A$1:AK$804,37,FALSE)/100)))</f>
        <v>0</v>
      </c>
      <c r="AG325" s="58">
        <f>IF(Z325,O325*'[1]ETC Data'!$H$4*'[1]ETC Data'!$L$4,0)</f>
        <v>0</v>
      </c>
      <c r="AH325" s="58">
        <f>AG325-(AG325*((VLOOKUP(A325,[1]Plan!A$1:AP$804,42,FALSE)/100)))</f>
        <v>0</v>
      </c>
      <c r="AI325" s="60"/>
      <c r="AJ325" s="60" t="b">
        <f>OR(H325="Y",K325="Y")</f>
        <v>0</v>
      </c>
      <c r="AK325" s="61">
        <f>IF(AJ325,O325*'[1]ETC Data'!$H$5*'[1]ETC Data'!$I$5,0)</f>
        <v>0</v>
      </c>
      <c r="AL325" s="58">
        <f>AK325-(AK325*((VLOOKUP(A325,[1]Plan!A$1:AY$804,51,FALSE)/100)))</f>
        <v>0</v>
      </c>
      <c r="AM325" s="58">
        <f>IF(AJ325,O325*'[1]ETC Data'!$H$5*'[1]ETC Data'!$J$5,0)</f>
        <v>0</v>
      </c>
      <c r="AN325" s="58">
        <f>AM325-(AM325*((VLOOKUP(A325,[1]Plan!A$1:BA$804,53,FALSE)/100)))</f>
        <v>0</v>
      </c>
      <c r="AO325" s="61">
        <f>IF(AJ325,O325*'[1]ETC Data'!$H$5*'[1]ETC Data'!$K$5,0)</f>
        <v>0</v>
      </c>
      <c r="AP325" s="58">
        <f>AO325-(AO325*((VLOOKUP(A325,[1]Plan!A$1:BB$804,54,FALSE)/100)))</f>
        <v>0</v>
      </c>
      <c r="AQ325" s="58">
        <f>IF(AJ325,O325*'[1]ETC Data'!$H$5*'[1]ETC Data'!$L$5,0)</f>
        <v>0</v>
      </c>
      <c r="AR325" s="58">
        <f>AQ325-(AQ325*((VLOOKUP(A325,[1]Plan!A$1:BD$804,56,FALSE)/100)))</f>
        <v>0</v>
      </c>
      <c r="AS325" s="20">
        <f>VLOOKUP(A325,'[1]PR Matrix'!A:B,2,FALSE)</f>
        <v>0</v>
      </c>
      <c r="AT325" s="21">
        <f>R325+T325+V325+X325+AB325+AD325+AF325+AH325+AL325+AN325+AP325+AR325</f>
        <v>0</v>
      </c>
      <c r="AU325" s="21">
        <f>Q325+S325+U325+W325+AA325+AC325+AE325+AG325+AK325+AM325+AO325+AQ325</f>
        <v>0</v>
      </c>
      <c r="AV325" s="21">
        <f>R325+AB325+AL325</f>
        <v>0</v>
      </c>
      <c r="AW325" s="21">
        <f>T325+AD325+AN325</f>
        <v>0</v>
      </c>
      <c r="AX325" s="21">
        <f>V325+AF325+AP325</f>
        <v>0</v>
      </c>
      <c r="AY325" s="21">
        <f>X325+AH325+AR325</f>
        <v>0</v>
      </c>
    </row>
    <row r="326" spans="1:51" hidden="1" x14ac:dyDescent="0.2">
      <c r="A326" s="50" t="s">
        <v>533</v>
      </c>
      <c r="B326" s="51" t="s">
        <v>209</v>
      </c>
      <c r="C326" s="51"/>
      <c r="D326" s="51"/>
      <c r="E326" s="52">
        <f>IF(G326="Y",VLOOKUP(B326&amp;"|"&amp;C326,'[1]ETC Data'!$C$2:$D$16,2,FALSE),0)</f>
        <v>0</v>
      </c>
      <c r="F326" s="52">
        <f>IF(D326="",0,IF(G326="Y",VLOOKUP(B326&amp;"|"&amp;D326,'[1]ETC Data'!$C$2:$D$16,2,FALSE),0))</f>
        <v>0</v>
      </c>
      <c r="G326" s="53" t="str">
        <f>IF(VLOOKUP(A326,[1]Plan!A$1:H$804,8,FALSE)&lt;&gt;"",VLOOKUP(A326,[1]Plan!A$1:H$804,8,FALSE),"")</f>
        <v>N</v>
      </c>
      <c r="H326" s="54" t="str">
        <f>IF(VLOOKUP(A326,[1]Plan!A$1:L$804,12,FALSE)&lt;&gt;"",VLOOKUP(A326,[1]Plan!A$1:L$804,12,FALSE),"")</f>
        <v/>
      </c>
      <c r="I326" s="55" t="str">
        <f>IF(VLOOKUP(A326,[1]Plan!A$1:M$804,13,FALSE)&lt;&gt;"",VLOOKUP(A326,[1]Plan!A$1:M$804,13,FALSE),"")</f>
        <v/>
      </c>
      <c r="J326" s="55" t="str">
        <f>IF(VLOOKUP(A326,[1]Plan!A$1:N$804,14,FALSE)&lt;&gt;"",VLOOKUP(A326,[1]Plan!A$1:N$804,14,FALSE),IF(VLOOKUP(A326,[1]Plan!A$1:O$804,15,FALSE)&lt;&gt;"",VLOOKUP(A326,[1]Plan!A$1:O$804,15,FALSE),""))</f>
        <v/>
      </c>
      <c r="K326" s="56" t="str">
        <f>IF(VLOOKUP(A326,[1]Plan!A$1:P$804,16,FALSE)&lt;&gt;"",VLOOKUP(A326,[1]Plan!A$1:P$804,16,FALSE),"")</f>
        <v/>
      </c>
      <c r="L326" s="55"/>
      <c r="M326" s="55"/>
      <c r="N326" s="55"/>
      <c r="O326" s="57">
        <f>IF(F326=0,E326,F326)</f>
        <v>0</v>
      </c>
      <c r="P326" s="57" t="b">
        <f>OR(H326="Y",I326="Y")</f>
        <v>0</v>
      </c>
      <c r="Q326" s="58">
        <f>IF(P326,O326*'[1]ETC Data'!$H$3*'[1]ETC Data'!$I$3,0)</f>
        <v>0</v>
      </c>
      <c r="R326" s="58">
        <f>Q326-(Q326*((VLOOKUP(A326,[1]Plan!A$1:Z$804,26,FALSE)/100)))</f>
        <v>0</v>
      </c>
      <c r="S326" s="58">
        <f>IF(P326,O326*'[1]ETC Data'!$H$3*'[1]ETC Data'!$J$3,0)</f>
        <v>0</v>
      </c>
      <c r="T326" s="58">
        <f>S326-(S326*((VLOOKUP(A326,[1]Plan!A$1:AA$804,27,FALSE)/100)))</f>
        <v>0</v>
      </c>
      <c r="U326" s="58">
        <f>IF(P326,O326*'[1]ETC Data'!$H$3*'[1]ETC Data'!$K$3,0)</f>
        <v>0</v>
      </c>
      <c r="V326" s="58">
        <f>U326-(U326*((VLOOKUP(A326,[1]Plan!A$1:AB$804,28,FALSE)/100)))</f>
        <v>0</v>
      </c>
      <c r="W326" s="58">
        <f>IF(P326,O326*'[1]ETC Data'!$H$3*'[1]ETC Data'!$L$3,0)</f>
        <v>0</v>
      </c>
      <c r="X326" s="58">
        <f>W326-(W326*((VLOOKUP(A326,[1]Plan!A$1:AC$804,29,FALSE)/100)))</f>
        <v>0</v>
      </c>
      <c r="Y326" s="59"/>
      <c r="Z326" s="60" t="b">
        <f>OR(H326="Y",J326="Y")</f>
        <v>0</v>
      </c>
      <c r="AA326" s="58">
        <f>IF(Z326,O326*'[1]ETC Data'!$H$4*'[1]ETC Data'!$I$4,0)</f>
        <v>0</v>
      </c>
      <c r="AB326" s="58">
        <f>AA326-(AA326*((VLOOKUP(A326,[1]Plan!A$1:AI$804,35,FALSE)/100)))</f>
        <v>0</v>
      </c>
      <c r="AC326" s="58">
        <f>IF(Z326,O326*'[1]ETC Data'!$H$4*'[1]ETC Data'!$J$4,0)</f>
        <v>0</v>
      </c>
      <c r="AD326" s="58">
        <f>AC326-(AC326*((VLOOKUP(A326,[1]Plan!A$1:AJ$804,36,FALSE)/100)))</f>
        <v>0</v>
      </c>
      <c r="AE326" s="58">
        <f>IF(Z326,O326*'[1]ETC Data'!$H$4*'[1]ETC Data'!$K$4,0)</f>
        <v>0</v>
      </c>
      <c r="AF326" s="58">
        <f>AE326-(AE326*((VLOOKUP(A326,[1]Plan!A$1:AK$804,37,FALSE)/100)))</f>
        <v>0</v>
      </c>
      <c r="AG326" s="58">
        <f>IF(Z326,O326*'[1]ETC Data'!$H$4*'[1]ETC Data'!$L$4,0)</f>
        <v>0</v>
      </c>
      <c r="AH326" s="58">
        <f>AG326-(AG326*((VLOOKUP(A326,[1]Plan!A$1:AP$804,42,FALSE)/100)))</f>
        <v>0</v>
      </c>
      <c r="AI326" s="60"/>
      <c r="AJ326" s="60" t="b">
        <f>OR(H326="Y",K326="Y")</f>
        <v>0</v>
      </c>
      <c r="AK326" s="61">
        <f>IF(AJ326,O326*'[1]ETC Data'!$H$5*'[1]ETC Data'!$I$5,0)</f>
        <v>0</v>
      </c>
      <c r="AL326" s="58">
        <f>AK326-(AK326*((VLOOKUP(A326,[1]Plan!A$1:AY$804,51,FALSE)/100)))</f>
        <v>0</v>
      </c>
      <c r="AM326" s="58">
        <f>IF(AJ326,O326*'[1]ETC Data'!$H$5*'[1]ETC Data'!$J$5,0)</f>
        <v>0</v>
      </c>
      <c r="AN326" s="58">
        <f>AM326-(AM326*((VLOOKUP(A326,[1]Plan!A$1:BA$804,53,FALSE)/100)))</f>
        <v>0</v>
      </c>
      <c r="AO326" s="61">
        <f>IF(AJ326,O326*'[1]ETC Data'!$H$5*'[1]ETC Data'!$K$5,0)</f>
        <v>0</v>
      </c>
      <c r="AP326" s="58">
        <f>AO326-(AO326*((VLOOKUP(A326,[1]Plan!A$1:BB$804,54,FALSE)/100)))</f>
        <v>0</v>
      </c>
      <c r="AQ326" s="58">
        <f>IF(AJ326,O326*'[1]ETC Data'!$H$5*'[1]ETC Data'!$L$5,0)</f>
        <v>0</v>
      </c>
      <c r="AR326" s="58">
        <f>AQ326-(AQ326*((VLOOKUP(A326,[1]Plan!A$1:BD$804,56,FALSE)/100)))</f>
        <v>0</v>
      </c>
      <c r="AS326" s="20">
        <f>VLOOKUP(A326,'[1]PR Matrix'!A:B,2,FALSE)</f>
        <v>0</v>
      </c>
      <c r="AT326" s="21">
        <f>R326+T326+V326+X326+AB326+AD326+AF326+AH326+AL326+AN326+AP326+AR326</f>
        <v>0</v>
      </c>
      <c r="AU326" s="21">
        <f>Q326+S326+U326+W326+AA326+AC326+AE326+AG326+AK326+AM326+AO326+AQ326</f>
        <v>0</v>
      </c>
      <c r="AV326" s="21">
        <f>R326+AB326+AL326</f>
        <v>0</v>
      </c>
      <c r="AW326" s="21">
        <f>T326+AD326+AN326</f>
        <v>0</v>
      </c>
      <c r="AX326" s="21">
        <f>V326+AF326+AP326</f>
        <v>0</v>
      </c>
      <c r="AY326" s="21">
        <f>X326+AH326+AR326</f>
        <v>0</v>
      </c>
    </row>
    <row r="327" spans="1:51" hidden="1" x14ac:dyDescent="0.2">
      <c r="A327" s="50" t="s">
        <v>534</v>
      </c>
      <c r="B327" s="51" t="s">
        <v>208</v>
      </c>
      <c r="C327" s="51"/>
      <c r="D327" s="51"/>
      <c r="E327" s="52">
        <f>IF(G327="Y",VLOOKUP(B327&amp;"|"&amp;C327,'[1]ETC Data'!$C$2:$D$16,2,FALSE),0)</f>
        <v>0</v>
      </c>
      <c r="F327" s="52">
        <f>IF(D327="",0,IF(G327="Y",VLOOKUP(B327&amp;"|"&amp;D327,'[1]ETC Data'!$C$2:$D$16,2,FALSE),0))</f>
        <v>0</v>
      </c>
      <c r="G327" s="53" t="str">
        <f>IF(VLOOKUP(A327,[1]Plan!A$1:H$804,8,FALSE)&lt;&gt;"",VLOOKUP(A327,[1]Plan!A$1:H$804,8,FALSE),"")</f>
        <v>N</v>
      </c>
      <c r="H327" s="54" t="str">
        <f>IF(VLOOKUP(A327,[1]Plan!A$1:L$804,12,FALSE)&lt;&gt;"",VLOOKUP(A327,[1]Plan!A$1:L$804,12,FALSE),"")</f>
        <v/>
      </c>
      <c r="I327" s="55" t="str">
        <f>IF(VLOOKUP(A327,[1]Plan!A$1:M$804,13,FALSE)&lt;&gt;"",VLOOKUP(A327,[1]Plan!A$1:M$804,13,FALSE),"")</f>
        <v/>
      </c>
      <c r="J327" s="55" t="str">
        <f>IF(VLOOKUP(A327,[1]Plan!A$1:N$804,14,FALSE)&lt;&gt;"",VLOOKUP(A327,[1]Plan!A$1:N$804,14,FALSE),IF(VLOOKUP(A327,[1]Plan!A$1:O$804,15,FALSE)&lt;&gt;"",VLOOKUP(A327,[1]Plan!A$1:O$804,15,FALSE),""))</f>
        <v/>
      </c>
      <c r="K327" s="56" t="str">
        <f>IF(VLOOKUP(A327,[1]Plan!A$1:P$804,16,FALSE)&lt;&gt;"",VLOOKUP(A327,[1]Plan!A$1:P$804,16,FALSE),"")</f>
        <v/>
      </c>
      <c r="L327" s="55"/>
      <c r="M327" s="55"/>
      <c r="N327" s="55"/>
      <c r="O327" s="57">
        <f>IF(F327=0,E327,F327)</f>
        <v>0</v>
      </c>
      <c r="P327" s="57" t="b">
        <f>OR(H327="Y",I327="Y")</f>
        <v>0</v>
      </c>
      <c r="Q327" s="58">
        <f>IF(P327,O327*'[1]ETC Data'!$H$3*'[1]ETC Data'!$I$3,0)</f>
        <v>0</v>
      </c>
      <c r="R327" s="58">
        <f>Q327-(Q327*((VLOOKUP(A327,[1]Plan!A$1:Z$804,26,FALSE)/100)))</f>
        <v>0</v>
      </c>
      <c r="S327" s="58">
        <f>IF(P327,O327*'[1]ETC Data'!$H$3*'[1]ETC Data'!$J$3,0)</f>
        <v>0</v>
      </c>
      <c r="T327" s="58">
        <f>S327-(S327*((VLOOKUP(A327,[1]Plan!A$1:AA$804,27,FALSE)/100)))</f>
        <v>0</v>
      </c>
      <c r="U327" s="58">
        <f>IF(P327,O327*'[1]ETC Data'!$H$3*'[1]ETC Data'!$K$3,0)</f>
        <v>0</v>
      </c>
      <c r="V327" s="58">
        <f>U327-(U327*((VLOOKUP(A327,[1]Plan!A$1:AB$804,28,FALSE)/100)))</f>
        <v>0</v>
      </c>
      <c r="W327" s="58">
        <f>IF(P327,O327*'[1]ETC Data'!$H$3*'[1]ETC Data'!$L$3,0)</f>
        <v>0</v>
      </c>
      <c r="X327" s="58">
        <f>W327-(W327*((VLOOKUP(A327,[1]Plan!A$1:AC$804,29,FALSE)/100)))</f>
        <v>0</v>
      </c>
      <c r="Y327" s="59"/>
      <c r="Z327" s="60" t="b">
        <f>OR(H327="Y",J327="Y")</f>
        <v>0</v>
      </c>
      <c r="AA327" s="58">
        <f>IF(Z327,O327*'[1]ETC Data'!$H$4*'[1]ETC Data'!$I$4,0)</f>
        <v>0</v>
      </c>
      <c r="AB327" s="58">
        <f>AA327-(AA327*((VLOOKUP(A327,[1]Plan!A$1:AI$804,35,FALSE)/100)))</f>
        <v>0</v>
      </c>
      <c r="AC327" s="58">
        <f>IF(Z327,O327*'[1]ETC Data'!$H$4*'[1]ETC Data'!$J$4,0)</f>
        <v>0</v>
      </c>
      <c r="AD327" s="58">
        <f>AC327-(AC327*((VLOOKUP(A327,[1]Plan!A$1:AJ$804,36,FALSE)/100)))</f>
        <v>0</v>
      </c>
      <c r="AE327" s="58">
        <f>IF(Z327,O327*'[1]ETC Data'!$H$4*'[1]ETC Data'!$K$4,0)</f>
        <v>0</v>
      </c>
      <c r="AF327" s="58">
        <f>AE327-(AE327*((VLOOKUP(A327,[1]Plan!A$1:AK$804,37,FALSE)/100)))</f>
        <v>0</v>
      </c>
      <c r="AG327" s="58">
        <f>IF(Z327,O327*'[1]ETC Data'!$H$4*'[1]ETC Data'!$L$4,0)</f>
        <v>0</v>
      </c>
      <c r="AH327" s="58">
        <f>AG327-(AG327*((VLOOKUP(A327,[1]Plan!A$1:AP$804,42,FALSE)/100)))</f>
        <v>0</v>
      </c>
      <c r="AI327" s="60"/>
      <c r="AJ327" s="60" t="b">
        <f>OR(H327="Y",K327="Y")</f>
        <v>0</v>
      </c>
      <c r="AK327" s="61">
        <f>IF(AJ327,O327*'[1]ETC Data'!$H$5*'[1]ETC Data'!$I$5,0)</f>
        <v>0</v>
      </c>
      <c r="AL327" s="58">
        <f>AK327-(AK327*((VLOOKUP(A327,[1]Plan!A$1:AY$804,51,FALSE)/100)))</f>
        <v>0</v>
      </c>
      <c r="AM327" s="58">
        <f>IF(AJ327,O327*'[1]ETC Data'!$H$5*'[1]ETC Data'!$J$5,0)</f>
        <v>0</v>
      </c>
      <c r="AN327" s="58">
        <f>AM327-(AM327*((VLOOKUP(A327,[1]Plan!A$1:BA$804,53,FALSE)/100)))</f>
        <v>0</v>
      </c>
      <c r="AO327" s="61">
        <f>IF(AJ327,O327*'[1]ETC Data'!$H$5*'[1]ETC Data'!$K$5,0)</f>
        <v>0</v>
      </c>
      <c r="AP327" s="58">
        <f>AO327-(AO327*((VLOOKUP(A327,[1]Plan!A$1:BB$804,54,FALSE)/100)))</f>
        <v>0</v>
      </c>
      <c r="AQ327" s="58">
        <f>IF(AJ327,O327*'[1]ETC Data'!$H$5*'[1]ETC Data'!$L$5,0)</f>
        <v>0</v>
      </c>
      <c r="AR327" s="58">
        <f>AQ327-(AQ327*((VLOOKUP(A327,[1]Plan!A$1:BD$804,56,FALSE)/100)))</f>
        <v>0</v>
      </c>
      <c r="AS327" s="20">
        <f>VLOOKUP(A327,'[1]PR Matrix'!A:B,2,FALSE)</f>
        <v>0</v>
      </c>
      <c r="AT327" s="21">
        <f>R327+T327+V327+X327+AB327+AD327+AF327+AH327+AL327+AN327+AP327+AR327</f>
        <v>0</v>
      </c>
      <c r="AU327" s="21">
        <f>Q327+S327+U327+W327+AA327+AC327+AE327+AG327+AK327+AM327+AO327+AQ327</f>
        <v>0</v>
      </c>
      <c r="AV327" s="21">
        <f>R327+AB327+AL327</f>
        <v>0</v>
      </c>
      <c r="AW327" s="21">
        <f>T327+AD327+AN327</f>
        <v>0</v>
      </c>
      <c r="AX327" s="21">
        <f>V327+AF327+AP327</f>
        <v>0</v>
      </c>
      <c r="AY327" s="21">
        <f>X327+AH327+AR327</f>
        <v>0</v>
      </c>
    </row>
    <row r="328" spans="1:51" hidden="1" x14ac:dyDescent="0.2">
      <c r="A328" s="50" t="s">
        <v>535</v>
      </c>
      <c r="B328" s="51" t="s">
        <v>208</v>
      </c>
      <c r="C328" s="51"/>
      <c r="D328" s="51"/>
      <c r="E328" s="52">
        <f>IF(G328="Y",VLOOKUP(B328&amp;"|"&amp;C328,'[1]ETC Data'!$C$2:$D$16,2,FALSE),0)</f>
        <v>0</v>
      </c>
      <c r="F328" s="52">
        <f>IF(D328="",0,IF(G328="Y",VLOOKUP(B328&amp;"|"&amp;D328,'[1]ETC Data'!$C$2:$D$16,2,FALSE),0))</f>
        <v>0</v>
      </c>
      <c r="G328" s="53" t="str">
        <f>IF(VLOOKUP(A328,[1]Plan!A$1:H$804,8,FALSE)&lt;&gt;"",VLOOKUP(A328,[1]Plan!A$1:H$804,8,FALSE),"")</f>
        <v>N</v>
      </c>
      <c r="H328" s="54" t="str">
        <f>IF(VLOOKUP(A328,[1]Plan!A$1:L$804,12,FALSE)&lt;&gt;"",VLOOKUP(A328,[1]Plan!A$1:L$804,12,FALSE),"")</f>
        <v/>
      </c>
      <c r="I328" s="55" t="str">
        <f>IF(VLOOKUP(A328,[1]Plan!A$1:M$804,13,FALSE)&lt;&gt;"",VLOOKUP(A328,[1]Plan!A$1:M$804,13,FALSE),"")</f>
        <v/>
      </c>
      <c r="J328" s="55" t="str">
        <f>IF(VLOOKUP(A328,[1]Plan!A$1:N$804,14,FALSE)&lt;&gt;"",VLOOKUP(A328,[1]Plan!A$1:N$804,14,FALSE),IF(VLOOKUP(A328,[1]Plan!A$1:O$804,15,FALSE)&lt;&gt;"",VLOOKUP(A328,[1]Plan!A$1:O$804,15,FALSE),""))</f>
        <v/>
      </c>
      <c r="K328" s="56" t="str">
        <f>IF(VLOOKUP(A328,[1]Plan!A$1:P$804,16,FALSE)&lt;&gt;"",VLOOKUP(A328,[1]Plan!A$1:P$804,16,FALSE),"")</f>
        <v/>
      </c>
      <c r="L328" s="55"/>
      <c r="M328" s="55"/>
      <c r="N328" s="55"/>
      <c r="O328" s="57">
        <f>IF(F328=0,E328,F328)</f>
        <v>0</v>
      </c>
      <c r="P328" s="57" t="b">
        <f>OR(H328="Y",I328="Y")</f>
        <v>0</v>
      </c>
      <c r="Q328" s="58">
        <f>IF(P328,O328*'[1]ETC Data'!$H$3*'[1]ETC Data'!$I$3,0)</f>
        <v>0</v>
      </c>
      <c r="R328" s="58">
        <f>Q328-(Q328*((VLOOKUP(A328,[1]Plan!A$1:Z$804,26,FALSE)/100)))</f>
        <v>0</v>
      </c>
      <c r="S328" s="58">
        <f>IF(P328,O328*'[1]ETC Data'!$H$3*'[1]ETC Data'!$J$3,0)</f>
        <v>0</v>
      </c>
      <c r="T328" s="58">
        <f>S328-(S328*((VLOOKUP(A328,[1]Plan!A$1:AA$804,27,FALSE)/100)))</f>
        <v>0</v>
      </c>
      <c r="U328" s="58">
        <f>IF(P328,O328*'[1]ETC Data'!$H$3*'[1]ETC Data'!$K$3,0)</f>
        <v>0</v>
      </c>
      <c r="V328" s="58">
        <f>U328-(U328*((VLOOKUP(A328,[1]Plan!A$1:AB$804,28,FALSE)/100)))</f>
        <v>0</v>
      </c>
      <c r="W328" s="58">
        <f>IF(P328,O328*'[1]ETC Data'!$H$3*'[1]ETC Data'!$L$3,0)</f>
        <v>0</v>
      </c>
      <c r="X328" s="58">
        <f>W328-(W328*((VLOOKUP(A328,[1]Plan!A$1:AC$804,29,FALSE)/100)))</f>
        <v>0</v>
      </c>
      <c r="Y328" s="59"/>
      <c r="Z328" s="60" t="b">
        <f>OR(H328="Y",J328="Y")</f>
        <v>0</v>
      </c>
      <c r="AA328" s="58">
        <f>IF(Z328,O328*'[1]ETC Data'!$H$4*'[1]ETC Data'!$I$4,0)</f>
        <v>0</v>
      </c>
      <c r="AB328" s="58">
        <f>AA328-(AA328*((VLOOKUP(A328,[1]Plan!A$1:AI$804,35,FALSE)/100)))</f>
        <v>0</v>
      </c>
      <c r="AC328" s="58">
        <f>IF(Z328,O328*'[1]ETC Data'!$H$4*'[1]ETC Data'!$J$4,0)</f>
        <v>0</v>
      </c>
      <c r="AD328" s="58">
        <f>AC328-(AC328*((VLOOKUP(A328,[1]Plan!A$1:AJ$804,36,FALSE)/100)))</f>
        <v>0</v>
      </c>
      <c r="AE328" s="58">
        <f>IF(Z328,O328*'[1]ETC Data'!$H$4*'[1]ETC Data'!$K$4,0)</f>
        <v>0</v>
      </c>
      <c r="AF328" s="58">
        <f>AE328-(AE328*((VLOOKUP(A328,[1]Plan!A$1:AK$804,37,FALSE)/100)))</f>
        <v>0</v>
      </c>
      <c r="AG328" s="58">
        <f>IF(Z328,O328*'[1]ETC Data'!$H$4*'[1]ETC Data'!$L$4,0)</f>
        <v>0</v>
      </c>
      <c r="AH328" s="58">
        <f>AG328-(AG328*((VLOOKUP(A328,[1]Plan!A$1:AP$804,42,FALSE)/100)))</f>
        <v>0</v>
      </c>
      <c r="AI328" s="60"/>
      <c r="AJ328" s="60" t="b">
        <f>OR(H328="Y",K328="Y")</f>
        <v>0</v>
      </c>
      <c r="AK328" s="61">
        <f>IF(AJ328,O328*'[1]ETC Data'!$H$5*'[1]ETC Data'!$I$5,0)</f>
        <v>0</v>
      </c>
      <c r="AL328" s="58">
        <f>AK328-(AK328*((VLOOKUP(A328,[1]Plan!A$1:AY$804,51,FALSE)/100)))</f>
        <v>0</v>
      </c>
      <c r="AM328" s="58">
        <f>IF(AJ328,O328*'[1]ETC Data'!$H$5*'[1]ETC Data'!$J$5,0)</f>
        <v>0</v>
      </c>
      <c r="AN328" s="58">
        <f>AM328-(AM328*((VLOOKUP(A328,[1]Plan!A$1:BA$804,53,FALSE)/100)))</f>
        <v>0</v>
      </c>
      <c r="AO328" s="61">
        <f>IF(AJ328,O328*'[1]ETC Data'!$H$5*'[1]ETC Data'!$K$5,0)</f>
        <v>0</v>
      </c>
      <c r="AP328" s="58">
        <f>AO328-(AO328*((VLOOKUP(A328,[1]Plan!A$1:BB$804,54,FALSE)/100)))</f>
        <v>0</v>
      </c>
      <c r="AQ328" s="58">
        <f>IF(AJ328,O328*'[1]ETC Data'!$H$5*'[1]ETC Data'!$L$5,0)</f>
        <v>0</v>
      </c>
      <c r="AR328" s="58">
        <f>AQ328-(AQ328*((VLOOKUP(A328,[1]Plan!A$1:BD$804,56,FALSE)/100)))</f>
        <v>0</v>
      </c>
      <c r="AS328" s="20">
        <f>VLOOKUP(A328,'[1]PR Matrix'!A:B,2,FALSE)</f>
        <v>0</v>
      </c>
      <c r="AT328" s="21">
        <f>R328+T328+V328+X328+AB328+AD328+AF328+AH328+AL328+AN328+AP328+AR328</f>
        <v>0</v>
      </c>
      <c r="AU328" s="21">
        <f>Q328+S328+U328+W328+AA328+AC328+AE328+AG328+AK328+AM328+AO328+AQ328</f>
        <v>0</v>
      </c>
      <c r="AV328" s="21">
        <f>R328+AB328+AL328</f>
        <v>0</v>
      </c>
      <c r="AW328" s="21">
        <f>T328+AD328+AN328</f>
        <v>0</v>
      </c>
      <c r="AX328" s="21">
        <f>V328+AF328+AP328</f>
        <v>0</v>
      </c>
      <c r="AY328" s="21">
        <f>X328+AH328+AR328</f>
        <v>0</v>
      </c>
    </row>
    <row r="329" spans="1:51" hidden="1" x14ac:dyDescent="0.2">
      <c r="A329" s="50" t="s">
        <v>536</v>
      </c>
      <c r="B329" s="51" t="s">
        <v>208</v>
      </c>
      <c r="C329" s="51"/>
      <c r="D329" s="51"/>
      <c r="E329" s="52">
        <f>IF(G329="Y",VLOOKUP(B329&amp;"|"&amp;C329,'[1]ETC Data'!$C$2:$D$16,2,FALSE),0)</f>
        <v>0</v>
      </c>
      <c r="F329" s="52">
        <f>IF(D329="",0,IF(G329="Y",VLOOKUP(B329&amp;"|"&amp;D329,'[1]ETC Data'!$C$2:$D$16,2,FALSE),0))</f>
        <v>0</v>
      </c>
      <c r="G329" s="53" t="str">
        <f>IF(VLOOKUP(A329,[1]Plan!A$1:H$804,8,FALSE)&lt;&gt;"",VLOOKUP(A329,[1]Plan!A$1:H$804,8,FALSE),"")</f>
        <v>N</v>
      </c>
      <c r="H329" s="54" t="str">
        <f>IF(VLOOKUP(A329,[1]Plan!A$1:L$804,12,FALSE)&lt;&gt;"",VLOOKUP(A329,[1]Plan!A$1:L$804,12,FALSE),"")</f>
        <v/>
      </c>
      <c r="I329" s="55" t="str">
        <f>IF(VLOOKUP(A329,[1]Plan!A$1:M$804,13,FALSE)&lt;&gt;"",VLOOKUP(A329,[1]Plan!A$1:M$804,13,FALSE),"")</f>
        <v/>
      </c>
      <c r="J329" s="55" t="str">
        <f>IF(VLOOKUP(A329,[1]Plan!A$1:N$804,14,FALSE)&lt;&gt;"",VLOOKUP(A329,[1]Plan!A$1:N$804,14,FALSE),IF(VLOOKUP(A329,[1]Plan!A$1:O$804,15,FALSE)&lt;&gt;"",VLOOKUP(A329,[1]Plan!A$1:O$804,15,FALSE),""))</f>
        <v/>
      </c>
      <c r="K329" s="56" t="str">
        <f>IF(VLOOKUP(A329,[1]Plan!A$1:P$804,16,FALSE)&lt;&gt;"",VLOOKUP(A329,[1]Plan!A$1:P$804,16,FALSE),"")</f>
        <v/>
      </c>
      <c r="L329" s="55"/>
      <c r="M329" s="55"/>
      <c r="N329" s="55"/>
      <c r="O329" s="57">
        <f>IF(F329=0,E329,F329)</f>
        <v>0</v>
      </c>
      <c r="P329" s="57" t="b">
        <f>OR(H329="Y",I329="Y")</f>
        <v>0</v>
      </c>
      <c r="Q329" s="58">
        <f>IF(P329,O329*'[1]ETC Data'!$H$3*'[1]ETC Data'!$I$3,0)</f>
        <v>0</v>
      </c>
      <c r="R329" s="58">
        <f>Q329-(Q329*((VLOOKUP(A329,[1]Plan!A$1:Z$804,26,FALSE)/100)))</f>
        <v>0</v>
      </c>
      <c r="S329" s="58">
        <f>IF(P329,O329*'[1]ETC Data'!$H$3*'[1]ETC Data'!$J$3,0)</f>
        <v>0</v>
      </c>
      <c r="T329" s="58">
        <f>S329-(S329*((VLOOKUP(A329,[1]Plan!A$1:AA$804,27,FALSE)/100)))</f>
        <v>0</v>
      </c>
      <c r="U329" s="58">
        <f>IF(P329,O329*'[1]ETC Data'!$H$3*'[1]ETC Data'!$K$3,0)</f>
        <v>0</v>
      </c>
      <c r="V329" s="58">
        <f>U329-(U329*((VLOOKUP(A329,[1]Plan!A$1:AB$804,28,FALSE)/100)))</f>
        <v>0</v>
      </c>
      <c r="W329" s="58">
        <f>IF(P329,O329*'[1]ETC Data'!$H$3*'[1]ETC Data'!$L$3,0)</f>
        <v>0</v>
      </c>
      <c r="X329" s="58">
        <f>W329-(W329*((VLOOKUP(A329,[1]Plan!A$1:AC$804,29,FALSE)/100)))</f>
        <v>0</v>
      </c>
      <c r="Y329" s="59"/>
      <c r="Z329" s="60" t="b">
        <f>OR(H329="Y",J329="Y")</f>
        <v>0</v>
      </c>
      <c r="AA329" s="58">
        <f>IF(Z329,O329*'[1]ETC Data'!$H$4*'[1]ETC Data'!$I$4,0)</f>
        <v>0</v>
      </c>
      <c r="AB329" s="58">
        <f>AA329-(AA329*((VLOOKUP(A329,[1]Plan!A$1:AI$804,35,FALSE)/100)))</f>
        <v>0</v>
      </c>
      <c r="AC329" s="58">
        <f>IF(Z329,O329*'[1]ETC Data'!$H$4*'[1]ETC Data'!$J$4,0)</f>
        <v>0</v>
      </c>
      <c r="AD329" s="58">
        <f>AC329-(AC329*((VLOOKUP(A329,[1]Plan!A$1:AJ$804,36,FALSE)/100)))</f>
        <v>0</v>
      </c>
      <c r="AE329" s="58">
        <f>IF(Z329,O329*'[1]ETC Data'!$H$4*'[1]ETC Data'!$K$4,0)</f>
        <v>0</v>
      </c>
      <c r="AF329" s="58">
        <f>AE329-(AE329*((VLOOKUP(A329,[1]Plan!A$1:AK$804,37,FALSE)/100)))</f>
        <v>0</v>
      </c>
      <c r="AG329" s="58">
        <f>IF(Z329,O329*'[1]ETC Data'!$H$4*'[1]ETC Data'!$L$4,0)</f>
        <v>0</v>
      </c>
      <c r="AH329" s="58">
        <f>AG329-(AG329*((VLOOKUP(A329,[1]Plan!A$1:AP$804,42,FALSE)/100)))</f>
        <v>0</v>
      </c>
      <c r="AI329" s="60"/>
      <c r="AJ329" s="60" t="b">
        <f>OR(H329="Y",K329="Y")</f>
        <v>0</v>
      </c>
      <c r="AK329" s="61">
        <f>IF(AJ329,O329*'[1]ETC Data'!$H$5*'[1]ETC Data'!$I$5,0)</f>
        <v>0</v>
      </c>
      <c r="AL329" s="58">
        <f>AK329-(AK329*((VLOOKUP(A329,[1]Plan!A$1:AY$804,51,FALSE)/100)))</f>
        <v>0</v>
      </c>
      <c r="AM329" s="58">
        <f>IF(AJ329,O329*'[1]ETC Data'!$H$5*'[1]ETC Data'!$J$5,0)</f>
        <v>0</v>
      </c>
      <c r="AN329" s="58">
        <f>AM329-(AM329*((VLOOKUP(A329,[1]Plan!A$1:BA$804,53,FALSE)/100)))</f>
        <v>0</v>
      </c>
      <c r="AO329" s="61">
        <f>IF(AJ329,O329*'[1]ETC Data'!$H$5*'[1]ETC Data'!$K$5,0)</f>
        <v>0</v>
      </c>
      <c r="AP329" s="58">
        <f>AO329-(AO329*((VLOOKUP(A329,[1]Plan!A$1:BB$804,54,FALSE)/100)))</f>
        <v>0</v>
      </c>
      <c r="AQ329" s="58">
        <f>IF(AJ329,O329*'[1]ETC Data'!$H$5*'[1]ETC Data'!$L$5,0)</f>
        <v>0</v>
      </c>
      <c r="AR329" s="58">
        <f>AQ329-(AQ329*((VLOOKUP(A329,[1]Plan!A$1:BD$804,56,FALSE)/100)))</f>
        <v>0</v>
      </c>
      <c r="AS329" s="20">
        <f>VLOOKUP(A329,'[1]PR Matrix'!A:B,2,FALSE)</f>
        <v>0</v>
      </c>
      <c r="AT329" s="21">
        <f>R329+T329+V329+X329+AB329+AD329+AF329+AH329+AL329+AN329+AP329+AR329</f>
        <v>0</v>
      </c>
      <c r="AU329" s="21">
        <f>Q329+S329+U329+W329+AA329+AC329+AE329+AG329+AK329+AM329+AO329+AQ329</f>
        <v>0</v>
      </c>
      <c r="AV329" s="21">
        <f>R329+AB329+AL329</f>
        <v>0</v>
      </c>
      <c r="AW329" s="21">
        <f>T329+AD329+AN329</f>
        <v>0</v>
      </c>
      <c r="AX329" s="21">
        <f>V329+AF329+AP329</f>
        <v>0</v>
      </c>
      <c r="AY329" s="21">
        <f>X329+AH329+AR329</f>
        <v>0</v>
      </c>
    </row>
    <row r="330" spans="1:51" hidden="1" x14ac:dyDescent="0.2">
      <c r="A330" s="50" t="s">
        <v>537</v>
      </c>
      <c r="B330" s="51" t="s">
        <v>208</v>
      </c>
      <c r="C330" s="51"/>
      <c r="D330" s="51"/>
      <c r="E330" s="52">
        <f>IF(G330="Y",VLOOKUP(B330&amp;"|"&amp;C330,'[1]ETC Data'!$C$2:$D$16,2,FALSE),0)</f>
        <v>0</v>
      </c>
      <c r="F330" s="52">
        <f>IF(D330="",0,IF(G330="Y",VLOOKUP(B330&amp;"|"&amp;D330,'[1]ETC Data'!$C$2:$D$16,2,FALSE),0))</f>
        <v>0</v>
      </c>
      <c r="G330" s="53" t="str">
        <f>IF(VLOOKUP(A330,[1]Plan!A$1:H$804,8,FALSE)&lt;&gt;"",VLOOKUP(A330,[1]Plan!A$1:H$804,8,FALSE),"")</f>
        <v>N</v>
      </c>
      <c r="H330" s="54" t="str">
        <f>IF(VLOOKUP(A330,[1]Plan!A$1:L$804,12,FALSE)&lt;&gt;"",VLOOKUP(A330,[1]Plan!A$1:L$804,12,FALSE),"")</f>
        <v/>
      </c>
      <c r="I330" s="55" t="str">
        <f>IF(VLOOKUP(A330,[1]Plan!A$1:M$804,13,FALSE)&lt;&gt;"",VLOOKUP(A330,[1]Plan!A$1:M$804,13,FALSE),"")</f>
        <v/>
      </c>
      <c r="J330" s="55" t="str">
        <f>IF(VLOOKUP(A330,[1]Plan!A$1:N$804,14,FALSE)&lt;&gt;"",VLOOKUP(A330,[1]Plan!A$1:N$804,14,FALSE),IF(VLOOKUP(A330,[1]Plan!A$1:O$804,15,FALSE)&lt;&gt;"",VLOOKUP(A330,[1]Plan!A$1:O$804,15,FALSE),""))</f>
        <v/>
      </c>
      <c r="K330" s="56" t="str">
        <f>IF(VLOOKUP(A330,[1]Plan!A$1:P$804,16,FALSE)&lt;&gt;"",VLOOKUP(A330,[1]Plan!A$1:P$804,16,FALSE),"")</f>
        <v/>
      </c>
      <c r="L330" s="55"/>
      <c r="M330" s="55"/>
      <c r="N330" s="55"/>
      <c r="O330" s="57">
        <f>IF(F330=0,E330,F330)</f>
        <v>0</v>
      </c>
      <c r="P330" s="57" t="b">
        <f>OR(H330="Y",I330="Y")</f>
        <v>0</v>
      </c>
      <c r="Q330" s="58">
        <f>IF(P330,O330*'[1]ETC Data'!$H$3*'[1]ETC Data'!$I$3,0)</f>
        <v>0</v>
      </c>
      <c r="R330" s="58">
        <f>Q330-(Q330*((VLOOKUP(A330,[1]Plan!A$1:Z$804,26,FALSE)/100)))</f>
        <v>0</v>
      </c>
      <c r="S330" s="58">
        <f>IF(P330,O330*'[1]ETC Data'!$H$3*'[1]ETC Data'!$J$3,0)</f>
        <v>0</v>
      </c>
      <c r="T330" s="58">
        <f>S330-(S330*((VLOOKUP(A330,[1]Plan!A$1:AA$804,27,FALSE)/100)))</f>
        <v>0</v>
      </c>
      <c r="U330" s="58">
        <f>IF(P330,O330*'[1]ETC Data'!$H$3*'[1]ETC Data'!$K$3,0)</f>
        <v>0</v>
      </c>
      <c r="V330" s="58">
        <f>U330-(U330*((VLOOKUP(A330,[1]Plan!A$1:AB$804,28,FALSE)/100)))</f>
        <v>0</v>
      </c>
      <c r="W330" s="58">
        <f>IF(P330,O330*'[1]ETC Data'!$H$3*'[1]ETC Data'!$L$3,0)</f>
        <v>0</v>
      </c>
      <c r="X330" s="58">
        <f>W330-(W330*((VLOOKUP(A330,[1]Plan!A$1:AC$804,29,FALSE)/100)))</f>
        <v>0</v>
      </c>
      <c r="Y330" s="59"/>
      <c r="Z330" s="60" t="b">
        <f>OR(H330="Y",J330="Y")</f>
        <v>0</v>
      </c>
      <c r="AA330" s="58">
        <f>IF(Z330,O330*'[1]ETC Data'!$H$4*'[1]ETC Data'!$I$4,0)</f>
        <v>0</v>
      </c>
      <c r="AB330" s="58">
        <f>AA330-(AA330*((VLOOKUP(A330,[1]Plan!A$1:AI$804,35,FALSE)/100)))</f>
        <v>0</v>
      </c>
      <c r="AC330" s="58">
        <f>IF(Z330,O330*'[1]ETC Data'!$H$4*'[1]ETC Data'!$J$4,0)</f>
        <v>0</v>
      </c>
      <c r="AD330" s="58">
        <f>AC330-(AC330*((VLOOKUP(A330,[1]Plan!A$1:AJ$804,36,FALSE)/100)))</f>
        <v>0</v>
      </c>
      <c r="AE330" s="58">
        <f>IF(Z330,O330*'[1]ETC Data'!$H$4*'[1]ETC Data'!$K$4,0)</f>
        <v>0</v>
      </c>
      <c r="AF330" s="58">
        <f>AE330-(AE330*((VLOOKUP(A330,[1]Plan!A$1:AK$804,37,FALSE)/100)))</f>
        <v>0</v>
      </c>
      <c r="AG330" s="58">
        <f>IF(Z330,O330*'[1]ETC Data'!$H$4*'[1]ETC Data'!$L$4,0)</f>
        <v>0</v>
      </c>
      <c r="AH330" s="58">
        <f>AG330-(AG330*((VLOOKUP(A330,[1]Plan!A$1:AP$804,42,FALSE)/100)))</f>
        <v>0</v>
      </c>
      <c r="AI330" s="60"/>
      <c r="AJ330" s="60" t="b">
        <f>OR(H330="Y",K330="Y")</f>
        <v>0</v>
      </c>
      <c r="AK330" s="61">
        <f>IF(AJ330,O330*'[1]ETC Data'!$H$5*'[1]ETC Data'!$I$5,0)</f>
        <v>0</v>
      </c>
      <c r="AL330" s="58">
        <f>AK330-(AK330*((VLOOKUP(A330,[1]Plan!A$1:AY$804,51,FALSE)/100)))</f>
        <v>0</v>
      </c>
      <c r="AM330" s="58">
        <f>IF(AJ330,O330*'[1]ETC Data'!$H$5*'[1]ETC Data'!$J$5,0)</f>
        <v>0</v>
      </c>
      <c r="AN330" s="58">
        <f>AM330-(AM330*((VLOOKUP(A330,[1]Plan!A$1:BA$804,53,FALSE)/100)))</f>
        <v>0</v>
      </c>
      <c r="AO330" s="61">
        <f>IF(AJ330,O330*'[1]ETC Data'!$H$5*'[1]ETC Data'!$K$5,0)</f>
        <v>0</v>
      </c>
      <c r="AP330" s="58">
        <f>AO330-(AO330*((VLOOKUP(A330,[1]Plan!A$1:BB$804,54,FALSE)/100)))</f>
        <v>0</v>
      </c>
      <c r="AQ330" s="58">
        <f>IF(AJ330,O330*'[1]ETC Data'!$H$5*'[1]ETC Data'!$L$5,0)</f>
        <v>0</v>
      </c>
      <c r="AR330" s="58">
        <f>AQ330-(AQ330*((VLOOKUP(A330,[1]Plan!A$1:BD$804,56,FALSE)/100)))</f>
        <v>0</v>
      </c>
      <c r="AS330" s="20">
        <f>VLOOKUP(A330,'[1]PR Matrix'!A:B,2,FALSE)</f>
        <v>0</v>
      </c>
      <c r="AT330" s="21">
        <f>R330+T330+V330+X330+AB330+AD330+AF330+AH330+AL330+AN330+AP330+AR330</f>
        <v>0</v>
      </c>
      <c r="AU330" s="21">
        <f>Q330+S330+U330+W330+AA330+AC330+AE330+AG330+AK330+AM330+AO330+AQ330</f>
        <v>0</v>
      </c>
      <c r="AV330" s="21">
        <f>R330+AB330+AL330</f>
        <v>0</v>
      </c>
      <c r="AW330" s="21">
        <f>T330+AD330+AN330</f>
        <v>0</v>
      </c>
      <c r="AX330" s="21">
        <f>V330+AF330+AP330</f>
        <v>0</v>
      </c>
      <c r="AY330" s="21">
        <f>X330+AH330+AR330</f>
        <v>0</v>
      </c>
    </row>
    <row r="331" spans="1:51" hidden="1" x14ac:dyDescent="0.2">
      <c r="A331" s="50" t="s">
        <v>538</v>
      </c>
      <c r="B331" s="51" t="s">
        <v>208</v>
      </c>
      <c r="C331" s="51"/>
      <c r="D331" s="51"/>
      <c r="E331" s="52">
        <f>IF(G331="Y",VLOOKUP(B331&amp;"|"&amp;C331,'[1]ETC Data'!$C$2:$D$16,2,FALSE),0)</f>
        <v>0</v>
      </c>
      <c r="F331" s="52">
        <f>IF(D331="",0,IF(G331="Y",VLOOKUP(B331&amp;"|"&amp;D331,'[1]ETC Data'!$C$2:$D$16,2,FALSE),0))</f>
        <v>0</v>
      </c>
      <c r="G331" s="53" t="str">
        <f>IF(VLOOKUP(A331,[1]Plan!A$1:H$804,8,FALSE)&lt;&gt;"",VLOOKUP(A331,[1]Plan!A$1:H$804,8,FALSE),"")</f>
        <v>N</v>
      </c>
      <c r="H331" s="54" t="str">
        <f>IF(VLOOKUP(A331,[1]Plan!A$1:L$804,12,FALSE)&lt;&gt;"",VLOOKUP(A331,[1]Plan!A$1:L$804,12,FALSE),"")</f>
        <v/>
      </c>
      <c r="I331" s="55" t="str">
        <f>IF(VLOOKUP(A331,[1]Plan!A$1:M$804,13,FALSE)&lt;&gt;"",VLOOKUP(A331,[1]Plan!A$1:M$804,13,FALSE),"")</f>
        <v/>
      </c>
      <c r="J331" s="55" t="str">
        <f>IF(VLOOKUP(A331,[1]Plan!A$1:N$804,14,FALSE)&lt;&gt;"",VLOOKUP(A331,[1]Plan!A$1:N$804,14,FALSE),IF(VLOOKUP(A331,[1]Plan!A$1:O$804,15,FALSE)&lt;&gt;"",VLOOKUP(A331,[1]Plan!A$1:O$804,15,FALSE),""))</f>
        <v/>
      </c>
      <c r="K331" s="56" t="str">
        <f>IF(VLOOKUP(A331,[1]Plan!A$1:P$804,16,FALSE)&lt;&gt;"",VLOOKUP(A331,[1]Plan!A$1:P$804,16,FALSE),"")</f>
        <v/>
      </c>
      <c r="L331" s="55"/>
      <c r="M331" s="55"/>
      <c r="N331" s="55"/>
      <c r="O331" s="57">
        <f>IF(F331=0,E331,F331)</f>
        <v>0</v>
      </c>
      <c r="P331" s="57" t="b">
        <f>OR(H331="Y",I331="Y")</f>
        <v>0</v>
      </c>
      <c r="Q331" s="58">
        <f>IF(P331,O331*'[1]ETC Data'!$H$3*'[1]ETC Data'!$I$3,0)</f>
        <v>0</v>
      </c>
      <c r="R331" s="58">
        <f>Q331-(Q331*((VLOOKUP(A331,[1]Plan!A$1:Z$804,26,FALSE)/100)))</f>
        <v>0</v>
      </c>
      <c r="S331" s="58">
        <f>IF(P331,O331*'[1]ETC Data'!$H$3*'[1]ETC Data'!$J$3,0)</f>
        <v>0</v>
      </c>
      <c r="T331" s="58">
        <f>S331-(S331*((VLOOKUP(A331,[1]Plan!A$1:AA$804,27,FALSE)/100)))</f>
        <v>0</v>
      </c>
      <c r="U331" s="58">
        <f>IF(P331,O331*'[1]ETC Data'!$H$3*'[1]ETC Data'!$K$3,0)</f>
        <v>0</v>
      </c>
      <c r="V331" s="58">
        <f>U331-(U331*((VLOOKUP(A331,[1]Plan!A$1:AB$804,28,FALSE)/100)))</f>
        <v>0</v>
      </c>
      <c r="W331" s="58">
        <f>IF(P331,O331*'[1]ETC Data'!$H$3*'[1]ETC Data'!$L$3,0)</f>
        <v>0</v>
      </c>
      <c r="X331" s="58">
        <f>W331-(W331*((VLOOKUP(A331,[1]Plan!A$1:AC$804,29,FALSE)/100)))</f>
        <v>0</v>
      </c>
      <c r="Y331" s="59"/>
      <c r="Z331" s="60" t="b">
        <f>OR(H331="Y",J331="Y")</f>
        <v>0</v>
      </c>
      <c r="AA331" s="58">
        <f>IF(Z331,O331*'[1]ETC Data'!$H$4*'[1]ETC Data'!$I$4,0)</f>
        <v>0</v>
      </c>
      <c r="AB331" s="58">
        <f>AA331-(AA331*((VLOOKUP(A331,[1]Plan!A$1:AI$804,35,FALSE)/100)))</f>
        <v>0</v>
      </c>
      <c r="AC331" s="58">
        <f>IF(Z331,O331*'[1]ETC Data'!$H$4*'[1]ETC Data'!$J$4,0)</f>
        <v>0</v>
      </c>
      <c r="AD331" s="58">
        <f>AC331-(AC331*((VLOOKUP(A331,[1]Plan!A$1:AJ$804,36,FALSE)/100)))</f>
        <v>0</v>
      </c>
      <c r="AE331" s="58">
        <f>IF(Z331,O331*'[1]ETC Data'!$H$4*'[1]ETC Data'!$K$4,0)</f>
        <v>0</v>
      </c>
      <c r="AF331" s="58">
        <f>AE331-(AE331*((VLOOKUP(A331,[1]Plan!A$1:AK$804,37,FALSE)/100)))</f>
        <v>0</v>
      </c>
      <c r="AG331" s="58">
        <f>IF(Z331,O331*'[1]ETC Data'!$H$4*'[1]ETC Data'!$L$4,0)</f>
        <v>0</v>
      </c>
      <c r="AH331" s="58">
        <f>AG331-(AG331*((VLOOKUP(A331,[1]Plan!A$1:AP$804,42,FALSE)/100)))</f>
        <v>0</v>
      </c>
      <c r="AI331" s="60"/>
      <c r="AJ331" s="60" t="b">
        <f>OR(H331="Y",K331="Y")</f>
        <v>0</v>
      </c>
      <c r="AK331" s="61">
        <f>IF(AJ331,O331*'[1]ETC Data'!$H$5*'[1]ETC Data'!$I$5,0)</f>
        <v>0</v>
      </c>
      <c r="AL331" s="58">
        <f>AK331-(AK331*((VLOOKUP(A331,[1]Plan!A$1:AY$804,51,FALSE)/100)))</f>
        <v>0</v>
      </c>
      <c r="AM331" s="58">
        <f>IF(AJ331,O331*'[1]ETC Data'!$H$5*'[1]ETC Data'!$J$5,0)</f>
        <v>0</v>
      </c>
      <c r="AN331" s="58">
        <f>AM331-(AM331*((VLOOKUP(A331,[1]Plan!A$1:BA$804,53,FALSE)/100)))</f>
        <v>0</v>
      </c>
      <c r="AO331" s="61">
        <f>IF(AJ331,O331*'[1]ETC Data'!$H$5*'[1]ETC Data'!$K$5,0)</f>
        <v>0</v>
      </c>
      <c r="AP331" s="58">
        <f>AO331-(AO331*((VLOOKUP(A331,[1]Plan!A$1:BB$804,54,FALSE)/100)))</f>
        <v>0</v>
      </c>
      <c r="AQ331" s="58">
        <f>IF(AJ331,O331*'[1]ETC Data'!$H$5*'[1]ETC Data'!$L$5,0)</f>
        <v>0</v>
      </c>
      <c r="AR331" s="58">
        <f>AQ331-(AQ331*((VLOOKUP(A331,[1]Plan!A$1:BD$804,56,FALSE)/100)))</f>
        <v>0</v>
      </c>
      <c r="AS331" s="20">
        <f>VLOOKUP(A331,'[1]PR Matrix'!A:B,2,FALSE)</f>
        <v>0</v>
      </c>
      <c r="AT331" s="21">
        <f>R331+T331+V331+X331+AB331+AD331+AF331+AH331+AL331+AN331+AP331+AR331</f>
        <v>0</v>
      </c>
      <c r="AU331" s="21">
        <f>Q331+S331+U331+W331+AA331+AC331+AE331+AG331+AK331+AM331+AO331+AQ331</f>
        <v>0</v>
      </c>
      <c r="AV331" s="21">
        <f>R331+AB331+AL331</f>
        <v>0</v>
      </c>
      <c r="AW331" s="21">
        <f>T331+AD331+AN331</f>
        <v>0</v>
      </c>
      <c r="AX331" s="21">
        <f>V331+AF331+AP331</f>
        <v>0</v>
      </c>
      <c r="AY331" s="21">
        <f>X331+AH331+AR331</f>
        <v>0</v>
      </c>
    </row>
    <row r="332" spans="1:51" hidden="1" x14ac:dyDescent="0.2">
      <c r="A332" s="50" t="s">
        <v>539</v>
      </c>
      <c r="B332" s="51" t="s">
        <v>208</v>
      </c>
      <c r="C332" s="51"/>
      <c r="D332" s="51"/>
      <c r="E332" s="52">
        <f>IF(G332="Y",VLOOKUP(B332&amp;"|"&amp;C332,'[1]ETC Data'!$C$2:$D$16,2,FALSE),0)</f>
        <v>0</v>
      </c>
      <c r="F332" s="52">
        <f>IF(D332="",0,IF(G332="Y",VLOOKUP(B332&amp;"|"&amp;D332,'[1]ETC Data'!$C$2:$D$16,2,FALSE),0))</f>
        <v>0</v>
      </c>
      <c r="G332" s="53" t="str">
        <f>IF(VLOOKUP(A332,[1]Plan!A$1:H$804,8,FALSE)&lt;&gt;"",VLOOKUP(A332,[1]Plan!A$1:H$804,8,FALSE),"")</f>
        <v>N</v>
      </c>
      <c r="H332" s="54" t="str">
        <f>IF(VLOOKUP(A332,[1]Plan!A$1:L$804,12,FALSE)&lt;&gt;"",VLOOKUP(A332,[1]Plan!A$1:L$804,12,FALSE),"")</f>
        <v/>
      </c>
      <c r="I332" s="55" t="str">
        <f>IF(VLOOKUP(A332,[1]Plan!A$1:M$804,13,FALSE)&lt;&gt;"",VLOOKUP(A332,[1]Plan!A$1:M$804,13,FALSE),"")</f>
        <v/>
      </c>
      <c r="J332" s="55" t="str">
        <f>IF(VLOOKUP(A332,[1]Plan!A$1:N$804,14,FALSE)&lt;&gt;"",VLOOKUP(A332,[1]Plan!A$1:N$804,14,FALSE),IF(VLOOKUP(A332,[1]Plan!A$1:O$804,15,FALSE)&lt;&gt;"",VLOOKUP(A332,[1]Plan!A$1:O$804,15,FALSE),""))</f>
        <v/>
      </c>
      <c r="K332" s="56" t="str">
        <f>IF(VLOOKUP(A332,[1]Plan!A$1:P$804,16,FALSE)&lt;&gt;"",VLOOKUP(A332,[1]Plan!A$1:P$804,16,FALSE),"")</f>
        <v/>
      </c>
      <c r="L332" s="55"/>
      <c r="M332" s="55"/>
      <c r="N332" s="55"/>
      <c r="O332" s="57">
        <f>IF(F332=0,E332,F332)</f>
        <v>0</v>
      </c>
      <c r="P332" s="57" t="b">
        <f>OR(H332="Y",I332="Y")</f>
        <v>0</v>
      </c>
      <c r="Q332" s="58">
        <f>IF(P332,O332*'[1]ETC Data'!$H$3*'[1]ETC Data'!$I$3,0)</f>
        <v>0</v>
      </c>
      <c r="R332" s="58">
        <f>Q332-(Q332*((VLOOKUP(A332,[1]Plan!A$1:Z$804,26,FALSE)/100)))</f>
        <v>0</v>
      </c>
      <c r="S332" s="58">
        <f>IF(P332,O332*'[1]ETC Data'!$H$3*'[1]ETC Data'!$J$3,0)</f>
        <v>0</v>
      </c>
      <c r="T332" s="58">
        <f>S332-(S332*((VLOOKUP(A332,[1]Plan!A$1:AA$804,27,FALSE)/100)))</f>
        <v>0</v>
      </c>
      <c r="U332" s="58">
        <f>IF(P332,O332*'[1]ETC Data'!$H$3*'[1]ETC Data'!$K$3,0)</f>
        <v>0</v>
      </c>
      <c r="V332" s="58">
        <f>U332-(U332*((VLOOKUP(A332,[1]Plan!A$1:AB$804,28,FALSE)/100)))</f>
        <v>0</v>
      </c>
      <c r="W332" s="58">
        <f>IF(P332,O332*'[1]ETC Data'!$H$3*'[1]ETC Data'!$L$3,0)</f>
        <v>0</v>
      </c>
      <c r="X332" s="58">
        <f>W332-(W332*((VLOOKUP(A332,[1]Plan!A$1:AC$804,29,FALSE)/100)))</f>
        <v>0</v>
      </c>
      <c r="Y332" s="59"/>
      <c r="Z332" s="60" t="b">
        <f>OR(H332="Y",J332="Y")</f>
        <v>0</v>
      </c>
      <c r="AA332" s="58">
        <f>IF(Z332,O332*'[1]ETC Data'!$H$4*'[1]ETC Data'!$I$4,0)</f>
        <v>0</v>
      </c>
      <c r="AB332" s="58">
        <f>AA332-(AA332*((VLOOKUP(A332,[1]Plan!A$1:AI$804,35,FALSE)/100)))</f>
        <v>0</v>
      </c>
      <c r="AC332" s="58">
        <f>IF(Z332,O332*'[1]ETC Data'!$H$4*'[1]ETC Data'!$J$4,0)</f>
        <v>0</v>
      </c>
      <c r="AD332" s="58">
        <f>AC332-(AC332*((VLOOKUP(A332,[1]Plan!A$1:AJ$804,36,FALSE)/100)))</f>
        <v>0</v>
      </c>
      <c r="AE332" s="58">
        <f>IF(Z332,O332*'[1]ETC Data'!$H$4*'[1]ETC Data'!$K$4,0)</f>
        <v>0</v>
      </c>
      <c r="AF332" s="58">
        <f>AE332-(AE332*((VLOOKUP(A332,[1]Plan!A$1:AK$804,37,FALSE)/100)))</f>
        <v>0</v>
      </c>
      <c r="AG332" s="58">
        <f>IF(Z332,O332*'[1]ETC Data'!$H$4*'[1]ETC Data'!$L$4,0)</f>
        <v>0</v>
      </c>
      <c r="AH332" s="58">
        <f>AG332-(AG332*((VLOOKUP(A332,[1]Plan!A$1:AP$804,42,FALSE)/100)))</f>
        <v>0</v>
      </c>
      <c r="AI332" s="60"/>
      <c r="AJ332" s="60" t="b">
        <f>OR(H332="Y",K332="Y")</f>
        <v>0</v>
      </c>
      <c r="AK332" s="61">
        <f>IF(AJ332,O332*'[1]ETC Data'!$H$5*'[1]ETC Data'!$I$5,0)</f>
        <v>0</v>
      </c>
      <c r="AL332" s="58">
        <f>AK332-(AK332*((VLOOKUP(A332,[1]Plan!A$1:AY$804,51,FALSE)/100)))</f>
        <v>0</v>
      </c>
      <c r="AM332" s="58">
        <f>IF(AJ332,O332*'[1]ETC Data'!$H$5*'[1]ETC Data'!$J$5,0)</f>
        <v>0</v>
      </c>
      <c r="AN332" s="58">
        <f>AM332-(AM332*((VLOOKUP(A332,[1]Plan!A$1:BA$804,53,FALSE)/100)))</f>
        <v>0</v>
      </c>
      <c r="AO332" s="61">
        <f>IF(AJ332,O332*'[1]ETC Data'!$H$5*'[1]ETC Data'!$K$5,0)</f>
        <v>0</v>
      </c>
      <c r="AP332" s="58">
        <f>AO332-(AO332*((VLOOKUP(A332,[1]Plan!A$1:BB$804,54,FALSE)/100)))</f>
        <v>0</v>
      </c>
      <c r="AQ332" s="58">
        <f>IF(AJ332,O332*'[1]ETC Data'!$H$5*'[1]ETC Data'!$L$5,0)</f>
        <v>0</v>
      </c>
      <c r="AR332" s="58">
        <f>AQ332-(AQ332*((VLOOKUP(A332,[1]Plan!A$1:BD$804,56,FALSE)/100)))</f>
        <v>0</v>
      </c>
      <c r="AS332" s="20">
        <f>VLOOKUP(A332,'[1]PR Matrix'!A:B,2,FALSE)</f>
        <v>0</v>
      </c>
      <c r="AT332" s="21">
        <f>R332+T332+V332+X332+AB332+AD332+AF332+AH332+AL332+AN332+AP332+AR332</f>
        <v>0</v>
      </c>
      <c r="AU332" s="21">
        <f>Q332+S332+U332+W332+AA332+AC332+AE332+AG332+AK332+AM332+AO332+AQ332</f>
        <v>0</v>
      </c>
      <c r="AV332" s="21">
        <f>R332+AB332+AL332</f>
        <v>0</v>
      </c>
      <c r="AW332" s="21">
        <f>T332+AD332+AN332</f>
        <v>0</v>
      </c>
      <c r="AX332" s="21">
        <f>V332+AF332+AP332</f>
        <v>0</v>
      </c>
      <c r="AY332" s="21">
        <f>X332+AH332+AR332</f>
        <v>0</v>
      </c>
    </row>
    <row r="333" spans="1:51" hidden="1" x14ac:dyDescent="0.2">
      <c r="A333" s="50" t="s">
        <v>540</v>
      </c>
      <c r="B333" s="51" t="s">
        <v>208</v>
      </c>
      <c r="C333" s="51"/>
      <c r="D333" s="51"/>
      <c r="E333" s="52">
        <f>IF(G333="Y",VLOOKUP(B333&amp;"|"&amp;C333,'[1]ETC Data'!$C$2:$D$16,2,FALSE),0)</f>
        <v>0</v>
      </c>
      <c r="F333" s="52">
        <f>IF(D333="",0,IF(G333="Y",VLOOKUP(B333&amp;"|"&amp;D333,'[1]ETC Data'!$C$2:$D$16,2,FALSE),0))</f>
        <v>0</v>
      </c>
      <c r="G333" s="53" t="str">
        <f>IF(VLOOKUP(A333,[1]Plan!A$1:H$804,8,FALSE)&lt;&gt;"",VLOOKUP(A333,[1]Plan!A$1:H$804,8,FALSE),"")</f>
        <v>N</v>
      </c>
      <c r="H333" s="54" t="str">
        <f>IF(VLOOKUP(A333,[1]Plan!A$1:L$804,12,FALSE)&lt;&gt;"",VLOOKUP(A333,[1]Plan!A$1:L$804,12,FALSE),"")</f>
        <v/>
      </c>
      <c r="I333" s="55" t="str">
        <f>IF(VLOOKUP(A333,[1]Plan!A$1:M$804,13,FALSE)&lt;&gt;"",VLOOKUP(A333,[1]Plan!A$1:M$804,13,FALSE),"")</f>
        <v/>
      </c>
      <c r="J333" s="55" t="str">
        <f>IF(VLOOKUP(A333,[1]Plan!A$1:N$804,14,FALSE)&lt;&gt;"",VLOOKUP(A333,[1]Plan!A$1:N$804,14,FALSE),IF(VLOOKUP(A333,[1]Plan!A$1:O$804,15,FALSE)&lt;&gt;"",VLOOKUP(A333,[1]Plan!A$1:O$804,15,FALSE),""))</f>
        <v/>
      </c>
      <c r="K333" s="56" t="str">
        <f>IF(VLOOKUP(A333,[1]Plan!A$1:P$804,16,FALSE)&lt;&gt;"",VLOOKUP(A333,[1]Plan!A$1:P$804,16,FALSE),"")</f>
        <v/>
      </c>
      <c r="L333" s="55"/>
      <c r="M333" s="55"/>
      <c r="N333" s="55"/>
      <c r="O333" s="57">
        <f>IF(F333=0,E333,F333)</f>
        <v>0</v>
      </c>
      <c r="P333" s="57" t="b">
        <f>OR(H333="Y",I333="Y")</f>
        <v>0</v>
      </c>
      <c r="Q333" s="58">
        <f>IF(P333,O333*'[1]ETC Data'!$H$3*'[1]ETC Data'!$I$3,0)</f>
        <v>0</v>
      </c>
      <c r="R333" s="58">
        <f>Q333-(Q333*((VLOOKUP(A333,[1]Plan!A$1:Z$804,26,FALSE)/100)))</f>
        <v>0</v>
      </c>
      <c r="S333" s="58">
        <f>IF(P333,O333*'[1]ETC Data'!$H$3*'[1]ETC Data'!$J$3,0)</f>
        <v>0</v>
      </c>
      <c r="T333" s="58">
        <f>S333-(S333*((VLOOKUP(A333,[1]Plan!A$1:AA$804,27,FALSE)/100)))</f>
        <v>0</v>
      </c>
      <c r="U333" s="58">
        <f>IF(P333,O333*'[1]ETC Data'!$H$3*'[1]ETC Data'!$K$3,0)</f>
        <v>0</v>
      </c>
      <c r="V333" s="58">
        <f>U333-(U333*((VLOOKUP(A333,[1]Plan!A$1:AB$804,28,FALSE)/100)))</f>
        <v>0</v>
      </c>
      <c r="W333" s="58">
        <f>IF(P333,O333*'[1]ETC Data'!$H$3*'[1]ETC Data'!$L$3,0)</f>
        <v>0</v>
      </c>
      <c r="X333" s="58">
        <f>W333-(W333*((VLOOKUP(A333,[1]Plan!A$1:AC$804,29,FALSE)/100)))</f>
        <v>0</v>
      </c>
      <c r="Y333" s="59"/>
      <c r="Z333" s="60" t="b">
        <f>OR(H333="Y",J333="Y")</f>
        <v>0</v>
      </c>
      <c r="AA333" s="58">
        <f>IF(Z333,O333*'[1]ETC Data'!$H$4*'[1]ETC Data'!$I$4,0)</f>
        <v>0</v>
      </c>
      <c r="AB333" s="58">
        <f>AA333-(AA333*((VLOOKUP(A333,[1]Plan!A$1:AI$804,35,FALSE)/100)))</f>
        <v>0</v>
      </c>
      <c r="AC333" s="58">
        <f>IF(Z333,O333*'[1]ETC Data'!$H$4*'[1]ETC Data'!$J$4,0)</f>
        <v>0</v>
      </c>
      <c r="AD333" s="58">
        <f>AC333-(AC333*((VLOOKUP(A333,[1]Plan!A$1:AJ$804,36,FALSE)/100)))</f>
        <v>0</v>
      </c>
      <c r="AE333" s="58">
        <f>IF(Z333,O333*'[1]ETC Data'!$H$4*'[1]ETC Data'!$K$4,0)</f>
        <v>0</v>
      </c>
      <c r="AF333" s="58">
        <f>AE333-(AE333*((VLOOKUP(A333,[1]Plan!A$1:AK$804,37,FALSE)/100)))</f>
        <v>0</v>
      </c>
      <c r="AG333" s="58">
        <f>IF(Z333,O333*'[1]ETC Data'!$H$4*'[1]ETC Data'!$L$4,0)</f>
        <v>0</v>
      </c>
      <c r="AH333" s="58">
        <f>AG333-(AG333*((VLOOKUP(A333,[1]Plan!A$1:AP$804,42,FALSE)/100)))</f>
        <v>0</v>
      </c>
      <c r="AI333" s="60"/>
      <c r="AJ333" s="60" t="b">
        <f>OR(H333="Y",K333="Y")</f>
        <v>0</v>
      </c>
      <c r="AK333" s="61">
        <f>IF(AJ333,O333*'[1]ETC Data'!$H$5*'[1]ETC Data'!$I$5,0)</f>
        <v>0</v>
      </c>
      <c r="AL333" s="58">
        <f>AK333-(AK333*((VLOOKUP(A333,[1]Plan!A$1:AY$804,51,FALSE)/100)))</f>
        <v>0</v>
      </c>
      <c r="AM333" s="58">
        <f>IF(AJ333,O333*'[1]ETC Data'!$H$5*'[1]ETC Data'!$J$5,0)</f>
        <v>0</v>
      </c>
      <c r="AN333" s="58">
        <f>AM333-(AM333*((VLOOKUP(A333,[1]Plan!A$1:BA$804,53,FALSE)/100)))</f>
        <v>0</v>
      </c>
      <c r="AO333" s="61">
        <f>IF(AJ333,O333*'[1]ETC Data'!$H$5*'[1]ETC Data'!$K$5,0)</f>
        <v>0</v>
      </c>
      <c r="AP333" s="58">
        <f>AO333-(AO333*((VLOOKUP(A333,[1]Plan!A$1:BB$804,54,FALSE)/100)))</f>
        <v>0</v>
      </c>
      <c r="AQ333" s="58">
        <f>IF(AJ333,O333*'[1]ETC Data'!$H$5*'[1]ETC Data'!$L$5,0)</f>
        <v>0</v>
      </c>
      <c r="AR333" s="58">
        <f>AQ333-(AQ333*((VLOOKUP(A333,[1]Plan!A$1:BD$804,56,FALSE)/100)))</f>
        <v>0</v>
      </c>
      <c r="AS333" s="20">
        <f>VLOOKUP(A333,'[1]PR Matrix'!A:B,2,FALSE)</f>
        <v>0</v>
      </c>
      <c r="AT333" s="21">
        <f>R333+T333+V333+X333+AB333+AD333+AF333+AH333+AL333+AN333+AP333+AR333</f>
        <v>0</v>
      </c>
      <c r="AU333" s="21">
        <f>Q333+S333+U333+W333+AA333+AC333+AE333+AG333+AK333+AM333+AO333+AQ333</f>
        <v>0</v>
      </c>
      <c r="AV333" s="21">
        <f>R333+AB333+AL333</f>
        <v>0</v>
      </c>
      <c r="AW333" s="21">
        <f>T333+AD333+AN333</f>
        <v>0</v>
      </c>
      <c r="AX333" s="21">
        <f>V333+AF333+AP333</f>
        <v>0</v>
      </c>
      <c r="AY333" s="21">
        <f>X333+AH333+AR333</f>
        <v>0</v>
      </c>
    </row>
    <row r="334" spans="1:51" hidden="1" x14ac:dyDescent="0.2">
      <c r="A334" s="50" t="s">
        <v>541</v>
      </c>
      <c r="B334" s="51" t="s">
        <v>208</v>
      </c>
      <c r="C334" s="51"/>
      <c r="D334" s="51"/>
      <c r="E334" s="52">
        <f>IF(G334="Y",VLOOKUP(B334&amp;"|"&amp;C334,'[1]ETC Data'!$C$2:$D$16,2,FALSE),0)</f>
        <v>0</v>
      </c>
      <c r="F334" s="52">
        <f>IF(D334="",0,IF(G334="Y",VLOOKUP(B334&amp;"|"&amp;D334,'[1]ETC Data'!$C$2:$D$16,2,FALSE),0))</f>
        <v>0</v>
      </c>
      <c r="G334" s="53" t="str">
        <f>IF(VLOOKUP(A334,[1]Plan!A$1:H$804,8,FALSE)&lt;&gt;"",VLOOKUP(A334,[1]Plan!A$1:H$804,8,FALSE),"")</f>
        <v>N</v>
      </c>
      <c r="H334" s="54" t="str">
        <f>IF(VLOOKUP(A334,[1]Plan!A$1:L$804,12,FALSE)&lt;&gt;"",VLOOKUP(A334,[1]Plan!A$1:L$804,12,FALSE),"")</f>
        <v/>
      </c>
      <c r="I334" s="55" t="str">
        <f>IF(VLOOKUP(A334,[1]Plan!A$1:M$804,13,FALSE)&lt;&gt;"",VLOOKUP(A334,[1]Plan!A$1:M$804,13,FALSE),"")</f>
        <v/>
      </c>
      <c r="J334" s="55" t="str">
        <f>IF(VLOOKUP(A334,[1]Plan!A$1:N$804,14,FALSE)&lt;&gt;"",VLOOKUP(A334,[1]Plan!A$1:N$804,14,FALSE),IF(VLOOKUP(A334,[1]Plan!A$1:O$804,15,FALSE)&lt;&gt;"",VLOOKUP(A334,[1]Plan!A$1:O$804,15,FALSE),""))</f>
        <v/>
      </c>
      <c r="K334" s="56" t="str">
        <f>IF(VLOOKUP(A334,[1]Plan!A$1:P$804,16,FALSE)&lt;&gt;"",VLOOKUP(A334,[1]Plan!A$1:P$804,16,FALSE),"")</f>
        <v/>
      </c>
      <c r="L334" s="55"/>
      <c r="M334" s="55"/>
      <c r="N334" s="55"/>
      <c r="O334" s="57">
        <f>IF(F334=0,E334,F334)</f>
        <v>0</v>
      </c>
      <c r="P334" s="57" t="b">
        <f>OR(H334="Y",I334="Y")</f>
        <v>0</v>
      </c>
      <c r="Q334" s="58">
        <f>IF(P334,O334*'[1]ETC Data'!$H$3*'[1]ETC Data'!$I$3,0)</f>
        <v>0</v>
      </c>
      <c r="R334" s="58">
        <f>Q334-(Q334*((VLOOKUP(A334,[1]Plan!A$1:Z$804,26,FALSE)/100)))</f>
        <v>0</v>
      </c>
      <c r="S334" s="58">
        <f>IF(P334,O334*'[1]ETC Data'!$H$3*'[1]ETC Data'!$J$3,0)</f>
        <v>0</v>
      </c>
      <c r="T334" s="58">
        <f>S334-(S334*((VLOOKUP(A334,[1]Plan!A$1:AA$804,27,FALSE)/100)))</f>
        <v>0</v>
      </c>
      <c r="U334" s="58">
        <f>IF(P334,O334*'[1]ETC Data'!$H$3*'[1]ETC Data'!$K$3,0)</f>
        <v>0</v>
      </c>
      <c r="V334" s="58">
        <f>U334-(U334*((VLOOKUP(A334,[1]Plan!A$1:AB$804,28,FALSE)/100)))</f>
        <v>0</v>
      </c>
      <c r="W334" s="58">
        <f>IF(P334,O334*'[1]ETC Data'!$H$3*'[1]ETC Data'!$L$3,0)</f>
        <v>0</v>
      </c>
      <c r="X334" s="58">
        <f>W334-(W334*((VLOOKUP(A334,[1]Plan!A$1:AC$804,29,FALSE)/100)))</f>
        <v>0</v>
      </c>
      <c r="Y334" s="59"/>
      <c r="Z334" s="60" t="b">
        <f>OR(H334="Y",J334="Y")</f>
        <v>0</v>
      </c>
      <c r="AA334" s="58">
        <f>IF(Z334,O334*'[1]ETC Data'!$H$4*'[1]ETC Data'!$I$4,0)</f>
        <v>0</v>
      </c>
      <c r="AB334" s="58">
        <f>AA334-(AA334*((VLOOKUP(A334,[1]Plan!A$1:AI$804,35,FALSE)/100)))</f>
        <v>0</v>
      </c>
      <c r="AC334" s="58">
        <f>IF(Z334,O334*'[1]ETC Data'!$H$4*'[1]ETC Data'!$J$4,0)</f>
        <v>0</v>
      </c>
      <c r="AD334" s="58">
        <f>AC334-(AC334*((VLOOKUP(A334,[1]Plan!A$1:AJ$804,36,FALSE)/100)))</f>
        <v>0</v>
      </c>
      <c r="AE334" s="58">
        <f>IF(Z334,O334*'[1]ETC Data'!$H$4*'[1]ETC Data'!$K$4,0)</f>
        <v>0</v>
      </c>
      <c r="AF334" s="58">
        <f>AE334-(AE334*((VLOOKUP(A334,[1]Plan!A$1:AK$804,37,FALSE)/100)))</f>
        <v>0</v>
      </c>
      <c r="AG334" s="58">
        <f>IF(Z334,O334*'[1]ETC Data'!$H$4*'[1]ETC Data'!$L$4,0)</f>
        <v>0</v>
      </c>
      <c r="AH334" s="58">
        <f>AG334-(AG334*((VLOOKUP(A334,[1]Plan!A$1:AP$804,42,FALSE)/100)))</f>
        <v>0</v>
      </c>
      <c r="AI334" s="60"/>
      <c r="AJ334" s="60" t="b">
        <f>OR(H334="Y",K334="Y")</f>
        <v>0</v>
      </c>
      <c r="AK334" s="61">
        <f>IF(AJ334,O334*'[1]ETC Data'!$H$5*'[1]ETC Data'!$I$5,0)</f>
        <v>0</v>
      </c>
      <c r="AL334" s="58">
        <f>AK334-(AK334*((VLOOKUP(A334,[1]Plan!A$1:AY$804,51,FALSE)/100)))</f>
        <v>0</v>
      </c>
      <c r="AM334" s="58">
        <f>IF(AJ334,O334*'[1]ETC Data'!$H$5*'[1]ETC Data'!$J$5,0)</f>
        <v>0</v>
      </c>
      <c r="AN334" s="58">
        <f>AM334-(AM334*((VLOOKUP(A334,[1]Plan!A$1:BA$804,53,FALSE)/100)))</f>
        <v>0</v>
      </c>
      <c r="AO334" s="61">
        <f>IF(AJ334,O334*'[1]ETC Data'!$H$5*'[1]ETC Data'!$K$5,0)</f>
        <v>0</v>
      </c>
      <c r="AP334" s="58">
        <f>AO334-(AO334*((VLOOKUP(A334,[1]Plan!A$1:BB$804,54,FALSE)/100)))</f>
        <v>0</v>
      </c>
      <c r="AQ334" s="58">
        <f>IF(AJ334,O334*'[1]ETC Data'!$H$5*'[1]ETC Data'!$L$5,0)</f>
        <v>0</v>
      </c>
      <c r="AR334" s="58">
        <f>AQ334-(AQ334*((VLOOKUP(A334,[1]Plan!A$1:BD$804,56,FALSE)/100)))</f>
        <v>0</v>
      </c>
      <c r="AS334" s="20">
        <f>VLOOKUP(A334,'[1]PR Matrix'!A:B,2,FALSE)</f>
        <v>0</v>
      </c>
      <c r="AT334" s="21">
        <f>R334+T334+V334+X334+AB334+AD334+AF334+AH334+AL334+AN334+AP334+AR334</f>
        <v>0</v>
      </c>
      <c r="AU334" s="21">
        <f>Q334+S334+U334+W334+AA334+AC334+AE334+AG334+AK334+AM334+AO334+AQ334</f>
        <v>0</v>
      </c>
      <c r="AV334" s="21">
        <f>R334+AB334+AL334</f>
        <v>0</v>
      </c>
      <c r="AW334" s="21">
        <f>T334+AD334+AN334</f>
        <v>0</v>
      </c>
      <c r="AX334" s="21">
        <f>V334+AF334+AP334</f>
        <v>0</v>
      </c>
      <c r="AY334" s="21">
        <f>X334+AH334+AR334</f>
        <v>0</v>
      </c>
    </row>
    <row r="335" spans="1:51" hidden="1" x14ac:dyDescent="0.2">
      <c r="A335" s="50" t="s">
        <v>542</v>
      </c>
      <c r="B335" s="51" t="s">
        <v>208</v>
      </c>
      <c r="C335" s="51" t="s">
        <v>208</v>
      </c>
      <c r="D335" s="51"/>
      <c r="E335" s="52">
        <f>IF(G335="Y",VLOOKUP(B335&amp;"|"&amp;C335,'[1]ETC Data'!$C$2:$D$16,2,FALSE),0)</f>
        <v>0</v>
      </c>
      <c r="F335" s="52">
        <f>IF(D335="",0,IF(G335="Y",VLOOKUP(B335&amp;"|"&amp;D335,'[1]ETC Data'!$C$2:$D$16,2,FALSE),0))</f>
        <v>0</v>
      </c>
      <c r="G335" s="53" t="str">
        <f>IF(VLOOKUP(A335,[1]Plan!A$1:H$804,8,FALSE)&lt;&gt;"",VLOOKUP(A335,[1]Plan!A$1:H$804,8,FALSE),"")</f>
        <v>N</v>
      </c>
      <c r="H335" s="54" t="str">
        <f>IF(VLOOKUP(A335,[1]Plan!A$1:L$804,12,FALSE)&lt;&gt;"",VLOOKUP(A335,[1]Plan!A$1:L$804,12,FALSE),"")</f>
        <v/>
      </c>
      <c r="I335" s="55" t="str">
        <f>IF(VLOOKUP(A335,[1]Plan!A$1:M$804,13,FALSE)&lt;&gt;"",VLOOKUP(A335,[1]Plan!A$1:M$804,13,FALSE),"")</f>
        <v/>
      </c>
      <c r="J335" s="55" t="str">
        <f>IF(VLOOKUP(A335,[1]Plan!A$1:N$804,14,FALSE)&lt;&gt;"",VLOOKUP(A335,[1]Plan!A$1:N$804,14,FALSE),IF(VLOOKUP(A335,[1]Plan!A$1:O$804,15,FALSE)&lt;&gt;"",VLOOKUP(A335,[1]Plan!A$1:O$804,15,FALSE),""))</f>
        <v/>
      </c>
      <c r="K335" s="56" t="str">
        <f>IF(VLOOKUP(A335,[1]Plan!A$1:P$804,16,FALSE)&lt;&gt;"",VLOOKUP(A335,[1]Plan!A$1:P$804,16,FALSE),"")</f>
        <v/>
      </c>
      <c r="L335" s="55"/>
      <c r="M335" s="55"/>
      <c r="N335" s="55"/>
      <c r="O335" s="57">
        <f>IF(F335=0,E335,F335)</f>
        <v>0</v>
      </c>
      <c r="P335" s="57" t="b">
        <f>OR(H335="Y",I335="Y")</f>
        <v>0</v>
      </c>
      <c r="Q335" s="58">
        <f>IF(P335,O335*'[1]ETC Data'!$H$3*'[1]ETC Data'!$I$3,0)</f>
        <v>0</v>
      </c>
      <c r="R335" s="58">
        <f>Q335-(Q335*((VLOOKUP(A335,[1]Plan!A$1:Z$804,26,FALSE)/100)))</f>
        <v>0</v>
      </c>
      <c r="S335" s="58">
        <f>IF(P335,O335*'[1]ETC Data'!$H$3*'[1]ETC Data'!$J$3,0)</f>
        <v>0</v>
      </c>
      <c r="T335" s="58">
        <f>S335-(S335*((VLOOKUP(A335,[1]Plan!A$1:AA$804,27,FALSE)/100)))</f>
        <v>0</v>
      </c>
      <c r="U335" s="58">
        <f>IF(P335,O335*'[1]ETC Data'!$H$3*'[1]ETC Data'!$K$3,0)</f>
        <v>0</v>
      </c>
      <c r="V335" s="58">
        <f>U335-(U335*((VLOOKUP(A335,[1]Plan!A$1:AB$804,28,FALSE)/100)))</f>
        <v>0</v>
      </c>
      <c r="W335" s="58">
        <f>IF(P335,O335*'[1]ETC Data'!$H$3*'[1]ETC Data'!$L$3,0)</f>
        <v>0</v>
      </c>
      <c r="X335" s="58">
        <f>W335-(W335*((VLOOKUP(A335,[1]Plan!A$1:AC$804,29,FALSE)/100)))</f>
        <v>0</v>
      </c>
      <c r="Y335" s="59"/>
      <c r="Z335" s="60" t="b">
        <f>OR(H335="Y",J335="Y")</f>
        <v>0</v>
      </c>
      <c r="AA335" s="58">
        <f>IF(Z335,O335*'[1]ETC Data'!$H$4*'[1]ETC Data'!$I$4,0)</f>
        <v>0</v>
      </c>
      <c r="AB335" s="58">
        <f>AA335-(AA335*((VLOOKUP(A335,[1]Plan!A$1:AI$804,35,FALSE)/100)))</f>
        <v>0</v>
      </c>
      <c r="AC335" s="58">
        <f>IF(Z335,O335*'[1]ETC Data'!$H$4*'[1]ETC Data'!$J$4,0)</f>
        <v>0</v>
      </c>
      <c r="AD335" s="58">
        <f>AC335-(AC335*((VLOOKUP(A335,[1]Plan!A$1:AJ$804,36,FALSE)/100)))</f>
        <v>0</v>
      </c>
      <c r="AE335" s="58">
        <f>IF(Z335,O335*'[1]ETC Data'!$H$4*'[1]ETC Data'!$K$4,0)</f>
        <v>0</v>
      </c>
      <c r="AF335" s="58">
        <f>AE335-(AE335*((VLOOKUP(A335,[1]Plan!A$1:AK$804,37,FALSE)/100)))</f>
        <v>0</v>
      </c>
      <c r="AG335" s="58">
        <f>IF(Z335,O335*'[1]ETC Data'!$H$4*'[1]ETC Data'!$L$4,0)</f>
        <v>0</v>
      </c>
      <c r="AH335" s="58">
        <f>AG335-(AG335*((VLOOKUP(A335,[1]Plan!A$1:AP$804,42,FALSE)/100)))</f>
        <v>0</v>
      </c>
      <c r="AI335" s="60"/>
      <c r="AJ335" s="60" t="b">
        <f>OR(H335="Y",K335="Y")</f>
        <v>0</v>
      </c>
      <c r="AK335" s="61">
        <f>IF(AJ335,O335*'[1]ETC Data'!$H$5*'[1]ETC Data'!$I$5,0)</f>
        <v>0</v>
      </c>
      <c r="AL335" s="58">
        <f>AK335-(AK335*((VLOOKUP(A335,[1]Plan!A$1:AY$804,51,FALSE)/100)))</f>
        <v>0</v>
      </c>
      <c r="AM335" s="58">
        <f>IF(AJ335,O335*'[1]ETC Data'!$H$5*'[1]ETC Data'!$J$5,0)</f>
        <v>0</v>
      </c>
      <c r="AN335" s="58">
        <f>AM335-(AM335*((VLOOKUP(A335,[1]Plan!A$1:BA$804,53,FALSE)/100)))</f>
        <v>0</v>
      </c>
      <c r="AO335" s="61">
        <f>IF(AJ335,O335*'[1]ETC Data'!$H$5*'[1]ETC Data'!$K$5,0)</f>
        <v>0</v>
      </c>
      <c r="AP335" s="58">
        <f>AO335-(AO335*((VLOOKUP(A335,[1]Plan!A$1:BB$804,54,FALSE)/100)))</f>
        <v>0</v>
      </c>
      <c r="AQ335" s="58">
        <f>IF(AJ335,O335*'[1]ETC Data'!$H$5*'[1]ETC Data'!$L$5,0)</f>
        <v>0</v>
      </c>
      <c r="AR335" s="58">
        <f>AQ335-(AQ335*((VLOOKUP(A335,[1]Plan!A$1:BD$804,56,FALSE)/100)))</f>
        <v>0</v>
      </c>
      <c r="AS335" s="20">
        <f>VLOOKUP(A335,'[1]PR Matrix'!A:B,2,FALSE)</f>
        <v>0</v>
      </c>
      <c r="AT335" s="21">
        <f>R335+T335+V335+X335+AB335+AD335+AF335+AH335+AL335+AN335+AP335+AR335</f>
        <v>0</v>
      </c>
      <c r="AU335" s="21">
        <f>Q335+S335+U335+W335+AA335+AC335+AE335+AG335+AK335+AM335+AO335+AQ335</f>
        <v>0</v>
      </c>
      <c r="AV335" s="21">
        <f>R335+AB335+AL335</f>
        <v>0</v>
      </c>
      <c r="AW335" s="21">
        <f>T335+AD335+AN335</f>
        <v>0</v>
      </c>
      <c r="AX335" s="21">
        <f>V335+AF335+AP335</f>
        <v>0</v>
      </c>
      <c r="AY335" s="21">
        <f>X335+AH335+AR335</f>
        <v>0</v>
      </c>
    </row>
    <row r="336" spans="1:51" hidden="1" x14ac:dyDescent="0.2">
      <c r="A336" s="50" t="s">
        <v>543</v>
      </c>
      <c r="B336" s="51" t="s">
        <v>208</v>
      </c>
      <c r="C336" s="51"/>
      <c r="D336" s="51"/>
      <c r="E336" s="52">
        <f>IF(G336="Y",VLOOKUP(B336&amp;"|"&amp;C336,'[1]ETC Data'!$C$2:$D$16,2,FALSE),0)</f>
        <v>0</v>
      </c>
      <c r="F336" s="52">
        <f>IF(D336="",0,IF(G336="Y",VLOOKUP(B336&amp;"|"&amp;D336,'[1]ETC Data'!$C$2:$D$16,2,FALSE),0))</f>
        <v>0</v>
      </c>
      <c r="G336" s="53" t="str">
        <f>IF(VLOOKUP(A336,[1]Plan!A$1:H$804,8,FALSE)&lt;&gt;"",VLOOKUP(A336,[1]Plan!A$1:H$804,8,FALSE),"")</f>
        <v>N</v>
      </c>
      <c r="H336" s="54" t="str">
        <f>IF(VLOOKUP(A336,[1]Plan!A$1:L$804,12,FALSE)&lt;&gt;"",VLOOKUP(A336,[1]Plan!A$1:L$804,12,FALSE),"")</f>
        <v/>
      </c>
      <c r="I336" s="55" t="str">
        <f>IF(VLOOKUP(A336,[1]Plan!A$1:M$804,13,FALSE)&lt;&gt;"",VLOOKUP(A336,[1]Plan!A$1:M$804,13,FALSE),"")</f>
        <v/>
      </c>
      <c r="J336" s="55" t="str">
        <f>IF(VLOOKUP(A336,[1]Plan!A$1:N$804,14,FALSE)&lt;&gt;"",VLOOKUP(A336,[1]Plan!A$1:N$804,14,FALSE),IF(VLOOKUP(A336,[1]Plan!A$1:O$804,15,FALSE)&lt;&gt;"",VLOOKUP(A336,[1]Plan!A$1:O$804,15,FALSE),""))</f>
        <v/>
      </c>
      <c r="K336" s="56" t="str">
        <f>IF(VLOOKUP(A336,[1]Plan!A$1:P$804,16,FALSE)&lt;&gt;"",VLOOKUP(A336,[1]Plan!A$1:P$804,16,FALSE),"")</f>
        <v/>
      </c>
      <c r="L336" s="55"/>
      <c r="M336" s="55"/>
      <c r="N336" s="55"/>
      <c r="O336" s="57">
        <f>IF(F336=0,E336,F336)</f>
        <v>0</v>
      </c>
      <c r="P336" s="57" t="b">
        <f>OR(H336="Y",I336="Y")</f>
        <v>0</v>
      </c>
      <c r="Q336" s="58">
        <f>IF(P336,O336*'[1]ETC Data'!$H$3*'[1]ETC Data'!$I$3,0)</f>
        <v>0</v>
      </c>
      <c r="R336" s="58">
        <f>Q336-(Q336*((VLOOKUP(A336,[1]Plan!A$1:Z$804,26,FALSE)/100)))</f>
        <v>0</v>
      </c>
      <c r="S336" s="58">
        <f>IF(P336,O336*'[1]ETC Data'!$H$3*'[1]ETC Data'!$J$3,0)</f>
        <v>0</v>
      </c>
      <c r="T336" s="58">
        <f>S336-(S336*((VLOOKUP(A336,[1]Plan!A$1:AA$804,27,FALSE)/100)))</f>
        <v>0</v>
      </c>
      <c r="U336" s="58">
        <f>IF(P336,O336*'[1]ETC Data'!$H$3*'[1]ETC Data'!$K$3,0)</f>
        <v>0</v>
      </c>
      <c r="V336" s="58">
        <f>U336-(U336*((VLOOKUP(A336,[1]Plan!A$1:AB$804,28,FALSE)/100)))</f>
        <v>0</v>
      </c>
      <c r="W336" s="58">
        <f>IF(P336,O336*'[1]ETC Data'!$H$3*'[1]ETC Data'!$L$3,0)</f>
        <v>0</v>
      </c>
      <c r="X336" s="58">
        <f>W336-(W336*((VLOOKUP(A336,[1]Plan!A$1:AC$804,29,FALSE)/100)))</f>
        <v>0</v>
      </c>
      <c r="Y336" s="59"/>
      <c r="Z336" s="60" t="b">
        <f>OR(H336="Y",J336="Y")</f>
        <v>0</v>
      </c>
      <c r="AA336" s="58">
        <f>IF(Z336,O336*'[1]ETC Data'!$H$4*'[1]ETC Data'!$I$4,0)</f>
        <v>0</v>
      </c>
      <c r="AB336" s="58">
        <f>AA336-(AA336*((VLOOKUP(A336,[1]Plan!A$1:AI$804,35,FALSE)/100)))</f>
        <v>0</v>
      </c>
      <c r="AC336" s="58">
        <f>IF(Z336,O336*'[1]ETC Data'!$H$4*'[1]ETC Data'!$J$4,0)</f>
        <v>0</v>
      </c>
      <c r="AD336" s="58">
        <f>AC336-(AC336*((VLOOKUP(A336,[1]Plan!A$1:AJ$804,36,FALSE)/100)))</f>
        <v>0</v>
      </c>
      <c r="AE336" s="58">
        <f>IF(Z336,O336*'[1]ETC Data'!$H$4*'[1]ETC Data'!$K$4,0)</f>
        <v>0</v>
      </c>
      <c r="AF336" s="58">
        <f>AE336-(AE336*((VLOOKUP(A336,[1]Plan!A$1:AK$804,37,FALSE)/100)))</f>
        <v>0</v>
      </c>
      <c r="AG336" s="58">
        <f>IF(Z336,O336*'[1]ETC Data'!$H$4*'[1]ETC Data'!$L$4,0)</f>
        <v>0</v>
      </c>
      <c r="AH336" s="58">
        <f>AG336-(AG336*((VLOOKUP(A336,[1]Plan!A$1:AP$804,42,FALSE)/100)))</f>
        <v>0</v>
      </c>
      <c r="AI336" s="60"/>
      <c r="AJ336" s="60" t="b">
        <f>OR(H336="Y",K336="Y")</f>
        <v>0</v>
      </c>
      <c r="AK336" s="61">
        <f>IF(AJ336,O336*'[1]ETC Data'!$H$5*'[1]ETC Data'!$I$5,0)</f>
        <v>0</v>
      </c>
      <c r="AL336" s="58">
        <f>AK336-(AK336*((VLOOKUP(A336,[1]Plan!A$1:AY$804,51,FALSE)/100)))</f>
        <v>0</v>
      </c>
      <c r="AM336" s="58">
        <f>IF(AJ336,O336*'[1]ETC Data'!$H$5*'[1]ETC Data'!$J$5,0)</f>
        <v>0</v>
      </c>
      <c r="AN336" s="58">
        <f>AM336-(AM336*((VLOOKUP(A336,[1]Plan!A$1:BA$804,53,FALSE)/100)))</f>
        <v>0</v>
      </c>
      <c r="AO336" s="61">
        <f>IF(AJ336,O336*'[1]ETC Data'!$H$5*'[1]ETC Data'!$K$5,0)</f>
        <v>0</v>
      </c>
      <c r="AP336" s="58">
        <f>AO336-(AO336*((VLOOKUP(A336,[1]Plan!A$1:BB$804,54,FALSE)/100)))</f>
        <v>0</v>
      </c>
      <c r="AQ336" s="58">
        <f>IF(AJ336,O336*'[1]ETC Data'!$H$5*'[1]ETC Data'!$L$5,0)</f>
        <v>0</v>
      </c>
      <c r="AR336" s="58">
        <f>AQ336-(AQ336*((VLOOKUP(A336,[1]Plan!A$1:BD$804,56,FALSE)/100)))</f>
        <v>0</v>
      </c>
      <c r="AS336" s="20">
        <f>VLOOKUP(A336,'[1]PR Matrix'!A:B,2,FALSE)</f>
        <v>0</v>
      </c>
      <c r="AT336" s="21">
        <f>R336+T336+V336+X336+AB336+AD336+AF336+AH336+AL336+AN336+AP336+AR336</f>
        <v>0</v>
      </c>
      <c r="AU336" s="21">
        <f>Q336+S336+U336+W336+AA336+AC336+AE336+AG336+AK336+AM336+AO336+AQ336</f>
        <v>0</v>
      </c>
      <c r="AV336" s="21">
        <f>R336+AB336+AL336</f>
        <v>0</v>
      </c>
      <c r="AW336" s="21">
        <f>T336+AD336+AN336</f>
        <v>0</v>
      </c>
      <c r="AX336" s="21">
        <f>V336+AF336+AP336</f>
        <v>0</v>
      </c>
      <c r="AY336" s="21">
        <f>X336+AH336+AR336</f>
        <v>0</v>
      </c>
    </row>
    <row r="337" spans="1:51" hidden="1" x14ac:dyDescent="0.2">
      <c r="A337" s="50" t="s">
        <v>544</v>
      </c>
      <c r="B337" s="51" t="s">
        <v>208</v>
      </c>
      <c r="C337" s="51"/>
      <c r="D337" s="51"/>
      <c r="E337" s="52">
        <f>IF(G337="Y",VLOOKUP(B337&amp;"|"&amp;C337,'[1]ETC Data'!$C$2:$D$16,2,FALSE),0)</f>
        <v>0</v>
      </c>
      <c r="F337" s="52">
        <f>IF(D337="",0,IF(G337="Y",VLOOKUP(B337&amp;"|"&amp;D337,'[1]ETC Data'!$C$2:$D$16,2,FALSE),0))</f>
        <v>0</v>
      </c>
      <c r="G337" s="53" t="str">
        <f>IF(VLOOKUP(A337,[1]Plan!A$1:H$804,8,FALSE)&lt;&gt;"",VLOOKUP(A337,[1]Plan!A$1:H$804,8,FALSE),"")</f>
        <v>N</v>
      </c>
      <c r="H337" s="54" t="str">
        <f>IF(VLOOKUP(A337,[1]Plan!A$1:L$804,12,FALSE)&lt;&gt;"",VLOOKUP(A337,[1]Plan!A$1:L$804,12,FALSE),"")</f>
        <v/>
      </c>
      <c r="I337" s="55" t="str">
        <f>IF(VLOOKUP(A337,[1]Plan!A$1:M$804,13,FALSE)&lt;&gt;"",VLOOKUP(A337,[1]Plan!A$1:M$804,13,FALSE),"")</f>
        <v/>
      </c>
      <c r="J337" s="55" t="str">
        <f>IF(VLOOKUP(A337,[1]Plan!A$1:N$804,14,FALSE)&lt;&gt;"",VLOOKUP(A337,[1]Plan!A$1:N$804,14,FALSE),IF(VLOOKUP(A337,[1]Plan!A$1:O$804,15,FALSE)&lt;&gt;"",VLOOKUP(A337,[1]Plan!A$1:O$804,15,FALSE),""))</f>
        <v/>
      </c>
      <c r="K337" s="56" t="str">
        <f>IF(VLOOKUP(A337,[1]Plan!A$1:P$804,16,FALSE)&lt;&gt;"",VLOOKUP(A337,[1]Plan!A$1:P$804,16,FALSE),"")</f>
        <v/>
      </c>
      <c r="L337" s="55"/>
      <c r="M337" s="55"/>
      <c r="N337" s="55"/>
      <c r="O337" s="57">
        <f>IF(F337=0,E337,F337)</f>
        <v>0</v>
      </c>
      <c r="P337" s="57" t="b">
        <f>OR(H337="Y",I337="Y")</f>
        <v>0</v>
      </c>
      <c r="Q337" s="58">
        <f>IF(P337,O337*'[1]ETC Data'!$H$3*'[1]ETC Data'!$I$3,0)</f>
        <v>0</v>
      </c>
      <c r="R337" s="58">
        <f>Q337-(Q337*((VLOOKUP(A337,[1]Plan!A$1:Z$804,26,FALSE)/100)))</f>
        <v>0</v>
      </c>
      <c r="S337" s="58">
        <f>IF(P337,O337*'[1]ETC Data'!$H$3*'[1]ETC Data'!$J$3,0)</f>
        <v>0</v>
      </c>
      <c r="T337" s="58">
        <f>S337-(S337*((VLOOKUP(A337,[1]Plan!A$1:AA$804,27,FALSE)/100)))</f>
        <v>0</v>
      </c>
      <c r="U337" s="58">
        <f>IF(P337,O337*'[1]ETC Data'!$H$3*'[1]ETC Data'!$K$3,0)</f>
        <v>0</v>
      </c>
      <c r="V337" s="58">
        <f>U337-(U337*((VLOOKUP(A337,[1]Plan!A$1:AB$804,28,FALSE)/100)))</f>
        <v>0</v>
      </c>
      <c r="W337" s="58">
        <f>IF(P337,O337*'[1]ETC Data'!$H$3*'[1]ETC Data'!$L$3,0)</f>
        <v>0</v>
      </c>
      <c r="X337" s="58">
        <f>W337-(W337*((VLOOKUP(A337,[1]Plan!A$1:AC$804,29,FALSE)/100)))</f>
        <v>0</v>
      </c>
      <c r="Y337" s="59"/>
      <c r="Z337" s="60" t="b">
        <f>OR(H337="Y",J337="Y")</f>
        <v>0</v>
      </c>
      <c r="AA337" s="58">
        <f>IF(Z337,O337*'[1]ETC Data'!$H$4*'[1]ETC Data'!$I$4,0)</f>
        <v>0</v>
      </c>
      <c r="AB337" s="58">
        <f>AA337-(AA337*((VLOOKUP(A337,[1]Plan!A$1:AI$804,35,FALSE)/100)))</f>
        <v>0</v>
      </c>
      <c r="AC337" s="58">
        <f>IF(Z337,O337*'[1]ETC Data'!$H$4*'[1]ETC Data'!$J$4,0)</f>
        <v>0</v>
      </c>
      <c r="AD337" s="58">
        <f>AC337-(AC337*((VLOOKUP(A337,[1]Plan!A$1:AJ$804,36,FALSE)/100)))</f>
        <v>0</v>
      </c>
      <c r="AE337" s="58">
        <f>IF(Z337,O337*'[1]ETC Data'!$H$4*'[1]ETC Data'!$K$4,0)</f>
        <v>0</v>
      </c>
      <c r="AF337" s="58">
        <f>AE337-(AE337*((VLOOKUP(A337,[1]Plan!A$1:AK$804,37,FALSE)/100)))</f>
        <v>0</v>
      </c>
      <c r="AG337" s="58">
        <f>IF(Z337,O337*'[1]ETC Data'!$H$4*'[1]ETC Data'!$L$4,0)</f>
        <v>0</v>
      </c>
      <c r="AH337" s="58">
        <f>AG337-(AG337*((VLOOKUP(A337,[1]Plan!A$1:AP$804,42,FALSE)/100)))</f>
        <v>0</v>
      </c>
      <c r="AI337" s="60"/>
      <c r="AJ337" s="60" t="b">
        <f>OR(H337="Y",K337="Y")</f>
        <v>0</v>
      </c>
      <c r="AK337" s="61">
        <f>IF(AJ337,O337*'[1]ETC Data'!$H$5*'[1]ETC Data'!$I$5,0)</f>
        <v>0</v>
      </c>
      <c r="AL337" s="58">
        <f>AK337-(AK337*((VLOOKUP(A337,[1]Plan!A$1:AY$804,51,FALSE)/100)))</f>
        <v>0</v>
      </c>
      <c r="AM337" s="58">
        <f>IF(AJ337,O337*'[1]ETC Data'!$H$5*'[1]ETC Data'!$J$5,0)</f>
        <v>0</v>
      </c>
      <c r="AN337" s="58">
        <f>AM337-(AM337*((VLOOKUP(A337,[1]Plan!A$1:BA$804,53,FALSE)/100)))</f>
        <v>0</v>
      </c>
      <c r="AO337" s="61">
        <f>IF(AJ337,O337*'[1]ETC Data'!$H$5*'[1]ETC Data'!$K$5,0)</f>
        <v>0</v>
      </c>
      <c r="AP337" s="58">
        <f>AO337-(AO337*((VLOOKUP(A337,[1]Plan!A$1:BB$804,54,FALSE)/100)))</f>
        <v>0</v>
      </c>
      <c r="AQ337" s="58">
        <f>IF(AJ337,O337*'[1]ETC Data'!$H$5*'[1]ETC Data'!$L$5,0)</f>
        <v>0</v>
      </c>
      <c r="AR337" s="58">
        <f>AQ337-(AQ337*((VLOOKUP(A337,[1]Plan!A$1:BD$804,56,FALSE)/100)))</f>
        <v>0</v>
      </c>
      <c r="AS337" s="20">
        <f>VLOOKUP(A337,'[1]PR Matrix'!A:B,2,FALSE)</f>
        <v>0</v>
      </c>
      <c r="AT337" s="21">
        <f>R337+T337+V337+X337+AB337+AD337+AF337+AH337+AL337+AN337+AP337+AR337</f>
        <v>0</v>
      </c>
      <c r="AU337" s="21">
        <f>Q337+S337+U337+W337+AA337+AC337+AE337+AG337+AK337+AM337+AO337+AQ337</f>
        <v>0</v>
      </c>
      <c r="AV337" s="21">
        <f>R337+AB337+AL337</f>
        <v>0</v>
      </c>
      <c r="AW337" s="21">
        <f>T337+AD337+AN337</f>
        <v>0</v>
      </c>
      <c r="AX337" s="21">
        <f>V337+AF337+AP337</f>
        <v>0</v>
      </c>
      <c r="AY337" s="21">
        <f>X337+AH337+AR337</f>
        <v>0</v>
      </c>
    </row>
    <row r="338" spans="1:51" hidden="1" x14ac:dyDescent="0.2">
      <c r="A338" s="50" t="s">
        <v>545</v>
      </c>
      <c r="B338" s="51" t="s">
        <v>208</v>
      </c>
      <c r="C338" s="51"/>
      <c r="D338" s="51"/>
      <c r="E338" s="52">
        <f>IF(G338="Y",VLOOKUP(B338&amp;"|"&amp;C338,'[1]ETC Data'!$C$2:$D$16,2,FALSE),0)</f>
        <v>0</v>
      </c>
      <c r="F338" s="52">
        <f>IF(D338="",0,IF(G338="Y",VLOOKUP(B338&amp;"|"&amp;D338,'[1]ETC Data'!$C$2:$D$16,2,FALSE),0))</f>
        <v>0</v>
      </c>
      <c r="G338" s="53" t="str">
        <f>IF(VLOOKUP(A338,[1]Plan!A$1:H$804,8,FALSE)&lt;&gt;"",VLOOKUP(A338,[1]Plan!A$1:H$804,8,FALSE),"")</f>
        <v>N</v>
      </c>
      <c r="H338" s="54" t="str">
        <f>IF(VLOOKUP(A338,[1]Plan!A$1:L$804,12,FALSE)&lt;&gt;"",VLOOKUP(A338,[1]Plan!A$1:L$804,12,FALSE),"")</f>
        <v/>
      </c>
      <c r="I338" s="55" t="str">
        <f>IF(VLOOKUP(A338,[1]Plan!A$1:M$804,13,FALSE)&lt;&gt;"",VLOOKUP(A338,[1]Plan!A$1:M$804,13,FALSE),"")</f>
        <v/>
      </c>
      <c r="J338" s="55" t="str">
        <f>IF(VLOOKUP(A338,[1]Plan!A$1:N$804,14,FALSE)&lt;&gt;"",VLOOKUP(A338,[1]Plan!A$1:N$804,14,FALSE),IF(VLOOKUP(A338,[1]Plan!A$1:O$804,15,FALSE)&lt;&gt;"",VLOOKUP(A338,[1]Plan!A$1:O$804,15,FALSE),""))</f>
        <v/>
      </c>
      <c r="K338" s="56" t="str">
        <f>IF(VLOOKUP(A338,[1]Plan!A$1:P$804,16,FALSE)&lt;&gt;"",VLOOKUP(A338,[1]Plan!A$1:P$804,16,FALSE),"")</f>
        <v/>
      </c>
      <c r="L338" s="55"/>
      <c r="M338" s="55"/>
      <c r="N338" s="55"/>
      <c r="O338" s="57">
        <f>IF(F338=0,E338,F338)</f>
        <v>0</v>
      </c>
      <c r="P338" s="57" t="b">
        <f>OR(H338="Y",I338="Y")</f>
        <v>0</v>
      </c>
      <c r="Q338" s="58">
        <f>IF(P338,O338*'[1]ETC Data'!$H$3*'[1]ETC Data'!$I$3,0)</f>
        <v>0</v>
      </c>
      <c r="R338" s="58">
        <f>Q338-(Q338*((VLOOKUP(A338,[1]Plan!A$1:Z$804,26,FALSE)/100)))</f>
        <v>0</v>
      </c>
      <c r="S338" s="58">
        <f>IF(P338,O338*'[1]ETC Data'!$H$3*'[1]ETC Data'!$J$3,0)</f>
        <v>0</v>
      </c>
      <c r="T338" s="58">
        <f>S338-(S338*((VLOOKUP(A338,[1]Plan!A$1:AA$804,27,FALSE)/100)))</f>
        <v>0</v>
      </c>
      <c r="U338" s="58">
        <f>IF(P338,O338*'[1]ETC Data'!$H$3*'[1]ETC Data'!$K$3,0)</f>
        <v>0</v>
      </c>
      <c r="V338" s="58">
        <f>U338-(U338*((VLOOKUP(A338,[1]Plan!A$1:AB$804,28,FALSE)/100)))</f>
        <v>0</v>
      </c>
      <c r="W338" s="58">
        <f>IF(P338,O338*'[1]ETC Data'!$H$3*'[1]ETC Data'!$L$3,0)</f>
        <v>0</v>
      </c>
      <c r="X338" s="58">
        <f>W338-(W338*((VLOOKUP(A338,[1]Plan!A$1:AC$804,29,FALSE)/100)))</f>
        <v>0</v>
      </c>
      <c r="Y338" s="59"/>
      <c r="Z338" s="60" t="b">
        <f>OR(H338="Y",J338="Y")</f>
        <v>0</v>
      </c>
      <c r="AA338" s="58">
        <f>IF(Z338,O338*'[1]ETC Data'!$H$4*'[1]ETC Data'!$I$4,0)</f>
        <v>0</v>
      </c>
      <c r="AB338" s="58">
        <f>AA338-(AA338*((VLOOKUP(A338,[1]Plan!A$1:AI$804,35,FALSE)/100)))</f>
        <v>0</v>
      </c>
      <c r="AC338" s="58">
        <f>IF(Z338,O338*'[1]ETC Data'!$H$4*'[1]ETC Data'!$J$4,0)</f>
        <v>0</v>
      </c>
      <c r="AD338" s="58">
        <f>AC338-(AC338*((VLOOKUP(A338,[1]Plan!A$1:AJ$804,36,FALSE)/100)))</f>
        <v>0</v>
      </c>
      <c r="AE338" s="58">
        <f>IF(Z338,O338*'[1]ETC Data'!$H$4*'[1]ETC Data'!$K$4,0)</f>
        <v>0</v>
      </c>
      <c r="AF338" s="58">
        <f>AE338-(AE338*((VLOOKUP(A338,[1]Plan!A$1:AK$804,37,FALSE)/100)))</f>
        <v>0</v>
      </c>
      <c r="AG338" s="58">
        <f>IF(Z338,O338*'[1]ETC Data'!$H$4*'[1]ETC Data'!$L$4,0)</f>
        <v>0</v>
      </c>
      <c r="AH338" s="58">
        <f>AG338-(AG338*((VLOOKUP(A338,[1]Plan!A$1:AP$804,42,FALSE)/100)))</f>
        <v>0</v>
      </c>
      <c r="AI338" s="60"/>
      <c r="AJ338" s="60" t="b">
        <f>OR(H338="Y",K338="Y")</f>
        <v>0</v>
      </c>
      <c r="AK338" s="61">
        <f>IF(AJ338,O338*'[1]ETC Data'!$H$5*'[1]ETC Data'!$I$5,0)</f>
        <v>0</v>
      </c>
      <c r="AL338" s="58">
        <f>AK338-(AK338*((VLOOKUP(A338,[1]Plan!A$1:AY$804,51,FALSE)/100)))</f>
        <v>0</v>
      </c>
      <c r="AM338" s="58">
        <f>IF(AJ338,O338*'[1]ETC Data'!$H$5*'[1]ETC Data'!$J$5,0)</f>
        <v>0</v>
      </c>
      <c r="AN338" s="58">
        <f>AM338-(AM338*((VLOOKUP(A338,[1]Plan!A$1:BA$804,53,FALSE)/100)))</f>
        <v>0</v>
      </c>
      <c r="AO338" s="61">
        <f>IF(AJ338,O338*'[1]ETC Data'!$H$5*'[1]ETC Data'!$K$5,0)</f>
        <v>0</v>
      </c>
      <c r="AP338" s="58">
        <f>AO338-(AO338*((VLOOKUP(A338,[1]Plan!A$1:BB$804,54,FALSE)/100)))</f>
        <v>0</v>
      </c>
      <c r="AQ338" s="58">
        <f>IF(AJ338,O338*'[1]ETC Data'!$H$5*'[1]ETC Data'!$L$5,0)</f>
        <v>0</v>
      </c>
      <c r="AR338" s="58">
        <f>AQ338-(AQ338*((VLOOKUP(A338,[1]Plan!A$1:BD$804,56,FALSE)/100)))</f>
        <v>0</v>
      </c>
      <c r="AS338" s="20">
        <f>VLOOKUP(A338,'[1]PR Matrix'!A:B,2,FALSE)</f>
        <v>0</v>
      </c>
      <c r="AT338" s="21">
        <f>R338+T338+V338+X338+AB338+AD338+AF338+AH338+AL338+AN338+AP338+AR338</f>
        <v>0</v>
      </c>
      <c r="AU338" s="21">
        <f>Q338+S338+U338+W338+AA338+AC338+AE338+AG338+AK338+AM338+AO338+AQ338</f>
        <v>0</v>
      </c>
      <c r="AV338" s="21">
        <f>R338+AB338+AL338</f>
        <v>0</v>
      </c>
      <c r="AW338" s="21">
        <f>T338+AD338+AN338</f>
        <v>0</v>
      </c>
      <c r="AX338" s="21">
        <f>V338+AF338+AP338</f>
        <v>0</v>
      </c>
      <c r="AY338" s="21">
        <f>X338+AH338+AR338</f>
        <v>0</v>
      </c>
    </row>
    <row r="339" spans="1:51" hidden="1" x14ac:dyDescent="0.2">
      <c r="A339" s="50" t="s">
        <v>546</v>
      </c>
      <c r="B339" s="51" t="s">
        <v>208</v>
      </c>
      <c r="C339" s="51"/>
      <c r="D339" s="51"/>
      <c r="E339" s="52">
        <f>IF(G339="Y",VLOOKUP(B339&amp;"|"&amp;C339,'[1]ETC Data'!$C$2:$D$16,2,FALSE),0)</f>
        <v>0</v>
      </c>
      <c r="F339" s="52">
        <f>IF(D339="",0,IF(G339="Y",VLOOKUP(B339&amp;"|"&amp;D339,'[1]ETC Data'!$C$2:$D$16,2,FALSE),0))</f>
        <v>0</v>
      </c>
      <c r="G339" s="53" t="str">
        <f>IF(VLOOKUP(A339,[1]Plan!A$1:H$804,8,FALSE)&lt;&gt;"",VLOOKUP(A339,[1]Plan!A$1:H$804,8,FALSE),"")</f>
        <v>N</v>
      </c>
      <c r="H339" s="54" t="str">
        <f>IF(VLOOKUP(A339,[1]Plan!A$1:L$804,12,FALSE)&lt;&gt;"",VLOOKUP(A339,[1]Plan!A$1:L$804,12,FALSE),"")</f>
        <v/>
      </c>
      <c r="I339" s="55" t="str">
        <f>IF(VLOOKUP(A339,[1]Plan!A$1:M$804,13,FALSE)&lt;&gt;"",VLOOKUP(A339,[1]Plan!A$1:M$804,13,FALSE),"")</f>
        <v/>
      </c>
      <c r="J339" s="55" t="str">
        <f>IF(VLOOKUP(A339,[1]Plan!A$1:N$804,14,FALSE)&lt;&gt;"",VLOOKUP(A339,[1]Plan!A$1:N$804,14,FALSE),IF(VLOOKUP(A339,[1]Plan!A$1:O$804,15,FALSE)&lt;&gt;"",VLOOKUP(A339,[1]Plan!A$1:O$804,15,FALSE),""))</f>
        <v/>
      </c>
      <c r="K339" s="56" t="str">
        <f>IF(VLOOKUP(A339,[1]Plan!A$1:P$804,16,FALSE)&lt;&gt;"",VLOOKUP(A339,[1]Plan!A$1:P$804,16,FALSE),"")</f>
        <v/>
      </c>
      <c r="L339" s="55"/>
      <c r="M339" s="55"/>
      <c r="N339" s="55"/>
      <c r="O339" s="57">
        <f>IF(F339=0,E339,F339)</f>
        <v>0</v>
      </c>
      <c r="P339" s="57" t="b">
        <f>OR(H339="Y",I339="Y")</f>
        <v>0</v>
      </c>
      <c r="Q339" s="58">
        <f>IF(P339,O339*'[1]ETC Data'!$H$3*'[1]ETC Data'!$I$3,0)</f>
        <v>0</v>
      </c>
      <c r="R339" s="58">
        <f>Q339-(Q339*((VLOOKUP(A339,[1]Plan!A$1:Z$804,26,FALSE)/100)))</f>
        <v>0</v>
      </c>
      <c r="S339" s="58">
        <f>IF(P339,O339*'[1]ETC Data'!$H$3*'[1]ETC Data'!$J$3,0)</f>
        <v>0</v>
      </c>
      <c r="T339" s="58">
        <f>S339-(S339*((VLOOKUP(A339,[1]Plan!A$1:AA$804,27,FALSE)/100)))</f>
        <v>0</v>
      </c>
      <c r="U339" s="58">
        <f>IF(P339,O339*'[1]ETC Data'!$H$3*'[1]ETC Data'!$K$3,0)</f>
        <v>0</v>
      </c>
      <c r="V339" s="58">
        <f>U339-(U339*((VLOOKUP(A339,[1]Plan!A$1:AB$804,28,FALSE)/100)))</f>
        <v>0</v>
      </c>
      <c r="W339" s="58">
        <f>IF(P339,O339*'[1]ETC Data'!$H$3*'[1]ETC Data'!$L$3,0)</f>
        <v>0</v>
      </c>
      <c r="X339" s="58">
        <f>W339-(W339*((VLOOKUP(A339,[1]Plan!A$1:AC$804,29,FALSE)/100)))</f>
        <v>0</v>
      </c>
      <c r="Y339" s="59"/>
      <c r="Z339" s="60" t="b">
        <f>OR(H339="Y",J339="Y")</f>
        <v>0</v>
      </c>
      <c r="AA339" s="58">
        <f>IF(Z339,O339*'[1]ETC Data'!$H$4*'[1]ETC Data'!$I$4,0)</f>
        <v>0</v>
      </c>
      <c r="AB339" s="58">
        <f>AA339-(AA339*((VLOOKUP(A339,[1]Plan!A$1:AI$804,35,FALSE)/100)))</f>
        <v>0</v>
      </c>
      <c r="AC339" s="58">
        <f>IF(Z339,O339*'[1]ETC Data'!$H$4*'[1]ETC Data'!$J$4,0)</f>
        <v>0</v>
      </c>
      <c r="AD339" s="58">
        <f>AC339-(AC339*((VLOOKUP(A339,[1]Plan!A$1:AJ$804,36,FALSE)/100)))</f>
        <v>0</v>
      </c>
      <c r="AE339" s="58">
        <f>IF(Z339,O339*'[1]ETC Data'!$H$4*'[1]ETC Data'!$K$4,0)</f>
        <v>0</v>
      </c>
      <c r="AF339" s="58">
        <f>AE339-(AE339*((VLOOKUP(A339,[1]Plan!A$1:AK$804,37,FALSE)/100)))</f>
        <v>0</v>
      </c>
      <c r="AG339" s="58">
        <f>IF(Z339,O339*'[1]ETC Data'!$H$4*'[1]ETC Data'!$L$4,0)</f>
        <v>0</v>
      </c>
      <c r="AH339" s="58">
        <f>AG339-(AG339*((VLOOKUP(A339,[1]Plan!A$1:AP$804,42,FALSE)/100)))</f>
        <v>0</v>
      </c>
      <c r="AI339" s="60"/>
      <c r="AJ339" s="60" t="b">
        <f>OR(H339="Y",K339="Y")</f>
        <v>0</v>
      </c>
      <c r="AK339" s="61">
        <f>IF(AJ339,O339*'[1]ETC Data'!$H$5*'[1]ETC Data'!$I$5,0)</f>
        <v>0</v>
      </c>
      <c r="AL339" s="58">
        <f>AK339-(AK339*((VLOOKUP(A339,[1]Plan!A$1:AY$804,51,FALSE)/100)))</f>
        <v>0</v>
      </c>
      <c r="AM339" s="58">
        <f>IF(AJ339,O339*'[1]ETC Data'!$H$5*'[1]ETC Data'!$J$5,0)</f>
        <v>0</v>
      </c>
      <c r="AN339" s="58">
        <f>AM339-(AM339*((VLOOKUP(A339,[1]Plan!A$1:BA$804,53,FALSE)/100)))</f>
        <v>0</v>
      </c>
      <c r="AO339" s="61">
        <f>IF(AJ339,O339*'[1]ETC Data'!$H$5*'[1]ETC Data'!$K$5,0)</f>
        <v>0</v>
      </c>
      <c r="AP339" s="58">
        <f>AO339-(AO339*((VLOOKUP(A339,[1]Plan!A$1:BB$804,54,FALSE)/100)))</f>
        <v>0</v>
      </c>
      <c r="AQ339" s="58">
        <f>IF(AJ339,O339*'[1]ETC Data'!$H$5*'[1]ETC Data'!$L$5,0)</f>
        <v>0</v>
      </c>
      <c r="AR339" s="58">
        <f>AQ339-(AQ339*((VLOOKUP(A339,[1]Plan!A$1:BD$804,56,FALSE)/100)))</f>
        <v>0</v>
      </c>
      <c r="AS339" s="20">
        <f>VLOOKUP(A339,'[1]PR Matrix'!A:B,2,FALSE)</f>
        <v>0</v>
      </c>
      <c r="AT339" s="21">
        <f>R339+T339+V339+X339+AB339+AD339+AF339+AH339+AL339+AN339+AP339+AR339</f>
        <v>0</v>
      </c>
      <c r="AU339" s="21">
        <f>Q339+S339+U339+W339+AA339+AC339+AE339+AG339+AK339+AM339+AO339+AQ339</f>
        <v>0</v>
      </c>
      <c r="AV339" s="21">
        <f>R339+AB339+AL339</f>
        <v>0</v>
      </c>
      <c r="AW339" s="21">
        <f>T339+AD339+AN339</f>
        <v>0</v>
      </c>
      <c r="AX339" s="21">
        <f>V339+AF339+AP339</f>
        <v>0</v>
      </c>
      <c r="AY339" s="21">
        <f>X339+AH339+AR339</f>
        <v>0</v>
      </c>
    </row>
    <row r="340" spans="1:51" hidden="1" x14ac:dyDescent="0.2">
      <c r="A340" s="50" t="s">
        <v>547</v>
      </c>
      <c r="B340" s="51" t="s">
        <v>208</v>
      </c>
      <c r="C340" s="51"/>
      <c r="D340" s="51"/>
      <c r="E340" s="52">
        <f>IF(G340="Y",VLOOKUP(B340&amp;"|"&amp;C340,'[1]ETC Data'!$C$2:$D$16,2,FALSE),0)</f>
        <v>0</v>
      </c>
      <c r="F340" s="52">
        <f>IF(D340="",0,IF(G340="Y",VLOOKUP(B340&amp;"|"&amp;D340,'[1]ETC Data'!$C$2:$D$16,2,FALSE),0))</f>
        <v>0</v>
      </c>
      <c r="G340" s="53" t="str">
        <f>IF(VLOOKUP(A340,[1]Plan!A$1:H$804,8,FALSE)&lt;&gt;"",VLOOKUP(A340,[1]Plan!A$1:H$804,8,FALSE),"")</f>
        <v>N</v>
      </c>
      <c r="H340" s="54" t="str">
        <f>IF(VLOOKUP(A340,[1]Plan!A$1:L$804,12,FALSE)&lt;&gt;"",VLOOKUP(A340,[1]Plan!A$1:L$804,12,FALSE),"")</f>
        <v/>
      </c>
      <c r="I340" s="55" t="str">
        <f>IF(VLOOKUP(A340,[1]Plan!A$1:M$804,13,FALSE)&lt;&gt;"",VLOOKUP(A340,[1]Plan!A$1:M$804,13,FALSE),"")</f>
        <v/>
      </c>
      <c r="J340" s="55" t="str">
        <f>IF(VLOOKUP(A340,[1]Plan!A$1:N$804,14,FALSE)&lt;&gt;"",VLOOKUP(A340,[1]Plan!A$1:N$804,14,FALSE),IF(VLOOKUP(A340,[1]Plan!A$1:O$804,15,FALSE)&lt;&gt;"",VLOOKUP(A340,[1]Plan!A$1:O$804,15,FALSE),""))</f>
        <v/>
      </c>
      <c r="K340" s="56" t="str">
        <f>IF(VLOOKUP(A340,[1]Plan!A$1:P$804,16,FALSE)&lt;&gt;"",VLOOKUP(A340,[1]Plan!A$1:P$804,16,FALSE),"")</f>
        <v/>
      </c>
      <c r="L340" s="55"/>
      <c r="M340" s="55"/>
      <c r="N340" s="55"/>
      <c r="O340" s="57">
        <f>IF(F340=0,E340,F340)</f>
        <v>0</v>
      </c>
      <c r="P340" s="57" t="b">
        <f>OR(H340="Y",I340="Y")</f>
        <v>0</v>
      </c>
      <c r="Q340" s="58">
        <f>IF(P340,O340*'[1]ETC Data'!$H$3*'[1]ETC Data'!$I$3,0)</f>
        <v>0</v>
      </c>
      <c r="R340" s="58">
        <f>Q340-(Q340*((VLOOKUP(A340,[1]Plan!A$1:Z$804,26,FALSE)/100)))</f>
        <v>0</v>
      </c>
      <c r="S340" s="58">
        <f>IF(P340,O340*'[1]ETC Data'!$H$3*'[1]ETC Data'!$J$3,0)</f>
        <v>0</v>
      </c>
      <c r="T340" s="58">
        <f>S340-(S340*((VLOOKUP(A340,[1]Plan!A$1:AA$804,27,FALSE)/100)))</f>
        <v>0</v>
      </c>
      <c r="U340" s="58">
        <f>IF(P340,O340*'[1]ETC Data'!$H$3*'[1]ETC Data'!$K$3,0)</f>
        <v>0</v>
      </c>
      <c r="V340" s="58">
        <f>U340-(U340*((VLOOKUP(A340,[1]Plan!A$1:AB$804,28,FALSE)/100)))</f>
        <v>0</v>
      </c>
      <c r="W340" s="58">
        <f>IF(P340,O340*'[1]ETC Data'!$H$3*'[1]ETC Data'!$L$3,0)</f>
        <v>0</v>
      </c>
      <c r="X340" s="58">
        <f>W340-(W340*((VLOOKUP(A340,[1]Plan!A$1:AC$804,29,FALSE)/100)))</f>
        <v>0</v>
      </c>
      <c r="Y340" s="59"/>
      <c r="Z340" s="60" t="b">
        <f>OR(H340="Y",J340="Y")</f>
        <v>0</v>
      </c>
      <c r="AA340" s="58">
        <f>IF(Z340,O340*'[1]ETC Data'!$H$4*'[1]ETC Data'!$I$4,0)</f>
        <v>0</v>
      </c>
      <c r="AB340" s="58">
        <f>AA340-(AA340*((VLOOKUP(A340,[1]Plan!A$1:AI$804,35,FALSE)/100)))</f>
        <v>0</v>
      </c>
      <c r="AC340" s="58">
        <f>IF(Z340,O340*'[1]ETC Data'!$H$4*'[1]ETC Data'!$J$4,0)</f>
        <v>0</v>
      </c>
      <c r="AD340" s="58">
        <f>AC340-(AC340*((VLOOKUP(A340,[1]Plan!A$1:AJ$804,36,FALSE)/100)))</f>
        <v>0</v>
      </c>
      <c r="AE340" s="58">
        <f>IF(Z340,O340*'[1]ETC Data'!$H$4*'[1]ETC Data'!$K$4,0)</f>
        <v>0</v>
      </c>
      <c r="AF340" s="58">
        <f>AE340-(AE340*((VLOOKUP(A340,[1]Plan!A$1:AK$804,37,FALSE)/100)))</f>
        <v>0</v>
      </c>
      <c r="AG340" s="58">
        <f>IF(Z340,O340*'[1]ETC Data'!$H$4*'[1]ETC Data'!$L$4,0)</f>
        <v>0</v>
      </c>
      <c r="AH340" s="58">
        <f>AG340-(AG340*((VLOOKUP(A340,[1]Plan!A$1:AP$804,42,FALSE)/100)))</f>
        <v>0</v>
      </c>
      <c r="AI340" s="60"/>
      <c r="AJ340" s="60" t="b">
        <f>OR(H340="Y",K340="Y")</f>
        <v>0</v>
      </c>
      <c r="AK340" s="61">
        <f>IF(AJ340,O340*'[1]ETC Data'!$H$5*'[1]ETC Data'!$I$5,0)</f>
        <v>0</v>
      </c>
      <c r="AL340" s="58">
        <f>AK340-(AK340*((VLOOKUP(A340,[1]Plan!A$1:AY$804,51,FALSE)/100)))</f>
        <v>0</v>
      </c>
      <c r="AM340" s="58">
        <f>IF(AJ340,O340*'[1]ETC Data'!$H$5*'[1]ETC Data'!$J$5,0)</f>
        <v>0</v>
      </c>
      <c r="AN340" s="58">
        <f>AM340-(AM340*((VLOOKUP(A340,[1]Plan!A$1:BA$804,53,FALSE)/100)))</f>
        <v>0</v>
      </c>
      <c r="AO340" s="61">
        <f>IF(AJ340,O340*'[1]ETC Data'!$H$5*'[1]ETC Data'!$K$5,0)</f>
        <v>0</v>
      </c>
      <c r="AP340" s="58">
        <f>AO340-(AO340*((VLOOKUP(A340,[1]Plan!A$1:BB$804,54,FALSE)/100)))</f>
        <v>0</v>
      </c>
      <c r="AQ340" s="58">
        <f>IF(AJ340,O340*'[1]ETC Data'!$H$5*'[1]ETC Data'!$L$5,0)</f>
        <v>0</v>
      </c>
      <c r="AR340" s="58">
        <f>AQ340-(AQ340*((VLOOKUP(A340,[1]Plan!A$1:BD$804,56,FALSE)/100)))</f>
        <v>0</v>
      </c>
      <c r="AS340" s="20">
        <f>VLOOKUP(A340,'[1]PR Matrix'!A:B,2,FALSE)</f>
        <v>0</v>
      </c>
      <c r="AT340" s="21">
        <f>R340+T340+V340+X340+AB340+AD340+AF340+AH340+AL340+AN340+AP340+AR340</f>
        <v>0</v>
      </c>
      <c r="AU340" s="21">
        <f>Q340+S340+U340+W340+AA340+AC340+AE340+AG340+AK340+AM340+AO340+AQ340</f>
        <v>0</v>
      </c>
      <c r="AV340" s="21">
        <f>R340+AB340+AL340</f>
        <v>0</v>
      </c>
      <c r="AW340" s="21">
        <f>T340+AD340+AN340</f>
        <v>0</v>
      </c>
      <c r="AX340" s="21">
        <f>V340+AF340+AP340</f>
        <v>0</v>
      </c>
      <c r="AY340" s="21">
        <f>X340+AH340+AR340</f>
        <v>0</v>
      </c>
    </row>
    <row r="341" spans="1:51" hidden="1" x14ac:dyDescent="0.2">
      <c r="A341" s="67" t="s">
        <v>548</v>
      </c>
      <c r="B341" s="51" t="s">
        <v>208</v>
      </c>
      <c r="C341" s="51"/>
      <c r="D341" s="51"/>
      <c r="E341" s="52">
        <f>IF(G341="Y",VLOOKUP(B341&amp;"|"&amp;C341,'[1]ETC Data'!$C$2:$D$16,2,FALSE),0)</f>
        <v>0</v>
      </c>
      <c r="F341" s="52">
        <f>IF(D341="",0,IF(G341="Y",VLOOKUP(B341&amp;"|"&amp;D341,'[1]ETC Data'!$C$2:$D$16,2,FALSE),0))</f>
        <v>0</v>
      </c>
      <c r="G341" s="53" t="str">
        <f>IF(VLOOKUP(A341,[1]Plan!A$1:H$804,8,FALSE)&lt;&gt;"",VLOOKUP(A341,[1]Plan!A$1:H$804,8,FALSE),"")</f>
        <v>N</v>
      </c>
      <c r="H341" s="54" t="str">
        <f>IF(VLOOKUP(A341,[1]Plan!A$1:L$804,12,FALSE)&lt;&gt;"",VLOOKUP(A341,[1]Plan!A$1:L$804,12,FALSE),"")</f>
        <v/>
      </c>
      <c r="I341" s="55" t="str">
        <f>IF(VLOOKUP(A341,[1]Plan!A$1:M$804,13,FALSE)&lt;&gt;"",VLOOKUP(A341,[1]Plan!A$1:M$804,13,FALSE),"")</f>
        <v/>
      </c>
      <c r="J341" s="55" t="str">
        <f>IF(VLOOKUP(A341,[1]Plan!A$1:N$804,14,FALSE)&lt;&gt;"",VLOOKUP(A341,[1]Plan!A$1:N$804,14,FALSE),IF(VLOOKUP(A341,[1]Plan!A$1:O$804,15,FALSE)&lt;&gt;"",VLOOKUP(A341,[1]Plan!A$1:O$804,15,FALSE),""))</f>
        <v/>
      </c>
      <c r="K341" s="56" t="str">
        <f>IF(VLOOKUP(A341,[1]Plan!A$1:P$804,16,FALSE)&lt;&gt;"",VLOOKUP(A341,[1]Plan!A$1:P$804,16,FALSE),"")</f>
        <v/>
      </c>
      <c r="L341" s="55"/>
      <c r="M341" s="55"/>
      <c r="N341" s="55"/>
      <c r="O341" s="57">
        <f>IF(F341=0,E341,F341)</f>
        <v>0</v>
      </c>
      <c r="P341" s="57" t="b">
        <f>OR(H341="Y",I341="Y")</f>
        <v>0</v>
      </c>
      <c r="Q341" s="58">
        <f>IF(P341,O341*'[1]ETC Data'!$H$3*'[1]ETC Data'!$I$3,0)</f>
        <v>0</v>
      </c>
      <c r="R341" s="58">
        <f>Q341-(Q341*((VLOOKUP(A341,[1]Plan!A$1:Z$804,26,FALSE)/100)))</f>
        <v>0</v>
      </c>
      <c r="S341" s="58">
        <f>IF(P341,O341*'[1]ETC Data'!$H$3*'[1]ETC Data'!$J$3,0)</f>
        <v>0</v>
      </c>
      <c r="T341" s="58">
        <f>S341-(S341*((VLOOKUP(A341,[1]Plan!A$1:AA$804,27,FALSE)/100)))</f>
        <v>0</v>
      </c>
      <c r="U341" s="58">
        <f>IF(P341,O341*'[1]ETC Data'!$H$3*'[1]ETC Data'!$K$3,0)</f>
        <v>0</v>
      </c>
      <c r="V341" s="58">
        <f>U341-(U341*((VLOOKUP(A341,[1]Plan!A$1:AB$804,28,FALSE)/100)))</f>
        <v>0</v>
      </c>
      <c r="W341" s="58">
        <f>IF(P341,O341*'[1]ETC Data'!$H$3*'[1]ETC Data'!$L$3,0)</f>
        <v>0</v>
      </c>
      <c r="X341" s="58">
        <f>W341-(W341*((VLOOKUP(A341,[1]Plan!A$1:AC$804,29,FALSE)/100)))</f>
        <v>0</v>
      </c>
      <c r="Y341" s="59"/>
      <c r="Z341" s="60" t="b">
        <f>OR(H341="Y",J341="Y")</f>
        <v>0</v>
      </c>
      <c r="AA341" s="58">
        <f>IF(Z341,O341*'[1]ETC Data'!$H$4*'[1]ETC Data'!$I$4,0)</f>
        <v>0</v>
      </c>
      <c r="AB341" s="58">
        <f>AA341-(AA341*((VLOOKUP(A341,[1]Plan!A$1:AI$804,35,FALSE)/100)))</f>
        <v>0</v>
      </c>
      <c r="AC341" s="58">
        <f>IF(Z341,O341*'[1]ETC Data'!$H$4*'[1]ETC Data'!$J$4,0)</f>
        <v>0</v>
      </c>
      <c r="AD341" s="58">
        <f>AC341-(AC341*((VLOOKUP(A341,[1]Plan!A$1:AJ$804,36,FALSE)/100)))</f>
        <v>0</v>
      </c>
      <c r="AE341" s="58">
        <f>IF(Z341,O341*'[1]ETC Data'!$H$4*'[1]ETC Data'!$K$4,0)</f>
        <v>0</v>
      </c>
      <c r="AF341" s="58">
        <f>AE341-(AE341*((VLOOKUP(A341,[1]Plan!A$1:AK$804,37,FALSE)/100)))</f>
        <v>0</v>
      </c>
      <c r="AG341" s="58">
        <f>IF(Z341,O341*'[1]ETC Data'!$H$4*'[1]ETC Data'!$L$4,0)</f>
        <v>0</v>
      </c>
      <c r="AH341" s="58">
        <f>AG341-(AG341*((VLOOKUP(A341,[1]Plan!A$1:AP$804,42,FALSE)/100)))</f>
        <v>0</v>
      </c>
      <c r="AI341" s="60"/>
      <c r="AJ341" s="60" t="b">
        <f>OR(H341="Y",K341="Y")</f>
        <v>0</v>
      </c>
      <c r="AK341" s="61">
        <f>IF(AJ341,O341*'[1]ETC Data'!$H$5*'[1]ETC Data'!$I$5,0)</f>
        <v>0</v>
      </c>
      <c r="AL341" s="58">
        <f>AK341-(AK341*((VLOOKUP(A341,[1]Plan!A$1:AY$804,51,FALSE)/100)))</f>
        <v>0</v>
      </c>
      <c r="AM341" s="58">
        <f>IF(AJ341,O341*'[1]ETC Data'!$H$5*'[1]ETC Data'!$J$5,0)</f>
        <v>0</v>
      </c>
      <c r="AN341" s="58">
        <f>AM341-(AM341*((VLOOKUP(A341,[1]Plan!A$1:BA$804,53,FALSE)/100)))</f>
        <v>0</v>
      </c>
      <c r="AO341" s="61">
        <f>IF(AJ341,O341*'[1]ETC Data'!$H$5*'[1]ETC Data'!$K$5,0)</f>
        <v>0</v>
      </c>
      <c r="AP341" s="58">
        <f>AO341-(AO341*((VLOOKUP(A341,[1]Plan!A$1:BB$804,54,FALSE)/100)))</f>
        <v>0</v>
      </c>
      <c r="AQ341" s="58">
        <f>IF(AJ341,O341*'[1]ETC Data'!$H$5*'[1]ETC Data'!$L$5,0)</f>
        <v>0</v>
      </c>
      <c r="AR341" s="58">
        <f>AQ341-(AQ341*((VLOOKUP(A341,[1]Plan!A$1:BD$804,56,FALSE)/100)))</f>
        <v>0</v>
      </c>
      <c r="AS341" s="20">
        <f>VLOOKUP(A341,'[1]PR Matrix'!A:B,2,FALSE)</f>
        <v>0</v>
      </c>
      <c r="AT341" s="21">
        <f>R341+T341+V341+X341+AB341+AD341+AF341+AH341+AL341+AN341+AP341+AR341</f>
        <v>0</v>
      </c>
      <c r="AU341" s="21">
        <f>Q341+S341+U341+W341+AA341+AC341+AE341+AG341+AK341+AM341+AO341+AQ341</f>
        <v>0</v>
      </c>
      <c r="AV341" s="21">
        <f>R341+AB341+AL341</f>
        <v>0</v>
      </c>
      <c r="AW341" s="21">
        <f>T341+AD341+AN341</f>
        <v>0</v>
      </c>
      <c r="AX341" s="21">
        <f>V341+AF341+AP341</f>
        <v>0</v>
      </c>
      <c r="AY341" s="21">
        <f>X341+AH341+AR341</f>
        <v>0</v>
      </c>
    </row>
    <row r="342" spans="1:51" hidden="1" x14ac:dyDescent="0.2">
      <c r="A342" s="70" t="s">
        <v>549</v>
      </c>
      <c r="B342" s="51" t="s">
        <v>208</v>
      </c>
      <c r="C342" s="51"/>
      <c r="D342" s="51"/>
      <c r="E342" s="52">
        <f>IF(G342="Y",VLOOKUP(B342&amp;"|"&amp;C342,'[1]ETC Data'!$C$2:$D$16,2,FALSE),0)</f>
        <v>0</v>
      </c>
      <c r="F342" s="52">
        <f>IF(D342="",0,IF(G342="Y",VLOOKUP(B342&amp;"|"&amp;D342,'[1]ETC Data'!$C$2:$D$16,2,FALSE),0))</f>
        <v>0</v>
      </c>
      <c r="G342" s="53" t="str">
        <f>IF(VLOOKUP(A342,[1]Plan!A$1:H$804,8,FALSE)&lt;&gt;"",VLOOKUP(A342,[1]Plan!A$1:H$804,8,FALSE),"")</f>
        <v>N</v>
      </c>
      <c r="H342" s="54" t="str">
        <f>IF(VLOOKUP(A342,[1]Plan!A$1:L$804,12,FALSE)&lt;&gt;"",VLOOKUP(A342,[1]Plan!A$1:L$804,12,FALSE),"")</f>
        <v/>
      </c>
      <c r="I342" s="55" t="str">
        <f>IF(VLOOKUP(A342,[1]Plan!A$1:M$804,13,FALSE)&lt;&gt;"",VLOOKUP(A342,[1]Plan!A$1:M$804,13,FALSE),"")</f>
        <v/>
      </c>
      <c r="J342" s="55" t="str">
        <f>IF(VLOOKUP(A342,[1]Plan!A$1:N$804,14,FALSE)&lt;&gt;"",VLOOKUP(A342,[1]Plan!A$1:N$804,14,FALSE),IF(VLOOKUP(A342,[1]Plan!A$1:O$804,15,FALSE)&lt;&gt;"",VLOOKUP(A342,[1]Plan!A$1:O$804,15,FALSE),""))</f>
        <v/>
      </c>
      <c r="K342" s="56" t="str">
        <f>IF(VLOOKUP(A342,[1]Plan!A$1:P$804,16,FALSE)&lt;&gt;"",VLOOKUP(A342,[1]Plan!A$1:P$804,16,FALSE),"")</f>
        <v/>
      </c>
      <c r="L342" s="55"/>
      <c r="M342" s="55"/>
      <c r="N342" s="55"/>
      <c r="O342" s="57">
        <f>IF(F342=0,E342,F342)</f>
        <v>0</v>
      </c>
      <c r="P342" s="57" t="b">
        <f>OR(H342="Y",I342="Y")</f>
        <v>0</v>
      </c>
      <c r="Q342" s="58">
        <f>IF(P342,O342*'[1]ETC Data'!$H$3*'[1]ETC Data'!$I$3,0)</f>
        <v>0</v>
      </c>
      <c r="R342" s="58">
        <f>Q342-(Q342*((VLOOKUP(A342,[1]Plan!A$1:Z$804,26,FALSE)/100)))</f>
        <v>0</v>
      </c>
      <c r="S342" s="58">
        <f>IF(P342,O342*'[1]ETC Data'!$H$3*'[1]ETC Data'!$J$3,0)</f>
        <v>0</v>
      </c>
      <c r="T342" s="58">
        <f>S342-(S342*((VLOOKUP(A342,[1]Plan!A$1:AA$804,27,FALSE)/100)))</f>
        <v>0</v>
      </c>
      <c r="U342" s="58">
        <f>IF(P342,O342*'[1]ETC Data'!$H$3*'[1]ETC Data'!$K$3,0)</f>
        <v>0</v>
      </c>
      <c r="V342" s="58">
        <f>U342-(U342*((VLOOKUP(A342,[1]Plan!A$1:AB$804,28,FALSE)/100)))</f>
        <v>0</v>
      </c>
      <c r="W342" s="58">
        <f>IF(P342,O342*'[1]ETC Data'!$H$3*'[1]ETC Data'!$L$3,0)</f>
        <v>0</v>
      </c>
      <c r="X342" s="58">
        <f>W342-(W342*((VLOOKUP(A342,[1]Plan!A$1:AC$804,29,FALSE)/100)))</f>
        <v>0</v>
      </c>
      <c r="Y342" s="59"/>
      <c r="Z342" s="60" t="b">
        <f>OR(H342="Y",J342="Y")</f>
        <v>0</v>
      </c>
      <c r="AA342" s="58">
        <f>IF(Z342,O342*'[1]ETC Data'!$H$4*'[1]ETC Data'!$I$4,0)</f>
        <v>0</v>
      </c>
      <c r="AB342" s="58">
        <f>AA342-(AA342*((VLOOKUP(A342,[1]Plan!A$1:AI$804,35,FALSE)/100)))</f>
        <v>0</v>
      </c>
      <c r="AC342" s="58">
        <f>IF(Z342,O342*'[1]ETC Data'!$H$4*'[1]ETC Data'!$J$4,0)</f>
        <v>0</v>
      </c>
      <c r="AD342" s="58">
        <f>AC342-(AC342*((VLOOKUP(A342,[1]Plan!A$1:AJ$804,36,FALSE)/100)))</f>
        <v>0</v>
      </c>
      <c r="AE342" s="58">
        <f>IF(Z342,O342*'[1]ETC Data'!$H$4*'[1]ETC Data'!$K$4,0)</f>
        <v>0</v>
      </c>
      <c r="AF342" s="58">
        <f>AE342-(AE342*((VLOOKUP(A342,[1]Plan!A$1:AK$804,37,FALSE)/100)))</f>
        <v>0</v>
      </c>
      <c r="AG342" s="58">
        <f>IF(Z342,O342*'[1]ETC Data'!$H$4*'[1]ETC Data'!$L$4,0)</f>
        <v>0</v>
      </c>
      <c r="AH342" s="58">
        <f>AG342-(AG342*((VLOOKUP(A342,[1]Plan!A$1:AP$804,42,FALSE)/100)))</f>
        <v>0</v>
      </c>
      <c r="AI342" s="60"/>
      <c r="AJ342" s="60" t="b">
        <f>OR(H342="Y",K342="Y")</f>
        <v>0</v>
      </c>
      <c r="AK342" s="61">
        <f>IF(AJ342,O342*'[1]ETC Data'!$H$5*'[1]ETC Data'!$I$5,0)</f>
        <v>0</v>
      </c>
      <c r="AL342" s="58">
        <f>AK342-(AK342*((VLOOKUP(A342,[1]Plan!A$1:AY$804,51,FALSE)/100)))</f>
        <v>0</v>
      </c>
      <c r="AM342" s="58">
        <f>IF(AJ342,O342*'[1]ETC Data'!$H$5*'[1]ETC Data'!$J$5,0)</f>
        <v>0</v>
      </c>
      <c r="AN342" s="58">
        <f>AM342-(AM342*((VLOOKUP(A342,[1]Plan!A$1:BA$804,53,FALSE)/100)))</f>
        <v>0</v>
      </c>
      <c r="AO342" s="61">
        <f>IF(AJ342,O342*'[1]ETC Data'!$H$5*'[1]ETC Data'!$K$5,0)</f>
        <v>0</v>
      </c>
      <c r="AP342" s="58">
        <f>AO342-(AO342*((VLOOKUP(A342,[1]Plan!A$1:BB$804,54,FALSE)/100)))</f>
        <v>0</v>
      </c>
      <c r="AQ342" s="58">
        <f>IF(AJ342,O342*'[1]ETC Data'!$H$5*'[1]ETC Data'!$L$5,0)</f>
        <v>0</v>
      </c>
      <c r="AR342" s="58">
        <f>AQ342-(AQ342*((VLOOKUP(A342,[1]Plan!A$1:BD$804,56,FALSE)/100)))</f>
        <v>0</v>
      </c>
      <c r="AS342" s="20">
        <f>VLOOKUP(A342,'[1]PR Matrix'!A:B,2,FALSE)</f>
        <v>0</v>
      </c>
      <c r="AT342" s="21">
        <f>R342+T342+V342+X342+AB342+AD342+AF342+AH342+AL342+AN342+AP342+AR342</f>
        <v>0</v>
      </c>
      <c r="AU342" s="21">
        <f>Q342+S342+U342+W342+AA342+AC342+AE342+AG342+AK342+AM342+AO342+AQ342</f>
        <v>0</v>
      </c>
      <c r="AV342" s="21">
        <f>R342+AB342+AL342</f>
        <v>0</v>
      </c>
      <c r="AW342" s="21">
        <f>T342+AD342+AN342</f>
        <v>0</v>
      </c>
      <c r="AX342" s="21">
        <f>V342+AF342+AP342</f>
        <v>0</v>
      </c>
      <c r="AY342" s="21">
        <f>X342+AH342+AR342</f>
        <v>0</v>
      </c>
    </row>
    <row r="343" spans="1:51" hidden="1" x14ac:dyDescent="0.2">
      <c r="A343" s="66" t="s">
        <v>550</v>
      </c>
      <c r="B343" s="51" t="s">
        <v>208</v>
      </c>
      <c r="C343" s="51"/>
      <c r="D343" s="51"/>
      <c r="E343" s="52">
        <f>IF(G343="Y",VLOOKUP(B343&amp;"|"&amp;C343,'[1]ETC Data'!$C$2:$D$16,2,FALSE),0)</f>
        <v>0</v>
      </c>
      <c r="F343" s="52">
        <f>IF(D343="",0,IF(G343="Y",VLOOKUP(B343&amp;"|"&amp;D343,'[1]ETC Data'!$C$2:$D$16,2,FALSE),0))</f>
        <v>0</v>
      </c>
      <c r="G343" s="53" t="str">
        <f>IF(VLOOKUP(A343,[1]Plan!A$1:H$804,8,FALSE)&lt;&gt;"",VLOOKUP(A343,[1]Plan!A$1:H$804,8,FALSE),"")</f>
        <v>N</v>
      </c>
      <c r="H343" s="54" t="str">
        <f>IF(VLOOKUP(A343,[1]Plan!A$1:L$804,12,FALSE)&lt;&gt;"",VLOOKUP(A343,[1]Plan!A$1:L$804,12,FALSE),"")</f>
        <v/>
      </c>
      <c r="I343" s="55" t="str">
        <f>IF(VLOOKUP(A343,[1]Plan!A$1:M$804,13,FALSE)&lt;&gt;"",VLOOKUP(A343,[1]Plan!A$1:M$804,13,FALSE),"")</f>
        <v/>
      </c>
      <c r="J343" s="55" t="str">
        <f>IF(VLOOKUP(A343,[1]Plan!A$1:N$804,14,FALSE)&lt;&gt;"",VLOOKUP(A343,[1]Plan!A$1:N$804,14,FALSE),IF(VLOOKUP(A343,[1]Plan!A$1:O$804,15,FALSE)&lt;&gt;"",VLOOKUP(A343,[1]Plan!A$1:O$804,15,FALSE),""))</f>
        <v/>
      </c>
      <c r="K343" s="56" t="str">
        <f>IF(VLOOKUP(A343,[1]Plan!A$1:P$804,16,FALSE)&lt;&gt;"",VLOOKUP(A343,[1]Plan!A$1:P$804,16,FALSE),"")</f>
        <v/>
      </c>
      <c r="L343" s="55"/>
      <c r="M343" s="55"/>
      <c r="N343" s="55"/>
      <c r="O343" s="57">
        <f>IF(F343=0,E343,F343)</f>
        <v>0</v>
      </c>
      <c r="P343" s="57" t="b">
        <f>OR(H343="Y",I343="Y")</f>
        <v>0</v>
      </c>
      <c r="Q343" s="58">
        <f>IF(P343,O343*'[1]ETC Data'!$H$3*'[1]ETC Data'!$I$3,0)</f>
        <v>0</v>
      </c>
      <c r="R343" s="58">
        <f>Q343-(Q343*((VLOOKUP(A343,[1]Plan!A$1:Z$804,26,FALSE)/100)))</f>
        <v>0</v>
      </c>
      <c r="S343" s="58">
        <f>IF(P343,O343*'[1]ETC Data'!$H$3*'[1]ETC Data'!$J$3,0)</f>
        <v>0</v>
      </c>
      <c r="T343" s="58">
        <f>S343-(S343*((VLOOKUP(A343,[1]Plan!A$1:AA$804,27,FALSE)/100)))</f>
        <v>0</v>
      </c>
      <c r="U343" s="58">
        <f>IF(P343,O343*'[1]ETC Data'!$H$3*'[1]ETC Data'!$K$3,0)</f>
        <v>0</v>
      </c>
      <c r="V343" s="58">
        <f>U343-(U343*((VLOOKUP(A343,[1]Plan!A$1:AB$804,28,FALSE)/100)))</f>
        <v>0</v>
      </c>
      <c r="W343" s="58">
        <f>IF(P343,O343*'[1]ETC Data'!$H$3*'[1]ETC Data'!$L$3,0)</f>
        <v>0</v>
      </c>
      <c r="X343" s="58">
        <f>W343-(W343*((VLOOKUP(A343,[1]Plan!A$1:AC$804,29,FALSE)/100)))</f>
        <v>0</v>
      </c>
      <c r="Y343" s="59"/>
      <c r="Z343" s="60" t="b">
        <f>OR(H343="Y",J343="Y")</f>
        <v>0</v>
      </c>
      <c r="AA343" s="58">
        <f>IF(Z343,O343*'[1]ETC Data'!$H$4*'[1]ETC Data'!$I$4,0)</f>
        <v>0</v>
      </c>
      <c r="AB343" s="58">
        <f>AA343-(AA343*((VLOOKUP(A343,[1]Plan!A$1:AI$804,35,FALSE)/100)))</f>
        <v>0</v>
      </c>
      <c r="AC343" s="58">
        <f>IF(Z343,O343*'[1]ETC Data'!$H$4*'[1]ETC Data'!$J$4,0)</f>
        <v>0</v>
      </c>
      <c r="AD343" s="58">
        <f>AC343-(AC343*((VLOOKUP(A343,[1]Plan!A$1:AJ$804,36,FALSE)/100)))</f>
        <v>0</v>
      </c>
      <c r="AE343" s="58">
        <f>IF(Z343,O343*'[1]ETC Data'!$H$4*'[1]ETC Data'!$K$4,0)</f>
        <v>0</v>
      </c>
      <c r="AF343" s="58">
        <f>AE343-(AE343*((VLOOKUP(A343,[1]Plan!A$1:AK$804,37,FALSE)/100)))</f>
        <v>0</v>
      </c>
      <c r="AG343" s="58">
        <f>IF(Z343,O343*'[1]ETC Data'!$H$4*'[1]ETC Data'!$L$4,0)</f>
        <v>0</v>
      </c>
      <c r="AH343" s="58">
        <f>AG343-(AG343*((VLOOKUP(A343,[1]Plan!A$1:AP$804,42,FALSE)/100)))</f>
        <v>0</v>
      </c>
      <c r="AI343" s="60"/>
      <c r="AJ343" s="60" t="b">
        <f>OR(H343="Y",K343="Y")</f>
        <v>0</v>
      </c>
      <c r="AK343" s="61">
        <f>IF(AJ343,O343*'[1]ETC Data'!$H$5*'[1]ETC Data'!$I$5,0)</f>
        <v>0</v>
      </c>
      <c r="AL343" s="58">
        <f>AK343-(AK343*((VLOOKUP(A343,[1]Plan!A$1:AY$804,51,FALSE)/100)))</f>
        <v>0</v>
      </c>
      <c r="AM343" s="58">
        <f>IF(AJ343,O343*'[1]ETC Data'!$H$5*'[1]ETC Data'!$J$5,0)</f>
        <v>0</v>
      </c>
      <c r="AN343" s="58">
        <f>AM343-(AM343*((VLOOKUP(A343,[1]Plan!A$1:BA$804,53,FALSE)/100)))</f>
        <v>0</v>
      </c>
      <c r="AO343" s="61">
        <f>IF(AJ343,O343*'[1]ETC Data'!$H$5*'[1]ETC Data'!$K$5,0)</f>
        <v>0</v>
      </c>
      <c r="AP343" s="58">
        <f>AO343-(AO343*((VLOOKUP(A343,[1]Plan!A$1:BB$804,54,FALSE)/100)))</f>
        <v>0</v>
      </c>
      <c r="AQ343" s="58">
        <f>IF(AJ343,O343*'[1]ETC Data'!$H$5*'[1]ETC Data'!$L$5,0)</f>
        <v>0</v>
      </c>
      <c r="AR343" s="58">
        <f>AQ343-(AQ343*((VLOOKUP(A343,[1]Plan!A$1:BD$804,56,FALSE)/100)))</f>
        <v>0</v>
      </c>
      <c r="AS343" s="20">
        <f>VLOOKUP(A343,'[1]PR Matrix'!A:B,2,FALSE)</f>
        <v>0</v>
      </c>
      <c r="AT343" s="21">
        <f>R343+T343+V343+X343+AB343+AD343+AF343+AH343+AL343+AN343+AP343+AR343</f>
        <v>0</v>
      </c>
      <c r="AU343" s="21">
        <f>Q343+S343+U343+W343+AA343+AC343+AE343+AG343+AK343+AM343+AO343+AQ343</f>
        <v>0</v>
      </c>
      <c r="AV343" s="21">
        <f>R343+AB343+AL343</f>
        <v>0</v>
      </c>
      <c r="AW343" s="21">
        <f>T343+AD343+AN343</f>
        <v>0</v>
      </c>
      <c r="AX343" s="21">
        <f>V343+AF343+AP343</f>
        <v>0</v>
      </c>
      <c r="AY343" s="21">
        <f>X343+AH343+AR343</f>
        <v>0</v>
      </c>
    </row>
    <row r="344" spans="1:51" hidden="1" x14ac:dyDescent="0.2">
      <c r="A344" s="50" t="s">
        <v>551</v>
      </c>
      <c r="B344" s="51" t="s">
        <v>208</v>
      </c>
      <c r="C344" s="51"/>
      <c r="D344" s="51"/>
      <c r="E344" s="52">
        <f>IF(G344="Y",VLOOKUP(B344&amp;"|"&amp;C344,'[1]ETC Data'!$C$2:$D$16,2,FALSE),0)</f>
        <v>0</v>
      </c>
      <c r="F344" s="52">
        <f>IF(D344="",0,IF(G344="Y",VLOOKUP(B344&amp;"|"&amp;D344,'[1]ETC Data'!$C$2:$D$16,2,FALSE),0))</f>
        <v>0</v>
      </c>
      <c r="G344" s="53" t="str">
        <f>IF(VLOOKUP(A344,[1]Plan!A$1:H$804,8,FALSE)&lt;&gt;"",VLOOKUP(A344,[1]Plan!A$1:H$804,8,FALSE),"")</f>
        <v>N</v>
      </c>
      <c r="H344" s="54" t="str">
        <f>IF(VLOOKUP(A344,[1]Plan!A$1:L$804,12,FALSE)&lt;&gt;"",VLOOKUP(A344,[1]Plan!A$1:L$804,12,FALSE),"")</f>
        <v/>
      </c>
      <c r="I344" s="55" t="str">
        <f>IF(VLOOKUP(A344,[1]Plan!A$1:M$804,13,FALSE)&lt;&gt;"",VLOOKUP(A344,[1]Plan!A$1:M$804,13,FALSE),"")</f>
        <v/>
      </c>
      <c r="J344" s="55" t="str">
        <f>IF(VLOOKUP(A344,[1]Plan!A$1:N$804,14,FALSE)&lt;&gt;"",VLOOKUP(A344,[1]Plan!A$1:N$804,14,FALSE),IF(VLOOKUP(A344,[1]Plan!A$1:O$804,15,FALSE)&lt;&gt;"",VLOOKUP(A344,[1]Plan!A$1:O$804,15,FALSE),""))</f>
        <v/>
      </c>
      <c r="K344" s="56" t="str">
        <f>IF(VLOOKUP(A344,[1]Plan!A$1:P$804,16,FALSE)&lt;&gt;"",VLOOKUP(A344,[1]Plan!A$1:P$804,16,FALSE),"")</f>
        <v/>
      </c>
      <c r="L344" s="55"/>
      <c r="M344" s="55"/>
      <c r="N344" s="55"/>
      <c r="O344" s="57">
        <f>IF(F344=0,E344,F344)</f>
        <v>0</v>
      </c>
      <c r="P344" s="57" t="b">
        <f>OR(H344="Y",I344="Y")</f>
        <v>0</v>
      </c>
      <c r="Q344" s="58">
        <f>IF(P344,O344*'[1]ETC Data'!$H$3*'[1]ETC Data'!$I$3,0)</f>
        <v>0</v>
      </c>
      <c r="R344" s="58">
        <f>Q344-(Q344*((VLOOKUP(A344,[1]Plan!A$1:Z$804,26,FALSE)/100)))</f>
        <v>0</v>
      </c>
      <c r="S344" s="58">
        <f>IF(P344,O344*'[1]ETC Data'!$H$3*'[1]ETC Data'!$J$3,0)</f>
        <v>0</v>
      </c>
      <c r="T344" s="58">
        <f>S344-(S344*((VLOOKUP(A344,[1]Plan!A$1:AA$804,27,FALSE)/100)))</f>
        <v>0</v>
      </c>
      <c r="U344" s="58">
        <f>IF(P344,O344*'[1]ETC Data'!$H$3*'[1]ETC Data'!$K$3,0)</f>
        <v>0</v>
      </c>
      <c r="V344" s="58">
        <f>U344-(U344*((VLOOKUP(A344,[1]Plan!A$1:AB$804,28,FALSE)/100)))</f>
        <v>0</v>
      </c>
      <c r="W344" s="58">
        <f>IF(P344,O344*'[1]ETC Data'!$H$3*'[1]ETC Data'!$L$3,0)</f>
        <v>0</v>
      </c>
      <c r="X344" s="58">
        <f>W344-(W344*((VLOOKUP(A344,[1]Plan!A$1:AC$804,29,FALSE)/100)))</f>
        <v>0</v>
      </c>
      <c r="Y344" s="59"/>
      <c r="Z344" s="60" t="b">
        <f>OR(H344="Y",J344="Y")</f>
        <v>0</v>
      </c>
      <c r="AA344" s="58">
        <f>IF(Z344,O344*'[1]ETC Data'!$H$4*'[1]ETC Data'!$I$4,0)</f>
        <v>0</v>
      </c>
      <c r="AB344" s="58">
        <f>AA344-(AA344*((VLOOKUP(A344,[1]Plan!A$1:AI$804,35,FALSE)/100)))</f>
        <v>0</v>
      </c>
      <c r="AC344" s="58">
        <f>IF(Z344,O344*'[1]ETC Data'!$H$4*'[1]ETC Data'!$J$4,0)</f>
        <v>0</v>
      </c>
      <c r="AD344" s="58">
        <f>AC344-(AC344*((VLOOKUP(A344,[1]Plan!A$1:AJ$804,36,FALSE)/100)))</f>
        <v>0</v>
      </c>
      <c r="AE344" s="58">
        <f>IF(Z344,O344*'[1]ETC Data'!$H$4*'[1]ETC Data'!$K$4,0)</f>
        <v>0</v>
      </c>
      <c r="AF344" s="58">
        <f>AE344-(AE344*((VLOOKUP(A344,[1]Plan!A$1:AK$804,37,FALSE)/100)))</f>
        <v>0</v>
      </c>
      <c r="AG344" s="58">
        <f>IF(Z344,O344*'[1]ETC Data'!$H$4*'[1]ETC Data'!$L$4,0)</f>
        <v>0</v>
      </c>
      <c r="AH344" s="58">
        <f>AG344-(AG344*((VLOOKUP(A344,[1]Plan!A$1:AP$804,42,FALSE)/100)))</f>
        <v>0</v>
      </c>
      <c r="AI344" s="60"/>
      <c r="AJ344" s="60" t="b">
        <f>OR(H344="Y",K344="Y")</f>
        <v>0</v>
      </c>
      <c r="AK344" s="61">
        <f>IF(AJ344,O344*'[1]ETC Data'!$H$5*'[1]ETC Data'!$I$5,0)</f>
        <v>0</v>
      </c>
      <c r="AL344" s="58">
        <f>AK344-(AK344*((VLOOKUP(A344,[1]Plan!A$1:AY$804,51,FALSE)/100)))</f>
        <v>0</v>
      </c>
      <c r="AM344" s="58">
        <f>IF(AJ344,O344*'[1]ETC Data'!$H$5*'[1]ETC Data'!$J$5,0)</f>
        <v>0</v>
      </c>
      <c r="AN344" s="58">
        <f>AM344-(AM344*((VLOOKUP(A344,[1]Plan!A$1:BA$804,53,FALSE)/100)))</f>
        <v>0</v>
      </c>
      <c r="AO344" s="61">
        <f>IF(AJ344,O344*'[1]ETC Data'!$H$5*'[1]ETC Data'!$K$5,0)</f>
        <v>0</v>
      </c>
      <c r="AP344" s="58">
        <f>AO344-(AO344*((VLOOKUP(A344,[1]Plan!A$1:BB$804,54,FALSE)/100)))</f>
        <v>0</v>
      </c>
      <c r="AQ344" s="58">
        <f>IF(AJ344,O344*'[1]ETC Data'!$H$5*'[1]ETC Data'!$L$5,0)</f>
        <v>0</v>
      </c>
      <c r="AR344" s="58">
        <f>AQ344-(AQ344*((VLOOKUP(A344,[1]Plan!A$1:BD$804,56,FALSE)/100)))</f>
        <v>0</v>
      </c>
      <c r="AS344" s="20">
        <f>VLOOKUP(A344,'[1]PR Matrix'!A:B,2,FALSE)</f>
        <v>0</v>
      </c>
      <c r="AT344" s="21">
        <f>R344+T344+V344+X344+AB344+AD344+AF344+AH344+AL344+AN344+AP344+AR344</f>
        <v>0</v>
      </c>
      <c r="AU344" s="21">
        <f>Q344+S344+U344+W344+AA344+AC344+AE344+AG344+AK344+AM344+AO344+AQ344</f>
        <v>0</v>
      </c>
      <c r="AV344" s="21">
        <f>R344+AB344+AL344</f>
        <v>0</v>
      </c>
      <c r="AW344" s="21">
        <f>T344+AD344+AN344</f>
        <v>0</v>
      </c>
      <c r="AX344" s="21">
        <f>V344+AF344+AP344</f>
        <v>0</v>
      </c>
      <c r="AY344" s="21">
        <f>X344+AH344+AR344</f>
        <v>0</v>
      </c>
    </row>
    <row r="345" spans="1:51" hidden="1" x14ac:dyDescent="0.2">
      <c r="A345" s="50" t="s">
        <v>552</v>
      </c>
      <c r="B345" s="51" t="s">
        <v>208</v>
      </c>
      <c r="C345" s="51"/>
      <c r="D345" s="51"/>
      <c r="E345" s="52">
        <f>IF(G345="Y",VLOOKUP(B345&amp;"|"&amp;C345,'[1]ETC Data'!$C$2:$D$16,2,FALSE),0)</f>
        <v>0</v>
      </c>
      <c r="F345" s="52">
        <f>IF(D345="",0,IF(G345="Y",VLOOKUP(B345&amp;"|"&amp;D345,'[1]ETC Data'!$C$2:$D$16,2,FALSE),0))</f>
        <v>0</v>
      </c>
      <c r="G345" s="53" t="str">
        <f>IF(VLOOKUP(A345,[1]Plan!A$1:H$804,8,FALSE)&lt;&gt;"",VLOOKUP(A345,[1]Plan!A$1:H$804,8,FALSE),"")</f>
        <v>N</v>
      </c>
      <c r="H345" s="54" t="str">
        <f>IF(VLOOKUP(A345,[1]Plan!A$1:L$804,12,FALSE)&lt;&gt;"",VLOOKUP(A345,[1]Plan!A$1:L$804,12,FALSE),"")</f>
        <v/>
      </c>
      <c r="I345" s="55" t="str">
        <f>IF(VLOOKUP(A345,[1]Plan!A$1:M$804,13,FALSE)&lt;&gt;"",VLOOKUP(A345,[1]Plan!A$1:M$804,13,FALSE),"")</f>
        <v/>
      </c>
      <c r="J345" s="55" t="str">
        <f>IF(VLOOKUP(A345,[1]Plan!A$1:N$804,14,FALSE)&lt;&gt;"",VLOOKUP(A345,[1]Plan!A$1:N$804,14,FALSE),IF(VLOOKUP(A345,[1]Plan!A$1:O$804,15,FALSE)&lt;&gt;"",VLOOKUP(A345,[1]Plan!A$1:O$804,15,FALSE),""))</f>
        <v/>
      </c>
      <c r="K345" s="56" t="str">
        <f>IF(VLOOKUP(A345,[1]Plan!A$1:P$804,16,FALSE)&lt;&gt;"",VLOOKUP(A345,[1]Plan!A$1:P$804,16,FALSE),"")</f>
        <v/>
      </c>
      <c r="L345" s="55"/>
      <c r="M345" s="55"/>
      <c r="N345" s="55"/>
      <c r="O345" s="57">
        <f>IF(F345=0,E345,F345)</f>
        <v>0</v>
      </c>
      <c r="P345" s="57" t="b">
        <f>OR(H345="Y",I345="Y")</f>
        <v>0</v>
      </c>
      <c r="Q345" s="58">
        <f>IF(P345,O345*'[1]ETC Data'!$H$3*'[1]ETC Data'!$I$3,0)</f>
        <v>0</v>
      </c>
      <c r="R345" s="58">
        <f>Q345-(Q345*((VLOOKUP(A345,[1]Plan!A$1:Z$804,26,FALSE)/100)))</f>
        <v>0</v>
      </c>
      <c r="S345" s="58">
        <f>IF(P345,O345*'[1]ETC Data'!$H$3*'[1]ETC Data'!$J$3,0)</f>
        <v>0</v>
      </c>
      <c r="T345" s="58">
        <f>S345-(S345*((VLOOKUP(A345,[1]Plan!A$1:AA$804,27,FALSE)/100)))</f>
        <v>0</v>
      </c>
      <c r="U345" s="58">
        <f>IF(P345,O345*'[1]ETC Data'!$H$3*'[1]ETC Data'!$K$3,0)</f>
        <v>0</v>
      </c>
      <c r="V345" s="58">
        <f>U345-(U345*((VLOOKUP(A345,[1]Plan!A$1:AB$804,28,FALSE)/100)))</f>
        <v>0</v>
      </c>
      <c r="W345" s="58">
        <f>IF(P345,O345*'[1]ETC Data'!$H$3*'[1]ETC Data'!$L$3,0)</f>
        <v>0</v>
      </c>
      <c r="X345" s="58">
        <f>W345-(W345*((VLOOKUP(A345,[1]Plan!A$1:AC$804,29,FALSE)/100)))</f>
        <v>0</v>
      </c>
      <c r="Y345" s="59"/>
      <c r="Z345" s="60" t="b">
        <f>OR(H345="Y",J345="Y")</f>
        <v>0</v>
      </c>
      <c r="AA345" s="58">
        <f>IF(Z345,O345*'[1]ETC Data'!$H$4*'[1]ETC Data'!$I$4,0)</f>
        <v>0</v>
      </c>
      <c r="AB345" s="58">
        <f>AA345-(AA345*((VLOOKUP(A345,[1]Plan!A$1:AI$804,35,FALSE)/100)))</f>
        <v>0</v>
      </c>
      <c r="AC345" s="58">
        <f>IF(Z345,O345*'[1]ETC Data'!$H$4*'[1]ETC Data'!$J$4,0)</f>
        <v>0</v>
      </c>
      <c r="AD345" s="58">
        <f>AC345-(AC345*((VLOOKUP(A345,[1]Plan!A$1:AJ$804,36,FALSE)/100)))</f>
        <v>0</v>
      </c>
      <c r="AE345" s="58">
        <f>IF(Z345,O345*'[1]ETC Data'!$H$4*'[1]ETC Data'!$K$4,0)</f>
        <v>0</v>
      </c>
      <c r="AF345" s="58">
        <f>AE345-(AE345*((VLOOKUP(A345,[1]Plan!A$1:AK$804,37,FALSE)/100)))</f>
        <v>0</v>
      </c>
      <c r="AG345" s="58">
        <f>IF(Z345,O345*'[1]ETC Data'!$H$4*'[1]ETC Data'!$L$4,0)</f>
        <v>0</v>
      </c>
      <c r="AH345" s="58">
        <f>AG345-(AG345*((VLOOKUP(A345,[1]Plan!A$1:AP$804,42,FALSE)/100)))</f>
        <v>0</v>
      </c>
      <c r="AI345" s="60"/>
      <c r="AJ345" s="60" t="b">
        <f>OR(H345="Y",K345="Y")</f>
        <v>0</v>
      </c>
      <c r="AK345" s="61">
        <f>IF(AJ345,O345*'[1]ETC Data'!$H$5*'[1]ETC Data'!$I$5,0)</f>
        <v>0</v>
      </c>
      <c r="AL345" s="58">
        <f>AK345-(AK345*((VLOOKUP(A345,[1]Plan!A$1:AY$804,51,FALSE)/100)))</f>
        <v>0</v>
      </c>
      <c r="AM345" s="58">
        <f>IF(AJ345,O345*'[1]ETC Data'!$H$5*'[1]ETC Data'!$J$5,0)</f>
        <v>0</v>
      </c>
      <c r="AN345" s="58">
        <f>AM345-(AM345*((VLOOKUP(A345,[1]Plan!A$1:BA$804,53,FALSE)/100)))</f>
        <v>0</v>
      </c>
      <c r="AO345" s="61">
        <f>IF(AJ345,O345*'[1]ETC Data'!$H$5*'[1]ETC Data'!$K$5,0)</f>
        <v>0</v>
      </c>
      <c r="AP345" s="58">
        <f>AO345-(AO345*((VLOOKUP(A345,[1]Plan!A$1:BB$804,54,FALSE)/100)))</f>
        <v>0</v>
      </c>
      <c r="AQ345" s="58">
        <f>IF(AJ345,O345*'[1]ETC Data'!$H$5*'[1]ETC Data'!$L$5,0)</f>
        <v>0</v>
      </c>
      <c r="AR345" s="58">
        <f>AQ345-(AQ345*((VLOOKUP(A345,[1]Plan!A$1:BD$804,56,FALSE)/100)))</f>
        <v>0</v>
      </c>
      <c r="AS345" s="20">
        <f>VLOOKUP(A345,'[1]PR Matrix'!A:B,2,FALSE)</f>
        <v>0</v>
      </c>
      <c r="AT345" s="21">
        <f>R345+T345+V345+X345+AB345+AD345+AF345+AH345+AL345+AN345+AP345+AR345</f>
        <v>0</v>
      </c>
      <c r="AU345" s="21">
        <f>Q345+S345+U345+W345+AA345+AC345+AE345+AG345+AK345+AM345+AO345+AQ345</f>
        <v>0</v>
      </c>
      <c r="AV345" s="21">
        <f>R345+AB345+AL345</f>
        <v>0</v>
      </c>
      <c r="AW345" s="21">
        <f>T345+AD345+AN345</f>
        <v>0</v>
      </c>
      <c r="AX345" s="21">
        <f>V345+AF345+AP345</f>
        <v>0</v>
      </c>
      <c r="AY345" s="21">
        <f>X345+AH345+AR345</f>
        <v>0</v>
      </c>
    </row>
    <row r="346" spans="1:51" hidden="1" x14ac:dyDescent="0.2">
      <c r="A346" s="50" t="s">
        <v>553</v>
      </c>
      <c r="B346" s="51" t="s">
        <v>208</v>
      </c>
      <c r="C346" s="51"/>
      <c r="D346" s="51"/>
      <c r="E346" s="52">
        <f>IF(G346="Y",VLOOKUP(B346&amp;"|"&amp;C346,'[1]ETC Data'!$C$2:$D$16,2,FALSE),0)</f>
        <v>0</v>
      </c>
      <c r="F346" s="52">
        <f>IF(D346="",0,IF(G346="Y",VLOOKUP(B346&amp;"|"&amp;D346,'[1]ETC Data'!$C$2:$D$16,2,FALSE),0))</f>
        <v>0</v>
      </c>
      <c r="G346" s="53" t="str">
        <f>IF(VLOOKUP(A346,[1]Plan!A$1:H$804,8,FALSE)&lt;&gt;"",VLOOKUP(A346,[1]Plan!A$1:H$804,8,FALSE),"")</f>
        <v>N</v>
      </c>
      <c r="H346" s="54" t="str">
        <f>IF(VLOOKUP(A346,[1]Plan!A$1:L$804,12,FALSE)&lt;&gt;"",VLOOKUP(A346,[1]Plan!A$1:L$804,12,FALSE),"")</f>
        <v/>
      </c>
      <c r="I346" s="55" t="str">
        <f>IF(VLOOKUP(A346,[1]Plan!A$1:M$804,13,FALSE)&lt;&gt;"",VLOOKUP(A346,[1]Plan!A$1:M$804,13,FALSE),"")</f>
        <v/>
      </c>
      <c r="J346" s="55" t="str">
        <f>IF(VLOOKUP(A346,[1]Plan!A$1:N$804,14,FALSE)&lt;&gt;"",VLOOKUP(A346,[1]Plan!A$1:N$804,14,FALSE),IF(VLOOKUP(A346,[1]Plan!A$1:O$804,15,FALSE)&lt;&gt;"",VLOOKUP(A346,[1]Plan!A$1:O$804,15,FALSE),""))</f>
        <v/>
      </c>
      <c r="K346" s="56" t="str">
        <f>IF(VLOOKUP(A346,[1]Plan!A$1:P$804,16,FALSE)&lt;&gt;"",VLOOKUP(A346,[1]Plan!A$1:P$804,16,FALSE),"")</f>
        <v/>
      </c>
      <c r="L346" s="55"/>
      <c r="M346" s="55"/>
      <c r="N346" s="55"/>
      <c r="O346" s="57">
        <f>IF(F346=0,E346,F346)</f>
        <v>0</v>
      </c>
      <c r="P346" s="57" t="b">
        <f>OR(H346="Y",I346="Y")</f>
        <v>0</v>
      </c>
      <c r="Q346" s="58">
        <f>IF(P346,O346*'[1]ETC Data'!$H$3*'[1]ETC Data'!$I$3,0)</f>
        <v>0</v>
      </c>
      <c r="R346" s="58">
        <f>Q346-(Q346*((VLOOKUP(A346,[1]Plan!A$1:Z$804,26,FALSE)/100)))</f>
        <v>0</v>
      </c>
      <c r="S346" s="58">
        <f>IF(P346,O346*'[1]ETC Data'!$H$3*'[1]ETC Data'!$J$3,0)</f>
        <v>0</v>
      </c>
      <c r="T346" s="58">
        <f>S346-(S346*((VLOOKUP(A346,[1]Plan!A$1:AA$804,27,FALSE)/100)))</f>
        <v>0</v>
      </c>
      <c r="U346" s="58">
        <f>IF(P346,O346*'[1]ETC Data'!$H$3*'[1]ETC Data'!$K$3,0)</f>
        <v>0</v>
      </c>
      <c r="V346" s="58">
        <f>U346-(U346*((VLOOKUP(A346,[1]Plan!A$1:AB$804,28,FALSE)/100)))</f>
        <v>0</v>
      </c>
      <c r="W346" s="58">
        <f>IF(P346,O346*'[1]ETC Data'!$H$3*'[1]ETC Data'!$L$3,0)</f>
        <v>0</v>
      </c>
      <c r="X346" s="58">
        <f>W346-(W346*((VLOOKUP(A346,[1]Plan!A$1:AC$804,29,FALSE)/100)))</f>
        <v>0</v>
      </c>
      <c r="Y346" s="59"/>
      <c r="Z346" s="60" t="b">
        <f>OR(H346="Y",J346="Y")</f>
        <v>0</v>
      </c>
      <c r="AA346" s="58">
        <f>IF(Z346,O346*'[1]ETC Data'!$H$4*'[1]ETC Data'!$I$4,0)</f>
        <v>0</v>
      </c>
      <c r="AB346" s="58">
        <f>AA346-(AA346*((VLOOKUP(A346,[1]Plan!A$1:AI$804,35,FALSE)/100)))</f>
        <v>0</v>
      </c>
      <c r="AC346" s="58">
        <f>IF(Z346,O346*'[1]ETC Data'!$H$4*'[1]ETC Data'!$J$4,0)</f>
        <v>0</v>
      </c>
      <c r="AD346" s="58">
        <f>AC346-(AC346*((VLOOKUP(A346,[1]Plan!A$1:AJ$804,36,FALSE)/100)))</f>
        <v>0</v>
      </c>
      <c r="AE346" s="58">
        <f>IF(Z346,O346*'[1]ETC Data'!$H$4*'[1]ETC Data'!$K$4,0)</f>
        <v>0</v>
      </c>
      <c r="AF346" s="58">
        <f>AE346-(AE346*((VLOOKUP(A346,[1]Plan!A$1:AK$804,37,FALSE)/100)))</f>
        <v>0</v>
      </c>
      <c r="AG346" s="58">
        <f>IF(Z346,O346*'[1]ETC Data'!$H$4*'[1]ETC Data'!$L$4,0)</f>
        <v>0</v>
      </c>
      <c r="AH346" s="58">
        <f>AG346-(AG346*((VLOOKUP(A346,[1]Plan!A$1:AP$804,42,FALSE)/100)))</f>
        <v>0</v>
      </c>
      <c r="AI346" s="60"/>
      <c r="AJ346" s="60" t="b">
        <f>OR(H346="Y",K346="Y")</f>
        <v>0</v>
      </c>
      <c r="AK346" s="61">
        <f>IF(AJ346,O346*'[1]ETC Data'!$H$5*'[1]ETC Data'!$I$5,0)</f>
        <v>0</v>
      </c>
      <c r="AL346" s="58">
        <f>AK346-(AK346*((VLOOKUP(A346,[1]Plan!A$1:AY$804,51,FALSE)/100)))</f>
        <v>0</v>
      </c>
      <c r="AM346" s="58">
        <f>IF(AJ346,O346*'[1]ETC Data'!$H$5*'[1]ETC Data'!$J$5,0)</f>
        <v>0</v>
      </c>
      <c r="AN346" s="58">
        <f>AM346-(AM346*((VLOOKUP(A346,[1]Plan!A$1:BA$804,53,FALSE)/100)))</f>
        <v>0</v>
      </c>
      <c r="AO346" s="61">
        <f>IF(AJ346,O346*'[1]ETC Data'!$H$5*'[1]ETC Data'!$K$5,0)</f>
        <v>0</v>
      </c>
      <c r="AP346" s="58">
        <f>AO346-(AO346*((VLOOKUP(A346,[1]Plan!A$1:BB$804,54,FALSE)/100)))</f>
        <v>0</v>
      </c>
      <c r="AQ346" s="58">
        <f>IF(AJ346,O346*'[1]ETC Data'!$H$5*'[1]ETC Data'!$L$5,0)</f>
        <v>0</v>
      </c>
      <c r="AR346" s="58">
        <f>AQ346-(AQ346*((VLOOKUP(A346,[1]Plan!A$1:BD$804,56,FALSE)/100)))</f>
        <v>0</v>
      </c>
      <c r="AS346" s="20">
        <f>VLOOKUP(A346,'[1]PR Matrix'!A:B,2,FALSE)</f>
        <v>0</v>
      </c>
      <c r="AT346" s="21">
        <f>R346+T346+V346+X346+AB346+AD346+AF346+AH346+AL346+AN346+AP346+AR346</f>
        <v>0</v>
      </c>
      <c r="AU346" s="21">
        <f>Q346+S346+U346+W346+AA346+AC346+AE346+AG346+AK346+AM346+AO346+AQ346</f>
        <v>0</v>
      </c>
      <c r="AV346" s="21">
        <f>R346+AB346+AL346</f>
        <v>0</v>
      </c>
      <c r="AW346" s="21">
        <f>T346+AD346+AN346</f>
        <v>0</v>
      </c>
      <c r="AX346" s="21">
        <f>V346+AF346+AP346</f>
        <v>0</v>
      </c>
      <c r="AY346" s="21">
        <f>X346+AH346+AR346</f>
        <v>0</v>
      </c>
    </row>
    <row r="347" spans="1:51" hidden="1" x14ac:dyDescent="0.2">
      <c r="A347" s="50" t="s">
        <v>554</v>
      </c>
      <c r="B347" s="51" t="s">
        <v>208</v>
      </c>
      <c r="C347" s="51"/>
      <c r="D347" s="51"/>
      <c r="E347" s="52">
        <f>IF(G347="Y",VLOOKUP(B347&amp;"|"&amp;C347,'[1]ETC Data'!$C$2:$D$16,2,FALSE),0)</f>
        <v>0</v>
      </c>
      <c r="F347" s="52">
        <f>IF(D347="",0,IF(G347="Y",VLOOKUP(B347&amp;"|"&amp;D347,'[1]ETC Data'!$C$2:$D$16,2,FALSE),0))</f>
        <v>0</v>
      </c>
      <c r="G347" s="53" t="str">
        <f>IF(VLOOKUP(A347,[1]Plan!A$1:H$804,8,FALSE)&lt;&gt;"",VLOOKUP(A347,[1]Plan!A$1:H$804,8,FALSE),"")</f>
        <v>N</v>
      </c>
      <c r="H347" s="54" t="str">
        <f>IF(VLOOKUP(A347,[1]Plan!A$1:L$804,12,FALSE)&lt;&gt;"",VLOOKUP(A347,[1]Plan!A$1:L$804,12,FALSE),"")</f>
        <v/>
      </c>
      <c r="I347" s="55" t="str">
        <f>IF(VLOOKUP(A347,[1]Plan!A$1:M$804,13,FALSE)&lt;&gt;"",VLOOKUP(A347,[1]Plan!A$1:M$804,13,FALSE),"")</f>
        <v/>
      </c>
      <c r="J347" s="55" t="str">
        <f>IF(VLOOKUP(A347,[1]Plan!A$1:N$804,14,FALSE)&lt;&gt;"",VLOOKUP(A347,[1]Plan!A$1:N$804,14,FALSE),IF(VLOOKUP(A347,[1]Plan!A$1:O$804,15,FALSE)&lt;&gt;"",VLOOKUP(A347,[1]Plan!A$1:O$804,15,FALSE),""))</f>
        <v/>
      </c>
      <c r="K347" s="56" t="str">
        <f>IF(VLOOKUP(A347,[1]Plan!A$1:P$804,16,FALSE)&lt;&gt;"",VLOOKUP(A347,[1]Plan!A$1:P$804,16,FALSE),"")</f>
        <v/>
      </c>
      <c r="L347" s="55"/>
      <c r="M347" s="55"/>
      <c r="N347" s="55"/>
      <c r="O347" s="57">
        <f>IF(F347=0,E347,F347)</f>
        <v>0</v>
      </c>
      <c r="P347" s="57" t="b">
        <f>OR(H347="Y",I347="Y")</f>
        <v>0</v>
      </c>
      <c r="Q347" s="58">
        <f>IF(P347,O347*'[1]ETC Data'!$H$3*'[1]ETC Data'!$I$3,0)</f>
        <v>0</v>
      </c>
      <c r="R347" s="58">
        <f>Q347-(Q347*((VLOOKUP(A347,[1]Plan!A$1:Z$804,26,FALSE)/100)))</f>
        <v>0</v>
      </c>
      <c r="S347" s="58">
        <f>IF(P347,O347*'[1]ETC Data'!$H$3*'[1]ETC Data'!$J$3,0)</f>
        <v>0</v>
      </c>
      <c r="T347" s="58">
        <f>S347-(S347*((VLOOKUP(A347,[1]Plan!A$1:AA$804,27,FALSE)/100)))</f>
        <v>0</v>
      </c>
      <c r="U347" s="58">
        <f>IF(P347,O347*'[1]ETC Data'!$H$3*'[1]ETC Data'!$K$3,0)</f>
        <v>0</v>
      </c>
      <c r="V347" s="58">
        <f>U347-(U347*((VLOOKUP(A347,[1]Plan!A$1:AB$804,28,FALSE)/100)))</f>
        <v>0</v>
      </c>
      <c r="W347" s="58">
        <f>IF(P347,O347*'[1]ETC Data'!$H$3*'[1]ETC Data'!$L$3,0)</f>
        <v>0</v>
      </c>
      <c r="X347" s="58">
        <f>W347-(W347*((VLOOKUP(A347,[1]Plan!A$1:AC$804,29,FALSE)/100)))</f>
        <v>0</v>
      </c>
      <c r="Y347" s="59"/>
      <c r="Z347" s="60" t="b">
        <f>OR(H347="Y",J347="Y")</f>
        <v>0</v>
      </c>
      <c r="AA347" s="58">
        <f>IF(Z347,O347*'[1]ETC Data'!$H$4*'[1]ETC Data'!$I$4,0)</f>
        <v>0</v>
      </c>
      <c r="AB347" s="58">
        <f>AA347-(AA347*((VLOOKUP(A347,[1]Plan!A$1:AI$804,35,FALSE)/100)))</f>
        <v>0</v>
      </c>
      <c r="AC347" s="58">
        <f>IF(Z347,O347*'[1]ETC Data'!$H$4*'[1]ETC Data'!$J$4,0)</f>
        <v>0</v>
      </c>
      <c r="AD347" s="58">
        <f>AC347-(AC347*((VLOOKUP(A347,[1]Plan!A$1:AJ$804,36,FALSE)/100)))</f>
        <v>0</v>
      </c>
      <c r="AE347" s="58">
        <f>IF(Z347,O347*'[1]ETC Data'!$H$4*'[1]ETC Data'!$K$4,0)</f>
        <v>0</v>
      </c>
      <c r="AF347" s="58">
        <f>AE347-(AE347*((VLOOKUP(A347,[1]Plan!A$1:AK$804,37,FALSE)/100)))</f>
        <v>0</v>
      </c>
      <c r="AG347" s="58">
        <f>IF(Z347,O347*'[1]ETC Data'!$H$4*'[1]ETC Data'!$L$4,0)</f>
        <v>0</v>
      </c>
      <c r="AH347" s="58">
        <f>AG347-(AG347*((VLOOKUP(A347,[1]Plan!A$1:AP$804,42,FALSE)/100)))</f>
        <v>0</v>
      </c>
      <c r="AI347" s="60"/>
      <c r="AJ347" s="60" t="b">
        <f>OR(H347="Y",K347="Y")</f>
        <v>0</v>
      </c>
      <c r="AK347" s="61">
        <f>IF(AJ347,O347*'[1]ETC Data'!$H$5*'[1]ETC Data'!$I$5,0)</f>
        <v>0</v>
      </c>
      <c r="AL347" s="58">
        <f>AK347-(AK347*((VLOOKUP(A347,[1]Plan!A$1:AY$804,51,FALSE)/100)))</f>
        <v>0</v>
      </c>
      <c r="AM347" s="58">
        <f>IF(AJ347,O347*'[1]ETC Data'!$H$5*'[1]ETC Data'!$J$5,0)</f>
        <v>0</v>
      </c>
      <c r="AN347" s="58">
        <f>AM347-(AM347*((VLOOKUP(A347,[1]Plan!A$1:BA$804,53,FALSE)/100)))</f>
        <v>0</v>
      </c>
      <c r="AO347" s="61">
        <f>IF(AJ347,O347*'[1]ETC Data'!$H$5*'[1]ETC Data'!$K$5,0)</f>
        <v>0</v>
      </c>
      <c r="AP347" s="58">
        <f>AO347-(AO347*((VLOOKUP(A347,[1]Plan!A$1:BB$804,54,FALSE)/100)))</f>
        <v>0</v>
      </c>
      <c r="AQ347" s="58">
        <f>IF(AJ347,O347*'[1]ETC Data'!$H$5*'[1]ETC Data'!$L$5,0)</f>
        <v>0</v>
      </c>
      <c r="AR347" s="58">
        <f>AQ347-(AQ347*((VLOOKUP(A347,[1]Plan!A$1:BD$804,56,FALSE)/100)))</f>
        <v>0</v>
      </c>
      <c r="AS347" s="20">
        <f>VLOOKUP(A347,'[1]PR Matrix'!A:B,2,FALSE)</f>
        <v>0</v>
      </c>
      <c r="AT347" s="21">
        <f>R347+T347+V347+X347+AB347+AD347+AF347+AH347+AL347+AN347+AP347+AR347</f>
        <v>0</v>
      </c>
      <c r="AU347" s="21">
        <f>Q347+S347+U347+W347+AA347+AC347+AE347+AG347+AK347+AM347+AO347+AQ347</f>
        <v>0</v>
      </c>
      <c r="AV347" s="21">
        <f>R347+AB347+AL347</f>
        <v>0</v>
      </c>
      <c r="AW347" s="21">
        <f>T347+AD347+AN347</f>
        <v>0</v>
      </c>
      <c r="AX347" s="21">
        <f>V347+AF347+AP347</f>
        <v>0</v>
      </c>
      <c r="AY347" s="21">
        <f>X347+AH347+AR347</f>
        <v>0</v>
      </c>
    </row>
    <row r="348" spans="1:51" hidden="1" x14ac:dyDescent="0.2">
      <c r="A348" s="50" t="s">
        <v>555</v>
      </c>
      <c r="B348" s="51" t="s">
        <v>208</v>
      </c>
      <c r="C348" s="51"/>
      <c r="D348" s="51"/>
      <c r="E348" s="52">
        <f>IF(G348="Y",VLOOKUP(B348&amp;"|"&amp;C348,'[1]ETC Data'!$C$2:$D$16,2,FALSE),0)</f>
        <v>0</v>
      </c>
      <c r="F348" s="52">
        <f>IF(D348="",0,IF(G348="Y",VLOOKUP(B348&amp;"|"&amp;D348,'[1]ETC Data'!$C$2:$D$16,2,FALSE),0))</f>
        <v>0</v>
      </c>
      <c r="G348" s="53" t="str">
        <f>IF(VLOOKUP(A348,[1]Plan!A$1:H$804,8,FALSE)&lt;&gt;"",VLOOKUP(A348,[1]Plan!A$1:H$804,8,FALSE),"")</f>
        <v>N</v>
      </c>
      <c r="H348" s="54" t="str">
        <f>IF(VLOOKUP(A348,[1]Plan!A$1:L$804,12,FALSE)&lt;&gt;"",VLOOKUP(A348,[1]Plan!A$1:L$804,12,FALSE),"")</f>
        <v/>
      </c>
      <c r="I348" s="55" t="str">
        <f>IF(VLOOKUP(A348,[1]Plan!A$1:M$804,13,FALSE)&lt;&gt;"",VLOOKUP(A348,[1]Plan!A$1:M$804,13,FALSE),"")</f>
        <v/>
      </c>
      <c r="J348" s="55" t="str">
        <f>IF(VLOOKUP(A348,[1]Plan!A$1:N$804,14,FALSE)&lt;&gt;"",VLOOKUP(A348,[1]Plan!A$1:N$804,14,FALSE),IF(VLOOKUP(A348,[1]Plan!A$1:O$804,15,FALSE)&lt;&gt;"",VLOOKUP(A348,[1]Plan!A$1:O$804,15,FALSE),""))</f>
        <v/>
      </c>
      <c r="K348" s="56" t="str">
        <f>IF(VLOOKUP(A348,[1]Plan!A$1:P$804,16,FALSE)&lt;&gt;"",VLOOKUP(A348,[1]Plan!A$1:P$804,16,FALSE),"")</f>
        <v/>
      </c>
      <c r="L348" s="55"/>
      <c r="M348" s="55"/>
      <c r="N348" s="55"/>
      <c r="O348" s="57">
        <f>IF(F348=0,E348,F348)</f>
        <v>0</v>
      </c>
      <c r="P348" s="57" t="b">
        <f>OR(H348="Y",I348="Y")</f>
        <v>0</v>
      </c>
      <c r="Q348" s="58">
        <f>IF(P348,O348*'[1]ETC Data'!$H$3*'[1]ETC Data'!$I$3,0)</f>
        <v>0</v>
      </c>
      <c r="R348" s="58">
        <f>Q348-(Q348*((VLOOKUP(A348,[1]Plan!A$1:Z$804,26,FALSE)/100)))</f>
        <v>0</v>
      </c>
      <c r="S348" s="58">
        <f>IF(P348,O348*'[1]ETC Data'!$H$3*'[1]ETC Data'!$J$3,0)</f>
        <v>0</v>
      </c>
      <c r="T348" s="58">
        <f>S348-(S348*((VLOOKUP(A348,[1]Plan!A$1:AA$804,27,FALSE)/100)))</f>
        <v>0</v>
      </c>
      <c r="U348" s="58">
        <f>IF(P348,O348*'[1]ETC Data'!$H$3*'[1]ETC Data'!$K$3,0)</f>
        <v>0</v>
      </c>
      <c r="V348" s="58">
        <f>U348-(U348*((VLOOKUP(A348,[1]Plan!A$1:AB$804,28,FALSE)/100)))</f>
        <v>0</v>
      </c>
      <c r="W348" s="58">
        <f>IF(P348,O348*'[1]ETC Data'!$H$3*'[1]ETC Data'!$L$3,0)</f>
        <v>0</v>
      </c>
      <c r="X348" s="58">
        <f>W348-(W348*((VLOOKUP(A348,[1]Plan!A$1:AC$804,29,FALSE)/100)))</f>
        <v>0</v>
      </c>
      <c r="Y348" s="59"/>
      <c r="Z348" s="60" t="b">
        <f>OR(H348="Y",J348="Y")</f>
        <v>0</v>
      </c>
      <c r="AA348" s="58">
        <f>IF(Z348,O348*'[1]ETC Data'!$H$4*'[1]ETC Data'!$I$4,0)</f>
        <v>0</v>
      </c>
      <c r="AB348" s="58">
        <f>AA348-(AA348*((VLOOKUP(A348,[1]Plan!A$1:AI$804,35,FALSE)/100)))</f>
        <v>0</v>
      </c>
      <c r="AC348" s="58">
        <f>IF(Z348,O348*'[1]ETC Data'!$H$4*'[1]ETC Data'!$J$4,0)</f>
        <v>0</v>
      </c>
      <c r="AD348" s="58">
        <f>AC348-(AC348*((VLOOKUP(A348,[1]Plan!A$1:AJ$804,36,FALSE)/100)))</f>
        <v>0</v>
      </c>
      <c r="AE348" s="58">
        <f>IF(Z348,O348*'[1]ETC Data'!$H$4*'[1]ETC Data'!$K$4,0)</f>
        <v>0</v>
      </c>
      <c r="AF348" s="58">
        <f>AE348-(AE348*((VLOOKUP(A348,[1]Plan!A$1:AK$804,37,FALSE)/100)))</f>
        <v>0</v>
      </c>
      <c r="AG348" s="58">
        <f>IF(Z348,O348*'[1]ETC Data'!$H$4*'[1]ETC Data'!$L$4,0)</f>
        <v>0</v>
      </c>
      <c r="AH348" s="58">
        <f>AG348-(AG348*((VLOOKUP(A348,[1]Plan!A$1:AP$804,42,FALSE)/100)))</f>
        <v>0</v>
      </c>
      <c r="AI348" s="60"/>
      <c r="AJ348" s="60" t="b">
        <f>OR(H348="Y",K348="Y")</f>
        <v>0</v>
      </c>
      <c r="AK348" s="61">
        <f>IF(AJ348,O348*'[1]ETC Data'!$H$5*'[1]ETC Data'!$I$5,0)</f>
        <v>0</v>
      </c>
      <c r="AL348" s="58">
        <f>AK348-(AK348*((VLOOKUP(A348,[1]Plan!A$1:AY$804,51,FALSE)/100)))</f>
        <v>0</v>
      </c>
      <c r="AM348" s="58">
        <f>IF(AJ348,O348*'[1]ETC Data'!$H$5*'[1]ETC Data'!$J$5,0)</f>
        <v>0</v>
      </c>
      <c r="AN348" s="58">
        <f>AM348-(AM348*((VLOOKUP(A348,[1]Plan!A$1:BA$804,53,FALSE)/100)))</f>
        <v>0</v>
      </c>
      <c r="AO348" s="61">
        <f>IF(AJ348,O348*'[1]ETC Data'!$H$5*'[1]ETC Data'!$K$5,0)</f>
        <v>0</v>
      </c>
      <c r="AP348" s="58">
        <f>AO348-(AO348*((VLOOKUP(A348,[1]Plan!A$1:BB$804,54,FALSE)/100)))</f>
        <v>0</v>
      </c>
      <c r="AQ348" s="58">
        <f>IF(AJ348,O348*'[1]ETC Data'!$H$5*'[1]ETC Data'!$L$5,0)</f>
        <v>0</v>
      </c>
      <c r="AR348" s="58">
        <f>AQ348-(AQ348*((VLOOKUP(A348,[1]Plan!A$1:BD$804,56,FALSE)/100)))</f>
        <v>0</v>
      </c>
      <c r="AS348" s="20">
        <f>VLOOKUP(A348,'[1]PR Matrix'!A:B,2,FALSE)</f>
        <v>0</v>
      </c>
      <c r="AT348" s="21">
        <f>R348+T348+V348+X348+AB348+AD348+AF348+AH348+AL348+AN348+AP348+AR348</f>
        <v>0</v>
      </c>
      <c r="AU348" s="21">
        <f>Q348+S348+U348+W348+AA348+AC348+AE348+AG348+AK348+AM348+AO348+AQ348</f>
        <v>0</v>
      </c>
      <c r="AV348" s="21">
        <f>R348+AB348+AL348</f>
        <v>0</v>
      </c>
      <c r="AW348" s="21">
        <f>T348+AD348+AN348</f>
        <v>0</v>
      </c>
      <c r="AX348" s="21">
        <f>V348+AF348+AP348</f>
        <v>0</v>
      </c>
      <c r="AY348" s="21">
        <f>X348+AH348+AR348</f>
        <v>0</v>
      </c>
    </row>
    <row r="349" spans="1:51" hidden="1" x14ac:dyDescent="0.2">
      <c r="A349" s="50" t="s">
        <v>556</v>
      </c>
      <c r="B349" s="51" t="s">
        <v>208</v>
      </c>
      <c r="C349" s="51"/>
      <c r="D349" s="51"/>
      <c r="E349" s="52">
        <f>IF(G349="Y",VLOOKUP(B349&amp;"|"&amp;C349,'[1]ETC Data'!$C$2:$D$16,2,FALSE),0)</f>
        <v>0</v>
      </c>
      <c r="F349" s="52">
        <f>IF(D349="",0,IF(G349="Y",VLOOKUP(B349&amp;"|"&amp;D349,'[1]ETC Data'!$C$2:$D$16,2,FALSE),0))</f>
        <v>0</v>
      </c>
      <c r="G349" s="53" t="str">
        <f>IF(VLOOKUP(A349,[1]Plan!A$1:H$804,8,FALSE)&lt;&gt;"",VLOOKUP(A349,[1]Plan!A$1:H$804,8,FALSE),"")</f>
        <v>N</v>
      </c>
      <c r="H349" s="54" t="str">
        <f>IF(VLOOKUP(A349,[1]Plan!A$1:L$804,12,FALSE)&lt;&gt;"",VLOOKUP(A349,[1]Plan!A$1:L$804,12,FALSE),"")</f>
        <v/>
      </c>
      <c r="I349" s="55" t="str">
        <f>IF(VLOOKUP(A349,[1]Plan!A$1:M$804,13,FALSE)&lt;&gt;"",VLOOKUP(A349,[1]Plan!A$1:M$804,13,FALSE),"")</f>
        <v/>
      </c>
      <c r="J349" s="55" t="str">
        <f>IF(VLOOKUP(A349,[1]Plan!A$1:N$804,14,FALSE)&lt;&gt;"",VLOOKUP(A349,[1]Plan!A$1:N$804,14,FALSE),IF(VLOOKUP(A349,[1]Plan!A$1:O$804,15,FALSE)&lt;&gt;"",VLOOKUP(A349,[1]Plan!A$1:O$804,15,FALSE),""))</f>
        <v/>
      </c>
      <c r="K349" s="56" t="str">
        <f>IF(VLOOKUP(A349,[1]Plan!A$1:P$804,16,FALSE)&lt;&gt;"",VLOOKUP(A349,[1]Plan!A$1:P$804,16,FALSE),"")</f>
        <v/>
      </c>
      <c r="L349" s="55"/>
      <c r="M349" s="55"/>
      <c r="N349" s="55"/>
      <c r="O349" s="57">
        <f>IF(F349=0,E349,F349)</f>
        <v>0</v>
      </c>
      <c r="P349" s="57" t="b">
        <f>OR(H349="Y",I349="Y")</f>
        <v>0</v>
      </c>
      <c r="Q349" s="58">
        <f>IF(P349,O349*'[1]ETC Data'!$H$3*'[1]ETC Data'!$I$3,0)</f>
        <v>0</v>
      </c>
      <c r="R349" s="58">
        <f>Q349-(Q349*((VLOOKUP(A349,[1]Plan!A$1:Z$804,26,FALSE)/100)))</f>
        <v>0</v>
      </c>
      <c r="S349" s="58">
        <f>IF(P349,O349*'[1]ETC Data'!$H$3*'[1]ETC Data'!$J$3,0)</f>
        <v>0</v>
      </c>
      <c r="T349" s="58">
        <f>S349-(S349*((VLOOKUP(A349,[1]Plan!A$1:AA$804,27,FALSE)/100)))</f>
        <v>0</v>
      </c>
      <c r="U349" s="58">
        <f>IF(P349,O349*'[1]ETC Data'!$H$3*'[1]ETC Data'!$K$3,0)</f>
        <v>0</v>
      </c>
      <c r="V349" s="58">
        <f>U349-(U349*((VLOOKUP(A349,[1]Plan!A$1:AB$804,28,FALSE)/100)))</f>
        <v>0</v>
      </c>
      <c r="W349" s="58">
        <f>IF(P349,O349*'[1]ETC Data'!$H$3*'[1]ETC Data'!$L$3,0)</f>
        <v>0</v>
      </c>
      <c r="X349" s="58">
        <f>W349-(W349*((VLOOKUP(A349,[1]Plan!A$1:AC$804,29,FALSE)/100)))</f>
        <v>0</v>
      </c>
      <c r="Y349" s="59"/>
      <c r="Z349" s="60" t="b">
        <f>OR(H349="Y",J349="Y")</f>
        <v>0</v>
      </c>
      <c r="AA349" s="58">
        <f>IF(Z349,O349*'[1]ETC Data'!$H$4*'[1]ETC Data'!$I$4,0)</f>
        <v>0</v>
      </c>
      <c r="AB349" s="58">
        <f>AA349-(AA349*((VLOOKUP(A349,[1]Plan!A$1:AI$804,35,FALSE)/100)))</f>
        <v>0</v>
      </c>
      <c r="AC349" s="58">
        <f>IF(Z349,O349*'[1]ETC Data'!$H$4*'[1]ETC Data'!$J$4,0)</f>
        <v>0</v>
      </c>
      <c r="AD349" s="58">
        <f>AC349-(AC349*((VLOOKUP(A349,[1]Plan!A$1:AJ$804,36,FALSE)/100)))</f>
        <v>0</v>
      </c>
      <c r="AE349" s="58">
        <f>IF(Z349,O349*'[1]ETC Data'!$H$4*'[1]ETC Data'!$K$4,0)</f>
        <v>0</v>
      </c>
      <c r="AF349" s="58">
        <f>AE349-(AE349*((VLOOKUP(A349,[1]Plan!A$1:AK$804,37,FALSE)/100)))</f>
        <v>0</v>
      </c>
      <c r="AG349" s="58">
        <f>IF(Z349,O349*'[1]ETC Data'!$H$4*'[1]ETC Data'!$L$4,0)</f>
        <v>0</v>
      </c>
      <c r="AH349" s="58">
        <f>AG349-(AG349*((VLOOKUP(A349,[1]Plan!A$1:AP$804,42,FALSE)/100)))</f>
        <v>0</v>
      </c>
      <c r="AI349" s="60"/>
      <c r="AJ349" s="60" t="b">
        <f>OR(H349="Y",K349="Y")</f>
        <v>0</v>
      </c>
      <c r="AK349" s="61">
        <f>IF(AJ349,O349*'[1]ETC Data'!$H$5*'[1]ETC Data'!$I$5,0)</f>
        <v>0</v>
      </c>
      <c r="AL349" s="58">
        <f>AK349-(AK349*((VLOOKUP(A349,[1]Plan!A$1:AY$804,51,FALSE)/100)))</f>
        <v>0</v>
      </c>
      <c r="AM349" s="58">
        <f>IF(AJ349,O349*'[1]ETC Data'!$H$5*'[1]ETC Data'!$J$5,0)</f>
        <v>0</v>
      </c>
      <c r="AN349" s="58">
        <f>AM349-(AM349*((VLOOKUP(A349,[1]Plan!A$1:BA$804,53,FALSE)/100)))</f>
        <v>0</v>
      </c>
      <c r="AO349" s="61">
        <f>IF(AJ349,O349*'[1]ETC Data'!$H$5*'[1]ETC Data'!$K$5,0)</f>
        <v>0</v>
      </c>
      <c r="AP349" s="58">
        <f>AO349-(AO349*((VLOOKUP(A349,[1]Plan!A$1:BB$804,54,FALSE)/100)))</f>
        <v>0</v>
      </c>
      <c r="AQ349" s="58">
        <f>IF(AJ349,O349*'[1]ETC Data'!$H$5*'[1]ETC Data'!$L$5,0)</f>
        <v>0</v>
      </c>
      <c r="AR349" s="58">
        <f>AQ349-(AQ349*((VLOOKUP(A349,[1]Plan!A$1:BD$804,56,FALSE)/100)))</f>
        <v>0</v>
      </c>
      <c r="AS349" s="20">
        <f>VLOOKUP(A349,'[1]PR Matrix'!A:B,2,FALSE)</f>
        <v>0</v>
      </c>
      <c r="AT349" s="21">
        <f>R349+T349+V349+X349+AB349+AD349+AF349+AH349+AL349+AN349+AP349+AR349</f>
        <v>0</v>
      </c>
      <c r="AU349" s="21">
        <f>Q349+S349+U349+W349+AA349+AC349+AE349+AG349+AK349+AM349+AO349+AQ349</f>
        <v>0</v>
      </c>
      <c r="AV349" s="21">
        <f>R349+AB349+AL349</f>
        <v>0</v>
      </c>
      <c r="AW349" s="21">
        <f>T349+AD349+AN349</f>
        <v>0</v>
      </c>
      <c r="AX349" s="21">
        <f>V349+AF349+AP349</f>
        <v>0</v>
      </c>
      <c r="AY349" s="21">
        <f>X349+AH349+AR349</f>
        <v>0</v>
      </c>
    </row>
    <row r="350" spans="1:51" hidden="1" x14ac:dyDescent="0.2">
      <c r="A350" s="50" t="s">
        <v>557</v>
      </c>
      <c r="B350" s="51" t="s">
        <v>208</v>
      </c>
      <c r="C350" s="51"/>
      <c r="D350" s="51"/>
      <c r="E350" s="52">
        <f>IF(G350="Y",VLOOKUP(B350&amp;"|"&amp;C350,'[1]ETC Data'!$C$2:$D$16,2,FALSE),0)</f>
        <v>0</v>
      </c>
      <c r="F350" s="52">
        <f>IF(D350="",0,IF(G350="Y",VLOOKUP(B350&amp;"|"&amp;D350,'[1]ETC Data'!$C$2:$D$16,2,FALSE),0))</f>
        <v>0</v>
      </c>
      <c r="G350" s="53" t="str">
        <f>IF(VLOOKUP(A350,[1]Plan!A$1:H$804,8,FALSE)&lt;&gt;"",VLOOKUP(A350,[1]Plan!A$1:H$804,8,FALSE),"")</f>
        <v>N</v>
      </c>
      <c r="H350" s="54" t="str">
        <f>IF(VLOOKUP(A350,[1]Plan!A$1:L$804,12,FALSE)&lt;&gt;"",VLOOKUP(A350,[1]Plan!A$1:L$804,12,FALSE),"")</f>
        <v/>
      </c>
      <c r="I350" s="55" t="str">
        <f>IF(VLOOKUP(A350,[1]Plan!A$1:M$804,13,FALSE)&lt;&gt;"",VLOOKUP(A350,[1]Plan!A$1:M$804,13,FALSE),"")</f>
        <v/>
      </c>
      <c r="J350" s="55" t="str">
        <f>IF(VLOOKUP(A350,[1]Plan!A$1:N$804,14,FALSE)&lt;&gt;"",VLOOKUP(A350,[1]Plan!A$1:N$804,14,FALSE),IF(VLOOKUP(A350,[1]Plan!A$1:O$804,15,FALSE)&lt;&gt;"",VLOOKUP(A350,[1]Plan!A$1:O$804,15,FALSE),""))</f>
        <v/>
      </c>
      <c r="K350" s="56" t="str">
        <f>IF(VLOOKUP(A350,[1]Plan!A$1:P$804,16,FALSE)&lt;&gt;"",VLOOKUP(A350,[1]Plan!A$1:P$804,16,FALSE),"")</f>
        <v/>
      </c>
      <c r="L350" s="55"/>
      <c r="M350" s="55"/>
      <c r="N350" s="55"/>
      <c r="O350" s="57">
        <f>IF(F350=0,E350,F350)</f>
        <v>0</v>
      </c>
      <c r="P350" s="57" t="b">
        <f>OR(H350="Y",I350="Y")</f>
        <v>0</v>
      </c>
      <c r="Q350" s="58">
        <f>IF(P350,O350*'[1]ETC Data'!$H$3*'[1]ETC Data'!$I$3,0)</f>
        <v>0</v>
      </c>
      <c r="R350" s="58">
        <f>Q350-(Q350*((VLOOKUP(A350,[1]Plan!A$1:Z$804,26,FALSE)/100)))</f>
        <v>0</v>
      </c>
      <c r="S350" s="58">
        <f>IF(P350,O350*'[1]ETC Data'!$H$3*'[1]ETC Data'!$J$3,0)</f>
        <v>0</v>
      </c>
      <c r="T350" s="58">
        <f>S350-(S350*((VLOOKUP(A350,[1]Plan!A$1:AA$804,27,FALSE)/100)))</f>
        <v>0</v>
      </c>
      <c r="U350" s="58">
        <f>IF(P350,O350*'[1]ETC Data'!$H$3*'[1]ETC Data'!$K$3,0)</f>
        <v>0</v>
      </c>
      <c r="V350" s="58">
        <f>U350-(U350*((VLOOKUP(A350,[1]Plan!A$1:AB$804,28,FALSE)/100)))</f>
        <v>0</v>
      </c>
      <c r="W350" s="58">
        <f>IF(P350,O350*'[1]ETC Data'!$H$3*'[1]ETC Data'!$L$3,0)</f>
        <v>0</v>
      </c>
      <c r="X350" s="58">
        <f>W350-(W350*((VLOOKUP(A350,[1]Plan!A$1:AC$804,29,FALSE)/100)))</f>
        <v>0</v>
      </c>
      <c r="Y350" s="59"/>
      <c r="Z350" s="60" t="b">
        <f>OR(H350="Y",J350="Y")</f>
        <v>0</v>
      </c>
      <c r="AA350" s="58">
        <f>IF(Z350,O350*'[1]ETC Data'!$H$4*'[1]ETC Data'!$I$4,0)</f>
        <v>0</v>
      </c>
      <c r="AB350" s="58">
        <f>AA350-(AA350*((VLOOKUP(A350,[1]Plan!A$1:AI$804,35,FALSE)/100)))</f>
        <v>0</v>
      </c>
      <c r="AC350" s="58">
        <f>IF(Z350,O350*'[1]ETC Data'!$H$4*'[1]ETC Data'!$J$4,0)</f>
        <v>0</v>
      </c>
      <c r="AD350" s="58">
        <f>AC350-(AC350*((VLOOKUP(A350,[1]Plan!A$1:AJ$804,36,FALSE)/100)))</f>
        <v>0</v>
      </c>
      <c r="AE350" s="58">
        <f>IF(Z350,O350*'[1]ETC Data'!$H$4*'[1]ETC Data'!$K$4,0)</f>
        <v>0</v>
      </c>
      <c r="AF350" s="58">
        <f>AE350-(AE350*((VLOOKUP(A350,[1]Plan!A$1:AK$804,37,FALSE)/100)))</f>
        <v>0</v>
      </c>
      <c r="AG350" s="58">
        <f>IF(Z350,O350*'[1]ETC Data'!$H$4*'[1]ETC Data'!$L$4,0)</f>
        <v>0</v>
      </c>
      <c r="AH350" s="58">
        <f>AG350-(AG350*((VLOOKUP(A350,[1]Plan!A$1:AP$804,42,FALSE)/100)))</f>
        <v>0</v>
      </c>
      <c r="AI350" s="60"/>
      <c r="AJ350" s="60" t="b">
        <f>OR(H350="Y",K350="Y")</f>
        <v>0</v>
      </c>
      <c r="AK350" s="61">
        <f>IF(AJ350,O350*'[1]ETC Data'!$H$5*'[1]ETC Data'!$I$5,0)</f>
        <v>0</v>
      </c>
      <c r="AL350" s="58">
        <f>AK350-(AK350*((VLOOKUP(A350,[1]Plan!A$1:AY$804,51,FALSE)/100)))</f>
        <v>0</v>
      </c>
      <c r="AM350" s="58">
        <f>IF(AJ350,O350*'[1]ETC Data'!$H$5*'[1]ETC Data'!$J$5,0)</f>
        <v>0</v>
      </c>
      <c r="AN350" s="58">
        <f>AM350-(AM350*((VLOOKUP(A350,[1]Plan!A$1:BA$804,53,FALSE)/100)))</f>
        <v>0</v>
      </c>
      <c r="AO350" s="61">
        <f>IF(AJ350,O350*'[1]ETC Data'!$H$5*'[1]ETC Data'!$K$5,0)</f>
        <v>0</v>
      </c>
      <c r="AP350" s="58">
        <f>AO350-(AO350*((VLOOKUP(A350,[1]Plan!A$1:BB$804,54,FALSE)/100)))</f>
        <v>0</v>
      </c>
      <c r="AQ350" s="58">
        <f>IF(AJ350,O350*'[1]ETC Data'!$H$5*'[1]ETC Data'!$L$5,0)</f>
        <v>0</v>
      </c>
      <c r="AR350" s="58">
        <f>AQ350-(AQ350*((VLOOKUP(A350,[1]Plan!A$1:BD$804,56,FALSE)/100)))</f>
        <v>0</v>
      </c>
      <c r="AS350" s="20">
        <f>VLOOKUP(A350,'[1]PR Matrix'!A:B,2,FALSE)</f>
        <v>0</v>
      </c>
      <c r="AT350" s="21">
        <f>R350+T350+V350+X350+AB350+AD350+AF350+AH350+AL350+AN350+AP350+AR350</f>
        <v>0</v>
      </c>
      <c r="AU350" s="21">
        <f>Q350+S350+U350+W350+AA350+AC350+AE350+AG350+AK350+AM350+AO350+AQ350</f>
        <v>0</v>
      </c>
      <c r="AV350" s="21">
        <f>R350+AB350+AL350</f>
        <v>0</v>
      </c>
      <c r="AW350" s="21">
        <f>T350+AD350+AN350</f>
        <v>0</v>
      </c>
      <c r="AX350" s="21">
        <f>V350+AF350+AP350</f>
        <v>0</v>
      </c>
      <c r="AY350" s="21">
        <f>X350+AH350+AR350</f>
        <v>0</v>
      </c>
    </row>
    <row r="351" spans="1:51" hidden="1" x14ac:dyDescent="0.2">
      <c r="A351" s="50" t="s">
        <v>558</v>
      </c>
      <c r="B351" s="51" t="s">
        <v>208</v>
      </c>
      <c r="C351" s="51"/>
      <c r="D351" s="51"/>
      <c r="E351" s="52">
        <f>IF(G351="Y",VLOOKUP(B351&amp;"|"&amp;C351,'[1]ETC Data'!$C$2:$D$16,2,FALSE),0)</f>
        <v>0</v>
      </c>
      <c r="F351" s="52">
        <f>IF(D351="",0,IF(G351="Y",VLOOKUP(B351&amp;"|"&amp;D351,'[1]ETC Data'!$C$2:$D$16,2,FALSE),0))</f>
        <v>0</v>
      </c>
      <c r="G351" s="53" t="str">
        <f>IF(VLOOKUP(A351,[1]Plan!A$1:H$804,8,FALSE)&lt;&gt;"",VLOOKUP(A351,[1]Plan!A$1:H$804,8,FALSE),"")</f>
        <v>N</v>
      </c>
      <c r="H351" s="54" t="str">
        <f>IF(VLOOKUP(A351,[1]Plan!A$1:L$804,12,FALSE)&lt;&gt;"",VLOOKUP(A351,[1]Plan!A$1:L$804,12,FALSE),"")</f>
        <v/>
      </c>
      <c r="I351" s="55" t="str">
        <f>IF(VLOOKUP(A351,[1]Plan!A$1:M$804,13,FALSE)&lt;&gt;"",VLOOKUP(A351,[1]Plan!A$1:M$804,13,FALSE),"")</f>
        <v/>
      </c>
      <c r="J351" s="55" t="str">
        <f>IF(VLOOKUP(A351,[1]Plan!A$1:N$804,14,FALSE)&lt;&gt;"",VLOOKUP(A351,[1]Plan!A$1:N$804,14,FALSE),IF(VLOOKUP(A351,[1]Plan!A$1:O$804,15,FALSE)&lt;&gt;"",VLOOKUP(A351,[1]Plan!A$1:O$804,15,FALSE),""))</f>
        <v/>
      </c>
      <c r="K351" s="56" t="str">
        <f>IF(VLOOKUP(A351,[1]Plan!A$1:P$804,16,FALSE)&lt;&gt;"",VLOOKUP(A351,[1]Plan!A$1:P$804,16,FALSE),"")</f>
        <v/>
      </c>
      <c r="L351" s="55"/>
      <c r="M351" s="55"/>
      <c r="N351" s="55"/>
      <c r="O351" s="57">
        <f>IF(F351=0,E351,F351)</f>
        <v>0</v>
      </c>
      <c r="P351" s="57" t="b">
        <f>OR(H351="Y",I351="Y")</f>
        <v>0</v>
      </c>
      <c r="Q351" s="58">
        <f>IF(P351,O351*'[1]ETC Data'!$H$3*'[1]ETC Data'!$I$3,0)</f>
        <v>0</v>
      </c>
      <c r="R351" s="58">
        <f>Q351-(Q351*((VLOOKUP(A351,[1]Plan!A$1:Z$804,26,FALSE)/100)))</f>
        <v>0</v>
      </c>
      <c r="S351" s="58">
        <f>IF(P351,O351*'[1]ETC Data'!$H$3*'[1]ETC Data'!$J$3,0)</f>
        <v>0</v>
      </c>
      <c r="T351" s="58">
        <f>S351-(S351*((VLOOKUP(A351,[1]Plan!A$1:AA$804,27,FALSE)/100)))</f>
        <v>0</v>
      </c>
      <c r="U351" s="58">
        <f>IF(P351,O351*'[1]ETC Data'!$H$3*'[1]ETC Data'!$K$3,0)</f>
        <v>0</v>
      </c>
      <c r="V351" s="58">
        <f>U351-(U351*((VLOOKUP(A351,[1]Plan!A$1:AB$804,28,FALSE)/100)))</f>
        <v>0</v>
      </c>
      <c r="W351" s="58">
        <f>IF(P351,O351*'[1]ETC Data'!$H$3*'[1]ETC Data'!$L$3,0)</f>
        <v>0</v>
      </c>
      <c r="X351" s="58">
        <f>W351-(W351*((VLOOKUP(A351,[1]Plan!A$1:AC$804,29,FALSE)/100)))</f>
        <v>0</v>
      </c>
      <c r="Y351" s="59"/>
      <c r="Z351" s="60" t="b">
        <f>OR(H351="Y",J351="Y")</f>
        <v>0</v>
      </c>
      <c r="AA351" s="58">
        <f>IF(Z351,O351*'[1]ETC Data'!$H$4*'[1]ETC Data'!$I$4,0)</f>
        <v>0</v>
      </c>
      <c r="AB351" s="58">
        <f>AA351-(AA351*((VLOOKUP(A351,[1]Plan!A$1:AI$804,35,FALSE)/100)))</f>
        <v>0</v>
      </c>
      <c r="AC351" s="58">
        <f>IF(Z351,O351*'[1]ETC Data'!$H$4*'[1]ETC Data'!$J$4,0)</f>
        <v>0</v>
      </c>
      <c r="AD351" s="58">
        <f>AC351-(AC351*((VLOOKUP(A351,[1]Plan!A$1:AJ$804,36,FALSE)/100)))</f>
        <v>0</v>
      </c>
      <c r="AE351" s="58">
        <f>IF(Z351,O351*'[1]ETC Data'!$H$4*'[1]ETC Data'!$K$4,0)</f>
        <v>0</v>
      </c>
      <c r="AF351" s="58">
        <f>AE351-(AE351*((VLOOKUP(A351,[1]Plan!A$1:AK$804,37,FALSE)/100)))</f>
        <v>0</v>
      </c>
      <c r="AG351" s="58">
        <f>IF(Z351,O351*'[1]ETC Data'!$H$4*'[1]ETC Data'!$L$4,0)</f>
        <v>0</v>
      </c>
      <c r="AH351" s="58">
        <f>AG351-(AG351*((VLOOKUP(A351,[1]Plan!A$1:AP$804,42,FALSE)/100)))</f>
        <v>0</v>
      </c>
      <c r="AI351" s="60"/>
      <c r="AJ351" s="60" t="b">
        <f>OR(H351="Y",K351="Y")</f>
        <v>0</v>
      </c>
      <c r="AK351" s="61">
        <f>IF(AJ351,O351*'[1]ETC Data'!$H$5*'[1]ETC Data'!$I$5,0)</f>
        <v>0</v>
      </c>
      <c r="AL351" s="58">
        <f>AK351-(AK351*((VLOOKUP(A351,[1]Plan!A$1:AY$804,51,FALSE)/100)))</f>
        <v>0</v>
      </c>
      <c r="AM351" s="58">
        <f>IF(AJ351,O351*'[1]ETC Data'!$H$5*'[1]ETC Data'!$J$5,0)</f>
        <v>0</v>
      </c>
      <c r="AN351" s="58">
        <f>AM351-(AM351*((VLOOKUP(A351,[1]Plan!A$1:BA$804,53,FALSE)/100)))</f>
        <v>0</v>
      </c>
      <c r="AO351" s="61">
        <f>IF(AJ351,O351*'[1]ETC Data'!$H$5*'[1]ETC Data'!$K$5,0)</f>
        <v>0</v>
      </c>
      <c r="AP351" s="58">
        <f>AO351-(AO351*((VLOOKUP(A351,[1]Plan!A$1:BB$804,54,FALSE)/100)))</f>
        <v>0</v>
      </c>
      <c r="AQ351" s="58">
        <f>IF(AJ351,O351*'[1]ETC Data'!$H$5*'[1]ETC Data'!$L$5,0)</f>
        <v>0</v>
      </c>
      <c r="AR351" s="58">
        <f>AQ351-(AQ351*((VLOOKUP(A351,[1]Plan!A$1:BD$804,56,FALSE)/100)))</f>
        <v>0</v>
      </c>
      <c r="AS351" s="20">
        <f>VLOOKUP(A351,'[1]PR Matrix'!A:B,2,FALSE)</f>
        <v>0</v>
      </c>
      <c r="AT351" s="21">
        <f>R351+T351+V351+X351+AB351+AD351+AF351+AH351+AL351+AN351+AP351+AR351</f>
        <v>0</v>
      </c>
      <c r="AU351" s="21">
        <f>Q351+S351+U351+W351+AA351+AC351+AE351+AG351+AK351+AM351+AO351+AQ351</f>
        <v>0</v>
      </c>
      <c r="AV351" s="21">
        <f>R351+AB351+AL351</f>
        <v>0</v>
      </c>
      <c r="AW351" s="21">
        <f>T351+AD351+AN351</f>
        <v>0</v>
      </c>
      <c r="AX351" s="21">
        <f>V351+AF351+AP351</f>
        <v>0</v>
      </c>
      <c r="AY351" s="21">
        <f>X351+AH351+AR351</f>
        <v>0</v>
      </c>
    </row>
    <row r="352" spans="1:51" hidden="1" x14ac:dyDescent="0.2">
      <c r="A352" s="50" t="s">
        <v>559</v>
      </c>
      <c r="B352" s="51" t="s">
        <v>208</v>
      </c>
      <c r="C352" s="51"/>
      <c r="D352" s="51"/>
      <c r="E352" s="52">
        <f>IF(G352="Y",VLOOKUP(B352&amp;"|"&amp;C352,'[1]ETC Data'!$C$2:$D$16,2,FALSE),0)</f>
        <v>0</v>
      </c>
      <c r="F352" s="52">
        <f>IF(D352="",0,IF(G352="Y",VLOOKUP(B352&amp;"|"&amp;D352,'[1]ETC Data'!$C$2:$D$16,2,FALSE),0))</f>
        <v>0</v>
      </c>
      <c r="G352" s="53" t="str">
        <f>IF(VLOOKUP(A352,[1]Plan!A$1:H$804,8,FALSE)&lt;&gt;"",VLOOKUP(A352,[1]Plan!A$1:H$804,8,FALSE),"")</f>
        <v>N</v>
      </c>
      <c r="H352" s="54" t="str">
        <f>IF(VLOOKUP(A352,[1]Plan!A$1:L$804,12,FALSE)&lt;&gt;"",VLOOKUP(A352,[1]Plan!A$1:L$804,12,FALSE),"")</f>
        <v/>
      </c>
      <c r="I352" s="55" t="str">
        <f>IF(VLOOKUP(A352,[1]Plan!A$1:M$804,13,FALSE)&lt;&gt;"",VLOOKUP(A352,[1]Plan!A$1:M$804,13,FALSE),"")</f>
        <v/>
      </c>
      <c r="J352" s="55" t="str">
        <f>IF(VLOOKUP(A352,[1]Plan!A$1:N$804,14,FALSE)&lt;&gt;"",VLOOKUP(A352,[1]Plan!A$1:N$804,14,FALSE),IF(VLOOKUP(A352,[1]Plan!A$1:O$804,15,FALSE)&lt;&gt;"",VLOOKUP(A352,[1]Plan!A$1:O$804,15,FALSE),""))</f>
        <v/>
      </c>
      <c r="K352" s="56" t="str">
        <f>IF(VLOOKUP(A352,[1]Plan!A$1:P$804,16,FALSE)&lt;&gt;"",VLOOKUP(A352,[1]Plan!A$1:P$804,16,FALSE),"")</f>
        <v/>
      </c>
      <c r="L352" s="55"/>
      <c r="M352" s="55"/>
      <c r="N352" s="55"/>
      <c r="O352" s="57">
        <f>IF(F352=0,E352,F352)</f>
        <v>0</v>
      </c>
      <c r="P352" s="57" t="b">
        <f>OR(H352="Y",I352="Y")</f>
        <v>0</v>
      </c>
      <c r="Q352" s="58">
        <f>IF(P352,O352*'[1]ETC Data'!$H$3*'[1]ETC Data'!$I$3,0)</f>
        <v>0</v>
      </c>
      <c r="R352" s="58">
        <f>Q352-(Q352*((VLOOKUP(A352,[1]Plan!A$1:Z$804,26,FALSE)/100)))</f>
        <v>0</v>
      </c>
      <c r="S352" s="58">
        <f>IF(P352,O352*'[1]ETC Data'!$H$3*'[1]ETC Data'!$J$3,0)</f>
        <v>0</v>
      </c>
      <c r="T352" s="58">
        <f>S352-(S352*((VLOOKUP(A352,[1]Plan!A$1:AA$804,27,FALSE)/100)))</f>
        <v>0</v>
      </c>
      <c r="U352" s="58">
        <f>IF(P352,O352*'[1]ETC Data'!$H$3*'[1]ETC Data'!$K$3,0)</f>
        <v>0</v>
      </c>
      <c r="V352" s="58">
        <f>U352-(U352*((VLOOKUP(A352,[1]Plan!A$1:AB$804,28,FALSE)/100)))</f>
        <v>0</v>
      </c>
      <c r="W352" s="58">
        <f>IF(P352,O352*'[1]ETC Data'!$H$3*'[1]ETC Data'!$L$3,0)</f>
        <v>0</v>
      </c>
      <c r="X352" s="58">
        <f>W352-(W352*((VLOOKUP(A352,[1]Plan!A$1:AC$804,29,FALSE)/100)))</f>
        <v>0</v>
      </c>
      <c r="Y352" s="59"/>
      <c r="Z352" s="60" t="b">
        <f>OR(H352="Y",J352="Y")</f>
        <v>0</v>
      </c>
      <c r="AA352" s="58">
        <f>IF(Z352,O352*'[1]ETC Data'!$H$4*'[1]ETC Data'!$I$4,0)</f>
        <v>0</v>
      </c>
      <c r="AB352" s="58">
        <f>AA352-(AA352*((VLOOKUP(A352,[1]Plan!A$1:AI$804,35,FALSE)/100)))</f>
        <v>0</v>
      </c>
      <c r="AC352" s="58">
        <f>IF(Z352,O352*'[1]ETC Data'!$H$4*'[1]ETC Data'!$J$4,0)</f>
        <v>0</v>
      </c>
      <c r="AD352" s="58">
        <f>AC352-(AC352*((VLOOKUP(A352,[1]Plan!A$1:AJ$804,36,FALSE)/100)))</f>
        <v>0</v>
      </c>
      <c r="AE352" s="58">
        <f>IF(Z352,O352*'[1]ETC Data'!$H$4*'[1]ETC Data'!$K$4,0)</f>
        <v>0</v>
      </c>
      <c r="AF352" s="58">
        <f>AE352-(AE352*((VLOOKUP(A352,[1]Plan!A$1:AK$804,37,FALSE)/100)))</f>
        <v>0</v>
      </c>
      <c r="AG352" s="58">
        <f>IF(Z352,O352*'[1]ETC Data'!$H$4*'[1]ETC Data'!$L$4,0)</f>
        <v>0</v>
      </c>
      <c r="AH352" s="58">
        <f>AG352-(AG352*((VLOOKUP(A352,[1]Plan!A$1:AP$804,42,FALSE)/100)))</f>
        <v>0</v>
      </c>
      <c r="AI352" s="60"/>
      <c r="AJ352" s="60" t="b">
        <f>OR(H352="Y",K352="Y")</f>
        <v>0</v>
      </c>
      <c r="AK352" s="61">
        <f>IF(AJ352,O352*'[1]ETC Data'!$H$5*'[1]ETC Data'!$I$5,0)</f>
        <v>0</v>
      </c>
      <c r="AL352" s="58">
        <f>AK352-(AK352*((VLOOKUP(A352,[1]Plan!A$1:AY$804,51,FALSE)/100)))</f>
        <v>0</v>
      </c>
      <c r="AM352" s="58">
        <f>IF(AJ352,O352*'[1]ETC Data'!$H$5*'[1]ETC Data'!$J$5,0)</f>
        <v>0</v>
      </c>
      <c r="AN352" s="58">
        <f>AM352-(AM352*((VLOOKUP(A352,[1]Plan!A$1:BA$804,53,FALSE)/100)))</f>
        <v>0</v>
      </c>
      <c r="AO352" s="61">
        <f>IF(AJ352,O352*'[1]ETC Data'!$H$5*'[1]ETC Data'!$K$5,0)</f>
        <v>0</v>
      </c>
      <c r="AP352" s="58">
        <f>AO352-(AO352*((VLOOKUP(A352,[1]Plan!A$1:BB$804,54,FALSE)/100)))</f>
        <v>0</v>
      </c>
      <c r="AQ352" s="58">
        <f>IF(AJ352,O352*'[1]ETC Data'!$H$5*'[1]ETC Data'!$L$5,0)</f>
        <v>0</v>
      </c>
      <c r="AR352" s="58">
        <f>AQ352-(AQ352*((VLOOKUP(A352,[1]Plan!A$1:BD$804,56,FALSE)/100)))</f>
        <v>0</v>
      </c>
      <c r="AS352" s="20">
        <f>VLOOKUP(A352,'[1]PR Matrix'!A:B,2,FALSE)</f>
        <v>0</v>
      </c>
      <c r="AT352" s="21">
        <f>R352+T352+V352+X352+AB352+AD352+AF352+AH352+AL352+AN352+AP352+AR352</f>
        <v>0</v>
      </c>
      <c r="AU352" s="21">
        <f>Q352+S352+U352+W352+AA352+AC352+AE352+AG352+AK352+AM352+AO352+AQ352</f>
        <v>0</v>
      </c>
      <c r="AV352" s="21">
        <f>R352+AB352+AL352</f>
        <v>0</v>
      </c>
      <c r="AW352" s="21">
        <f>T352+AD352+AN352</f>
        <v>0</v>
      </c>
      <c r="AX352" s="21">
        <f>V352+AF352+AP352</f>
        <v>0</v>
      </c>
      <c r="AY352" s="21">
        <f>X352+AH352+AR352</f>
        <v>0</v>
      </c>
    </row>
    <row r="353" spans="1:51" hidden="1" x14ac:dyDescent="0.2">
      <c r="A353" s="50" t="s">
        <v>560</v>
      </c>
      <c r="B353" s="51" t="s">
        <v>208</v>
      </c>
      <c r="C353" s="51"/>
      <c r="D353" s="51"/>
      <c r="E353" s="52">
        <f>IF(G353="Y",VLOOKUP(B353&amp;"|"&amp;C353,'[1]ETC Data'!$C$2:$D$16,2,FALSE),0)</f>
        <v>0</v>
      </c>
      <c r="F353" s="52">
        <f>IF(D353="",0,IF(G353="Y",VLOOKUP(B353&amp;"|"&amp;D353,'[1]ETC Data'!$C$2:$D$16,2,FALSE),0))</f>
        <v>0</v>
      </c>
      <c r="G353" s="53" t="str">
        <f>IF(VLOOKUP(A353,[1]Plan!A$1:H$804,8,FALSE)&lt;&gt;"",VLOOKUP(A353,[1]Plan!A$1:H$804,8,FALSE),"")</f>
        <v>N</v>
      </c>
      <c r="H353" s="54" t="str">
        <f>IF(VLOOKUP(A353,[1]Plan!A$1:L$804,12,FALSE)&lt;&gt;"",VLOOKUP(A353,[1]Plan!A$1:L$804,12,FALSE),"")</f>
        <v/>
      </c>
      <c r="I353" s="55" t="str">
        <f>IF(VLOOKUP(A353,[1]Plan!A$1:M$804,13,FALSE)&lt;&gt;"",VLOOKUP(A353,[1]Plan!A$1:M$804,13,FALSE),"")</f>
        <v/>
      </c>
      <c r="J353" s="55" t="str">
        <f>IF(VLOOKUP(A353,[1]Plan!A$1:N$804,14,FALSE)&lt;&gt;"",VLOOKUP(A353,[1]Plan!A$1:N$804,14,FALSE),IF(VLOOKUP(A353,[1]Plan!A$1:O$804,15,FALSE)&lt;&gt;"",VLOOKUP(A353,[1]Plan!A$1:O$804,15,FALSE),""))</f>
        <v/>
      </c>
      <c r="K353" s="56" t="str">
        <f>IF(VLOOKUP(A353,[1]Plan!A$1:P$804,16,FALSE)&lt;&gt;"",VLOOKUP(A353,[1]Plan!A$1:P$804,16,FALSE),"")</f>
        <v/>
      </c>
      <c r="L353" s="55"/>
      <c r="M353" s="55"/>
      <c r="N353" s="55"/>
      <c r="O353" s="57">
        <f>IF(F353=0,E353,F353)</f>
        <v>0</v>
      </c>
      <c r="P353" s="57" t="b">
        <f>OR(H353="Y",I353="Y")</f>
        <v>0</v>
      </c>
      <c r="Q353" s="58">
        <f>IF(P353,O353*'[1]ETC Data'!$H$3*'[1]ETC Data'!$I$3,0)</f>
        <v>0</v>
      </c>
      <c r="R353" s="58">
        <f>Q353-(Q353*((VLOOKUP(A353,[1]Plan!A$1:Z$804,26,FALSE)/100)))</f>
        <v>0</v>
      </c>
      <c r="S353" s="58">
        <f>IF(P353,O353*'[1]ETC Data'!$H$3*'[1]ETC Data'!$J$3,0)</f>
        <v>0</v>
      </c>
      <c r="T353" s="58">
        <f>S353-(S353*((VLOOKUP(A353,[1]Plan!A$1:AA$804,27,FALSE)/100)))</f>
        <v>0</v>
      </c>
      <c r="U353" s="58">
        <f>IF(P353,O353*'[1]ETC Data'!$H$3*'[1]ETC Data'!$K$3,0)</f>
        <v>0</v>
      </c>
      <c r="V353" s="58">
        <f>U353-(U353*((VLOOKUP(A353,[1]Plan!A$1:AB$804,28,FALSE)/100)))</f>
        <v>0</v>
      </c>
      <c r="W353" s="58">
        <f>IF(P353,O353*'[1]ETC Data'!$H$3*'[1]ETC Data'!$L$3,0)</f>
        <v>0</v>
      </c>
      <c r="X353" s="58">
        <f>W353-(W353*((VLOOKUP(A353,[1]Plan!A$1:AC$804,29,FALSE)/100)))</f>
        <v>0</v>
      </c>
      <c r="Y353" s="59"/>
      <c r="Z353" s="60" t="b">
        <f>OR(H353="Y",J353="Y")</f>
        <v>0</v>
      </c>
      <c r="AA353" s="58">
        <f>IF(Z353,O353*'[1]ETC Data'!$H$4*'[1]ETC Data'!$I$4,0)</f>
        <v>0</v>
      </c>
      <c r="AB353" s="58">
        <f>AA353-(AA353*((VLOOKUP(A353,[1]Plan!A$1:AI$804,35,FALSE)/100)))</f>
        <v>0</v>
      </c>
      <c r="AC353" s="58">
        <f>IF(Z353,O353*'[1]ETC Data'!$H$4*'[1]ETC Data'!$J$4,0)</f>
        <v>0</v>
      </c>
      <c r="AD353" s="58">
        <f>AC353-(AC353*((VLOOKUP(A353,[1]Plan!A$1:AJ$804,36,FALSE)/100)))</f>
        <v>0</v>
      </c>
      <c r="AE353" s="58">
        <f>IF(Z353,O353*'[1]ETC Data'!$H$4*'[1]ETC Data'!$K$4,0)</f>
        <v>0</v>
      </c>
      <c r="AF353" s="58">
        <f>AE353-(AE353*((VLOOKUP(A353,[1]Plan!A$1:AK$804,37,FALSE)/100)))</f>
        <v>0</v>
      </c>
      <c r="AG353" s="58">
        <f>IF(Z353,O353*'[1]ETC Data'!$H$4*'[1]ETC Data'!$L$4,0)</f>
        <v>0</v>
      </c>
      <c r="AH353" s="58">
        <f>AG353-(AG353*((VLOOKUP(A353,[1]Plan!A$1:AP$804,42,FALSE)/100)))</f>
        <v>0</v>
      </c>
      <c r="AI353" s="60"/>
      <c r="AJ353" s="60" t="b">
        <f>OR(H353="Y",K353="Y")</f>
        <v>0</v>
      </c>
      <c r="AK353" s="61">
        <f>IF(AJ353,O353*'[1]ETC Data'!$H$5*'[1]ETC Data'!$I$5,0)</f>
        <v>0</v>
      </c>
      <c r="AL353" s="58">
        <f>AK353-(AK353*((VLOOKUP(A353,[1]Plan!A$1:AY$804,51,FALSE)/100)))</f>
        <v>0</v>
      </c>
      <c r="AM353" s="58">
        <f>IF(AJ353,O353*'[1]ETC Data'!$H$5*'[1]ETC Data'!$J$5,0)</f>
        <v>0</v>
      </c>
      <c r="AN353" s="58">
        <f>AM353-(AM353*((VLOOKUP(A353,[1]Plan!A$1:BA$804,53,FALSE)/100)))</f>
        <v>0</v>
      </c>
      <c r="AO353" s="61">
        <f>IF(AJ353,O353*'[1]ETC Data'!$H$5*'[1]ETC Data'!$K$5,0)</f>
        <v>0</v>
      </c>
      <c r="AP353" s="58">
        <f>AO353-(AO353*((VLOOKUP(A353,[1]Plan!A$1:BB$804,54,FALSE)/100)))</f>
        <v>0</v>
      </c>
      <c r="AQ353" s="58">
        <f>IF(AJ353,O353*'[1]ETC Data'!$H$5*'[1]ETC Data'!$L$5,0)</f>
        <v>0</v>
      </c>
      <c r="AR353" s="58">
        <f>AQ353-(AQ353*((VLOOKUP(A353,[1]Plan!A$1:BD$804,56,FALSE)/100)))</f>
        <v>0</v>
      </c>
      <c r="AS353" s="20">
        <f>VLOOKUP(A353,'[1]PR Matrix'!A:B,2,FALSE)</f>
        <v>0</v>
      </c>
      <c r="AT353" s="21">
        <f>R353+T353+V353+X353+AB353+AD353+AF353+AH353+AL353+AN353+AP353+AR353</f>
        <v>0</v>
      </c>
      <c r="AU353" s="21">
        <f>Q353+S353+U353+W353+AA353+AC353+AE353+AG353+AK353+AM353+AO353+AQ353</f>
        <v>0</v>
      </c>
      <c r="AV353" s="21">
        <f>R353+AB353+AL353</f>
        <v>0</v>
      </c>
      <c r="AW353" s="21">
        <f>T353+AD353+AN353</f>
        <v>0</v>
      </c>
      <c r="AX353" s="21">
        <f>V353+AF353+AP353</f>
        <v>0</v>
      </c>
      <c r="AY353" s="21">
        <f>X353+AH353+AR353</f>
        <v>0</v>
      </c>
    </row>
    <row r="354" spans="1:51" hidden="1" x14ac:dyDescent="0.2">
      <c r="A354" s="50" t="s">
        <v>561</v>
      </c>
      <c r="B354" s="51" t="s">
        <v>208</v>
      </c>
      <c r="C354" s="51"/>
      <c r="D354" s="51"/>
      <c r="E354" s="52">
        <f>IF(G354="Y",VLOOKUP(B354&amp;"|"&amp;C354,'[1]ETC Data'!$C$2:$D$16,2,FALSE),0)</f>
        <v>0</v>
      </c>
      <c r="F354" s="52">
        <f>IF(D354="",0,IF(G354="Y",VLOOKUP(B354&amp;"|"&amp;D354,'[1]ETC Data'!$C$2:$D$16,2,FALSE),0))</f>
        <v>0</v>
      </c>
      <c r="G354" s="53" t="str">
        <f>IF(VLOOKUP(A354,[1]Plan!A$1:H$804,8,FALSE)&lt;&gt;"",VLOOKUP(A354,[1]Plan!A$1:H$804,8,FALSE),"")</f>
        <v>N</v>
      </c>
      <c r="H354" s="54" t="str">
        <f>IF(VLOOKUP(A354,[1]Plan!A$1:L$804,12,FALSE)&lt;&gt;"",VLOOKUP(A354,[1]Plan!A$1:L$804,12,FALSE),"")</f>
        <v/>
      </c>
      <c r="I354" s="55" t="str">
        <f>IF(VLOOKUP(A354,[1]Plan!A$1:M$804,13,FALSE)&lt;&gt;"",VLOOKUP(A354,[1]Plan!A$1:M$804,13,FALSE),"")</f>
        <v/>
      </c>
      <c r="J354" s="55" t="str">
        <f>IF(VLOOKUP(A354,[1]Plan!A$1:N$804,14,FALSE)&lt;&gt;"",VLOOKUP(A354,[1]Plan!A$1:N$804,14,FALSE),IF(VLOOKUP(A354,[1]Plan!A$1:O$804,15,FALSE)&lt;&gt;"",VLOOKUP(A354,[1]Plan!A$1:O$804,15,FALSE),""))</f>
        <v/>
      </c>
      <c r="K354" s="56" t="str">
        <f>IF(VLOOKUP(A354,[1]Plan!A$1:P$804,16,FALSE)&lt;&gt;"",VLOOKUP(A354,[1]Plan!A$1:P$804,16,FALSE),"")</f>
        <v/>
      </c>
      <c r="L354" s="55"/>
      <c r="M354" s="55"/>
      <c r="N354" s="55"/>
      <c r="O354" s="57">
        <f>IF(F354=0,E354,F354)</f>
        <v>0</v>
      </c>
      <c r="P354" s="57" t="b">
        <f>OR(H354="Y",I354="Y")</f>
        <v>0</v>
      </c>
      <c r="Q354" s="58">
        <f>IF(P354,O354*'[1]ETC Data'!$H$3*'[1]ETC Data'!$I$3,0)</f>
        <v>0</v>
      </c>
      <c r="R354" s="58">
        <f>Q354-(Q354*((VLOOKUP(A354,[1]Plan!A$1:Z$804,26,FALSE)/100)))</f>
        <v>0</v>
      </c>
      <c r="S354" s="58">
        <f>IF(P354,O354*'[1]ETC Data'!$H$3*'[1]ETC Data'!$J$3,0)</f>
        <v>0</v>
      </c>
      <c r="T354" s="58">
        <f>S354-(S354*((VLOOKUP(A354,[1]Plan!A$1:AA$804,27,FALSE)/100)))</f>
        <v>0</v>
      </c>
      <c r="U354" s="58">
        <f>IF(P354,O354*'[1]ETC Data'!$H$3*'[1]ETC Data'!$K$3,0)</f>
        <v>0</v>
      </c>
      <c r="V354" s="58">
        <f>U354-(U354*((VLOOKUP(A354,[1]Plan!A$1:AB$804,28,FALSE)/100)))</f>
        <v>0</v>
      </c>
      <c r="W354" s="58">
        <f>IF(P354,O354*'[1]ETC Data'!$H$3*'[1]ETC Data'!$L$3,0)</f>
        <v>0</v>
      </c>
      <c r="X354" s="58">
        <f>W354-(W354*((VLOOKUP(A354,[1]Plan!A$1:AC$804,29,FALSE)/100)))</f>
        <v>0</v>
      </c>
      <c r="Y354" s="59"/>
      <c r="Z354" s="60" t="b">
        <f>OR(H354="Y",J354="Y")</f>
        <v>0</v>
      </c>
      <c r="AA354" s="58">
        <f>IF(Z354,O354*'[1]ETC Data'!$H$4*'[1]ETC Data'!$I$4,0)</f>
        <v>0</v>
      </c>
      <c r="AB354" s="58">
        <f>AA354-(AA354*((VLOOKUP(A354,[1]Plan!A$1:AI$804,35,FALSE)/100)))</f>
        <v>0</v>
      </c>
      <c r="AC354" s="58">
        <f>IF(Z354,O354*'[1]ETC Data'!$H$4*'[1]ETC Data'!$J$4,0)</f>
        <v>0</v>
      </c>
      <c r="AD354" s="58">
        <f>AC354-(AC354*((VLOOKUP(A354,[1]Plan!A$1:AJ$804,36,FALSE)/100)))</f>
        <v>0</v>
      </c>
      <c r="AE354" s="58">
        <f>IF(Z354,O354*'[1]ETC Data'!$H$4*'[1]ETC Data'!$K$4,0)</f>
        <v>0</v>
      </c>
      <c r="AF354" s="58">
        <f>AE354-(AE354*((VLOOKUP(A354,[1]Plan!A$1:AK$804,37,FALSE)/100)))</f>
        <v>0</v>
      </c>
      <c r="AG354" s="58">
        <f>IF(Z354,O354*'[1]ETC Data'!$H$4*'[1]ETC Data'!$L$4,0)</f>
        <v>0</v>
      </c>
      <c r="AH354" s="58">
        <f>AG354-(AG354*((VLOOKUP(A354,[1]Plan!A$1:AP$804,42,FALSE)/100)))</f>
        <v>0</v>
      </c>
      <c r="AI354" s="60"/>
      <c r="AJ354" s="60" t="b">
        <f>OR(H354="Y",K354="Y")</f>
        <v>0</v>
      </c>
      <c r="AK354" s="61">
        <f>IF(AJ354,O354*'[1]ETC Data'!$H$5*'[1]ETC Data'!$I$5,0)</f>
        <v>0</v>
      </c>
      <c r="AL354" s="58">
        <f>AK354-(AK354*((VLOOKUP(A354,[1]Plan!A$1:AY$804,51,FALSE)/100)))</f>
        <v>0</v>
      </c>
      <c r="AM354" s="58">
        <f>IF(AJ354,O354*'[1]ETC Data'!$H$5*'[1]ETC Data'!$J$5,0)</f>
        <v>0</v>
      </c>
      <c r="AN354" s="58">
        <f>AM354-(AM354*((VLOOKUP(A354,[1]Plan!A$1:BA$804,53,FALSE)/100)))</f>
        <v>0</v>
      </c>
      <c r="AO354" s="61">
        <f>IF(AJ354,O354*'[1]ETC Data'!$H$5*'[1]ETC Data'!$K$5,0)</f>
        <v>0</v>
      </c>
      <c r="AP354" s="58">
        <f>AO354-(AO354*((VLOOKUP(A354,[1]Plan!A$1:BB$804,54,FALSE)/100)))</f>
        <v>0</v>
      </c>
      <c r="AQ354" s="58">
        <f>IF(AJ354,O354*'[1]ETC Data'!$H$5*'[1]ETC Data'!$L$5,0)</f>
        <v>0</v>
      </c>
      <c r="AR354" s="58">
        <f>AQ354-(AQ354*((VLOOKUP(A354,[1]Plan!A$1:BD$804,56,FALSE)/100)))</f>
        <v>0</v>
      </c>
      <c r="AS354" s="20">
        <f>VLOOKUP(A354,'[1]PR Matrix'!A:B,2,FALSE)</f>
        <v>0</v>
      </c>
      <c r="AT354" s="21">
        <f>R354+T354+V354+X354+AB354+AD354+AF354+AH354+AL354+AN354+AP354+AR354</f>
        <v>0</v>
      </c>
      <c r="AU354" s="21">
        <f>Q354+S354+U354+W354+AA354+AC354+AE354+AG354+AK354+AM354+AO354+AQ354</f>
        <v>0</v>
      </c>
      <c r="AV354" s="21">
        <f>R354+AB354+AL354</f>
        <v>0</v>
      </c>
      <c r="AW354" s="21">
        <f>T354+AD354+AN354</f>
        <v>0</v>
      </c>
      <c r="AX354" s="21">
        <f>V354+AF354+AP354</f>
        <v>0</v>
      </c>
      <c r="AY354" s="21">
        <f>X354+AH354+AR354</f>
        <v>0</v>
      </c>
    </row>
    <row r="355" spans="1:51" hidden="1" x14ac:dyDescent="0.2">
      <c r="A355" s="50" t="s">
        <v>562</v>
      </c>
      <c r="B355" s="51" t="s">
        <v>208</v>
      </c>
      <c r="C355" s="51"/>
      <c r="D355" s="51"/>
      <c r="E355" s="52">
        <f>IF(G355="Y",VLOOKUP(B355&amp;"|"&amp;C355,'[1]ETC Data'!$C$2:$D$16,2,FALSE),0)</f>
        <v>0</v>
      </c>
      <c r="F355" s="52">
        <f>IF(D355="",0,IF(G355="Y",VLOOKUP(B355&amp;"|"&amp;D355,'[1]ETC Data'!$C$2:$D$16,2,FALSE),0))</f>
        <v>0</v>
      </c>
      <c r="G355" s="53" t="str">
        <f>IF(VLOOKUP(A355,[1]Plan!A$1:H$804,8,FALSE)&lt;&gt;"",VLOOKUP(A355,[1]Plan!A$1:H$804,8,FALSE),"")</f>
        <v>N</v>
      </c>
      <c r="H355" s="54" t="str">
        <f>IF(VLOOKUP(A355,[1]Plan!A$1:L$804,12,FALSE)&lt;&gt;"",VLOOKUP(A355,[1]Plan!A$1:L$804,12,FALSE),"")</f>
        <v/>
      </c>
      <c r="I355" s="55" t="str">
        <f>IF(VLOOKUP(A355,[1]Plan!A$1:M$804,13,FALSE)&lt;&gt;"",VLOOKUP(A355,[1]Plan!A$1:M$804,13,FALSE),"")</f>
        <v/>
      </c>
      <c r="J355" s="55" t="str">
        <f>IF(VLOOKUP(A355,[1]Plan!A$1:N$804,14,FALSE)&lt;&gt;"",VLOOKUP(A355,[1]Plan!A$1:N$804,14,FALSE),IF(VLOOKUP(A355,[1]Plan!A$1:O$804,15,FALSE)&lt;&gt;"",VLOOKUP(A355,[1]Plan!A$1:O$804,15,FALSE),""))</f>
        <v/>
      </c>
      <c r="K355" s="56" t="str">
        <f>IF(VLOOKUP(A355,[1]Plan!A$1:P$804,16,FALSE)&lt;&gt;"",VLOOKUP(A355,[1]Plan!A$1:P$804,16,FALSE),"")</f>
        <v/>
      </c>
      <c r="L355" s="55"/>
      <c r="M355" s="55"/>
      <c r="N355" s="55"/>
      <c r="O355" s="57">
        <f>IF(F355=0,E355,F355)</f>
        <v>0</v>
      </c>
      <c r="P355" s="57" t="b">
        <f>OR(H355="Y",I355="Y")</f>
        <v>0</v>
      </c>
      <c r="Q355" s="58">
        <f>IF(P355,O355*'[1]ETC Data'!$H$3*'[1]ETC Data'!$I$3,0)</f>
        <v>0</v>
      </c>
      <c r="R355" s="58">
        <f>Q355-(Q355*((VLOOKUP(A355,[1]Plan!A$1:Z$804,26,FALSE)/100)))</f>
        <v>0</v>
      </c>
      <c r="S355" s="58">
        <f>IF(P355,O355*'[1]ETC Data'!$H$3*'[1]ETC Data'!$J$3,0)</f>
        <v>0</v>
      </c>
      <c r="T355" s="58">
        <f>S355-(S355*((VLOOKUP(A355,[1]Plan!A$1:AA$804,27,FALSE)/100)))</f>
        <v>0</v>
      </c>
      <c r="U355" s="58">
        <f>IF(P355,O355*'[1]ETC Data'!$H$3*'[1]ETC Data'!$K$3,0)</f>
        <v>0</v>
      </c>
      <c r="V355" s="58">
        <f>U355-(U355*((VLOOKUP(A355,[1]Plan!A$1:AB$804,28,FALSE)/100)))</f>
        <v>0</v>
      </c>
      <c r="W355" s="58">
        <f>IF(P355,O355*'[1]ETC Data'!$H$3*'[1]ETC Data'!$L$3,0)</f>
        <v>0</v>
      </c>
      <c r="X355" s="58">
        <f>W355-(W355*((VLOOKUP(A355,[1]Plan!A$1:AC$804,29,FALSE)/100)))</f>
        <v>0</v>
      </c>
      <c r="Y355" s="59"/>
      <c r="Z355" s="60" t="b">
        <f>OR(H355="Y",J355="Y")</f>
        <v>0</v>
      </c>
      <c r="AA355" s="58">
        <f>IF(Z355,O355*'[1]ETC Data'!$H$4*'[1]ETC Data'!$I$4,0)</f>
        <v>0</v>
      </c>
      <c r="AB355" s="58">
        <f>AA355-(AA355*((VLOOKUP(A355,[1]Plan!A$1:AI$804,35,FALSE)/100)))</f>
        <v>0</v>
      </c>
      <c r="AC355" s="58">
        <f>IF(Z355,O355*'[1]ETC Data'!$H$4*'[1]ETC Data'!$J$4,0)</f>
        <v>0</v>
      </c>
      <c r="AD355" s="58">
        <f>AC355-(AC355*((VLOOKUP(A355,[1]Plan!A$1:AJ$804,36,FALSE)/100)))</f>
        <v>0</v>
      </c>
      <c r="AE355" s="58">
        <f>IF(Z355,O355*'[1]ETC Data'!$H$4*'[1]ETC Data'!$K$4,0)</f>
        <v>0</v>
      </c>
      <c r="AF355" s="58">
        <f>AE355-(AE355*((VLOOKUP(A355,[1]Plan!A$1:AK$804,37,FALSE)/100)))</f>
        <v>0</v>
      </c>
      <c r="AG355" s="58">
        <f>IF(Z355,O355*'[1]ETC Data'!$H$4*'[1]ETC Data'!$L$4,0)</f>
        <v>0</v>
      </c>
      <c r="AH355" s="58">
        <f>AG355-(AG355*((VLOOKUP(A355,[1]Plan!A$1:AP$804,42,FALSE)/100)))</f>
        <v>0</v>
      </c>
      <c r="AI355" s="60"/>
      <c r="AJ355" s="60" t="b">
        <f>OR(H355="Y",K355="Y")</f>
        <v>0</v>
      </c>
      <c r="AK355" s="61">
        <f>IF(AJ355,O355*'[1]ETC Data'!$H$5*'[1]ETC Data'!$I$5,0)</f>
        <v>0</v>
      </c>
      <c r="AL355" s="58">
        <f>AK355-(AK355*((VLOOKUP(A355,[1]Plan!A$1:AY$804,51,FALSE)/100)))</f>
        <v>0</v>
      </c>
      <c r="AM355" s="58">
        <f>IF(AJ355,O355*'[1]ETC Data'!$H$5*'[1]ETC Data'!$J$5,0)</f>
        <v>0</v>
      </c>
      <c r="AN355" s="58">
        <f>AM355-(AM355*((VLOOKUP(A355,[1]Plan!A$1:BA$804,53,FALSE)/100)))</f>
        <v>0</v>
      </c>
      <c r="AO355" s="61">
        <f>IF(AJ355,O355*'[1]ETC Data'!$H$5*'[1]ETC Data'!$K$5,0)</f>
        <v>0</v>
      </c>
      <c r="AP355" s="58">
        <f>AO355-(AO355*((VLOOKUP(A355,[1]Plan!A$1:BB$804,54,FALSE)/100)))</f>
        <v>0</v>
      </c>
      <c r="AQ355" s="58">
        <f>IF(AJ355,O355*'[1]ETC Data'!$H$5*'[1]ETC Data'!$L$5,0)</f>
        <v>0</v>
      </c>
      <c r="AR355" s="58">
        <f>AQ355-(AQ355*((VLOOKUP(A355,[1]Plan!A$1:BD$804,56,FALSE)/100)))</f>
        <v>0</v>
      </c>
      <c r="AS355" s="20">
        <f>VLOOKUP(A355,'[1]PR Matrix'!A:B,2,FALSE)</f>
        <v>0</v>
      </c>
      <c r="AT355" s="21">
        <f>R355+T355+V355+X355+AB355+AD355+AF355+AH355+AL355+AN355+AP355+AR355</f>
        <v>0</v>
      </c>
      <c r="AU355" s="21">
        <f>Q355+S355+U355+W355+AA355+AC355+AE355+AG355+AK355+AM355+AO355+AQ355</f>
        <v>0</v>
      </c>
      <c r="AV355" s="21">
        <f>R355+AB355+AL355</f>
        <v>0</v>
      </c>
      <c r="AW355" s="21">
        <f>T355+AD355+AN355</f>
        <v>0</v>
      </c>
      <c r="AX355" s="21">
        <f>V355+AF355+AP355</f>
        <v>0</v>
      </c>
      <c r="AY355" s="21">
        <f>X355+AH355+AR355</f>
        <v>0</v>
      </c>
    </row>
    <row r="356" spans="1:51" hidden="1" x14ac:dyDescent="0.2">
      <c r="A356" s="50" t="s">
        <v>563</v>
      </c>
      <c r="B356" s="51" t="s">
        <v>208</v>
      </c>
      <c r="C356" s="51"/>
      <c r="D356" s="51"/>
      <c r="E356" s="52">
        <f>IF(G356="Y",VLOOKUP(B356&amp;"|"&amp;C356,'[1]ETC Data'!$C$2:$D$16,2,FALSE),0)</f>
        <v>0</v>
      </c>
      <c r="F356" s="52">
        <f>IF(D356="",0,IF(G356="Y",VLOOKUP(B356&amp;"|"&amp;D356,'[1]ETC Data'!$C$2:$D$16,2,FALSE),0))</f>
        <v>0</v>
      </c>
      <c r="G356" s="53" t="str">
        <f>IF(VLOOKUP(A356,[1]Plan!A$1:H$804,8,FALSE)&lt;&gt;"",VLOOKUP(A356,[1]Plan!A$1:H$804,8,FALSE),"")</f>
        <v>N</v>
      </c>
      <c r="H356" s="54" t="str">
        <f>IF(VLOOKUP(A356,[1]Plan!A$1:L$804,12,FALSE)&lt;&gt;"",VLOOKUP(A356,[1]Plan!A$1:L$804,12,FALSE),"")</f>
        <v/>
      </c>
      <c r="I356" s="55" t="str">
        <f>IF(VLOOKUP(A356,[1]Plan!A$1:M$804,13,FALSE)&lt;&gt;"",VLOOKUP(A356,[1]Plan!A$1:M$804,13,FALSE),"")</f>
        <v/>
      </c>
      <c r="J356" s="55" t="str">
        <f>IF(VLOOKUP(A356,[1]Plan!A$1:N$804,14,FALSE)&lt;&gt;"",VLOOKUP(A356,[1]Plan!A$1:N$804,14,FALSE),IF(VLOOKUP(A356,[1]Plan!A$1:O$804,15,FALSE)&lt;&gt;"",VLOOKUP(A356,[1]Plan!A$1:O$804,15,FALSE),""))</f>
        <v/>
      </c>
      <c r="K356" s="56" t="str">
        <f>IF(VLOOKUP(A356,[1]Plan!A$1:P$804,16,FALSE)&lt;&gt;"",VLOOKUP(A356,[1]Plan!A$1:P$804,16,FALSE),"")</f>
        <v/>
      </c>
      <c r="L356" s="55"/>
      <c r="M356" s="55"/>
      <c r="N356" s="55"/>
      <c r="O356" s="57">
        <f>IF(F356=0,E356,F356)</f>
        <v>0</v>
      </c>
      <c r="P356" s="57" t="b">
        <f>OR(H356="Y",I356="Y")</f>
        <v>0</v>
      </c>
      <c r="Q356" s="58">
        <f>IF(P356,O356*'[1]ETC Data'!$H$3*'[1]ETC Data'!$I$3,0)</f>
        <v>0</v>
      </c>
      <c r="R356" s="58">
        <f>Q356-(Q356*((VLOOKUP(A356,[1]Plan!A$1:Z$804,26,FALSE)/100)))</f>
        <v>0</v>
      </c>
      <c r="S356" s="58">
        <f>IF(P356,O356*'[1]ETC Data'!$H$3*'[1]ETC Data'!$J$3,0)</f>
        <v>0</v>
      </c>
      <c r="T356" s="58">
        <f>S356-(S356*((VLOOKUP(A356,[1]Plan!A$1:AA$804,27,FALSE)/100)))</f>
        <v>0</v>
      </c>
      <c r="U356" s="58">
        <f>IF(P356,O356*'[1]ETC Data'!$H$3*'[1]ETC Data'!$K$3,0)</f>
        <v>0</v>
      </c>
      <c r="V356" s="58">
        <f>U356-(U356*((VLOOKUP(A356,[1]Plan!A$1:AB$804,28,FALSE)/100)))</f>
        <v>0</v>
      </c>
      <c r="W356" s="58">
        <f>IF(P356,O356*'[1]ETC Data'!$H$3*'[1]ETC Data'!$L$3,0)</f>
        <v>0</v>
      </c>
      <c r="X356" s="58">
        <f>W356-(W356*((VLOOKUP(A356,[1]Plan!A$1:AC$804,29,FALSE)/100)))</f>
        <v>0</v>
      </c>
      <c r="Y356" s="59"/>
      <c r="Z356" s="60" t="b">
        <f>OR(H356="Y",J356="Y")</f>
        <v>0</v>
      </c>
      <c r="AA356" s="58">
        <f>IF(Z356,O356*'[1]ETC Data'!$H$4*'[1]ETC Data'!$I$4,0)</f>
        <v>0</v>
      </c>
      <c r="AB356" s="58">
        <f>AA356-(AA356*((VLOOKUP(A356,[1]Plan!A$1:AI$804,35,FALSE)/100)))</f>
        <v>0</v>
      </c>
      <c r="AC356" s="58">
        <f>IF(Z356,O356*'[1]ETC Data'!$H$4*'[1]ETC Data'!$J$4,0)</f>
        <v>0</v>
      </c>
      <c r="AD356" s="58">
        <f>AC356-(AC356*((VLOOKUP(A356,[1]Plan!A$1:AJ$804,36,FALSE)/100)))</f>
        <v>0</v>
      </c>
      <c r="AE356" s="58">
        <f>IF(Z356,O356*'[1]ETC Data'!$H$4*'[1]ETC Data'!$K$4,0)</f>
        <v>0</v>
      </c>
      <c r="AF356" s="58">
        <f>AE356-(AE356*((VLOOKUP(A356,[1]Plan!A$1:AK$804,37,FALSE)/100)))</f>
        <v>0</v>
      </c>
      <c r="AG356" s="58">
        <f>IF(Z356,O356*'[1]ETC Data'!$H$4*'[1]ETC Data'!$L$4,0)</f>
        <v>0</v>
      </c>
      <c r="AH356" s="58">
        <f>AG356-(AG356*((VLOOKUP(A356,[1]Plan!A$1:AP$804,42,FALSE)/100)))</f>
        <v>0</v>
      </c>
      <c r="AI356" s="60"/>
      <c r="AJ356" s="60" t="b">
        <f>OR(H356="Y",K356="Y")</f>
        <v>0</v>
      </c>
      <c r="AK356" s="61">
        <f>IF(AJ356,O356*'[1]ETC Data'!$H$5*'[1]ETC Data'!$I$5,0)</f>
        <v>0</v>
      </c>
      <c r="AL356" s="58">
        <f>AK356-(AK356*((VLOOKUP(A356,[1]Plan!A$1:AY$804,51,FALSE)/100)))</f>
        <v>0</v>
      </c>
      <c r="AM356" s="58">
        <f>IF(AJ356,O356*'[1]ETC Data'!$H$5*'[1]ETC Data'!$J$5,0)</f>
        <v>0</v>
      </c>
      <c r="AN356" s="58">
        <f>AM356-(AM356*((VLOOKUP(A356,[1]Plan!A$1:BA$804,53,FALSE)/100)))</f>
        <v>0</v>
      </c>
      <c r="AO356" s="61">
        <f>IF(AJ356,O356*'[1]ETC Data'!$H$5*'[1]ETC Data'!$K$5,0)</f>
        <v>0</v>
      </c>
      <c r="AP356" s="58">
        <f>AO356-(AO356*((VLOOKUP(A356,[1]Plan!A$1:BB$804,54,FALSE)/100)))</f>
        <v>0</v>
      </c>
      <c r="AQ356" s="58">
        <f>IF(AJ356,O356*'[1]ETC Data'!$H$5*'[1]ETC Data'!$L$5,0)</f>
        <v>0</v>
      </c>
      <c r="AR356" s="58">
        <f>AQ356-(AQ356*((VLOOKUP(A356,[1]Plan!A$1:BD$804,56,FALSE)/100)))</f>
        <v>0</v>
      </c>
      <c r="AS356" s="20">
        <f>VLOOKUP(A356,'[1]PR Matrix'!A:B,2,FALSE)</f>
        <v>0</v>
      </c>
      <c r="AT356" s="21">
        <f>R356+T356+V356+X356+AB356+AD356+AF356+AH356+AL356+AN356+AP356+AR356</f>
        <v>0</v>
      </c>
      <c r="AU356" s="21">
        <f>Q356+S356+U356+W356+AA356+AC356+AE356+AG356+AK356+AM356+AO356+AQ356</f>
        <v>0</v>
      </c>
      <c r="AV356" s="21">
        <f>R356+AB356+AL356</f>
        <v>0</v>
      </c>
      <c r="AW356" s="21">
        <f>T356+AD356+AN356</f>
        <v>0</v>
      </c>
      <c r="AX356" s="21">
        <f>V356+AF356+AP356</f>
        <v>0</v>
      </c>
      <c r="AY356" s="21">
        <f>X356+AH356+AR356</f>
        <v>0</v>
      </c>
    </row>
    <row r="357" spans="1:51" hidden="1" x14ac:dyDescent="0.2">
      <c r="A357" s="50" t="s">
        <v>564</v>
      </c>
      <c r="B357" s="51" t="s">
        <v>208</v>
      </c>
      <c r="C357" s="51"/>
      <c r="D357" s="51"/>
      <c r="E357" s="52">
        <f>IF(G357="Y",VLOOKUP(B357&amp;"|"&amp;C357,'[1]ETC Data'!$C$2:$D$16,2,FALSE),0)</f>
        <v>0</v>
      </c>
      <c r="F357" s="52">
        <f>IF(D357="",0,IF(G357="Y",VLOOKUP(B357&amp;"|"&amp;D357,'[1]ETC Data'!$C$2:$D$16,2,FALSE),0))</f>
        <v>0</v>
      </c>
      <c r="G357" s="53" t="str">
        <f>IF(VLOOKUP(A357,[1]Plan!A$1:H$804,8,FALSE)&lt;&gt;"",VLOOKUP(A357,[1]Plan!A$1:H$804,8,FALSE),"")</f>
        <v>N</v>
      </c>
      <c r="H357" s="54" t="str">
        <f>IF(VLOOKUP(A357,[1]Plan!A$1:L$804,12,FALSE)&lt;&gt;"",VLOOKUP(A357,[1]Plan!A$1:L$804,12,FALSE),"")</f>
        <v/>
      </c>
      <c r="I357" s="55" t="str">
        <f>IF(VLOOKUP(A357,[1]Plan!A$1:M$804,13,FALSE)&lt;&gt;"",VLOOKUP(A357,[1]Plan!A$1:M$804,13,FALSE),"")</f>
        <v/>
      </c>
      <c r="J357" s="55" t="str">
        <f>IF(VLOOKUP(A357,[1]Plan!A$1:N$804,14,FALSE)&lt;&gt;"",VLOOKUP(A357,[1]Plan!A$1:N$804,14,FALSE),IF(VLOOKUP(A357,[1]Plan!A$1:O$804,15,FALSE)&lt;&gt;"",VLOOKUP(A357,[1]Plan!A$1:O$804,15,FALSE),""))</f>
        <v/>
      </c>
      <c r="K357" s="56" t="str">
        <f>IF(VLOOKUP(A357,[1]Plan!A$1:P$804,16,FALSE)&lt;&gt;"",VLOOKUP(A357,[1]Plan!A$1:P$804,16,FALSE),"")</f>
        <v/>
      </c>
      <c r="L357" s="55"/>
      <c r="M357" s="55"/>
      <c r="N357" s="55"/>
      <c r="O357" s="57">
        <f>IF(F357=0,E357,F357)</f>
        <v>0</v>
      </c>
      <c r="P357" s="57" t="b">
        <f>OR(H357="Y",I357="Y")</f>
        <v>0</v>
      </c>
      <c r="Q357" s="58">
        <f>IF(P357,O357*'[1]ETC Data'!$H$3*'[1]ETC Data'!$I$3,0)</f>
        <v>0</v>
      </c>
      <c r="R357" s="58">
        <f>Q357-(Q357*((VLOOKUP(A357,[1]Plan!A$1:Z$804,26,FALSE)/100)))</f>
        <v>0</v>
      </c>
      <c r="S357" s="58">
        <f>IF(P357,O357*'[1]ETC Data'!$H$3*'[1]ETC Data'!$J$3,0)</f>
        <v>0</v>
      </c>
      <c r="T357" s="58">
        <f>S357-(S357*((VLOOKUP(A357,[1]Plan!A$1:AA$804,27,FALSE)/100)))</f>
        <v>0</v>
      </c>
      <c r="U357" s="58">
        <f>IF(P357,O357*'[1]ETC Data'!$H$3*'[1]ETC Data'!$K$3,0)</f>
        <v>0</v>
      </c>
      <c r="V357" s="58">
        <f>U357-(U357*((VLOOKUP(A357,[1]Plan!A$1:AB$804,28,FALSE)/100)))</f>
        <v>0</v>
      </c>
      <c r="W357" s="58">
        <f>IF(P357,O357*'[1]ETC Data'!$H$3*'[1]ETC Data'!$L$3,0)</f>
        <v>0</v>
      </c>
      <c r="X357" s="58">
        <f>W357-(W357*((VLOOKUP(A357,[1]Plan!A$1:AC$804,29,FALSE)/100)))</f>
        <v>0</v>
      </c>
      <c r="Y357" s="59"/>
      <c r="Z357" s="60" t="b">
        <f>OR(H357="Y",J357="Y")</f>
        <v>0</v>
      </c>
      <c r="AA357" s="58">
        <f>IF(Z357,O357*'[1]ETC Data'!$H$4*'[1]ETC Data'!$I$4,0)</f>
        <v>0</v>
      </c>
      <c r="AB357" s="58">
        <f>AA357-(AA357*((VLOOKUP(A357,[1]Plan!A$1:AI$804,35,FALSE)/100)))</f>
        <v>0</v>
      </c>
      <c r="AC357" s="58">
        <f>IF(Z357,O357*'[1]ETC Data'!$H$4*'[1]ETC Data'!$J$4,0)</f>
        <v>0</v>
      </c>
      <c r="AD357" s="58">
        <f>AC357-(AC357*((VLOOKUP(A357,[1]Plan!A$1:AJ$804,36,FALSE)/100)))</f>
        <v>0</v>
      </c>
      <c r="AE357" s="58">
        <f>IF(Z357,O357*'[1]ETC Data'!$H$4*'[1]ETC Data'!$K$4,0)</f>
        <v>0</v>
      </c>
      <c r="AF357" s="58">
        <f>AE357-(AE357*((VLOOKUP(A357,[1]Plan!A$1:AK$804,37,FALSE)/100)))</f>
        <v>0</v>
      </c>
      <c r="AG357" s="58">
        <f>IF(Z357,O357*'[1]ETC Data'!$H$4*'[1]ETC Data'!$L$4,0)</f>
        <v>0</v>
      </c>
      <c r="AH357" s="58">
        <f>AG357-(AG357*((VLOOKUP(A357,[1]Plan!A$1:AP$804,42,FALSE)/100)))</f>
        <v>0</v>
      </c>
      <c r="AI357" s="60"/>
      <c r="AJ357" s="60" t="b">
        <f>OR(H357="Y",K357="Y")</f>
        <v>0</v>
      </c>
      <c r="AK357" s="61">
        <f>IF(AJ357,O357*'[1]ETC Data'!$H$5*'[1]ETC Data'!$I$5,0)</f>
        <v>0</v>
      </c>
      <c r="AL357" s="58">
        <f>AK357-(AK357*((VLOOKUP(A357,[1]Plan!A$1:AY$804,51,FALSE)/100)))</f>
        <v>0</v>
      </c>
      <c r="AM357" s="58">
        <f>IF(AJ357,O357*'[1]ETC Data'!$H$5*'[1]ETC Data'!$J$5,0)</f>
        <v>0</v>
      </c>
      <c r="AN357" s="58">
        <f>AM357-(AM357*((VLOOKUP(A357,[1]Plan!A$1:BA$804,53,FALSE)/100)))</f>
        <v>0</v>
      </c>
      <c r="AO357" s="61">
        <f>IF(AJ357,O357*'[1]ETC Data'!$H$5*'[1]ETC Data'!$K$5,0)</f>
        <v>0</v>
      </c>
      <c r="AP357" s="58">
        <f>AO357-(AO357*((VLOOKUP(A357,[1]Plan!A$1:BB$804,54,FALSE)/100)))</f>
        <v>0</v>
      </c>
      <c r="AQ357" s="58">
        <f>IF(AJ357,O357*'[1]ETC Data'!$H$5*'[1]ETC Data'!$L$5,0)</f>
        <v>0</v>
      </c>
      <c r="AR357" s="58">
        <f>AQ357-(AQ357*((VLOOKUP(A357,[1]Plan!A$1:BD$804,56,FALSE)/100)))</f>
        <v>0</v>
      </c>
      <c r="AS357" s="20">
        <f>VLOOKUP(A357,'[1]PR Matrix'!A:B,2,FALSE)</f>
        <v>0</v>
      </c>
      <c r="AT357" s="21">
        <f>R357+T357+V357+X357+AB357+AD357+AF357+AH357+AL357+AN357+AP357+AR357</f>
        <v>0</v>
      </c>
      <c r="AU357" s="21">
        <f>Q357+S357+U357+W357+AA357+AC357+AE357+AG357+AK357+AM357+AO357+AQ357</f>
        <v>0</v>
      </c>
      <c r="AV357" s="21">
        <f>R357+AB357+AL357</f>
        <v>0</v>
      </c>
      <c r="AW357" s="21">
        <f>T357+AD357+AN357</f>
        <v>0</v>
      </c>
      <c r="AX357" s="21">
        <f>V357+AF357+AP357</f>
        <v>0</v>
      </c>
      <c r="AY357" s="21">
        <f>X357+AH357+AR357</f>
        <v>0</v>
      </c>
    </row>
    <row r="358" spans="1:51" hidden="1" x14ac:dyDescent="0.2">
      <c r="A358" s="50" t="s">
        <v>565</v>
      </c>
      <c r="B358" s="51" t="s">
        <v>208</v>
      </c>
      <c r="C358" s="51"/>
      <c r="D358" s="51"/>
      <c r="E358" s="52">
        <f>IF(G358="Y",VLOOKUP(B358&amp;"|"&amp;C358,'[1]ETC Data'!$C$2:$D$16,2,FALSE),0)</f>
        <v>0</v>
      </c>
      <c r="F358" s="52">
        <f>IF(D358="",0,IF(G358="Y",VLOOKUP(B358&amp;"|"&amp;D358,'[1]ETC Data'!$C$2:$D$16,2,FALSE),0))</f>
        <v>0</v>
      </c>
      <c r="G358" s="53" t="str">
        <f>IF(VLOOKUP(A358,[1]Plan!A$1:H$804,8,FALSE)&lt;&gt;"",VLOOKUP(A358,[1]Plan!A$1:H$804,8,FALSE),"")</f>
        <v>N</v>
      </c>
      <c r="H358" s="54" t="str">
        <f>IF(VLOOKUP(A358,[1]Plan!A$1:L$804,12,FALSE)&lt;&gt;"",VLOOKUP(A358,[1]Plan!A$1:L$804,12,FALSE),"")</f>
        <v/>
      </c>
      <c r="I358" s="55" t="str">
        <f>IF(VLOOKUP(A358,[1]Plan!A$1:M$804,13,FALSE)&lt;&gt;"",VLOOKUP(A358,[1]Plan!A$1:M$804,13,FALSE),"")</f>
        <v/>
      </c>
      <c r="J358" s="55" t="str">
        <f>IF(VLOOKUP(A358,[1]Plan!A$1:N$804,14,FALSE)&lt;&gt;"",VLOOKUP(A358,[1]Plan!A$1:N$804,14,FALSE),IF(VLOOKUP(A358,[1]Plan!A$1:O$804,15,FALSE)&lt;&gt;"",VLOOKUP(A358,[1]Plan!A$1:O$804,15,FALSE),""))</f>
        <v/>
      </c>
      <c r="K358" s="56" t="str">
        <f>IF(VLOOKUP(A358,[1]Plan!A$1:P$804,16,FALSE)&lt;&gt;"",VLOOKUP(A358,[1]Plan!A$1:P$804,16,FALSE),"")</f>
        <v/>
      </c>
      <c r="L358" s="55"/>
      <c r="M358" s="55"/>
      <c r="N358" s="55"/>
      <c r="O358" s="57">
        <f>IF(F358=0,E358,F358)</f>
        <v>0</v>
      </c>
      <c r="P358" s="57" t="b">
        <f>OR(H358="Y",I358="Y")</f>
        <v>0</v>
      </c>
      <c r="Q358" s="58">
        <f>IF(P358,O358*'[1]ETC Data'!$H$3*'[1]ETC Data'!$I$3,0)</f>
        <v>0</v>
      </c>
      <c r="R358" s="58">
        <f>Q358-(Q358*((VLOOKUP(A358,[1]Plan!A$1:Z$804,26,FALSE)/100)))</f>
        <v>0</v>
      </c>
      <c r="S358" s="58">
        <f>IF(P358,O358*'[1]ETC Data'!$H$3*'[1]ETC Data'!$J$3,0)</f>
        <v>0</v>
      </c>
      <c r="T358" s="58">
        <f>S358-(S358*((VLOOKUP(A358,[1]Plan!A$1:AA$804,27,FALSE)/100)))</f>
        <v>0</v>
      </c>
      <c r="U358" s="58">
        <f>IF(P358,O358*'[1]ETC Data'!$H$3*'[1]ETC Data'!$K$3,0)</f>
        <v>0</v>
      </c>
      <c r="V358" s="58">
        <f>U358-(U358*((VLOOKUP(A358,[1]Plan!A$1:AB$804,28,FALSE)/100)))</f>
        <v>0</v>
      </c>
      <c r="W358" s="58">
        <f>IF(P358,O358*'[1]ETC Data'!$H$3*'[1]ETC Data'!$L$3,0)</f>
        <v>0</v>
      </c>
      <c r="X358" s="58">
        <f>W358-(W358*((VLOOKUP(A358,[1]Plan!A$1:AC$804,29,FALSE)/100)))</f>
        <v>0</v>
      </c>
      <c r="Y358" s="59"/>
      <c r="Z358" s="60" t="b">
        <f>OR(H358="Y",J358="Y")</f>
        <v>0</v>
      </c>
      <c r="AA358" s="58">
        <f>IF(Z358,O358*'[1]ETC Data'!$H$4*'[1]ETC Data'!$I$4,0)</f>
        <v>0</v>
      </c>
      <c r="AB358" s="58">
        <f>AA358-(AA358*((VLOOKUP(A358,[1]Plan!A$1:AI$804,35,FALSE)/100)))</f>
        <v>0</v>
      </c>
      <c r="AC358" s="58">
        <f>IF(Z358,O358*'[1]ETC Data'!$H$4*'[1]ETC Data'!$J$4,0)</f>
        <v>0</v>
      </c>
      <c r="AD358" s="58">
        <f>AC358-(AC358*((VLOOKUP(A358,[1]Plan!A$1:AJ$804,36,FALSE)/100)))</f>
        <v>0</v>
      </c>
      <c r="AE358" s="58">
        <f>IF(Z358,O358*'[1]ETC Data'!$H$4*'[1]ETC Data'!$K$4,0)</f>
        <v>0</v>
      </c>
      <c r="AF358" s="58">
        <f>AE358-(AE358*((VLOOKUP(A358,[1]Plan!A$1:AK$804,37,FALSE)/100)))</f>
        <v>0</v>
      </c>
      <c r="AG358" s="58">
        <f>IF(Z358,O358*'[1]ETC Data'!$H$4*'[1]ETC Data'!$L$4,0)</f>
        <v>0</v>
      </c>
      <c r="AH358" s="58">
        <f>AG358-(AG358*((VLOOKUP(A358,[1]Plan!A$1:AP$804,42,FALSE)/100)))</f>
        <v>0</v>
      </c>
      <c r="AI358" s="60"/>
      <c r="AJ358" s="60" t="b">
        <f>OR(H358="Y",K358="Y")</f>
        <v>0</v>
      </c>
      <c r="AK358" s="61">
        <f>IF(AJ358,O358*'[1]ETC Data'!$H$5*'[1]ETC Data'!$I$5,0)</f>
        <v>0</v>
      </c>
      <c r="AL358" s="58">
        <f>AK358-(AK358*((VLOOKUP(A358,[1]Plan!A$1:AY$804,51,FALSE)/100)))</f>
        <v>0</v>
      </c>
      <c r="AM358" s="58">
        <f>IF(AJ358,O358*'[1]ETC Data'!$H$5*'[1]ETC Data'!$J$5,0)</f>
        <v>0</v>
      </c>
      <c r="AN358" s="58">
        <f>AM358-(AM358*((VLOOKUP(A358,[1]Plan!A$1:BA$804,53,FALSE)/100)))</f>
        <v>0</v>
      </c>
      <c r="AO358" s="61">
        <f>IF(AJ358,O358*'[1]ETC Data'!$H$5*'[1]ETC Data'!$K$5,0)</f>
        <v>0</v>
      </c>
      <c r="AP358" s="58">
        <f>AO358-(AO358*((VLOOKUP(A358,[1]Plan!A$1:BB$804,54,FALSE)/100)))</f>
        <v>0</v>
      </c>
      <c r="AQ358" s="58">
        <f>IF(AJ358,O358*'[1]ETC Data'!$H$5*'[1]ETC Data'!$L$5,0)</f>
        <v>0</v>
      </c>
      <c r="AR358" s="58">
        <f>AQ358-(AQ358*((VLOOKUP(A358,[1]Plan!A$1:BD$804,56,FALSE)/100)))</f>
        <v>0</v>
      </c>
      <c r="AS358" s="20">
        <f>VLOOKUP(A358,'[1]PR Matrix'!A:B,2,FALSE)</f>
        <v>0</v>
      </c>
      <c r="AT358" s="21">
        <f>R358+T358+V358+X358+AB358+AD358+AF358+AH358+AL358+AN358+AP358+AR358</f>
        <v>0</v>
      </c>
      <c r="AU358" s="21">
        <f>Q358+S358+U358+W358+AA358+AC358+AE358+AG358+AK358+AM358+AO358+AQ358</f>
        <v>0</v>
      </c>
      <c r="AV358" s="21">
        <f>R358+AB358+AL358</f>
        <v>0</v>
      </c>
      <c r="AW358" s="21">
        <f>T358+AD358+AN358</f>
        <v>0</v>
      </c>
      <c r="AX358" s="21">
        <f>V358+AF358+AP358</f>
        <v>0</v>
      </c>
      <c r="AY358" s="21">
        <f>X358+AH358+AR358</f>
        <v>0</v>
      </c>
    </row>
    <row r="359" spans="1:51" hidden="1" x14ac:dyDescent="0.2">
      <c r="A359" s="50" t="s">
        <v>566</v>
      </c>
      <c r="B359" s="51" t="s">
        <v>208</v>
      </c>
      <c r="C359" s="51"/>
      <c r="D359" s="51"/>
      <c r="E359" s="52">
        <f>IF(G359="Y",VLOOKUP(B359&amp;"|"&amp;C359,'[1]ETC Data'!$C$2:$D$16,2,FALSE),0)</f>
        <v>0</v>
      </c>
      <c r="F359" s="52">
        <f>IF(D359="",0,IF(G359="Y",VLOOKUP(B359&amp;"|"&amp;D359,'[1]ETC Data'!$C$2:$D$16,2,FALSE),0))</f>
        <v>0</v>
      </c>
      <c r="G359" s="53" t="str">
        <f>IF(VLOOKUP(A359,[1]Plan!A$1:H$804,8,FALSE)&lt;&gt;"",VLOOKUP(A359,[1]Plan!A$1:H$804,8,FALSE),"")</f>
        <v>N</v>
      </c>
      <c r="H359" s="54" t="str">
        <f>IF(VLOOKUP(A359,[1]Plan!A$1:L$804,12,FALSE)&lt;&gt;"",VLOOKUP(A359,[1]Plan!A$1:L$804,12,FALSE),"")</f>
        <v/>
      </c>
      <c r="I359" s="55" t="str">
        <f>IF(VLOOKUP(A359,[1]Plan!A$1:M$804,13,FALSE)&lt;&gt;"",VLOOKUP(A359,[1]Plan!A$1:M$804,13,FALSE),"")</f>
        <v/>
      </c>
      <c r="J359" s="55" t="str">
        <f>IF(VLOOKUP(A359,[1]Plan!A$1:N$804,14,FALSE)&lt;&gt;"",VLOOKUP(A359,[1]Plan!A$1:N$804,14,FALSE),IF(VLOOKUP(A359,[1]Plan!A$1:O$804,15,FALSE)&lt;&gt;"",VLOOKUP(A359,[1]Plan!A$1:O$804,15,FALSE),""))</f>
        <v/>
      </c>
      <c r="K359" s="56" t="str">
        <f>IF(VLOOKUP(A359,[1]Plan!A$1:P$804,16,FALSE)&lt;&gt;"",VLOOKUP(A359,[1]Plan!A$1:P$804,16,FALSE),"")</f>
        <v/>
      </c>
      <c r="L359" s="55"/>
      <c r="M359" s="55"/>
      <c r="N359" s="55"/>
      <c r="O359" s="57">
        <f>IF(F359=0,E359,F359)</f>
        <v>0</v>
      </c>
      <c r="P359" s="57" t="b">
        <f>OR(H359="Y",I359="Y")</f>
        <v>0</v>
      </c>
      <c r="Q359" s="58">
        <f>IF(P359,O359*'[1]ETC Data'!$H$3*'[1]ETC Data'!$I$3,0)</f>
        <v>0</v>
      </c>
      <c r="R359" s="58">
        <f>Q359-(Q359*((VLOOKUP(A359,[1]Plan!A$1:Z$804,26,FALSE)/100)))</f>
        <v>0</v>
      </c>
      <c r="S359" s="58">
        <f>IF(P359,O359*'[1]ETC Data'!$H$3*'[1]ETC Data'!$J$3,0)</f>
        <v>0</v>
      </c>
      <c r="T359" s="58">
        <f>S359-(S359*((VLOOKUP(A359,[1]Plan!A$1:AA$804,27,FALSE)/100)))</f>
        <v>0</v>
      </c>
      <c r="U359" s="58">
        <f>IF(P359,O359*'[1]ETC Data'!$H$3*'[1]ETC Data'!$K$3,0)</f>
        <v>0</v>
      </c>
      <c r="V359" s="58">
        <f>U359-(U359*((VLOOKUP(A359,[1]Plan!A$1:AB$804,28,FALSE)/100)))</f>
        <v>0</v>
      </c>
      <c r="W359" s="58">
        <f>IF(P359,O359*'[1]ETC Data'!$H$3*'[1]ETC Data'!$L$3,0)</f>
        <v>0</v>
      </c>
      <c r="X359" s="58">
        <f>W359-(W359*((VLOOKUP(A359,[1]Plan!A$1:AC$804,29,FALSE)/100)))</f>
        <v>0</v>
      </c>
      <c r="Y359" s="59"/>
      <c r="Z359" s="60" t="b">
        <f>OR(H359="Y",J359="Y")</f>
        <v>0</v>
      </c>
      <c r="AA359" s="58">
        <f>IF(Z359,O359*'[1]ETC Data'!$H$4*'[1]ETC Data'!$I$4,0)</f>
        <v>0</v>
      </c>
      <c r="AB359" s="58">
        <f>AA359-(AA359*((VLOOKUP(A359,[1]Plan!A$1:AI$804,35,FALSE)/100)))</f>
        <v>0</v>
      </c>
      <c r="AC359" s="58">
        <f>IF(Z359,O359*'[1]ETC Data'!$H$4*'[1]ETC Data'!$J$4,0)</f>
        <v>0</v>
      </c>
      <c r="AD359" s="58">
        <f>AC359-(AC359*((VLOOKUP(A359,[1]Plan!A$1:AJ$804,36,FALSE)/100)))</f>
        <v>0</v>
      </c>
      <c r="AE359" s="58">
        <f>IF(Z359,O359*'[1]ETC Data'!$H$4*'[1]ETC Data'!$K$4,0)</f>
        <v>0</v>
      </c>
      <c r="AF359" s="58">
        <f>AE359-(AE359*((VLOOKUP(A359,[1]Plan!A$1:AK$804,37,FALSE)/100)))</f>
        <v>0</v>
      </c>
      <c r="AG359" s="58">
        <f>IF(Z359,O359*'[1]ETC Data'!$H$4*'[1]ETC Data'!$L$4,0)</f>
        <v>0</v>
      </c>
      <c r="AH359" s="58">
        <f>AG359-(AG359*((VLOOKUP(A359,[1]Plan!A$1:AP$804,42,FALSE)/100)))</f>
        <v>0</v>
      </c>
      <c r="AI359" s="60"/>
      <c r="AJ359" s="60" t="b">
        <f>OR(H359="Y",K359="Y")</f>
        <v>0</v>
      </c>
      <c r="AK359" s="61">
        <f>IF(AJ359,O359*'[1]ETC Data'!$H$5*'[1]ETC Data'!$I$5,0)</f>
        <v>0</v>
      </c>
      <c r="AL359" s="58">
        <f>AK359-(AK359*((VLOOKUP(A359,[1]Plan!A$1:AY$804,51,FALSE)/100)))</f>
        <v>0</v>
      </c>
      <c r="AM359" s="58">
        <f>IF(AJ359,O359*'[1]ETC Data'!$H$5*'[1]ETC Data'!$J$5,0)</f>
        <v>0</v>
      </c>
      <c r="AN359" s="58">
        <f>AM359-(AM359*((VLOOKUP(A359,[1]Plan!A$1:BA$804,53,FALSE)/100)))</f>
        <v>0</v>
      </c>
      <c r="AO359" s="61">
        <f>IF(AJ359,O359*'[1]ETC Data'!$H$5*'[1]ETC Data'!$K$5,0)</f>
        <v>0</v>
      </c>
      <c r="AP359" s="58">
        <f>AO359-(AO359*((VLOOKUP(A359,[1]Plan!A$1:BB$804,54,FALSE)/100)))</f>
        <v>0</v>
      </c>
      <c r="AQ359" s="58">
        <f>IF(AJ359,O359*'[1]ETC Data'!$H$5*'[1]ETC Data'!$L$5,0)</f>
        <v>0</v>
      </c>
      <c r="AR359" s="58">
        <f>AQ359-(AQ359*((VLOOKUP(A359,[1]Plan!A$1:BD$804,56,FALSE)/100)))</f>
        <v>0</v>
      </c>
      <c r="AS359" s="20">
        <f>VLOOKUP(A359,'[1]PR Matrix'!A:B,2,FALSE)</f>
        <v>0</v>
      </c>
      <c r="AT359" s="21">
        <f>R359+T359+V359+X359+AB359+AD359+AF359+AH359+AL359+AN359+AP359+AR359</f>
        <v>0</v>
      </c>
      <c r="AU359" s="21">
        <f>Q359+S359+U359+W359+AA359+AC359+AE359+AG359+AK359+AM359+AO359+AQ359</f>
        <v>0</v>
      </c>
      <c r="AV359" s="21">
        <f>R359+AB359+AL359</f>
        <v>0</v>
      </c>
      <c r="AW359" s="21">
        <f>T359+AD359+AN359</f>
        <v>0</v>
      </c>
      <c r="AX359" s="21">
        <f>V359+AF359+AP359</f>
        <v>0</v>
      </c>
      <c r="AY359" s="21">
        <f>X359+AH359+AR359</f>
        <v>0</v>
      </c>
    </row>
    <row r="360" spans="1:51" hidden="1" x14ac:dyDescent="0.2">
      <c r="A360" s="50" t="s">
        <v>567</v>
      </c>
      <c r="B360" s="51" t="s">
        <v>208</v>
      </c>
      <c r="C360" s="51"/>
      <c r="D360" s="51"/>
      <c r="E360" s="52">
        <f>IF(G360="Y",VLOOKUP(B360&amp;"|"&amp;C360,'[1]ETC Data'!$C$2:$D$16,2,FALSE),0)</f>
        <v>0</v>
      </c>
      <c r="F360" s="52">
        <f>IF(D360="",0,IF(G360="Y",VLOOKUP(B360&amp;"|"&amp;D360,'[1]ETC Data'!$C$2:$D$16,2,FALSE),0))</f>
        <v>0</v>
      </c>
      <c r="G360" s="53" t="str">
        <f>IF(VLOOKUP(A360,[1]Plan!A$1:H$804,8,FALSE)&lt;&gt;"",VLOOKUP(A360,[1]Plan!A$1:H$804,8,FALSE),"")</f>
        <v>N</v>
      </c>
      <c r="H360" s="54" t="str">
        <f>IF(VLOOKUP(A360,[1]Plan!A$1:L$804,12,FALSE)&lt;&gt;"",VLOOKUP(A360,[1]Plan!A$1:L$804,12,FALSE),"")</f>
        <v/>
      </c>
      <c r="I360" s="55" t="str">
        <f>IF(VLOOKUP(A360,[1]Plan!A$1:M$804,13,FALSE)&lt;&gt;"",VLOOKUP(A360,[1]Plan!A$1:M$804,13,FALSE),"")</f>
        <v/>
      </c>
      <c r="J360" s="55" t="str">
        <f>IF(VLOOKUP(A360,[1]Plan!A$1:N$804,14,FALSE)&lt;&gt;"",VLOOKUP(A360,[1]Plan!A$1:N$804,14,FALSE),IF(VLOOKUP(A360,[1]Plan!A$1:O$804,15,FALSE)&lt;&gt;"",VLOOKUP(A360,[1]Plan!A$1:O$804,15,FALSE),""))</f>
        <v/>
      </c>
      <c r="K360" s="56" t="str">
        <f>IF(VLOOKUP(A360,[1]Plan!A$1:P$804,16,FALSE)&lt;&gt;"",VLOOKUP(A360,[1]Plan!A$1:P$804,16,FALSE),"")</f>
        <v/>
      </c>
      <c r="L360" s="55"/>
      <c r="M360" s="55"/>
      <c r="N360" s="55"/>
      <c r="O360" s="57">
        <f>IF(F360=0,E360,F360)</f>
        <v>0</v>
      </c>
      <c r="P360" s="57" t="b">
        <f>OR(H360="Y",I360="Y")</f>
        <v>0</v>
      </c>
      <c r="Q360" s="58">
        <f>IF(P360,O360*'[1]ETC Data'!$H$3*'[1]ETC Data'!$I$3,0)</f>
        <v>0</v>
      </c>
      <c r="R360" s="58">
        <f>Q360-(Q360*((VLOOKUP(A360,[1]Plan!A$1:Z$804,26,FALSE)/100)))</f>
        <v>0</v>
      </c>
      <c r="S360" s="58">
        <f>IF(P360,O360*'[1]ETC Data'!$H$3*'[1]ETC Data'!$J$3,0)</f>
        <v>0</v>
      </c>
      <c r="T360" s="58">
        <f>S360-(S360*((VLOOKUP(A360,[1]Plan!A$1:AA$804,27,FALSE)/100)))</f>
        <v>0</v>
      </c>
      <c r="U360" s="58">
        <f>IF(P360,O360*'[1]ETC Data'!$H$3*'[1]ETC Data'!$K$3,0)</f>
        <v>0</v>
      </c>
      <c r="V360" s="58">
        <f>U360-(U360*((VLOOKUP(A360,[1]Plan!A$1:AB$804,28,FALSE)/100)))</f>
        <v>0</v>
      </c>
      <c r="W360" s="58">
        <f>IF(P360,O360*'[1]ETC Data'!$H$3*'[1]ETC Data'!$L$3,0)</f>
        <v>0</v>
      </c>
      <c r="X360" s="58">
        <f>W360-(W360*((VLOOKUP(A360,[1]Plan!A$1:AC$804,29,FALSE)/100)))</f>
        <v>0</v>
      </c>
      <c r="Y360" s="59"/>
      <c r="Z360" s="60" t="b">
        <f>OR(H360="Y",J360="Y")</f>
        <v>0</v>
      </c>
      <c r="AA360" s="58">
        <f>IF(Z360,O360*'[1]ETC Data'!$H$4*'[1]ETC Data'!$I$4,0)</f>
        <v>0</v>
      </c>
      <c r="AB360" s="58">
        <f>AA360-(AA360*((VLOOKUP(A360,[1]Plan!A$1:AI$804,35,FALSE)/100)))</f>
        <v>0</v>
      </c>
      <c r="AC360" s="58">
        <f>IF(Z360,O360*'[1]ETC Data'!$H$4*'[1]ETC Data'!$J$4,0)</f>
        <v>0</v>
      </c>
      <c r="AD360" s="58">
        <f>AC360-(AC360*((VLOOKUP(A360,[1]Plan!A$1:AJ$804,36,FALSE)/100)))</f>
        <v>0</v>
      </c>
      <c r="AE360" s="58">
        <f>IF(Z360,O360*'[1]ETC Data'!$H$4*'[1]ETC Data'!$K$4,0)</f>
        <v>0</v>
      </c>
      <c r="AF360" s="58">
        <f>AE360-(AE360*((VLOOKUP(A360,[1]Plan!A$1:AK$804,37,FALSE)/100)))</f>
        <v>0</v>
      </c>
      <c r="AG360" s="58">
        <f>IF(Z360,O360*'[1]ETC Data'!$H$4*'[1]ETC Data'!$L$4,0)</f>
        <v>0</v>
      </c>
      <c r="AH360" s="58">
        <f>AG360-(AG360*((VLOOKUP(A360,[1]Plan!A$1:AP$804,42,FALSE)/100)))</f>
        <v>0</v>
      </c>
      <c r="AI360" s="60"/>
      <c r="AJ360" s="60" t="b">
        <f>OR(H360="Y",K360="Y")</f>
        <v>0</v>
      </c>
      <c r="AK360" s="61">
        <f>IF(AJ360,O360*'[1]ETC Data'!$H$5*'[1]ETC Data'!$I$5,0)</f>
        <v>0</v>
      </c>
      <c r="AL360" s="58">
        <f>AK360-(AK360*((VLOOKUP(A360,[1]Plan!A$1:AY$804,51,FALSE)/100)))</f>
        <v>0</v>
      </c>
      <c r="AM360" s="58">
        <f>IF(AJ360,O360*'[1]ETC Data'!$H$5*'[1]ETC Data'!$J$5,0)</f>
        <v>0</v>
      </c>
      <c r="AN360" s="58">
        <f>AM360-(AM360*((VLOOKUP(A360,[1]Plan!A$1:BA$804,53,FALSE)/100)))</f>
        <v>0</v>
      </c>
      <c r="AO360" s="61">
        <f>IF(AJ360,O360*'[1]ETC Data'!$H$5*'[1]ETC Data'!$K$5,0)</f>
        <v>0</v>
      </c>
      <c r="AP360" s="58">
        <f>AO360-(AO360*((VLOOKUP(A360,[1]Plan!A$1:BB$804,54,FALSE)/100)))</f>
        <v>0</v>
      </c>
      <c r="AQ360" s="58">
        <f>IF(AJ360,O360*'[1]ETC Data'!$H$5*'[1]ETC Data'!$L$5,0)</f>
        <v>0</v>
      </c>
      <c r="AR360" s="58">
        <f>AQ360-(AQ360*((VLOOKUP(A360,[1]Plan!A$1:BD$804,56,FALSE)/100)))</f>
        <v>0</v>
      </c>
      <c r="AS360" s="20">
        <f>VLOOKUP(A360,'[1]PR Matrix'!A:B,2,FALSE)</f>
        <v>0</v>
      </c>
      <c r="AT360" s="21">
        <f>R360+T360+V360+X360+AB360+AD360+AF360+AH360+AL360+AN360+AP360+AR360</f>
        <v>0</v>
      </c>
      <c r="AU360" s="21">
        <f>Q360+S360+U360+W360+AA360+AC360+AE360+AG360+AK360+AM360+AO360+AQ360</f>
        <v>0</v>
      </c>
      <c r="AV360" s="21">
        <f>R360+AB360+AL360</f>
        <v>0</v>
      </c>
      <c r="AW360" s="21">
        <f>T360+AD360+AN360</f>
        <v>0</v>
      </c>
      <c r="AX360" s="21">
        <f>V360+AF360+AP360</f>
        <v>0</v>
      </c>
      <c r="AY360" s="21">
        <f>X360+AH360+AR360</f>
        <v>0</v>
      </c>
    </row>
    <row r="361" spans="1:51" hidden="1" x14ac:dyDescent="0.2">
      <c r="A361" s="50" t="s">
        <v>568</v>
      </c>
      <c r="B361" s="51" t="s">
        <v>208</v>
      </c>
      <c r="C361" s="51"/>
      <c r="D361" s="51"/>
      <c r="E361" s="52">
        <f>IF(G361="Y",VLOOKUP(B361&amp;"|"&amp;C361,'[1]ETC Data'!$C$2:$D$16,2,FALSE),0)</f>
        <v>0</v>
      </c>
      <c r="F361" s="52">
        <f>IF(D361="",0,IF(G361="Y",VLOOKUP(B361&amp;"|"&amp;D361,'[1]ETC Data'!$C$2:$D$16,2,FALSE),0))</f>
        <v>0</v>
      </c>
      <c r="G361" s="53" t="str">
        <f>IF(VLOOKUP(A361,[1]Plan!A$1:H$804,8,FALSE)&lt;&gt;"",VLOOKUP(A361,[1]Plan!A$1:H$804,8,FALSE),"")</f>
        <v>N</v>
      </c>
      <c r="H361" s="54" t="str">
        <f>IF(VLOOKUP(A361,[1]Plan!A$1:L$804,12,FALSE)&lt;&gt;"",VLOOKUP(A361,[1]Plan!A$1:L$804,12,FALSE),"")</f>
        <v/>
      </c>
      <c r="I361" s="55" t="str">
        <f>IF(VLOOKUP(A361,[1]Plan!A$1:M$804,13,FALSE)&lt;&gt;"",VLOOKUP(A361,[1]Plan!A$1:M$804,13,FALSE),"")</f>
        <v/>
      </c>
      <c r="J361" s="55" t="str">
        <f>IF(VLOOKUP(A361,[1]Plan!A$1:N$804,14,FALSE)&lt;&gt;"",VLOOKUP(A361,[1]Plan!A$1:N$804,14,FALSE),IF(VLOOKUP(A361,[1]Plan!A$1:O$804,15,FALSE)&lt;&gt;"",VLOOKUP(A361,[1]Plan!A$1:O$804,15,FALSE),""))</f>
        <v/>
      </c>
      <c r="K361" s="56" t="str">
        <f>IF(VLOOKUP(A361,[1]Plan!A$1:P$804,16,FALSE)&lt;&gt;"",VLOOKUP(A361,[1]Plan!A$1:P$804,16,FALSE),"")</f>
        <v/>
      </c>
      <c r="L361" s="55"/>
      <c r="M361" s="55"/>
      <c r="N361" s="55"/>
      <c r="O361" s="57">
        <f>IF(F361=0,E361,F361)</f>
        <v>0</v>
      </c>
      <c r="P361" s="57" t="b">
        <f>OR(H361="Y",I361="Y")</f>
        <v>0</v>
      </c>
      <c r="Q361" s="58">
        <f>IF(P361,O361*'[1]ETC Data'!$H$3*'[1]ETC Data'!$I$3,0)</f>
        <v>0</v>
      </c>
      <c r="R361" s="58">
        <f>Q361-(Q361*((VLOOKUP(A361,[1]Plan!A$1:Z$804,26,FALSE)/100)))</f>
        <v>0</v>
      </c>
      <c r="S361" s="58">
        <f>IF(P361,O361*'[1]ETC Data'!$H$3*'[1]ETC Data'!$J$3,0)</f>
        <v>0</v>
      </c>
      <c r="T361" s="58">
        <f>S361-(S361*((VLOOKUP(A361,[1]Plan!A$1:AA$804,27,FALSE)/100)))</f>
        <v>0</v>
      </c>
      <c r="U361" s="58">
        <f>IF(P361,O361*'[1]ETC Data'!$H$3*'[1]ETC Data'!$K$3,0)</f>
        <v>0</v>
      </c>
      <c r="V361" s="58">
        <f>U361-(U361*((VLOOKUP(A361,[1]Plan!A$1:AB$804,28,FALSE)/100)))</f>
        <v>0</v>
      </c>
      <c r="W361" s="58">
        <f>IF(P361,O361*'[1]ETC Data'!$H$3*'[1]ETC Data'!$L$3,0)</f>
        <v>0</v>
      </c>
      <c r="X361" s="58">
        <f>W361-(W361*((VLOOKUP(A361,[1]Plan!A$1:AC$804,29,FALSE)/100)))</f>
        <v>0</v>
      </c>
      <c r="Y361" s="59"/>
      <c r="Z361" s="60" t="b">
        <f>OR(H361="Y",J361="Y")</f>
        <v>0</v>
      </c>
      <c r="AA361" s="58">
        <f>IF(Z361,O361*'[1]ETC Data'!$H$4*'[1]ETC Data'!$I$4,0)</f>
        <v>0</v>
      </c>
      <c r="AB361" s="58">
        <f>AA361-(AA361*((VLOOKUP(A361,[1]Plan!A$1:AI$804,35,FALSE)/100)))</f>
        <v>0</v>
      </c>
      <c r="AC361" s="58">
        <f>IF(Z361,O361*'[1]ETC Data'!$H$4*'[1]ETC Data'!$J$4,0)</f>
        <v>0</v>
      </c>
      <c r="AD361" s="58">
        <f>AC361-(AC361*((VLOOKUP(A361,[1]Plan!A$1:AJ$804,36,FALSE)/100)))</f>
        <v>0</v>
      </c>
      <c r="AE361" s="58">
        <f>IF(Z361,O361*'[1]ETC Data'!$H$4*'[1]ETC Data'!$K$4,0)</f>
        <v>0</v>
      </c>
      <c r="AF361" s="58">
        <f>AE361-(AE361*((VLOOKUP(A361,[1]Plan!A$1:AK$804,37,FALSE)/100)))</f>
        <v>0</v>
      </c>
      <c r="AG361" s="58">
        <f>IF(Z361,O361*'[1]ETC Data'!$H$4*'[1]ETC Data'!$L$4,0)</f>
        <v>0</v>
      </c>
      <c r="AH361" s="58">
        <f>AG361-(AG361*((VLOOKUP(A361,[1]Plan!A$1:AP$804,42,FALSE)/100)))</f>
        <v>0</v>
      </c>
      <c r="AI361" s="60"/>
      <c r="AJ361" s="60" t="b">
        <f>OR(H361="Y",K361="Y")</f>
        <v>0</v>
      </c>
      <c r="AK361" s="61">
        <f>IF(AJ361,O361*'[1]ETC Data'!$H$5*'[1]ETC Data'!$I$5,0)</f>
        <v>0</v>
      </c>
      <c r="AL361" s="58">
        <f>AK361-(AK361*((VLOOKUP(A361,[1]Plan!A$1:AY$804,51,FALSE)/100)))</f>
        <v>0</v>
      </c>
      <c r="AM361" s="58">
        <f>IF(AJ361,O361*'[1]ETC Data'!$H$5*'[1]ETC Data'!$J$5,0)</f>
        <v>0</v>
      </c>
      <c r="AN361" s="58">
        <f>AM361-(AM361*((VLOOKUP(A361,[1]Plan!A$1:BA$804,53,FALSE)/100)))</f>
        <v>0</v>
      </c>
      <c r="AO361" s="61">
        <f>IF(AJ361,O361*'[1]ETC Data'!$H$5*'[1]ETC Data'!$K$5,0)</f>
        <v>0</v>
      </c>
      <c r="AP361" s="58">
        <f>AO361-(AO361*((VLOOKUP(A361,[1]Plan!A$1:BB$804,54,FALSE)/100)))</f>
        <v>0</v>
      </c>
      <c r="AQ361" s="58">
        <f>IF(AJ361,O361*'[1]ETC Data'!$H$5*'[1]ETC Data'!$L$5,0)</f>
        <v>0</v>
      </c>
      <c r="AR361" s="58">
        <f>AQ361-(AQ361*((VLOOKUP(A361,[1]Plan!A$1:BD$804,56,FALSE)/100)))</f>
        <v>0</v>
      </c>
      <c r="AS361" s="20">
        <f>VLOOKUP(A361,'[1]PR Matrix'!A:B,2,FALSE)</f>
        <v>0</v>
      </c>
      <c r="AT361" s="21">
        <f>R361+T361+V361+X361+AB361+AD361+AF361+AH361+AL361+AN361+AP361+AR361</f>
        <v>0</v>
      </c>
      <c r="AU361" s="21">
        <f>Q361+S361+U361+W361+AA361+AC361+AE361+AG361+AK361+AM361+AO361+AQ361</f>
        <v>0</v>
      </c>
      <c r="AV361" s="21">
        <f>R361+AB361+AL361</f>
        <v>0</v>
      </c>
      <c r="AW361" s="21">
        <f>T361+AD361+AN361</f>
        <v>0</v>
      </c>
      <c r="AX361" s="21">
        <f>V361+AF361+AP361</f>
        <v>0</v>
      </c>
      <c r="AY361" s="21">
        <f>X361+AH361+AR361</f>
        <v>0</v>
      </c>
    </row>
    <row r="362" spans="1:51" hidden="1" x14ac:dyDescent="0.2">
      <c r="A362" s="50" t="s">
        <v>569</v>
      </c>
      <c r="B362" s="51" t="s">
        <v>208</v>
      </c>
      <c r="C362" s="51"/>
      <c r="D362" s="51"/>
      <c r="E362" s="52">
        <f>IF(G362="Y",VLOOKUP(B362&amp;"|"&amp;C362,'[1]ETC Data'!$C$2:$D$16,2,FALSE),0)</f>
        <v>0</v>
      </c>
      <c r="F362" s="52">
        <f>IF(D362="",0,IF(G362="Y",VLOOKUP(B362&amp;"|"&amp;D362,'[1]ETC Data'!$C$2:$D$16,2,FALSE),0))</f>
        <v>0</v>
      </c>
      <c r="G362" s="53" t="str">
        <f>IF(VLOOKUP(A362,[1]Plan!A$1:H$804,8,FALSE)&lt;&gt;"",VLOOKUP(A362,[1]Plan!A$1:H$804,8,FALSE),"")</f>
        <v>N</v>
      </c>
      <c r="H362" s="54" t="str">
        <f>IF(VLOOKUP(A362,[1]Plan!A$1:L$804,12,FALSE)&lt;&gt;"",VLOOKUP(A362,[1]Plan!A$1:L$804,12,FALSE),"")</f>
        <v/>
      </c>
      <c r="I362" s="55" t="str">
        <f>IF(VLOOKUP(A362,[1]Plan!A$1:M$804,13,FALSE)&lt;&gt;"",VLOOKUP(A362,[1]Plan!A$1:M$804,13,FALSE),"")</f>
        <v/>
      </c>
      <c r="J362" s="55" t="str">
        <f>IF(VLOOKUP(A362,[1]Plan!A$1:N$804,14,FALSE)&lt;&gt;"",VLOOKUP(A362,[1]Plan!A$1:N$804,14,FALSE),IF(VLOOKUP(A362,[1]Plan!A$1:O$804,15,FALSE)&lt;&gt;"",VLOOKUP(A362,[1]Plan!A$1:O$804,15,FALSE),""))</f>
        <v/>
      </c>
      <c r="K362" s="56" t="str">
        <f>IF(VLOOKUP(A362,[1]Plan!A$1:P$804,16,FALSE)&lt;&gt;"",VLOOKUP(A362,[1]Plan!A$1:P$804,16,FALSE),"")</f>
        <v/>
      </c>
      <c r="L362" s="55"/>
      <c r="M362" s="55"/>
      <c r="N362" s="55"/>
      <c r="O362" s="57">
        <f>IF(F362=0,E362,F362)</f>
        <v>0</v>
      </c>
      <c r="P362" s="57" t="b">
        <f>OR(H362="Y",I362="Y")</f>
        <v>0</v>
      </c>
      <c r="Q362" s="58">
        <f>IF(P362,O362*'[1]ETC Data'!$H$3*'[1]ETC Data'!$I$3,0)</f>
        <v>0</v>
      </c>
      <c r="R362" s="58">
        <f>Q362-(Q362*((VLOOKUP(A362,[1]Plan!A$1:Z$804,26,FALSE)/100)))</f>
        <v>0</v>
      </c>
      <c r="S362" s="58">
        <f>IF(P362,O362*'[1]ETC Data'!$H$3*'[1]ETC Data'!$J$3,0)</f>
        <v>0</v>
      </c>
      <c r="T362" s="58">
        <f>S362-(S362*((VLOOKUP(A362,[1]Plan!A$1:AA$804,27,FALSE)/100)))</f>
        <v>0</v>
      </c>
      <c r="U362" s="58">
        <f>IF(P362,O362*'[1]ETC Data'!$H$3*'[1]ETC Data'!$K$3,0)</f>
        <v>0</v>
      </c>
      <c r="V362" s="58">
        <f>U362-(U362*((VLOOKUP(A362,[1]Plan!A$1:AB$804,28,FALSE)/100)))</f>
        <v>0</v>
      </c>
      <c r="W362" s="58">
        <f>IF(P362,O362*'[1]ETC Data'!$H$3*'[1]ETC Data'!$L$3,0)</f>
        <v>0</v>
      </c>
      <c r="X362" s="58">
        <f>W362-(W362*((VLOOKUP(A362,[1]Plan!A$1:AC$804,29,FALSE)/100)))</f>
        <v>0</v>
      </c>
      <c r="Y362" s="59"/>
      <c r="Z362" s="60" t="b">
        <f>OR(H362="Y",J362="Y")</f>
        <v>0</v>
      </c>
      <c r="AA362" s="58">
        <f>IF(Z362,O362*'[1]ETC Data'!$H$4*'[1]ETC Data'!$I$4,0)</f>
        <v>0</v>
      </c>
      <c r="AB362" s="58">
        <f>AA362-(AA362*((VLOOKUP(A362,[1]Plan!A$1:AI$804,35,FALSE)/100)))</f>
        <v>0</v>
      </c>
      <c r="AC362" s="58">
        <f>IF(Z362,O362*'[1]ETC Data'!$H$4*'[1]ETC Data'!$J$4,0)</f>
        <v>0</v>
      </c>
      <c r="AD362" s="58">
        <f>AC362-(AC362*((VLOOKUP(A362,[1]Plan!A$1:AJ$804,36,FALSE)/100)))</f>
        <v>0</v>
      </c>
      <c r="AE362" s="58">
        <f>IF(Z362,O362*'[1]ETC Data'!$H$4*'[1]ETC Data'!$K$4,0)</f>
        <v>0</v>
      </c>
      <c r="AF362" s="58">
        <f>AE362-(AE362*((VLOOKUP(A362,[1]Plan!A$1:AK$804,37,FALSE)/100)))</f>
        <v>0</v>
      </c>
      <c r="AG362" s="58">
        <f>IF(Z362,O362*'[1]ETC Data'!$H$4*'[1]ETC Data'!$L$4,0)</f>
        <v>0</v>
      </c>
      <c r="AH362" s="58">
        <f>AG362-(AG362*((VLOOKUP(A362,[1]Plan!A$1:AP$804,42,FALSE)/100)))</f>
        <v>0</v>
      </c>
      <c r="AI362" s="60"/>
      <c r="AJ362" s="60" t="b">
        <f>OR(H362="Y",K362="Y")</f>
        <v>0</v>
      </c>
      <c r="AK362" s="61">
        <f>IF(AJ362,O362*'[1]ETC Data'!$H$5*'[1]ETC Data'!$I$5,0)</f>
        <v>0</v>
      </c>
      <c r="AL362" s="58">
        <f>AK362-(AK362*((VLOOKUP(A362,[1]Plan!A$1:AY$804,51,FALSE)/100)))</f>
        <v>0</v>
      </c>
      <c r="AM362" s="58">
        <f>IF(AJ362,O362*'[1]ETC Data'!$H$5*'[1]ETC Data'!$J$5,0)</f>
        <v>0</v>
      </c>
      <c r="AN362" s="58">
        <f>AM362-(AM362*((VLOOKUP(A362,[1]Plan!A$1:BA$804,53,FALSE)/100)))</f>
        <v>0</v>
      </c>
      <c r="AO362" s="61">
        <f>IF(AJ362,O362*'[1]ETC Data'!$H$5*'[1]ETC Data'!$K$5,0)</f>
        <v>0</v>
      </c>
      <c r="AP362" s="58">
        <f>AO362-(AO362*((VLOOKUP(A362,[1]Plan!A$1:BB$804,54,FALSE)/100)))</f>
        <v>0</v>
      </c>
      <c r="AQ362" s="58">
        <f>IF(AJ362,O362*'[1]ETC Data'!$H$5*'[1]ETC Data'!$L$5,0)</f>
        <v>0</v>
      </c>
      <c r="AR362" s="58">
        <f>AQ362-(AQ362*((VLOOKUP(A362,[1]Plan!A$1:BD$804,56,FALSE)/100)))</f>
        <v>0</v>
      </c>
      <c r="AS362" s="20">
        <f>VLOOKUP(A362,'[1]PR Matrix'!A:B,2,FALSE)</f>
        <v>0</v>
      </c>
      <c r="AT362" s="21">
        <f>R362+T362+V362+X362+AB362+AD362+AF362+AH362+AL362+AN362+AP362+AR362</f>
        <v>0</v>
      </c>
      <c r="AU362" s="21">
        <f>Q362+S362+U362+W362+AA362+AC362+AE362+AG362+AK362+AM362+AO362+AQ362</f>
        <v>0</v>
      </c>
      <c r="AV362" s="21">
        <f>R362+AB362+AL362</f>
        <v>0</v>
      </c>
      <c r="AW362" s="21">
        <f>T362+AD362+AN362</f>
        <v>0</v>
      </c>
      <c r="AX362" s="21">
        <f>V362+AF362+AP362</f>
        <v>0</v>
      </c>
      <c r="AY362" s="21">
        <f>X362+AH362+AR362</f>
        <v>0</v>
      </c>
    </row>
    <row r="363" spans="1:51" hidden="1" x14ac:dyDescent="0.2">
      <c r="A363" s="50" t="s">
        <v>570</v>
      </c>
      <c r="B363" s="51" t="s">
        <v>208</v>
      </c>
      <c r="C363" s="51"/>
      <c r="D363" s="51"/>
      <c r="E363" s="52">
        <f>IF(G363="Y",VLOOKUP(B363&amp;"|"&amp;C363,'[1]ETC Data'!$C$2:$D$16,2,FALSE),0)</f>
        <v>0</v>
      </c>
      <c r="F363" s="52">
        <f>IF(D363="",0,IF(G363="Y",VLOOKUP(B363&amp;"|"&amp;D363,'[1]ETC Data'!$C$2:$D$16,2,FALSE),0))</f>
        <v>0</v>
      </c>
      <c r="G363" s="53" t="str">
        <f>IF(VLOOKUP(A363,[1]Plan!A$1:H$804,8,FALSE)&lt;&gt;"",VLOOKUP(A363,[1]Plan!A$1:H$804,8,FALSE),"")</f>
        <v>N</v>
      </c>
      <c r="H363" s="54" t="str">
        <f>IF(VLOOKUP(A363,[1]Plan!A$1:L$804,12,FALSE)&lt;&gt;"",VLOOKUP(A363,[1]Plan!A$1:L$804,12,FALSE),"")</f>
        <v/>
      </c>
      <c r="I363" s="55" t="str">
        <f>IF(VLOOKUP(A363,[1]Plan!A$1:M$804,13,FALSE)&lt;&gt;"",VLOOKUP(A363,[1]Plan!A$1:M$804,13,FALSE),"")</f>
        <v/>
      </c>
      <c r="J363" s="55" t="str">
        <f>IF(VLOOKUP(A363,[1]Plan!A$1:N$804,14,FALSE)&lt;&gt;"",VLOOKUP(A363,[1]Plan!A$1:N$804,14,FALSE),IF(VLOOKUP(A363,[1]Plan!A$1:O$804,15,FALSE)&lt;&gt;"",VLOOKUP(A363,[1]Plan!A$1:O$804,15,FALSE),""))</f>
        <v/>
      </c>
      <c r="K363" s="56" t="str">
        <f>IF(VLOOKUP(A363,[1]Plan!A$1:P$804,16,FALSE)&lt;&gt;"",VLOOKUP(A363,[1]Plan!A$1:P$804,16,FALSE),"")</f>
        <v/>
      </c>
      <c r="L363" s="55"/>
      <c r="M363" s="55"/>
      <c r="N363" s="55"/>
      <c r="O363" s="57">
        <f>IF(F363=0,E363,F363)</f>
        <v>0</v>
      </c>
      <c r="P363" s="57" t="b">
        <f>OR(H363="Y",I363="Y")</f>
        <v>0</v>
      </c>
      <c r="Q363" s="58">
        <f>IF(P363,O363*'[1]ETC Data'!$H$3*'[1]ETC Data'!$I$3,0)</f>
        <v>0</v>
      </c>
      <c r="R363" s="58">
        <f>Q363-(Q363*((VLOOKUP(A363,[1]Plan!A$1:Z$804,26,FALSE)/100)))</f>
        <v>0</v>
      </c>
      <c r="S363" s="58">
        <f>IF(P363,O363*'[1]ETC Data'!$H$3*'[1]ETC Data'!$J$3,0)</f>
        <v>0</v>
      </c>
      <c r="T363" s="58">
        <f>S363-(S363*((VLOOKUP(A363,[1]Plan!A$1:AA$804,27,FALSE)/100)))</f>
        <v>0</v>
      </c>
      <c r="U363" s="58">
        <f>IF(P363,O363*'[1]ETC Data'!$H$3*'[1]ETC Data'!$K$3,0)</f>
        <v>0</v>
      </c>
      <c r="V363" s="58">
        <f>U363-(U363*((VLOOKUP(A363,[1]Plan!A$1:AB$804,28,FALSE)/100)))</f>
        <v>0</v>
      </c>
      <c r="W363" s="58">
        <f>IF(P363,O363*'[1]ETC Data'!$H$3*'[1]ETC Data'!$L$3,0)</f>
        <v>0</v>
      </c>
      <c r="X363" s="58">
        <f>W363-(W363*((VLOOKUP(A363,[1]Plan!A$1:AC$804,29,FALSE)/100)))</f>
        <v>0</v>
      </c>
      <c r="Y363" s="59"/>
      <c r="Z363" s="60" t="b">
        <f>OR(H363="Y",J363="Y")</f>
        <v>0</v>
      </c>
      <c r="AA363" s="58">
        <f>IF(Z363,O363*'[1]ETC Data'!$H$4*'[1]ETC Data'!$I$4,0)</f>
        <v>0</v>
      </c>
      <c r="AB363" s="58">
        <f>AA363-(AA363*((VLOOKUP(A363,[1]Plan!A$1:AI$804,35,FALSE)/100)))</f>
        <v>0</v>
      </c>
      <c r="AC363" s="58">
        <f>IF(Z363,O363*'[1]ETC Data'!$H$4*'[1]ETC Data'!$J$4,0)</f>
        <v>0</v>
      </c>
      <c r="AD363" s="58">
        <f>AC363-(AC363*((VLOOKUP(A363,[1]Plan!A$1:AJ$804,36,FALSE)/100)))</f>
        <v>0</v>
      </c>
      <c r="AE363" s="58">
        <f>IF(Z363,O363*'[1]ETC Data'!$H$4*'[1]ETC Data'!$K$4,0)</f>
        <v>0</v>
      </c>
      <c r="AF363" s="58">
        <f>AE363-(AE363*((VLOOKUP(A363,[1]Plan!A$1:AK$804,37,FALSE)/100)))</f>
        <v>0</v>
      </c>
      <c r="AG363" s="58">
        <f>IF(Z363,O363*'[1]ETC Data'!$H$4*'[1]ETC Data'!$L$4,0)</f>
        <v>0</v>
      </c>
      <c r="AH363" s="58">
        <f>AG363-(AG363*((VLOOKUP(A363,[1]Plan!A$1:AP$804,42,FALSE)/100)))</f>
        <v>0</v>
      </c>
      <c r="AI363" s="60"/>
      <c r="AJ363" s="60" t="b">
        <f>OR(H363="Y",K363="Y")</f>
        <v>0</v>
      </c>
      <c r="AK363" s="61">
        <f>IF(AJ363,O363*'[1]ETC Data'!$H$5*'[1]ETC Data'!$I$5,0)</f>
        <v>0</v>
      </c>
      <c r="AL363" s="58">
        <f>AK363-(AK363*((VLOOKUP(A363,[1]Plan!A$1:AY$804,51,FALSE)/100)))</f>
        <v>0</v>
      </c>
      <c r="AM363" s="58">
        <f>IF(AJ363,O363*'[1]ETC Data'!$H$5*'[1]ETC Data'!$J$5,0)</f>
        <v>0</v>
      </c>
      <c r="AN363" s="58">
        <f>AM363-(AM363*((VLOOKUP(A363,[1]Plan!A$1:BA$804,53,FALSE)/100)))</f>
        <v>0</v>
      </c>
      <c r="AO363" s="61">
        <f>IF(AJ363,O363*'[1]ETC Data'!$H$5*'[1]ETC Data'!$K$5,0)</f>
        <v>0</v>
      </c>
      <c r="AP363" s="58">
        <f>AO363-(AO363*((VLOOKUP(A363,[1]Plan!A$1:BB$804,54,FALSE)/100)))</f>
        <v>0</v>
      </c>
      <c r="AQ363" s="58">
        <f>IF(AJ363,O363*'[1]ETC Data'!$H$5*'[1]ETC Data'!$L$5,0)</f>
        <v>0</v>
      </c>
      <c r="AR363" s="58">
        <f>AQ363-(AQ363*((VLOOKUP(A363,[1]Plan!A$1:BD$804,56,FALSE)/100)))</f>
        <v>0</v>
      </c>
      <c r="AS363" s="20">
        <f>VLOOKUP(A363,'[1]PR Matrix'!A:B,2,FALSE)</f>
        <v>0</v>
      </c>
      <c r="AT363" s="21">
        <f>R363+T363+V363+X363+AB363+AD363+AF363+AH363+AL363+AN363+AP363+AR363</f>
        <v>0</v>
      </c>
      <c r="AU363" s="21">
        <f>Q363+S363+U363+W363+AA363+AC363+AE363+AG363+AK363+AM363+AO363+AQ363</f>
        <v>0</v>
      </c>
      <c r="AV363" s="21">
        <f>R363+AB363+AL363</f>
        <v>0</v>
      </c>
      <c r="AW363" s="21">
        <f>T363+AD363+AN363</f>
        <v>0</v>
      </c>
      <c r="AX363" s="21">
        <f>V363+AF363+AP363</f>
        <v>0</v>
      </c>
      <c r="AY363" s="21">
        <f>X363+AH363+AR363</f>
        <v>0</v>
      </c>
    </row>
    <row r="364" spans="1:51" hidden="1" x14ac:dyDescent="0.2">
      <c r="A364" s="50" t="s">
        <v>571</v>
      </c>
      <c r="B364" s="51" t="s">
        <v>208</v>
      </c>
      <c r="C364" s="51"/>
      <c r="D364" s="51"/>
      <c r="E364" s="52">
        <f>IF(G364="Y",VLOOKUP(B364&amp;"|"&amp;C364,'[1]ETC Data'!$C$2:$D$16,2,FALSE),0)</f>
        <v>0</v>
      </c>
      <c r="F364" s="52">
        <f>IF(D364="",0,IF(G364="Y",VLOOKUP(B364&amp;"|"&amp;D364,'[1]ETC Data'!$C$2:$D$16,2,FALSE),0))</f>
        <v>0</v>
      </c>
      <c r="G364" s="53" t="str">
        <f>IF(VLOOKUP(A364,[1]Plan!A$1:H$804,8,FALSE)&lt;&gt;"",VLOOKUP(A364,[1]Plan!A$1:H$804,8,FALSE),"")</f>
        <v>N</v>
      </c>
      <c r="H364" s="54" t="str">
        <f>IF(VLOOKUP(A364,[1]Plan!A$1:L$804,12,FALSE)&lt;&gt;"",VLOOKUP(A364,[1]Plan!A$1:L$804,12,FALSE),"")</f>
        <v/>
      </c>
      <c r="I364" s="55" t="str">
        <f>IF(VLOOKUP(A364,[1]Plan!A$1:M$804,13,FALSE)&lt;&gt;"",VLOOKUP(A364,[1]Plan!A$1:M$804,13,FALSE),"")</f>
        <v/>
      </c>
      <c r="J364" s="55" t="str">
        <f>IF(VLOOKUP(A364,[1]Plan!A$1:N$804,14,FALSE)&lt;&gt;"",VLOOKUP(A364,[1]Plan!A$1:N$804,14,FALSE),IF(VLOOKUP(A364,[1]Plan!A$1:O$804,15,FALSE)&lt;&gt;"",VLOOKUP(A364,[1]Plan!A$1:O$804,15,FALSE),""))</f>
        <v/>
      </c>
      <c r="K364" s="56" t="str">
        <f>IF(VLOOKUP(A364,[1]Plan!A$1:P$804,16,FALSE)&lt;&gt;"",VLOOKUP(A364,[1]Plan!A$1:P$804,16,FALSE),"")</f>
        <v/>
      </c>
      <c r="L364" s="55"/>
      <c r="M364" s="55"/>
      <c r="N364" s="55"/>
      <c r="O364" s="57">
        <f>IF(F364=0,E364,F364)</f>
        <v>0</v>
      </c>
      <c r="P364" s="57" t="b">
        <f>OR(H364="Y",I364="Y")</f>
        <v>0</v>
      </c>
      <c r="Q364" s="58">
        <f>IF(P364,O364*'[1]ETC Data'!$H$3*'[1]ETC Data'!$I$3,0)</f>
        <v>0</v>
      </c>
      <c r="R364" s="58">
        <f>Q364-(Q364*((VLOOKUP(A364,[1]Plan!A$1:Z$804,26,FALSE)/100)))</f>
        <v>0</v>
      </c>
      <c r="S364" s="58">
        <f>IF(P364,O364*'[1]ETC Data'!$H$3*'[1]ETC Data'!$J$3,0)</f>
        <v>0</v>
      </c>
      <c r="T364" s="58">
        <f>S364-(S364*((VLOOKUP(A364,[1]Plan!A$1:AA$804,27,FALSE)/100)))</f>
        <v>0</v>
      </c>
      <c r="U364" s="58">
        <f>IF(P364,O364*'[1]ETC Data'!$H$3*'[1]ETC Data'!$K$3,0)</f>
        <v>0</v>
      </c>
      <c r="V364" s="58">
        <f>U364-(U364*((VLOOKUP(A364,[1]Plan!A$1:AB$804,28,FALSE)/100)))</f>
        <v>0</v>
      </c>
      <c r="W364" s="58">
        <f>IF(P364,O364*'[1]ETC Data'!$H$3*'[1]ETC Data'!$L$3,0)</f>
        <v>0</v>
      </c>
      <c r="X364" s="58">
        <f>W364-(W364*((VLOOKUP(A364,[1]Plan!A$1:AC$804,29,FALSE)/100)))</f>
        <v>0</v>
      </c>
      <c r="Y364" s="59"/>
      <c r="Z364" s="60" t="b">
        <f>OR(H364="Y",J364="Y")</f>
        <v>0</v>
      </c>
      <c r="AA364" s="58">
        <f>IF(Z364,O364*'[1]ETC Data'!$H$4*'[1]ETC Data'!$I$4,0)</f>
        <v>0</v>
      </c>
      <c r="AB364" s="58">
        <f>AA364-(AA364*((VLOOKUP(A364,[1]Plan!A$1:AI$804,35,FALSE)/100)))</f>
        <v>0</v>
      </c>
      <c r="AC364" s="58">
        <f>IF(Z364,O364*'[1]ETC Data'!$H$4*'[1]ETC Data'!$J$4,0)</f>
        <v>0</v>
      </c>
      <c r="AD364" s="58">
        <f>AC364-(AC364*((VLOOKUP(A364,[1]Plan!A$1:AJ$804,36,FALSE)/100)))</f>
        <v>0</v>
      </c>
      <c r="AE364" s="58">
        <f>IF(Z364,O364*'[1]ETC Data'!$H$4*'[1]ETC Data'!$K$4,0)</f>
        <v>0</v>
      </c>
      <c r="AF364" s="58">
        <f>AE364-(AE364*((VLOOKUP(A364,[1]Plan!A$1:AK$804,37,FALSE)/100)))</f>
        <v>0</v>
      </c>
      <c r="AG364" s="58">
        <f>IF(Z364,O364*'[1]ETC Data'!$H$4*'[1]ETC Data'!$L$4,0)</f>
        <v>0</v>
      </c>
      <c r="AH364" s="58">
        <f>AG364-(AG364*((VLOOKUP(A364,[1]Plan!A$1:AP$804,42,FALSE)/100)))</f>
        <v>0</v>
      </c>
      <c r="AI364" s="60"/>
      <c r="AJ364" s="60" t="b">
        <f>OR(H364="Y",K364="Y")</f>
        <v>0</v>
      </c>
      <c r="AK364" s="61">
        <f>IF(AJ364,O364*'[1]ETC Data'!$H$5*'[1]ETC Data'!$I$5,0)</f>
        <v>0</v>
      </c>
      <c r="AL364" s="58">
        <f>AK364-(AK364*((VLOOKUP(A364,[1]Plan!A$1:AY$804,51,FALSE)/100)))</f>
        <v>0</v>
      </c>
      <c r="AM364" s="58">
        <f>IF(AJ364,O364*'[1]ETC Data'!$H$5*'[1]ETC Data'!$J$5,0)</f>
        <v>0</v>
      </c>
      <c r="AN364" s="58">
        <f>AM364-(AM364*((VLOOKUP(A364,[1]Plan!A$1:BA$804,53,FALSE)/100)))</f>
        <v>0</v>
      </c>
      <c r="AO364" s="61">
        <f>IF(AJ364,O364*'[1]ETC Data'!$H$5*'[1]ETC Data'!$K$5,0)</f>
        <v>0</v>
      </c>
      <c r="AP364" s="58">
        <f>AO364-(AO364*((VLOOKUP(A364,[1]Plan!A$1:BB$804,54,FALSE)/100)))</f>
        <v>0</v>
      </c>
      <c r="AQ364" s="58">
        <f>IF(AJ364,O364*'[1]ETC Data'!$H$5*'[1]ETC Data'!$L$5,0)</f>
        <v>0</v>
      </c>
      <c r="AR364" s="58">
        <f>AQ364-(AQ364*((VLOOKUP(A364,[1]Plan!A$1:BD$804,56,FALSE)/100)))</f>
        <v>0</v>
      </c>
      <c r="AS364" s="20">
        <f>VLOOKUP(A364,'[1]PR Matrix'!A:B,2,FALSE)</f>
        <v>0</v>
      </c>
      <c r="AT364" s="21">
        <f>R364+T364+V364+X364+AB364+AD364+AF364+AH364+AL364+AN364+AP364+AR364</f>
        <v>0</v>
      </c>
      <c r="AU364" s="21">
        <f>Q364+S364+U364+W364+AA364+AC364+AE364+AG364+AK364+AM364+AO364+AQ364</f>
        <v>0</v>
      </c>
      <c r="AV364" s="21">
        <f>R364+AB364+AL364</f>
        <v>0</v>
      </c>
      <c r="AW364" s="21">
        <f>T364+AD364+AN364</f>
        <v>0</v>
      </c>
      <c r="AX364" s="21">
        <f>V364+AF364+AP364</f>
        <v>0</v>
      </c>
      <c r="AY364" s="21">
        <f>X364+AH364+AR364</f>
        <v>0</v>
      </c>
    </row>
    <row r="365" spans="1:51" hidden="1" x14ac:dyDescent="0.2">
      <c r="A365" s="50" t="s">
        <v>572</v>
      </c>
      <c r="B365" s="51" t="s">
        <v>208</v>
      </c>
      <c r="C365" s="51"/>
      <c r="D365" s="51"/>
      <c r="E365" s="52">
        <f>IF(G365="Y",VLOOKUP(B365&amp;"|"&amp;C365,'[1]ETC Data'!$C$2:$D$16,2,FALSE),0)</f>
        <v>0</v>
      </c>
      <c r="F365" s="52">
        <f>IF(D365="",0,IF(G365="Y",VLOOKUP(B365&amp;"|"&amp;D365,'[1]ETC Data'!$C$2:$D$16,2,FALSE),0))</f>
        <v>0</v>
      </c>
      <c r="G365" s="53" t="str">
        <f>IF(VLOOKUP(A365,[1]Plan!A$1:H$804,8,FALSE)&lt;&gt;"",VLOOKUP(A365,[1]Plan!A$1:H$804,8,FALSE),"")</f>
        <v>N</v>
      </c>
      <c r="H365" s="54" t="str">
        <f>IF(VLOOKUP(A365,[1]Plan!A$1:L$804,12,FALSE)&lt;&gt;"",VLOOKUP(A365,[1]Plan!A$1:L$804,12,FALSE),"")</f>
        <v/>
      </c>
      <c r="I365" s="55" t="str">
        <f>IF(VLOOKUP(A365,[1]Plan!A$1:M$804,13,FALSE)&lt;&gt;"",VLOOKUP(A365,[1]Plan!A$1:M$804,13,FALSE),"")</f>
        <v/>
      </c>
      <c r="J365" s="55" t="str">
        <f>IF(VLOOKUP(A365,[1]Plan!A$1:N$804,14,FALSE)&lt;&gt;"",VLOOKUP(A365,[1]Plan!A$1:N$804,14,FALSE),IF(VLOOKUP(A365,[1]Plan!A$1:O$804,15,FALSE)&lt;&gt;"",VLOOKUP(A365,[1]Plan!A$1:O$804,15,FALSE),""))</f>
        <v/>
      </c>
      <c r="K365" s="56" t="str">
        <f>IF(VLOOKUP(A365,[1]Plan!A$1:P$804,16,FALSE)&lt;&gt;"",VLOOKUP(A365,[1]Plan!A$1:P$804,16,FALSE),"")</f>
        <v/>
      </c>
      <c r="L365" s="55"/>
      <c r="M365" s="55"/>
      <c r="N365" s="55"/>
      <c r="O365" s="57">
        <f>IF(F365=0,E365,F365)</f>
        <v>0</v>
      </c>
      <c r="P365" s="57" t="b">
        <f>OR(H365="Y",I365="Y")</f>
        <v>0</v>
      </c>
      <c r="Q365" s="58">
        <f>IF(P365,O365*'[1]ETC Data'!$H$3*'[1]ETC Data'!$I$3,0)</f>
        <v>0</v>
      </c>
      <c r="R365" s="58">
        <f>Q365-(Q365*((VLOOKUP(A365,[1]Plan!A$1:Z$804,26,FALSE)/100)))</f>
        <v>0</v>
      </c>
      <c r="S365" s="58">
        <f>IF(P365,O365*'[1]ETC Data'!$H$3*'[1]ETC Data'!$J$3,0)</f>
        <v>0</v>
      </c>
      <c r="T365" s="58">
        <f>S365-(S365*((VLOOKUP(A365,[1]Plan!A$1:AA$804,27,FALSE)/100)))</f>
        <v>0</v>
      </c>
      <c r="U365" s="58">
        <f>IF(P365,O365*'[1]ETC Data'!$H$3*'[1]ETC Data'!$K$3,0)</f>
        <v>0</v>
      </c>
      <c r="V365" s="58">
        <f>U365-(U365*((VLOOKUP(A365,[1]Plan!A$1:AB$804,28,FALSE)/100)))</f>
        <v>0</v>
      </c>
      <c r="W365" s="58">
        <f>IF(P365,O365*'[1]ETC Data'!$H$3*'[1]ETC Data'!$L$3,0)</f>
        <v>0</v>
      </c>
      <c r="X365" s="58">
        <f>W365-(W365*((VLOOKUP(A365,[1]Plan!A$1:AC$804,29,FALSE)/100)))</f>
        <v>0</v>
      </c>
      <c r="Y365" s="59"/>
      <c r="Z365" s="60" t="b">
        <f>OR(H365="Y",J365="Y")</f>
        <v>0</v>
      </c>
      <c r="AA365" s="58">
        <f>IF(Z365,O365*'[1]ETC Data'!$H$4*'[1]ETC Data'!$I$4,0)</f>
        <v>0</v>
      </c>
      <c r="AB365" s="58">
        <f>AA365-(AA365*((VLOOKUP(A365,[1]Plan!A$1:AI$804,35,FALSE)/100)))</f>
        <v>0</v>
      </c>
      <c r="AC365" s="58">
        <f>IF(Z365,O365*'[1]ETC Data'!$H$4*'[1]ETC Data'!$J$4,0)</f>
        <v>0</v>
      </c>
      <c r="AD365" s="58">
        <f>AC365-(AC365*((VLOOKUP(A365,[1]Plan!A$1:AJ$804,36,FALSE)/100)))</f>
        <v>0</v>
      </c>
      <c r="AE365" s="58">
        <f>IF(Z365,O365*'[1]ETC Data'!$H$4*'[1]ETC Data'!$K$4,0)</f>
        <v>0</v>
      </c>
      <c r="AF365" s="58">
        <f>AE365-(AE365*((VLOOKUP(A365,[1]Plan!A$1:AK$804,37,FALSE)/100)))</f>
        <v>0</v>
      </c>
      <c r="AG365" s="58">
        <f>IF(Z365,O365*'[1]ETC Data'!$H$4*'[1]ETC Data'!$L$4,0)</f>
        <v>0</v>
      </c>
      <c r="AH365" s="58">
        <f>AG365-(AG365*((VLOOKUP(A365,[1]Plan!A$1:AP$804,42,FALSE)/100)))</f>
        <v>0</v>
      </c>
      <c r="AI365" s="60"/>
      <c r="AJ365" s="60" t="b">
        <f>OR(H365="Y",K365="Y")</f>
        <v>0</v>
      </c>
      <c r="AK365" s="61">
        <f>IF(AJ365,O365*'[1]ETC Data'!$H$5*'[1]ETC Data'!$I$5,0)</f>
        <v>0</v>
      </c>
      <c r="AL365" s="58">
        <f>AK365-(AK365*((VLOOKUP(A365,[1]Plan!A$1:AY$804,51,FALSE)/100)))</f>
        <v>0</v>
      </c>
      <c r="AM365" s="58">
        <f>IF(AJ365,O365*'[1]ETC Data'!$H$5*'[1]ETC Data'!$J$5,0)</f>
        <v>0</v>
      </c>
      <c r="AN365" s="58">
        <f>AM365-(AM365*((VLOOKUP(A365,[1]Plan!A$1:BA$804,53,FALSE)/100)))</f>
        <v>0</v>
      </c>
      <c r="AO365" s="61">
        <f>IF(AJ365,O365*'[1]ETC Data'!$H$5*'[1]ETC Data'!$K$5,0)</f>
        <v>0</v>
      </c>
      <c r="AP365" s="58">
        <f>AO365-(AO365*((VLOOKUP(A365,[1]Plan!A$1:BB$804,54,FALSE)/100)))</f>
        <v>0</v>
      </c>
      <c r="AQ365" s="58">
        <f>IF(AJ365,O365*'[1]ETC Data'!$H$5*'[1]ETC Data'!$L$5,0)</f>
        <v>0</v>
      </c>
      <c r="AR365" s="58">
        <f>AQ365-(AQ365*((VLOOKUP(A365,[1]Plan!A$1:BD$804,56,FALSE)/100)))</f>
        <v>0</v>
      </c>
      <c r="AS365" s="20">
        <f>VLOOKUP(A365,'[1]PR Matrix'!A:B,2,FALSE)</f>
        <v>0</v>
      </c>
      <c r="AT365" s="21">
        <f>R365+T365+V365+X365+AB365+AD365+AF365+AH365+AL365+AN365+AP365+AR365</f>
        <v>0</v>
      </c>
      <c r="AU365" s="21">
        <f>Q365+S365+U365+W365+AA365+AC365+AE365+AG365+AK365+AM365+AO365+AQ365</f>
        <v>0</v>
      </c>
      <c r="AV365" s="21">
        <f>R365+AB365+AL365</f>
        <v>0</v>
      </c>
      <c r="AW365" s="21">
        <f>T365+AD365+AN365</f>
        <v>0</v>
      </c>
      <c r="AX365" s="21">
        <f>V365+AF365+AP365</f>
        <v>0</v>
      </c>
      <c r="AY365" s="21">
        <f>X365+AH365+AR365</f>
        <v>0</v>
      </c>
    </row>
    <row r="366" spans="1:51" hidden="1" x14ac:dyDescent="0.2">
      <c r="A366" s="50" t="s">
        <v>573</v>
      </c>
      <c r="B366" s="51" t="s">
        <v>208</v>
      </c>
      <c r="C366" s="51"/>
      <c r="D366" s="51"/>
      <c r="E366" s="52">
        <f>IF(G366="Y",VLOOKUP(B366&amp;"|"&amp;C366,'[1]ETC Data'!$C$2:$D$16,2,FALSE),0)</f>
        <v>0</v>
      </c>
      <c r="F366" s="52">
        <f>IF(D366="",0,IF(G366="Y",VLOOKUP(B366&amp;"|"&amp;D366,'[1]ETC Data'!$C$2:$D$16,2,FALSE),0))</f>
        <v>0</v>
      </c>
      <c r="G366" s="53" t="str">
        <f>IF(VLOOKUP(A366,[1]Plan!A$1:H$804,8,FALSE)&lt;&gt;"",VLOOKUP(A366,[1]Plan!A$1:H$804,8,FALSE),"")</f>
        <v>N</v>
      </c>
      <c r="H366" s="54" t="str">
        <f>IF(VLOOKUP(A366,[1]Plan!A$1:L$804,12,FALSE)&lt;&gt;"",VLOOKUP(A366,[1]Plan!A$1:L$804,12,FALSE),"")</f>
        <v/>
      </c>
      <c r="I366" s="55" t="str">
        <f>IF(VLOOKUP(A366,[1]Plan!A$1:M$804,13,FALSE)&lt;&gt;"",VLOOKUP(A366,[1]Plan!A$1:M$804,13,FALSE),"")</f>
        <v/>
      </c>
      <c r="J366" s="55" t="str">
        <f>IF(VLOOKUP(A366,[1]Plan!A$1:N$804,14,FALSE)&lt;&gt;"",VLOOKUP(A366,[1]Plan!A$1:N$804,14,FALSE),IF(VLOOKUP(A366,[1]Plan!A$1:O$804,15,FALSE)&lt;&gt;"",VLOOKUP(A366,[1]Plan!A$1:O$804,15,FALSE),""))</f>
        <v/>
      </c>
      <c r="K366" s="56" t="str">
        <f>IF(VLOOKUP(A366,[1]Plan!A$1:P$804,16,FALSE)&lt;&gt;"",VLOOKUP(A366,[1]Plan!A$1:P$804,16,FALSE),"")</f>
        <v/>
      </c>
      <c r="L366" s="55"/>
      <c r="M366" s="55"/>
      <c r="N366" s="55"/>
      <c r="O366" s="57">
        <f>IF(F366=0,E366,F366)</f>
        <v>0</v>
      </c>
      <c r="P366" s="57" t="b">
        <f>OR(H366="Y",I366="Y")</f>
        <v>0</v>
      </c>
      <c r="Q366" s="58">
        <f>IF(P366,O366*'[1]ETC Data'!$H$3*'[1]ETC Data'!$I$3,0)</f>
        <v>0</v>
      </c>
      <c r="R366" s="58">
        <f>Q366-(Q366*((VLOOKUP(A366,[1]Plan!A$1:Z$804,26,FALSE)/100)))</f>
        <v>0</v>
      </c>
      <c r="S366" s="58">
        <f>IF(P366,O366*'[1]ETC Data'!$H$3*'[1]ETC Data'!$J$3,0)</f>
        <v>0</v>
      </c>
      <c r="T366" s="58">
        <f>S366-(S366*((VLOOKUP(A366,[1]Plan!A$1:AA$804,27,FALSE)/100)))</f>
        <v>0</v>
      </c>
      <c r="U366" s="58">
        <f>IF(P366,O366*'[1]ETC Data'!$H$3*'[1]ETC Data'!$K$3,0)</f>
        <v>0</v>
      </c>
      <c r="V366" s="58">
        <f>U366-(U366*((VLOOKUP(A366,[1]Plan!A$1:AB$804,28,FALSE)/100)))</f>
        <v>0</v>
      </c>
      <c r="W366" s="58">
        <f>IF(P366,O366*'[1]ETC Data'!$H$3*'[1]ETC Data'!$L$3,0)</f>
        <v>0</v>
      </c>
      <c r="X366" s="58">
        <f>W366-(W366*((VLOOKUP(A366,[1]Plan!A$1:AC$804,29,FALSE)/100)))</f>
        <v>0</v>
      </c>
      <c r="Y366" s="59"/>
      <c r="Z366" s="60" t="b">
        <f>OR(H366="Y",J366="Y")</f>
        <v>0</v>
      </c>
      <c r="AA366" s="58">
        <f>IF(Z366,O366*'[1]ETC Data'!$H$4*'[1]ETC Data'!$I$4,0)</f>
        <v>0</v>
      </c>
      <c r="AB366" s="58">
        <f>AA366-(AA366*((VLOOKUP(A366,[1]Plan!A$1:AI$804,35,FALSE)/100)))</f>
        <v>0</v>
      </c>
      <c r="AC366" s="58">
        <f>IF(Z366,O366*'[1]ETC Data'!$H$4*'[1]ETC Data'!$J$4,0)</f>
        <v>0</v>
      </c>
      <c r="AD366" s="58">
        <f>AC366-(AC366*((VLOOKUP(A366,[1]Plan!A$1:AJ$804,36,FALSE)/100)))</f>
        <v>0</v>
      </c>
      <c r="AE366" s="58">
        <f>IF(Z366,O366*'[1]ETC Data'!$H$4*'[1]ETC Data'!$K$4,0)</f>
        <v>0</v>
      </c>
      <c r="AF366" s="58">
        <f>AE366-(AE366*((VLOOKUP(A366,[1]Plan!A$1:AK$804,37,FALSE)/100)))</f>
        <v>0</v>
      </c>
      <c r="AG366" s="58">
        <f>IF(Z366,O366*'[1]ETC Data'!$H$4*'[1]ETC Data'!$L$4,0)</f>
        <v>0</v>
      </c>
      <c r="AH366" s="58">
        <f>AG366-(AG366*((VLOOKUP(A366,[1]Plan!A$1:AP$804,42,FALSE)/100)))</f>
        <v>0</v>
      </c>
      <c r="AI366" s="60"/>
      <c r="AJ366" s="60" t="b">
        <f>OR(H366="Y",K366="Y")</f>
        <v>0</v>
      </c>
      <c r="AK366" s="61">
        <f>IF(AJ366,O366*'[1]ETC Data'!$H$5*'[1]ETC Data'!$I$5,0)</f>
        <v>0</v>
      </c>
      <c r="AL366" s="58">
        <f>AK366-(AK366*((VLOOKUP(A366,[1]Plan!A$1:AY$804,51,FALSE)/100)))</f>
        <v>0</v>
      </c>
      <c r="AM366" s="58">
        <f>IF(AJ366,O366*'[1]ETC Data'!$H$5*'[1]ETC Data'!$J$5,0)</f>
        <v>0</v>
      </c>
      <c r="AN366" s="58">
        <f>AM366-(AM366*((VLOOKUP(A366,[1]Plan!A$1:BA$804,53,FALSE)/100)))</f>
        <v>0</v>
      </c>
      <c r="AO366" s="61">
        <f>IF(AJ366,O366*'[1]ETC Data'!$H$5*'[1]ETC Data'!$K$5,0)</f>
        <v>0</v>
      </c>
      <c r="AP366" s="58">
        <f>AO366-(AO366*((VLOOKUP(A366,[1]Plan!A$1:BB$804,54,FALSE)/100)))</f>
        <v>0</v>
      </c>
      <c r="AQ366" s="58">
        <f>IF(AJ366,O366*'[1]ETC Data'!$H$5*'[1]ETC Data'!$L$5,0)</f>
        <v>0</v>
      </c>
      <c r="AR366" s="58">
        <f>AQ366-(AQ366*((VLOOKUP(A366,[1]Plan!A$1:BD$804,56,FALSE)/100)))</f>
        <v>0</v>
      </c>
      <c r="AS366" s="20">
        <f>VLOOKUP(A366,'[1]PR Matrix'!A:B,2,FALSE)</f>
        <v>0</v>
      </c>
      <c r="AT366" s="21">
        <f>R366+T366+V366+X366+AB366+AD366+AF366+AH366+AL366+AN366+AP366+AR366</f>
        <v>0</v>
      </c>
      <c r="AU366" s="21">
        <f>Q366+S366+U366+W366+AA366+AC366+AE366+AG366+AK366+AM366+AO366+AQ366</f>
        <v>0</v>
      </c>
      <c r="AV366" s="21">
        <f>R366+AB366+AL366</f>
        <v>0</v>
      </c>
      <c r="AW366" s="21">
        <f>T366+AD366+AN366</f>
        <v>0</v>
      </c>
      <c r="AX366" s="21">
        <f>V366+AF366+AP366</f>
        <v>0</v>
      </c>
      <c r="AY366" s="21">
        <f>X366+AH366+AR366</f>
        <v>0</v>
      </c>
    </row>
    <row r="367" spans="1:51" hidden="1" x14ac:dyDescent="0.2">
      <c r="A367" s="50" t="s">
        <v>574</v>
      </c>
      <c r="B367" s="51" t="s">
        <v>208</v>
      </c>
      <c r="C367" s="51"/>
      <c r="D367" s="51"/>
      <c r="E367" s="52">
        <f>IF(G367="Y",VLOOKUP(B367&amp;"|"&amp;C367,'[1]ETC Data'!$C$2:$D$16,2,FALSE),0)</f>
        <v>0</v>
      </c>
      <c r="F367" s="52">
        <f>IF(D367="",0,IF(G367="Y",VLOOKUP(B367&amp;"|"&amp;D367,'[1]ETC Data'!$C$2:$D$16,2,FALSE),0))</f>
        <v>0</v>
      </c>
      <c r="G367" s="53" t="str">
        <f>IF(VLOOKUP(A367,[1]Plan!A$1:H$804,8,FALSE)&lt;&gt;"",VLOOKUP(A367,[1]Plan!A$1:H$804,8,FALSE),"")</f>
        <v>N</v>
      </c>
      <c r="H367" s="54" t="str">
        <f>IF(VLOOKUP(A367,[1]Plan!A$1:L$804,12,FALSE)&lt;&gt;"",VLOOKUP(A367,[1]Plan!A$1:L$804,12,FALSE),"")</f>
        <v/>
      </c>
      <c r="I367" s="55" t="str">
        <f>IF(VLOOKUP(A367,[1]Plan!A$1:M$804,13,FALSE)&lt;&gt;"",VLOOKUP(A367,[1]Plan!A$1:M$804,13,FALSE),"")</f>
        <v/>
      </c>
      <c r="J367" s="55" t="str">
        <f>IF(VLOOKUP(A367,[1]Plan!A$1:N$804,14,FALSE)&lt;&gt;"",VLOOKUP(A367,[1]Plan!A$1:N$804,14,FALSE),IF(VLOOKUP(A367,[1]Plan!A$1:O$804,15,FALSE)&lt;&gt;"",VLOOKUP(A367,[1]Plan!A$1:O$804,15,FALSE),""))</f>
        <v/>
      </c>
      <c r="K367" s="56" t="str">
        <f>IF(VLOOKUP(A367,[1]Plan!A$1:P$804,16,FALSE)&lt;&gt;"",VLOOKUP(A367,[1]Plan!A$1:P$804,16,FALSE),"")</f>
        <v/>
      </c>
      <c r="L367" s="55"/>
      <c r="M367" s="55"/>
      <c r="N367" s="55"/>
      <c r="O367" s="57">
        <f>IF(F367=0,E367,F367)</f>
        <v>0</v>
      </c>
      <c r="P367" s="57" t="b">
        <f>OR(H367="Y",I367="Y")</f>
        <v>0</v>
      </c>
      <c r="Q367" s="58">
        <f>IF(P367,O367*'[1]ETC Data'!$H$3*'[1]ETC Data'!$I$3,0)</f>
        <v>0</v>
      </c>
      <c r="R367" s="58">
        <f>Q367-(Q367*((VLOOKUP(A367,[1]Plan!A$1:Z$804,26,FALSE)/100)))</f>
        <v>0</v>
      </c>
      <c r="S367" s="58">
        <f>IF(P367,O367*'[1]ETC Data'!$H$3*'[1]ETC Data'!$J$3,0)</f>
        <v>0</v>
      </c>
      <c r="T367" s="58">
        <f>S367-(S367*((VLOOKUP(A367,[1]Plan!A$1:AA$804,27,FALSE)/100)))</f>
        <v>0</v>
      </c>
      <c r="U367" s="58">
        <f>IF(P367,O367*'[1]ETC Data'!$H$3*'[1]ETC Data'!$K$3,0)</f>
        <v>0</v>
      </c>
      <c r="V367" s="58">
        <f>U367-(U367*((VLOOKUP(A367,[1]Plan!A$1:AB$804,28,FALSE)/100)))</f>
        <v>0</v>
      </c>
      <c r="W367" s="58">
        <f>IF(P367,O367*'[1]ETC Data'!$H$3*'[1]ETC Data'!$L$3,0)</f>
        <v>0</v>
      </c>
      <c r="X367" s="58">
        <f>W367-(W367*((VLOOKUP(A367,[1]Plan!A$1:AC$804,29,FALSE)/100)))</f>
        <v>0</v>
      </c>
      <c r="Y367" s="59"/>
      <c r="Z367" s="60" t="b">
        <f>OR(H367="Y",J367="Y")</f>
        <v>0</v>
      </c>
      <c r="AA367" s="58">
        <f>IF(Z367,O367*'[1]ETC Data'!$H$4*'[1]ETC Data'!$I$4,0)</f>
        <v>0</v>
      </c>
      <c r="AB367" s="58">
        <f>AA367-(AA367*((VLOOKUP(A367,[1]Plan!A$1:AI$804,35,FALSE)/100)))</f>
        <v>0</v>
      </c>
      <c r="AC367" s="58">
        <f>IF(Z367,O367*'[1]ETC Data'!$H$4*'[1]ETC Data'!$J$4,0)</f>
        <v>0</v>
      </c>
      <c r="AD367" s="58">
        <f>AC367-(AC367*((VLOOKUP(A367,[1]Plan!A$1:AJ$804,36,FALSE)/100)))</f>
        <v>0</v>
      </c>
      <c r="AE367" s="58">
        <f>IF(Z367,O367*'[1]ETC Data'!$H$4*'[1]ETC Data'!$K$4,0)</f>
        <v>0</v>
      </c>
      <c r="AF367" s="58">
        <f>AE367-(AE367*((VLOOKUP(A367,[1]Plan!A$1:AK$804,37,FALSE)/100)))</f>
        <v>0</v>
      </c>
      <c r="AG367" s="58">
        <f>IF(Z367,O367*'[1]ETC Data'!$H$4*'[1]ETC Data'!$L$4,0)</f>
        <v>0</v>
      </c>
      <c r="AH367" s="58">
        <f>AG367-(AG367*((VLOOKUP(A367,[1]Plan!A$1:AP$804,42,FALSE)/100)))</f>
        <v>0</v>
      </c>
      <c r="AI367" s="60"/>
      <c r="AJ367" s="60" t="b">
        <f>OR(H367="Y",K367="Y")</f>
        <v>0</v>
      </c>
      <c r="AK367" s="61">
        <f>IF(AJ367,O367*'[1]ETC Data'!$H$5*'[1]ETC Data'!$I$5,0)</f>
        <v>0</v>
      </c>
      <c r="AL367" s="58">
        <f>AK367-(AK367*((VLOOKUP(A367,[1]Plan!A$1:AY$804,51,FALSE)/100)))</f>
        <v>0</v>
      </c>
      <c r="AM367" s="58">
        <f>IF(AJ367,O367*'[1]ETC Data'!$H$5*'[1]ETC Data'!$J$5,0)</f>
        <v>0</v>
      </c>
      <c r="AN367" s="58">
        <f>AM367-(AM367*((VLOOKUP(A367,[1]Plan!A$1:BA$804,53,FALSE)/100)))</f>
        <v>0</v>
      </c>
      <c r="AO367" s="61">
        <f>IF(AJ367,O367*'[1]ETC Data'!$H$5*'[1]ETC Data'!$K$5,0)</f>
        <v>0</v>
      </c>
      <c r="AP367" s="58">
        <f>AO367-(AO367*((VLOOKUP(A367,[1]Plan!A$1:BB$804,54,FALSE)/100)))</f>
        <v>0</v>
      </c>
      <c r="AQ367" s="58">
        <f>IF(AJ367,O367*'[1]ETC Data'!$H$5*'[1]ETC Data'!$L$5,0)</f>
        <v>0</v>
      </c>
      <c r="AR367" s="58">
        <f>AQ367-(AQ367*((VLOOKUP(A367,[1]Plan!A$1:BD$804,56,FALSE)/100)))</f>
        <v>0</v>
      </c>
      <c r="AS367" s="20">
        <f>VLOOKUP(A367,'[1]PR Matrix'!A:B,2,FALSE)</f>
        <v>0</v>
      </c>
      <c r="AT367" s="21">
        <f>R367+T367+V367+X367+AB367+AD367+AF367+AH367+AL367+AN367+AP367+AR367</f>
        <v>0</v>
      </c>
      <c r="AU367" s="21">
        <f>Q367+S367+U367+W367+AA367+AC367+AE367+AG367+AK367+AM367+AO367+AQ367</f>
        <v>0</v>
      </c>
      <c r="AV367" s="21">
        <f>R367+AB367+AL367</f>
        <v>0</v>
      </c>
      <c r="AW367" s="21">
        <f>T367+AD367+AN367</f>
        <v>0</v>
      </c>
      <c r="AX367" s="21">
        <f>V367+AF367+AP367</f>
        <v>0</v>
      </c>
      <c r="AY367" s="21">
        <f>X367+AH367+AR367</f>
        <v>0</v>
      </c>
    </row>
    <row r="368" spans="1:51" hidden="1" x14ac:dyDescent="0.2">
      <c r="A368" s="50" t="s">
        <v>575</v>
      </c>
      <c r="B368" s="51" t="s">
        <v>208</v>
      </c>
      <c r="C368" s="51"/>
      <c r="D368" s="51"/>
      <c r="E368" s="52">
        <f>IF(G368="Y",VLOOKUP(B368&amp;"|"&amp;C368,'[1]ETC Data'!$C$2:$D$16,2,FALSE),0)</f>
        <v>0</v>
      </c>
      <c r="F368" s="52">
        <f>IF(D368="",0,IF(G368="Y",VLOOKUP(B368&amp;"|"&amp;D368,'[1]ETC Data'!$C$2:$D$16,2,FALSE),0))</f>
        <v>0</v>
      </c>
      <c r="G368" s="53" t="str">
        <f>IF(VLOOKUP(A368,[1]Plan!A$1:H$804,8,FALSE)&lt;&gt;"",VLOOKUP(A368,[1]Plan!A$1:H$804,8,FALSE),"")</f>
        <v>N</v>
      </c>
      <c r="H368" s="54" t="str">
        <f>IF(VLOOKUP(A368,[1]Plan!A$1:L$804,12,FALSE)&lt;&gt;"",VLOOKUP(A368,[1]Plan!A$1:L$804,12,FALSE),"")</f>
        <v/>
      </c>
      <c r="I368" s="55" t="str">
        <f>IF(VLOOKUP(A368,[1]Plan!A$1:M$804,13,FALSE)&lt;&gt;"",VLOOKUP(A368,[1]Plan!A$1:M$804,13,FALSE),"")</f>
        <v/>
      </c>
      <c r="J368" s="55" t="str">
        <f>IF(VLOOKUP(A368,[1]Plan!A$1:N$804,14,FALSE)&lt;&gt;"",VLOOKUP(A368,[1]Plan!A$1:N$804,14,FALSE),IF(VLOOKUP(A368,[1]Plan!A$1:O$804,15,FALSE)&lt;&gt;"",VLOOKUP(A368,[1]Plan!A$1:O$804,15,FALSE),""))</f>
        <v/>
      </c>
      <c r="K368" s="56" t="str">
        <f>IF(VLOOKUP(A368,[1]Plan!A$1:P$804,16,FALSE)&lt;&gt;"",VLOOKUP(A368,[1]Plan!A$1:P$804,16,FALSE),"")</f>
        <v/>
      </c>
      <c r="L368" s="55"/>
      <c r="M368" s="55"/>
      <c r="N368" s="55"/>
      <c r="O368" s="57">
        <f>IF(F368=0,E368,F368)</f>
        <v>0</v>
      </c>
      <c r="P368" s="57" t="b">
        <f>OR(H368="Y",I368="Y")</f>
        <v>0</v>
      </c>
      <c r="Q368" s="58">
        <f>IF(P368,O368*'[1]ETC Data'!$H$3*'[1]ETC Data'!$I$3,0)</f>
        <v>0</v>
      </c>
      <c r="R368" s="58">
        <f>Q368-(Q368*((VLOOKUP(A368,[1]Plan!A$1:Z$804,26,FALSE)/100)))</f>
        <v>0</v>
      </c>
      <c r="S368" s="58">
        <f>IF(P368,O368*'[1]ETC Data'!$H$3*'[1]ETC Data'!$J$3,0)</f>
        <v>0</v>
      </c>
      <c r="T368" s="58">
        <f>S368-(S368*((VLOOKUP(A368,[1]Plan!A$1:AA$804,27,FALSE)/100)))</f>
        <v>0</v>
      </c>
      <c r="U368" s="58">
        <f>IF(P368,O368*'[1]ETC Data'!$H$3*'[1]ETC Data'!$K$3,0)</f>
        <v>0</v>
      </c>
      <c r="V368" s="58">
        <f>U368-(U368*((VLOOKUP(A368,[1]Plan!A$1:AB$804,28,FALSE)/100)))</f>
        <v>0</v>
      </c>
      <c r="W368" s="58">
        <f>IF(P368,O368*'[1]ETC Data'!$H$3*'[1]ETC Data'!$L$3,0)</f>
        <v>0</v>
      </c>
      <c r="X368" s="58">
        <f>W368-(W368*((VLOOKUP(A368,[1]Plan!A$1:AC$804,29,FALSE)/100)))</f>
        <v>0</v>
      </c>
      <c r="Y368" s="59"/>
      <c r="Z368" s="60" t="b">
        <f>OR(H368="Y",J368="Y")</f>
        <v>0</v>
      </c>
      <c r="AA368" s="58">
        <f>IF(Z368,O368*'[1]ETC Data'!$H$4*'[1]ETC Data'!$I$4,0)</f>
        <v>0</v>
      </c>
      <c r="AB368" s="58">
        <f>AA368-(AA368*((VLOOKUP(A368,[1]Plan!A$1:AI$804,35,FALSE)/100)))</f>
        <v>0</v>
      </c>
      <c r="AC368" s="58">
        <f>IF(Z368,O368*'[1]ETC Data'!$H$4*'[1]ETC Data'!$J$4,0)</f>
        <v>0</v>
      </c>
      <c r="AD368" s="58">
        <f>AC368-(AC368*((VLOOKUP(A368,[1]Plan!A$1:AJ$804,36,FALSE)/100)))</f>
        <v>0</v>
      </c>
      <c r="AE368" s="58">
        <f>IF(Z368,O368*'[1]ETC Data'!$H$4*'[1]ETC Data'!$K$4,0)</f>
        <v>0</v>
      </c>
      <c r="AF368" s="58">
        <f>AE368-(AE368*((VLOOKUP(A368,[1]Plan!A$1:AK$804,37,FALSE)/100)))</f>
        <v>0</v>
      </c>
      <c r="AG368" s="58">
        <f>IF(Z368,O368*'[1]ETC Data'!$H$4*'[1]ETC Data'!$L$4,0)</f>
        <v>0</v>
      </c>
      <c r="AH368" s="58">
        <f>AG368-(AG368*((VLOOKUP(A368,[1]Plan!A$1:AP$804,42,FALSE)/100)))</f>
        <v>0</v>
      </c>
      <c r="AI368" s="60"/>
      <c r="AJ368" s="60" t="b">
        <f>OR(H368="Y",K368="Y")</f>
        <v>0</v>
      </c>
      <c r="AK368" s="61">
        <f>IF(AJ368,O368*'[1]ETC Data'!$H$5*'[1]ETC Data'!$I$5,0)</f>
        <v>0</v>
      </c>
      <c r="AL368" s="58">
        <f>AK368-(AK368*((VLOOKUP(A368,[1]Plan!A$1:AY$804,51,FALSE)/100)))</f>
        <v>0</v>
      </c>
      <c r="AM368" s="58">
        <f>IF(AJ368,O368*'[1]ETC Data'!$H$5*'[1]ETC Data'!$J$5,0)</f>
        <v>0</v>
      </c>
      <c r="AN368" s="58">
        <f>AM368-(AM368*((VLOOKUP(A368,[1]Plan!A$1:BA$804,53,FALSE)/100)))</f>
        <v>0</v>
      </c>
      <c r="AO368" s="61">
        <f>IF(AJ368,O368*'[1]ETC Data'!$H$5*'[1]ETC Data'!$K$5,0)</f>
        <v>0</v>
      </c>
      <c r="AP368" s="58">
        <f>AO368-(AO368*((VLOOKUP(A368,[1]Plan!A$1:BB$804,54,FALSE)/100)))</f>
        <v>0</v>
      </c>
      <c r="AQ368" s="58">
        <f>IF(AJ368,O368*'[1]ETC Data'!$H$5*'[1]ETC Data'!$L$5,0)</f>
        <v>0</v>
      </c>
      <c r="AR368" s="58">
        <f>AQ368-(AQ368*((VLOOKUP(A368,[1]Plan!A$1:BD$804,56,FALSE)/100)))</f>
        <v>0</v>
      </c>
      <c r="AS368" s="20">
        <f>VLOOKUP(A368,'[1]PR Matrix'!A:B,2,FALSE)</f>
        <v>0</v>
      </c>
      <c r="AT368" s="21">
        <f>R368+T368+V368+X368+AB368+AD368+AF368+AH368+AL368+AN368+AP368+AR368</f>
        <v>0</v>
      </c>
      <c r="AU368" s="21">
        <f>Q368+S368+U368+W368+AA368+AC368+AE368+AG368+AK368+AM368+AO368+AQ368</f>
        <v>0</v>
      </c>
      <c r="AV368" s="21">
        <f>R368+AB368+AL368</f>
        <v>0</v>
      </c>
      <c r="AW368" s="21">
        <f>T368+AD368+AN368</f>
        <v>0</v>
      </c>
      <c r="AX368" s="21">
        <f>V368+AF368+AP368</f>
        <v>0</v>
      </c>
      <c r="AY368" s="21">
        <f>X368+AH368+AR368</f>
        <v>0</v>
      </c>
    </row>
    <row r="369" spans="1:51" hidden="1" x14ac:dyDescent="0.2">
      <c r="A369" s="50" t="s">
        <v>576</v>
      </c>
      <c r="B369" s="51" t="s">
        <v>208</v>
      </c>
      <c r="C369" s="51"/>
      <c r="D369" s="51"/>
      <c r="E369" s="52">
        <f>IF(G369="Y",VLOOKUP(B369&amp;"|"&amp;C369,'[1]ETC Data'!$C$2:$D$16,2,FALSE),0)</f>
        <v>0</v>
      </c>
      <c r="F369" s="52">
        <f>IF(D369="",0,IF(G369="Y",VLOOKUP(B369&amp;"|"&amp;D369,'[1]ETC Data'!$C$2:$D$16,2,FALSE),0))</f>
        <v>0</v>
      </c>
      <c r="G369" s="53" t="str">
        <f>IF(VLOOKUP(A369,[1]Plan!A$1:H$804,8,FALSE)&lt;&gt;"",VLOOKUP(A369,[1]Plan!A$1:H$804,8,FALSE),"")</f>
        <v>N</v>
      </c>
      <c r="H369" s="54" t="str">
        <f>IF(VLOOKUP(A369,[1]Plan!A$1:L$804,12,FALSE)&lt;&gt;"",VLOOKUP(A369,[1]Plan!A$1:L$804,12,FALSE),"")</f>
        <v/>
      </c>
      <c r="I369" s="55" t="str">
        <f>IF(VLOOKUP(A369,[1]Plan!A$1:M$804,13,FALSE)&lt;&gt;"",VLOOKUP(A369,[1]Plan!A$1:M$804,13,FALSE),"")</f>
        <v/>
      </c>
      <c r="J369" s="55" t="str">
        <f>IF(VLOOKUP(A369,[1]Plan!A$1:N$804,14,FALSE)&lt;&gt;"",VLOOKUP(A369,[1]Plan!A$1:N$804,14,FALSE),IF(VLOOKUP(A369,[1]Plan!A$1:O$804,15,FALSE)&lt;&gt;"",VLOOKUP(A369,[1]Plan!A$1:O$804,15,FALSE),""))</f>
        <v/>
      </c>
      <c r="K369" s="56" t="str">
        <f>IF(VLOOKUP(A369,[1]Plan!A$1:P$804,16,FALSE)&lt;&gt;"",VLOOKUP(A369,[1]Plan!A$1:P$804,16,FALSE),"")</f>
        <v/>
      </c>
      <c r="L369" s="55"/>
      <c r="M369" s="55"/>
      <c r="N369" s="55"/>
      <c r="O369" s="57">
        <f>IF(F369=0,E369,F369)</f>
        <v>0</v>
      </c>
      <c r="P369" s="57" t="b">
        <f>OR(H369="Y",I369="Y")</f>
        <v>0</v>
      </c>
      <c r="Q369" s="58">
        <f>IF(P369,O369*'[1]ETC Data'!$H$3*'[1]ETC Data'!$I$3,0)</f>
        <v>0</v>
      </c>
      <c r="R369" s="58">
        <f>Q369-(Q369*((VLOOKUP(A369,[1]Plan!A$1:Z$804,26,FALSE)/100)))</f>
        <v>0</v>
      </c>
      <c r="S369" s="58">
        <f>IF(P369,O369*'[1]ETC Data'!$H$3*'[1]ETC Data'!$J$3,0)</f>
        <v>0</v>
      </c>
      <c r="T369" s="58">
        <f>S369-(S369*((VLOOKUP(A369,[1]Plan!A$1:AA$804,27,FALSE)/100)))</f>
        <v>0</v>
      </c>
      <c r="U369" s="58">
        <f>IF(P369,O369*'[1]ETC Data'!$H$3*'[1]ETC Data'!$K$3,0)</f>
        <v>0</v>
      </c>
      <c r="V369" s="58">
        <f>U369-(U369*((VLOOKUP(A369,[1]Plan!A$1:AB$804,28,FALSE)/100)))</f>
        <v>0</v>
      </c>
      <c r="W369" s="58">
        <f>IF(P369,O369*'[1]ETC Data'!$H$3*'[1]ETC Data'!$L$3,0)</f>
        <v>0</v>
      </c>
      <c r="X369" s="58">
        <f>W369-(W369*((VLOOKUP(A369,[1]Plan!A$1:AC$804,29,FALSE)/100)))</f>
        <v>0</v>
      </c>
      <c r="Y369" s="59"/>
      <c r="Z369" s="60" t="b">
        <f>OR(H369="Y",J369="Y")</f>
        <v>0</v>
      </c>
      <c r="AA369" s="58">
        <f>IF(Z369,O369*'[1]ETC Data'!$H$4*'[1]ETC Data'!$I$4,0)</f>
        <v>0</v>
      </c>
      <c r="AB369" s="58">
        <f>AA369-(AA369*((VLOOKUP(A369,[1]Plan!A$1:AI$804,35,FALSE)/100)))</f>
        <v>0</v>
      </c>
      <c r="AC369" s="58">
        <f>IF(Z369,O369*'[1]ETC Data'!$H$4*'[1]ETC Data'!$J$4,0)</f>
        <v>0</v>
      </c>
      <c r="AD369" s="58">
        <f>AC369-(AC369*((VLOOKUP(A369,[1]Plan!A$1:AJ$804,36,FALSE)/100)))</f>
        <v>0</v>
      </c>
      <c r="AE369" s="58">
        <f>IF(Z369,O369*'[1]ETC Data'!$H$4*'[1]ETC Data'!$K$4,0)</f>
        <v>0</v>
      </c>
      <c r="AF369" s="58">
        <f>AE369-(AE369*((VLOOKUP(A369,[1]Plan!A$1:AK$804,37,FALSE)/100)))</f>
        <v>0</v>
      </c>
      <c r="AG369" s="58">
        <f>IF(Z369,O369*'[1]ETC Data'!$H$4*'[1]ETC Data'!$L$4,0)</f>
        <v>0</v>
      </c>
      <c r="AH369" s="58">
        <f>AG369-(AG369*((VLOOKUP(A369,[1]Plan!A$1:AP$804,42,FALSE)/100)))</f>
        <v>0</v>
      </c>
      <c r="AI369" s="60"/>
      <c r="AJ369" s="60" t="b">
        <f>OR(H369="Y",K369="Y")</f>
        <v>0</v>
      </c>
      <c r="AK369" s="61">
        <f>IF(AJ369,O369*'[1]ETC Data'!$H$5*'[1]ETC Data'!$I$5,0)</f>
        <v>0</v>
      </c>
      <c r="AL369" s="58">
        <f>AK369-(AK369*((VLOOKUP(A369,[1]Plan!A$1:AY$804,51,FALSE)/100)))</f>
        <v>0</v>
      </c>
      <c r="AM369" s="58">
        <f>IF(AJ369,O369*'[1]ETC Data'!$H$5*'[1]ETC Data'!$J$5,0)</f>
        <v>0</v>
      </c>
      <c r="AN369" s="58">
        <f>AM369-(AM369*((VLOOKUP(A369,[1]Plan!A$1:BA$804,53,FALSE)/100)))</f>
        <v>0</v>
      </c>
      <c r="AO369" s="61">
        <f>IF(AJ369,O369*'[1]ETC Data'!$H$5*'[1]ETC Data'!$K$5,0)</f>
        <v>0</v>
      </c>
      <c r="AP369" s="58">
        <f>AO369-(AO369*((VLOOKUP(A369,[1]Plan!A$1:BB$804,54,FALSE)/100)))</f>
        <v>0</v>
      </c>
      <c r="AQ369" s="58">
        <f>IF(AJ369,O369*'[1]ETC Data'!$H$5*'[1]ETC Data'!$L$5,0)</f>
        <v>0</v>
      </c>
      <c r="AR369" s="58">
        <f>AQ369-(AQ369*((VLOOKUP(A369,[1]Plan!A$1:BD$804,56,FALSE)/100)))</f>
        <v>0</v>
      </c>
      <c r="AS369" s="20">
        <f>VLOOKUP(A369,'[1]PR Matrix'!A:B,2,FALSE)</f>
        <v>0</v>
      </c>
      <c r="AT369" s="21">
        <f>R369+T369+V369+X369+AB369+AD369+AF369+AH369+AL369+AN369+AP369+AR369</f>
        <v>0</v>
      </c>
      <c r="AU369" s="21">
        <f>Q369+S369+U369+W369+AA369+AC369+AE369+AG369+AK369+AM369+AO369+AQ369</f>
        <v>0</v>
      </c>
      <c r="AV369" s="21">
        <f>R369+AB369+AL369</f>
        <v>0</v>
      </c>
      <c r="AW369" s="21">
        <f>T369+AD369+AN369</f>
        <v>0</v>
      </c>
      <c r="AX369" s="21">
        <f>V369+AF369+AP369</f>
        <v>0</v>
      </c>
      <c r="AY369" s="21">
        <f>X369+AH369+AR369</f>
        <v>0</v>
      </c>
    </row>
    <row r="370" spans="1:51" hidden="1" x14ac:dyDescent="0.2">
      <c r="A370" s="50" t="s">
        <v>577</v>
      </c>
      <c r="B370" s="51" t="s">
        <v>208</v>
      </c>
      <c r="C370" s="51"/>
      <c r="D370" s="51"/>
      <c r="E370" s="52">
        <f>IF(G370="Y",VLOOKUP(B370&amp;"|"&amp;C370,'[1]ETC Data'!$C$2:$D$16,2,FALSE),0)</f>
        <v>0</v>
      </c>
      <c r="F370" s="52">
        <f>IF(D370="",0,IF(G370="Y",VLOOKUP(B370&amp;"|"&amp;D370,'[1]ETC Data'!$C$2:$D$16,2,FALSE),0))</f>
        <v>0</v>
      </c>
      <c r="G370" s="53" t="str">
        <f>IF(VLOOKUP(A370,[1]Plan!A$1:H$804,8,FALSE)&lt;&gt;"",VLOOKUP(A370,[1]Plan!A$1:H$804,8,FALSE),"")</f>
        <v>N</v>
      </c>
      <c r="H370" s="54" t="str">
        <f>IF(VLOOKUP(A370,[1]Plan!A$1:L$804,12,FALSE)&lt;&gt;"",VLOOKUP(A370,[1]Plan!A$1:L$804,12,FALSE),"")</f>
        <v/>
      </c>
      <c r="I370" s="55" t="str">
        <f>IF(VLOOKUP(A370,[1]Plan!A$1:M$804,13,FALSE)&lt;&gt;"",VLOOKUP(A370,[1]Plan!A$1:M$804,13,FALSE),"")</f>
        <v/>
      </c>
      <c r="J370" s="55" t="str">
        <f>IF(VLOOKUP(A370,[1]Plan!A$1:N$804,14,FALSE)&lt;&gt;"",VLOOKUP(A370,[1]Plan!A$1:N$804,14,FALSE),IF(VLOOKUP(A370,[1]Plan!A$1:O$804,15,FALSE)&lt;&gt;"",VLOOKUP(A370,[1]Plan!A$1:O$804,15,FALSE),""))</f>
        <v/>
      </c>
      <c r="K370" s="56" t="str">
        <f>IF(VLOOKUP(A370,[1]Plan!A$1:P$804,16,FALSE)&lt;&gt;"",VLOOKUP(A370,[1]Plan!A$1:P$804,16,FALSE),"")</f>
        <v/>
      </c>
      <c r="L370" s="55"/>
      <c r="M370" s="55"/>
      <c r="N370" s="55"/>
      <c r="O370" s="57">
        <f>IF(F370=0,E370,F370)</f>
        <v>0</v>
      </c>
      <c r="P370" s="57" t="b">
        <f>OR(H370="Y",I370="Y")</f>
        <v>0</v>
      </c>
      <c r="Q370" s="58">
        <f>IF(P370,O370*'[1]ETC Data'!$H$3*'[1]ETC Data'!$I$3,0)</f>
        <v>0</v>
      </c>
      <c r="R370" s="58">
        <f>Q370-(Q370*((VLOOKUP(A370,[1]Plan!A$1:Z$804,26,FALSE)/100)))</f>
        <v>0</v>
      </c>
      <c r="S370" s="58">
        <f>IF(P370,O370*'[1]ETC Data'!$H$3*'[1]ETC Data'!$J$3,0)</f>
        <v>0</v>
      </c>
      <c r="T370" s="58">
        <f>S370-(S370*((VLOOKUP(A370,[1]Plan!A$1:AA$804,27,FALSE)/100)))</f>
        <v>0</v>
      </c>
      <c r="U370" s="58">
        <f>IF(P370,O370*'[1]ETC Data'!$H$3*'[1]ETC Data'!$K$3,0)</f>
        <v>0</v>
      </c>
      <c r="V370" s="58">
        <f>U370-(U370*((VLOOKUP(A370,[1]Plan!A$1:AB$804,28,FALSE)/100)))</f>
        <v>0</v>
      </c>
      <c r="W370" s="58">
        <f>IF(P370,O370*'[1]ETC Data'!$H$3*'[1]ETC Data'!$L$3,0)</f>
        <v>0</v>
      </c>
      <c r="X370" s="58">
        <f>W370-(W370*((VLOOKUP(A370,[1]Plan!A$1:AC$804,29,FALSE)/100)))</f>
        <v>0</v>
      </c>
      <c r="Y370" s="59"/>
      <c r="Z370" s="60" t="b">
        <f>OR(H370="Y",J370="Y")</f>
        <v>0</v>
      </c>
      <c r="AA370" s="58">
        <f>IF(Z370,O370*'[1]ETC Data'!$H$4*'[1]ETC Data'!$I$4,0)</f>
        <v>0</v>
      </c>
      <c r="AB370" s="58">
        <f>AA370-(AA370*((VLOOKUP(A370,[1]Plan!A$1:AI$804,35,FALSE)/100)))</f>
        <v>0</v>
      </c>
      <c r="AC370" s="58">
        <f>IF(Z370,O370*'[1]ETC Data'!$H$4*'[1]ETC Data'!$J$4,0)</f>
        <v>0</v>
      </c>
      <c r="AD370" s="58">
        <f>AC370-(AC370*((VLOOKUP(A370,[1]Plan!A$1:AJ$804,36,FALSE)/100)))</f>
        <v>0</v>
      </c>
      <c r="AE370" s="58">
        <f>IF(Z370,O370*'[1]ETC Data'!$H$4*'[1]ETC Data'!$K$4,0)</f>
        <v>0</v>
      </c>
      <c r="AF370" s="58">
        <f>AE370-(AE370*((VLOOKUP(A370,[1]Plan!A$1:AK$804,37,FALSE)/100)))</f>
        <v>0</v>
      </c>
      <c r="AG370" s="58">
        <f>IF(Z370,O370*'[1]ETC Data'!$H$4*'[1]ETC Data'!$L$4,0)</f>
        <v>0</v>
      </c>
      <c r="AH370" s="58">
        <f>AG370-(AG370*((VLOOKUP(A370,[1]Plan!A$1:AP$804,42,FALSE)/100)))</f>
        <v>0</v>
      </c>
      <c r="AI370" s="60"/>
      <c r="AJ370" s="60" t="b">
        <f>OR(H370="Y",K370="Y")</f>
        <v>0</v>
      </c>
      <c r="AK370" s="61">
        <f>IF(AJ370,O370*'[1]ETC Data'!$H$5*'[1]ETC Data'!$I$5,0)</f>
        <v>0</v>
      </c>
      <c r="AL370" s="58">
        <f>AK370-(AK370*((VLOOKUP(A370,[1]Plan!A$1:AY$804,51,FALSE)/100)))</f>
        <v>0</v>
      </c>
      <c r="AM370" s="58">
        <f>IF(AJ370,O370*'[1]ETC Data'!$H$5*'[1]ETC Data'!$J$5,0)</f>
        <v>0</v>
      </c>
      <c r="AN370" s="58">
        <f>AM370-(AM370*((VLOOKUP(A370,[1]Plan!A$1:BA$804,53,FALSE)/100)))</f>
        <v>0</v>
      </c>
      <c r="AO370" s="61">
        <f>IF(AJ370,O370*'[1]ETC Data'!$H$5*'[1]ETC Data'!$K$5,0)</f>
        <v>0</v>
      </c>
      <c r="AP370" s="58">
        <f>AO370-(AO370*((VLOOKUP(A370,[1]Plan!A$1:BB$804,54,FALSE)/100)))</f>
        <v>0</v>
      </c>
      <c r="AQ370" s="58">
        <f>IF(AJ370,O370*'[1]ETC Data'!$H$5*'[1]ETC Data'!$L$5,0)</f>
        <v>0</v>
      </c>
      <c r="AR370" s="58">
        <f>AQ370-(AQ370*((VLOOKUP(A370,[1]Plan!A$1:BD$804,56,FALSE)/100)))</f>
        <v>0</v>
      </c>
      <c r="AS370" s="20">
        <f>VLOOKUP(A370,'[1]PR Matrix'!A:B,2,FALSE)</f>
        <v>0</v>
      </c>
      <c r="AT370" s="21">
        <f>R370+T370+V370+X370+AB370+AD370+AF370+AH370+AL370+AN370+AP370+AR370</f>
        <v>0</v>
      </c>
      <c r="AU370" s="21">
        <f>Q370+S370+U370+W370+AA370+AC370+AE370+AG370+AK370+AM370+AO370+AQ370</f>
        <v>0</v>
      </c>
      <c r="AV370" s="21">
        <f>R370+AB370+AL370</f>
        <v>0</v>
      </c>
      <c r="AW370" s="21">
        <f>T370+AD370+AN370</f>
        <v>0</v>
      </c>
      <c r="AX370" s="21">
        <f>V370+AF370+AP370</f>
        <v>0</v>
      </c>
      <c r="AY370" s="21">
        <f>X370+AH370+AR370</f>
        <v>0</v>
      </c>
    </row>
    <row r="371" spans="1:51" hidden="1" x14ac:dyDescent="0.2">
      <c r="A371" s="50" t="s">
        <v>578</v>
      </c>
      <c r="B371" s="51" t="s">
        <v>208</v>
      </c>
      <c r="C371" s="51"/>
      <c r="D371" s="51"/>
      <c r="E371" s="52">
        <f>IF(G371="Y",VLOOKUP(B371&amp;"|"&amp;C371,'[1]ETC Data'!$C$2:$D$16,2,FALSE),0)</f>
        <v>0</v>
      </c>
      <c r="F371" s="52">
        <f>IF(D371="",0,IF(G371="Y",VLOOKUP(B371&amp;"|"&amp;D371,'[1]ETC Data'!$C$2:$D$16,2,FALSE),0))</f>
        <v>0</v>
      </c>
      <c r="G371" s="53" t="str">
        <f>IF(VLOOKUP(A371,[1]Plan!A$1:H$804,8,FALSE)&lt;&gt;"",VLOOKUP(A371,[1]Plan!A$1:H$804,8,FALSE),"")</f>
        <v>N</v>
      </c>
      <c r="H371" s="54" t="str">
        <f>IF(VLOOKUP(A371,[1]Plan!A$1:L$804,12,FALSE)&lt;&gt;"",VLOOKUP(A371,[1]Plan!A$1:L$804,12,FALSE),"")</f>
        <v/>
      </c>
      <c r="I371" s="55" t="str">
        <f>IF(VLOOKUP(A371,[1]Plan!A$1:M$804,13,FALSE)&lt;&gt;"",VLOOKUP(A371,[1]Plan!A$1:M$804,13,FALSE),"")</f>
        <v/>
      </c>
      <c r="J371" s="55" t="str">
        <f>IF(VLOOKUP(A371,[1]Plan!A$1:N$804,14,FALSE)&lt;&gt;"",VLOOKUP(A371,[1]Plan!A$1:N$804,14,FALSE),IF(VLOOKUP(A371,[1]Plan!A$1:O$804,15,FALSE)&lt;&gt;"",VLOOKUP(A371,[1]Plan!A$1:O$804,15,FALSE),""))</f>
        <v/>
      </c>
      <c r="K371" s="56" t="str">
        <f>IF(VLOOKUP(A371,[1]Plan!A$1:P$804,16,FALSE)&lt;&gt;"",VLOOKUP(A371,[1]Plan!A$1:P$804,16,FALSE),"")</f>
        <v/>
      </c>
      <c r="L371" s="55"/>
      <c r="M371" s="55"/>
      <c r="N371" s="55"/>
      <c r="O371" s="57">
        <f>IF(F371=0,E371,F371)</f>
        <v>0</v>
      </c>
      <c r="P371" s="57" t="b">
        <f>OR(H371="Y",I371="Y")</f>
        <v>0</v>
      </c>
      <c r="Q371" s="58">
        <f>IF(P371,O371*'[1]ETC Data'!$H$3*'[1]ETC Data'!$I$3,0)</f>
        <v>0</v>
      </c>
      <c r="R371" s="58">
        <f>Q371-(Q371*((VLOOKUP(A371,[1]Plan!A$1:Z$804,26,FALSE)/100)))</f>
        <v>0</v>
      </c>
      <c r="S371" s="58">
        <f>IF(P371,O371*'[1]ETC Data'!$H$3*'[1]ETC Data'!$J$3,0)</f>
        <v>0</v>
      </c>
      <c r="T371" s="58">
        <f>S371-(S371*((VLOOKUP(A371,[1]Plan!A$1:AA$804,27,FALSE)/100)))</f>
        <v>0</v>
      </c>
      <c r="U371" s="58">
        <f>IF(P371,O371*'[1]ETC Data'!$H$3*'[1]ETC Data'!$K$3,0)</f>
        <v>0</v>
      </c>
      <c r="V371" s="58">
        <f>U371-(U371*((VLOOKUP(A371,[1]Plan!A$1:AB$804,28,FALSE)/100)))</f>
        <v>0</v>
      </c>
      <c r="W371" s="58">
        <f>IF(P371,O371*'[1]ETC Data'!$H$3*'[1]ETC Data'!$L$3,0)</f>
        <v>0</v>
      </c>
      <c r="X371" s="58">
        <f>W371-(W371*((VLOOKUP(A371,[1]Plan!A$1:AC$804,29,FALSE)/100)))</f>
        <v>0</v>
      </c>
      <c r="Y371" s="59"/>
      <c r="Z371" s="60" t="b">
        <f>OR(H371="Y",J371="Y")</f>
        <v>0</v>
      </c>
      <c r="AA371" s="58">
        <f>IF(Z371,O371*'[1]ETC Data'!$H$4*'[1]ETC Data'!$I$4,0)</f>
        <v>0</v>
      </c>
      <c r="AB371" s="58">
        <f>AA371-(AA371*((VLOOKUP(A371,[1]Plan!A$1:AI$804,35,FALSE)/100)))</f>
        <v>0</v>
      </c>
      <c r="AC371" s="58">
        <f>IF(Z371,O371*'[1]ETC Data'!$H$4*'[1]ETC Data'!$J$4,0)</f>
        <v>0</v>
      </c>
      <c r="AD371" s="58">
        <f>AC371-(AC371*((VLOOKUP(A371,[1]Plan!A$1:AJ$804,36,FALSE)/100)))</f>
        <v>0</v>
      </c>
      <c r="AE371" s="58">
        <f>IF(Z371,O371*'[1]ETC Data'!$H$4*'[1]ETC Data'!$K$4,0)</f>
        <v>0</v>
      </c>
      <c r="AF371" s="58">
        <f>AE371-(AE371*((VLOOKUP(A371,[1]Plan!A$1:AK$804,37,FALSE)/100)))</f>
        <v>0</v>
      </c>
      <c r="AG371" s="58">
        <f>IF(Z371,O371*'[1]ETC Data'!$H$4*'[1]ETC Data'!$L$4,0)</f>
        <v>0</v>
      </c>
      <c r="AH371" s="58">
        <f>AG371-(AG371*((VLOOKUP(A371,[1]Plan!A$1:AP$804,42,FALSE)/100)))</f>
        <v>0</v>
      </c>
      <c r="AI371" s="60"/>
      <c r="AJ371" s="60" t="b">
        <f>OR(H371="Y",K371="Y")</f>
        <v>0</v>
      </c>
      <c r="AK371" s="61">
        <f>IF(AJ371,O371*'[1]ETC Data'!$H$5*'[1]ETC Data'!$I$5,0)</f>
        <v>0</v>
      </c>
      <c r="AL371" s="58">
        <f>AK371-(AK371*((VLOOKUP(A371,[1]Plan!A$1:AY$804,51,FALSE)/100)))</f>
        <v>0</v>
      </c>
      <c r="AM371" s="58">
        <f>IF(AJ371,O371*'[1]ETC Data'!$H$5*'[1]ETC Data'!$J$5,0)</f>
        <v>0</v>
      </c>
      <c r="AN371" s="58">
        <f>AM371-(AM371*((VLOOKUP(A371,[1]Plan!A$1:BA$804,53,FALSE)/100)))</f>
        <v>0</v>
      </c>
      <c r="AO371" s="61">
        <f>IF(AJ371,O371*'[1]ETC Data'!$H$5*'[1]ETC Data'!$K$5,0)</f>
        <v>0</v>
      </c>
      <c r="AP371" s="58">
        <f>AO371-(AO371*((VLOOKUP(A371,[1]Plan!A$1:BB$804,54,FALSE)/100)))</f>
        <v>0</v>
      </c>
      <c r="AQ371" s="58">
        <f>IF(AJ371,O371*'[1]ETC Data'!$H$5*'[1]ETC Data'!$L$5,0)</f>
        <v>0</v>
      </c>
      <c r="AR371" s="58">
        <f>AQ371-(AQ371*((VLOOKUP(A371,[1]Plan!A$1:BD$804,56,FALSE)/100)))</f>
        <v>0</v>
      </c>
      <c r="AS371" s="20">
        <f>VLOOKUP(A371,'[1]PR Matrix'!A:B,2,FALSE)</f>
        <v>0</v>
      </c>
      <c r="AT371" s="21">
        <f>R371+T371+V371+X371+AB371+AD371+AF371+AH371+AL371+AN371+AP371+AR371</f>
        <v>0</v>
      </c>
      <c r="AU371" s="21">
        <f>Q371+S371+U371+W371+AA371+AC371+AE371+AG371+AK371+AM371+AO371+AQ371</f>
        <v>0</v>
      </c>
      <c r="AV371" s="21">
        <f>R371+AB371+AL371</f>
        <v>0</v>
      </c>
      <c r="AW371" s="21">
        <f>T371+AD371+AN371</f>
        <v>0</v>
      </c>
      <c r="AX371" s="21">
        <f>V371+AF371+AP371</f>
        <v>0</v>
      </c>
      <c r="AY371" s="21">
        <f>X371+AH371+AR371</f>
        <v>0</v>
      </c>
    </row>
    <row r="372" spans="1:51" hidden="1" x14ac:dyDescent="0.2">
      <c r="A372" s="50" t="s">
        <v>579</v>
      </c>
      <c r="B372" s="51" t="s">
        <v>208</v>
      </c>
      <c r="C372" s="51"/>
      <c r="D372" s="51"/>
      <c r="E372" s="52">
        <f>IF(G372="Y",VLOOKUP(B372&amp;"|"&amp;C372,'[1]ETC Data'!$C$2:$D$16,2,FALSE),0)</f>
        <v>0</v>
      </c>
      <c r="F372" s="52">
        <f>IF(D372="",0,IF(G372="Y",VLOOKUP(B372&amp;"|"&amp;D372,'[1]ETC Data'!$C$2:$D$16,2,FALSE),0))</f>
        <v>0</v>
      </c>
      <c r="G372" s="53" t="str">
        <f>IF(VLOOKUP(A372,[1]Plan!A$1:H$804,8,FALSE)&lt;&gt;"",VLOOKUP(A372,[1]Plan!A$1:H$804,8,FALSE),"")</f>
        <v>N</v>
      </c>
      <c r="H372" s="54" t="str">
        <f>IF(VLOOKUP(A372,[1]Plan!A$1:L$804,12,FALSE)&lt;&gt;"",VLOOKUP(A372,[1]Plan!A$1:L$804,12,FALSE),"")</f>
        <v/>
      </c>
      <c r="I372" s="55" t="str">
        <f>IF(VLOOKUP(A372,[1]Plan!A$1:M$804,13,FALSE)&lt;&gt;"",VLOOKUP(A372,[1]Plan!A$1:M$804,13,FALSE),"")</f>
        <v/>
      </c>
      <c r="J372" s="55" t="str">
        <f>IF(VLOOKUP(A372,[1]Plan!A$1:N$804,14,FALSE)&lt;&gt;"",VLOOKUP(A372,[1]Plan!A$1:N$804,14,FALSE),IF(VLOOKUP(A372,[1]Plan!A$1:O$804,15,FALSE)&lt;&gt;"",VLOOKUP(A372,[1]Plan!A$1:O$804,15,FALSE),""))</f>
        <v/>
      </c>
      <c r="K372" s="56" t="str">
        <f>IF(VLOOKUP(A372,[1]Plan!A$1:P$804,16,FALSE)&lt;&gt;"",VLOOKUP(A372,[1]Plan!A$1:P$804,16,FALSE),"")</f>
        <v/>
      </c>
      <c r="L372" s="55"/>
      <c r="M372" s="55"/>
      <c r="N372" s="55"/>
      <c r="O372" s="57">
        <f>IF(F372=0,E372,F372)</f>
        <v>0</v>
      </c>
      <c r="P372" s="57" t="b">
        <f>OR(H372="Y",I372="Y")</f>
        <v>0</v>
      </c>
      <c r="Q372" s="58">
        <f>IF(P372,O372*'[1]ETC Data'!$H$3*'[1]ETC Data'!$I$3,0)</f>
        <v>0</v>
      </c>
      <c r="R372" s="58">
        <f>Q372-(Q372*((VLOOKUP(A372,[1]Plan!A$1:Z$804,26,FALSE)/100)))</f>
        <v>0</v>
      </c>
      <c r="S372" s="58">
        <f>IF(P372,O372*'[1]ETC Data'!$H$3*'[1]ETC Data'!$J$3,0)</f>
        <v>0</v>
      </c>
      <c r="T372" s="58">
        <f>S372-(S372*((VLOOKUP(A372,[1]Plan!A$1:AA$804,27,FALSE)/100)))</f>
        <v>0</v>
      </c>
      <c r="U372" s="58">
        <f>IF(P372,O372*'[1]ETC Data'!$H$3*'[1]ETC Data'!$K$3,0)</f>
        <v>0</v>
      </c>
      <c r="V372" s="58">
        <f>U372-(U372*((VLOOKUP(A372,[1]Plan!A$1:AB$804,28,FALSE)/100)))</f>
        <v>0</v>
      </c>
      <c r="W372" s="58">
        <f>IF(P372,O372*'[1]ETC Data'!$H$3*'[1]ETC Data'!$L$3,0)</f>
        <v>0</v>
      </c>
      <c r="X372" s="58">
        <f>W372-(W372*((VLOOKUP(A372,[1]Plan!A$1:AC$804,29,FALSE)/100)))</f>
        <v>0</v>
      </c>
      <c r="Y372" s="59"/>
      <c r="Z372" s="60" t="b">
        <f>OR(H372="Y",J372="Y")</f>
        <v>0</v>
      </c>
      <c r="AA372" s="58">
        <f>IF(Z372,O372*'[1]ETC Data'!$H$4*'[1]ETC Data'!$I$4,0)</f>
        <v>0</v>
      </c>
      <c r="AB372" s="58">
        <f>AA372-(AA372*((VLOOKUP(A372,[1]Plan!A$1:AI$804,35,FALSE)/100)))</f>
        <v>0</v>
      </c>
      <c r="AC372" s="58">
        <f>IF(Z372,O372*'[1]ETC Data'!$H$4*'[1]ETC Data'!$J$4,0)</f>
        <v>0</v>
      </c>
      <c r="AD372" s="58">
        <f>AC372-(AC372*((VLOOKUP(A372,[1]Plan!A$1:AJ$804,36,FALSE)/100)))</f>
        <v>0</v>
      </c>
      <c r="AE372" s="58">
        <f>IF(Z372,O372*'[1]ETC Data'!$H$4*'[1]ETC Data'!$K$4,0)</f>
        <v>0</v>
      </c>
      <c r="AF372" s="58">
        <f>AE372-(AE372*((VLOOKUP(A372,[1]Plan!A$1:AK$804,37,FALSE)/100)))</f>
        <v>0</v>
      </c>
      <c r="AG372" s="58">
        <f>IF(Z372,O372*'[1]ETC Data'!$H$4*'[1]ETC Data'!$L$4,0)</f>
        <v>0</v>
      </c>
      <c r="AH372" s="58">
        <f>AG372-(AG372*((VLOOKUP(A372,[1]Plan!A$1:AP$804,42,FALSE)/100)))</f>
        <v>0</v>
      </c>
      <c r="AI372" s="60"/>
      <c r="AJ372" s="60" t="b">
        <f>OR(H372="Y",K372="Y")</f>
        <v>0</v>
      </c>
      <c r="AK372" s="61">
        <f>IF(AJ372,O372*'[1]ETC Data'!$H$5*'[1]ETC Data'!$I$5,0)</f>
        <v>0</v>
      </c>
      <c r="AL372" s="58">
        <f>AK372-(AK372*((VLOOKUP(A372,[1]Plan!A$1:AY$804,51,FALSE)/100)))</f>
        <v>0</v>
      </c>
      <c r="AM372" s="58">
        <f>IF(AJ372,O372*'[1]ETC Data'!$H$5*'[1]ETC Data'!$J$5,0)</f>
        <v>0</v>
      </c>
      <c r="AN372" s="58">
        <f>AM372-(AM372*((VLOOKUP(A372,[1]Plan!A$1:BA$804,53,FALSE)/100)))</f>
        <v>0</v>
      </c>
      <c r="AO372" s="61">
        <f>IF(AJ372,O372*'[1]ETC Data'!$H$5*'[1]ETC Data'!$K$5,0)</f>
        <v>0</v>
      </c>
      <c r="AP372" s="58">
        <f>AO372-(AO372*((VLOOKUP(A372,[1]Plan!A$1:BB$804,54,FALSE)/100)))</f>
        <v>0</v>
      </c>
      <c r="AQ372" s="58">
        <f>IF(AJ372,O372*'[1]ETC Data'!$H$5*'[1]ETC Data'!$L$5,0)</f>
        <v>0</v>
      </c>
      <c r="AR372" s="58">
        <f>AQ372-(AQ372*((VLOOKUP(A372,[1]Plan!A$1:BD$804,56,FALSE)/100)))</f>
        <v>0</v>
      </c>
      <c r="AS372" s="20">
        <f>VLOOKUP(A372,'[1]PR Matrix'!A:B,2,FALSE)</f>
        <v>0</v>
      </c>
      <c r="AT372" s="21">
        <f>R372+T372+V372+X372+AB372+AD372+AF372+AH372+AL372+AN372+AP372+AR372</f>
        <v>0</v>
      </c>
      <c r="AU372" s="21">
        <f>Q372+S372+U372+W372+AA372+AC372+AE372+AG372+AK372+AM372+AO372+AQ372</f>
        <v>0</v>
      </c>
      <c r="AV372" s="21">
        <f>R372+AB372+AL372</f>
        <v>0</v>
      </c>
      <c r="AW372" s="21">
        <f>T372+AD372+AN372</f>
        <v>0</v>
      </c>
      <c r="AX372" s="21">
        <f>V372+AF372+AP372</f>
        <v>0</v>
      </c>
      <c r="AY372" s="21">
        <f>X372+AH372+AR372</f>
        <v>0</v>
      </c>
    </row>
    <row r="373" spans="1:51" hidden="1" x14ac:dyDescent="0.2">
      <c r="A373" s="50" t="s">
        <v>580</v>
      </c>
      <c r="B373" s="51" t="s">
        <v>208</v>
      </c>
      <c r="C373" s="51"/>
      <c r="D373" s="51"/>
      <c r="E373" s="52">
        <f>IF(G373="Y",VLOOKUP(B373&amp;"|"&amp;C373,'[1]ETC Data'!$C$2:$D$16,2,FALSE),0)</f>
        <v>0</v>
      </c>
      <c r="F373" s="52">
        <f>IF(D373="",0,IF(G373="Y",VLOOKUP(B373&amp;"|"&amp;D373,'[1]ETC Data'!$C$2:$D$16,2,FALSE),0))</f>
        <v>0</v>
      </c>
      <c r="G373" s="53" t="str">
        <f>IF(VLOOKUP(A373,[1]Plan!A$1:H$804,8,FALSE)&lt;&gt;"",VLOOKUP(A373,[1]Plan!A$1:H$804,8,FALSE),"")</f>
        <v>N</v>
      </c>
      <c r="H373" s="54" t="str">
        <f>IF(VLOOKUP(A373,[1]Plan!A$1:L$804,12,FALSE)&lt;&gt;"",VLOOKUP(A373,[1]Plan!A$1:L$804,12,FALSE),"")</f>
        <v/>
      </c>
      <c r="I373" s="55" t="str">
        <f>IF(VLOOKUP(A373,[1]Plan!A$1:M$804,13,FALSE)&lt;&gt;"",VLOOKUP(A373,[1]Plan!A$1:M$804,13,FALSE),"")</f>
        <v/>
      </c>
      <c r="J373" s="55" t="str">
        <f>IF(VLOOKUP(A373,[1]Plan!A$1:N$804,14,FALSE)&lt;&gt;"",VLOOKUP(A373,[1]Plan!A$1:N$804,14,FALSE),IF(VLOOKUP(A373,[1]Plan!A$1:O$804,15,FALSE)&lt;&gt;"",VLOOKUP(A373,[1]Plan!A$1:O$804,15,FALSE),""))</f>
        <v/>
      </c>
      <c r="K373" s="56" t="str">
        <f>IF(VLOOKUP(A373,[1]Plan!A$1:P$804,16,FALSE)&lt;&gt;"",VLOOKUP(A373,[1]Plan!A$1:P$804,16,FALSE),"")</f>
        <v/>
      </c>
      <c r="L373" s="55"/>
      <c r="M373" s="55"/>
      <c r="N373" s="55"/>
      <c r="O373" s="57">
        <f>IF(F373=0,E373,F373)</f>
        <v>0</v>
      </c>
      <c r="P373" s="57" t="b">
        <f>OR(H373="Y",I373="Y")</f>
        <v>0</v>
      </c>
      <c r="Q373" s="58">
        <f>IF(P373,O373*'[1]ETC Data'!$H$3*'[1]ETC Data'!$I$3,0)</f>
        <v>0</v>
      </c>
      <c r="R373" s="58">
        <f>Q373-(Q373*((VLOOKUP(A373,[1]Plan!A$1:Z$804,26,FALSE)/100)))</f>
        <v>0</v>
      </c>
      <c r="S373" s="58">
        <f>IF(P373,O373*'[1]ETC Data'!$H$3*'[1]ETC Data'!$J$3,0)</f>
        <v>0</v>
      </c>
      <c r="T373" s="58">
        <f>S373-(S373*((VLOOKUP(A373,[1]Plan!A$1:AA$804,27,FALSE)/100)))</f>
        <v>0</v>
      </c>
      <c r="U373" s="58">
        <f>IF(P373,O373*'[1]ETC Data'!$H$3*'[1]ETC Data'!$K$3,0)</f>
        <v>0</v>
      </c>
      <c r="V373" s="58">
        <f>U373-(U373*((VLOOKUP(A373,[1]Plan!A$1:AB$804,28,FALSE)/100)))</f>
        <v>0</v>
      </c>
      <c r="W373" s="58">
        <f>IF(P373,O373*'[1]ETC Data'!$H$3*'[1]ETC Data'!$L$3,0)</f>
        <v>0</v>
      </c>
      <c r="X373" s="58">
        <f>W373-(W373*((VLOOKUP(A373,[1]Plan!A$1:AC$804,29,FALSE)/100)))</f>
        <v>0</v>
      </c>
      <c r="Y373" s="59"/>
      <c r="Z373" s="60" t="b">
        <f>OR(H373="Y",J373="Y")</f>
        <v>0</v>
      </c>
      <c r="AA373" s="58">
        <f>IF(Z373,O373*'[1]ETC Data'!$H$4*'[1]ETC Data'!$I$4,0)</f>
        <v>0</v>
      </c>
      <c r="AB373" s="58">
        <f>AA373-(AA373*((VLOOKUP(A373,[1]Plan!A$1:AI$804,35,FALSE)/100)))</f>
        <v>0</v>
      </c>
      <c r="AC373" s="58">
        <f>IF(Z373,O373*'[1]ETC Data'!$H$4*'[1]ETC Data'!$J$4,0)</f>
        <v>0</v>
      </c>
      <c r="AD373" s="58">
        <f>AC373-(AC373*((VLOOKUP(A373,[1]Plan!A$1:AJ$804,36,FALSE)/100)))</f>
        <v>0</v>
      </c>
      <c r="AE373" s="58">
        <f>IF(Z373,O373*'[1]ETC Data'!$H$4*'[1]ETC Data'!$K$4,0)</f>
        <v>0</v>
      </c>
      <c r="AF373" s="58">
        <f>AE373-(AE373*((VLOOKUP(A373,[1]Plan!A$1:AK$804,37,FALSE)/100)))</f>
        <v>0</v>
      </c>
      <c r="AG373" s="58">
        <f>IF(Z373,O373*'[1]ETC Data'!$H$4*'[1]ETC Data'!$L$4,0)</f>
        <v>0</v>
      </c>
      <c r="AH373" s="58">
        <f>AG373-(AG373*((VLOOKUP(A373,[1]Plan!A$1:AP$804,42,FALSE)/100)))</f>
        <v>0</v>
      </c>
      <c r="AI373" s="60"/>
      <c r="AJ373" s="60" t="b">
        <f>OR(H373="Y",K373="Y")</f>
        <v>0</v>
      </c>
      <c r="AK373" s="61">
        <f>IF(AJ373,O373*'[1]ETC Data'!$H$5*'[1]ETC Data'!$I$5,0)</f>
        <v>0</v>
      </c>
      <c r="AL373" s="58">
        <f>AK373-(AK373*((VLOOKUP(A373,[1]Plan!A$1:AY$804,51,FALSE)/100)))</f>
        <v>0</v>
      </c>
      <c r="AM373" s="58">
        <f>IF(AJ373,O373*'[1]ETC Data'!$H$5*'[1]ETC Data'!$J$5,0)</f>
        <v>0</v>
      </c>
      <c r="AN373" s="58">
        <f>AM373-(AM373*((VLOOKUP(A373,[1]Plan!A$1:BA$804,53,FALSE)/100)))</f>
        <v>0</v>
      </c>
      <c r="AO373" s="61">
        <f>IF(AJ373,O373*'[1]ETC Data'!$H$5*'[1]ETC Data'!$K$5,0)</f>
        <v>0</v>
      </c>
      <c r="AP373" s="58">
        <f>AO373-(AO373*((VLOOKUP(A373,[1]Plan!A$1:BB$804,54,FALSE)/100)))</f>
        <v>0</v>
      </c>
      <c r="AQ373" s="58">
        <f>IF(AJ373,O373*'[1]ETC Data'!$H$5*'[1]ETC Data'!$L$5,0)</f>
        <v>0</v>
      </c>
      <c r="AR373" s="58">
        <f>AQ373-(AQ373*((VLOOKUP(A373,[1]Plan!A$1:BD$804,56,FALSE)/100)))</f>
        <v>0</v>
      </c>
      <c r="AS373" s="20">
        <f>VLOOKUP(A373,'[1]PR Matrix'!A:B,2,FALSE)</f>
        <v>0</v>
      </c>
      <c r="AT373" s="21">
        <f>R373+T373+V373+X373+AB373+AD373+AF373+AH373+AL373+AN373+AP373+AR373</f>
        <v>0</v>
      </c>
      <c r="AU373" s="21">
        <f>Q373+S373+U373+W373+AA373+AC373+AE373+AG373+AK373+AM373+AO373+AQ373</f>
        <v>0</v>
      </c>
      <c r="AV373" s="21">
        <f>R373+AB373+AL373</f>
        <v>0</v>
      </c>
      <c r="AW373" s="21">
        <f>T373+AD373+AN373</f>
        <v>0</v>
      </c>
      <c r="AX373" s="21">
        <f>V373+AF373+AP373</f>
        <v>0</v>
      </c>
      <c r="AY373" s="21">
        <f>X373+AH373+AR373</f>
        <v>0</v>
      </c>
    </row>
    <row r="374" spans="1:51" hidden="1" x14ac:dyDescent="0.2">
      <c r="A374" s="50" t="s">
        <v>581</v>
      </c>
      <c r="B374" s="51" t="s">
        <v>208</v>
      </c>
      <c r="C374" s="51"/>
      <c r="D374" s="51"/>
      <c r="E374" s="52">
        <f>IF(G374="Y",VLOOKUP(B374&amp;"|"&amp;C374,'[1]ETC Data'!$C$2:$D$16,2,FALSE),0)</f>
        <v>0</v>
      </c>
      <c r="F374" s="52">
        <f>IF(D374="",0,IF(G374="Y",VLOOKUP(B374&amp;"|"&amp;D374,'[1]ETC Data'!$C$2:$D$16,2,FALSE),0))</f>
        <v>0</v>
      </c>
      <c r="G374" s="53" t="str">
        <f>IF(VLOOKUP(A374,[1]Plan!A$1:H$804,8,FALSE)&lt;&gt;"",VLOOKUP(A374,[1]Plan!A$1:H$804,8,FALSE),"")</f>
        <v>N</v>
      </c>
      <c r="H374" s="54" t="str">
        <f>IF(VLOOKUP(A374,[1]Plan!A$1:L$804,12,FALSE)&lt;&gt;"",VLOOKUP(A374,[1]Plan!A$1:L$804,12,FALSE),"")</f>
        <v/>
      </c>
      <c r="I374" s="55" t="str">
        <f>IF(VLOOKUP(A374,[1]Plan!A$1:M$804,13,FALSE)&lt;&gt;"",VLOOKUP(A374,[1]Plan!A$1:M$804,13,FALSE),"")</f>
        <v/>
      </c>
      <c r="J374" s="55" t="str">
        <f>IF(VLOOKUP(A374,[1]Plan!A$1:N$804,14,FALSE)&lt;&gt;"",VLOOKUP(A374,[1]Plan!A$1:N$804,14,FALSE),IF(VLOOKUP(A374,[1]Plan!A$1:O$804,15,FALSE)&lt;&gt;"",VLOOKUP(A374,[1]Plan!A$1:O$804,15,FALSE),""))</f>
        <v/>
      </c>
      <c r="K374" s="56" t="str">
        <f>IF(VLOOKUP(A374,[1]Plan!A$1:P$804,16,FALSE)&lt;&gt;"",VLOOKUP(A374,[1]Plan!A$1:P$804,16,FALSE),"")</f>
        <v/>
      </c>
      <c r="L374" s="55"/>
      <c r="M374" s="55"/>
      <c r="N374" s="55"/>
      <c r="O374" s="57">
        <f>IF(F374=0,E374,F374)</f>
        <v>0</v>
      </c>
      <c r="P374" s="57" t="b">
        <f>OR(H374="Y",I374="Y")</f>
        <v>0</v>
      </c>
      <c r="Q374" s="58">
        <f>IF(P374,O374*'[1]ETC Data'!$H$3*'[1]ETC Data'!$I$3,0)</f>
        <v>0</v>
      </c>
      <c r="R374" s="58">
        <f>Q374-(Q374*((VLOOKUP(A374,[1]Plan!A$1:Z$804,26,FALSE)/100)))</f>
        <v>0</v>
      </c>
      <c r="S374" s="58">
        <f>IF(P374,O374*'[1]ETC Data'!$H$3*'[1]ETC Data'!$J$3,0)</f>
        <v>0</v>
      </c>
      <c r="T374" s="58">
        <f>S374-(S374*((VLOOKUP(A374,[1]Plan!A$1:AA$804,27,FALSE)/100)))</f>
        <v>0</v>
      </c>
      <c r="U374" s="58">
        <f>IF(P374,O374*'[1]ETC Data'!$H$3*'[1]ETC Data'!$K$3,0)</f>
        <v>0</v>
      </c>
      <c r="V374" s="58">
        <f>U374-(U374*((VLOOKUP(A374,[1]Plan!A$1:AB$804,28,FALSE)/100)))</f>
        <v>0</v>
      </c>
      <c r="W374" s="58">
        <f>IF(P374,O374*'[1]ETC Data'!$H$3*'[1]ETC Data'!$L$3,0)</f>
        <v>0</v>
      </c>
      <c r="X374" s="58">
        <f>W374-(W374*((VLOOKUP(A374,[1]Plan!A$1:AC$804,29,FALSE)/100)))</f>
        <v>0</v>
      </c>
      <c r="Y374" s="59"/>
      <c r="Z374" s="60" t="b">
        <f>OR(H374="Y",J374="Y")</f>
        <v>0</v>
      </c>
      <c r="AA374" s="58">
        <f>IF(Z374,O374*'[1]ETC Data'!$H$4*'[1]ETC Data'!$I$4,0)</f>
        <v>0</v>
      </c>
      <c r="AB374" s="58">
        <f>AA374-(AA374*((VLOOKUP(A374,[1]Plan!A$1:AI$804,35,FALSE)/100)))</f>
        <v>0</v>
      </c>
      <c r="AC374" s="58">
        <f>IF(Z374,O374*'[1]ETC Data'!$H$4*'[1]ETC Data'!$J$4,0)</f>
        <v>0</v>
      </c>
      <c r="AD374" s="58">
        <f>AC374-(AC374*((VLOOKUP(A374,[1]Plan!A$1:AJ$804,36,FALSE)/100)))</f>
        <v>0</v>
      </c>
      <c r="AE374" s="58">
        <f>IF(Z374,O374*'[1]ETC Data'!$H$4*'[1]ETC Data'!$K$4,0)</f>
        <v>0</v>
      </c>
      <c r="AF374" s="58">
        <f>AE374-(AE374*((VLOOKUP(A374,[1]Plan!A$1:AK$804,37,FALSE)/100)))</f>
        <v>0</v>
      </c>
      <c r="AG374" s="58">
        <f>IF(Z374,O374*'[1]ETC Data'!$H$4*'[1]ETC Data'!$L$4,0)</f>
        <v>0</v>
      </c>
      <c r="AH374" s="58">
        <f>AG374-(AG374*((VLOOKUP(A374,[1]Plan!A$1:AP$804,42,FALSE)/100)))</f>
        <v>0</v>
      </c>
      <c r="AI374" s="60"/>
      <c r="AJ374" s="60" t="b">
        <f>OR(H374="Y",K374="Y")</f>
        <v>0</v>
      </c>
      <c r="AK374" s="61">
        <f>IF(AJ374,O374*'[1]ETC Data'!$H$5*'[1]ETC Data'!$I$5,0)</f>
        <v>0</v>
      </c>
      <c r="AL374" s="58">
        <f>AK374-(AK374*((VLOOKUP(A374,[1]Plan!A$1:AY$804,51,FALSE)/100)))</f>
        <v>0</v>
      </c>
      <c r="AM374" s="58">
        <f>IF(AJ374,O374*'[1]ETC Data'!$H$5*'[1]ETC Data'!$J$5,0)</f>
        <v>0</v>
      </c>
      <c r="AN374" s="58">
        <f>AM374-(AM374*((VLOOKUP(A374,[1]Plan!A$1:BA$804,53,FALSE)/100)))</f>
        <v>0</v>
      </c>
      <c r="AO374" s="61">
        <f>IF(AJ374,O374*'[1]ETC Data'!$H$5*'[1]ETC Data'!$K$5,0)</f>
        <v>0</v>
      </c>
      <c r="AP374" s="58">
        <f>AO374-(AO374*((VLOOKUP(A374,[1]Plan!A$1:BB$804,54,FALSE)/100)))</f>
        <v>0</v>
      </c>
      <c r="AQ374" s="58">
        <f>IF(AJ374,O374*'[1]ETC Data'!$H$5*'[1]ETC Data'!$L$5,0)</f>
        <v>0</v>
      </c>
      <c r="AR374" s="58">
        <f>AQ374-(AQ374*((VLOOKUP(A374,[1]Plan!A$1:BD$804,56,FALSE)/100)))</f>
        <v>0</v>
      </c>
      <c r="AS374" s="20">
        <f>VLOOKUP(A374,'[1]PR Matrix'!A:B,2,FALSE)</f>
        <v>0</v>
      </c>
      <c r="AT374" s="21">
        <f>R374+T374+V374+X374+AB374+AD374+AF374+AH374+AL374+AN374+AP374+AR374</f>
        <v>0</v>
      </c>
      <c r="AU374" s="21">
        <f>Q374+S374+U374+W374+AA374+AC374+AE374+AG374+AK374+AM374+AO374+AQ374</f>
        <v>0</v>
      </c>
      <c r="AV374" s="21">
        <f>R374+AB374+AL374</f>
        <v>0</v>
      </c>
      <c r="AW374" s="21">
        <f>T374+AD374+AN374</f>
        <v>0</v>
      </c>
      <c r="AX374" s="21">
        <f>V374+AF374+AP374</f>
        <v>0</v>
      </c>
      <c r="AY374" s="21">
        <f>X374+AH374+AR374</f>
        <v>0</v>
      </c>
    </row>
    <row r="375" spans="1:51" hidden="1" x14ac:dyDescent="0.2">
      <c r="A375" s="50" t="s">
        <v>582</v>
      </c>
      <c r="B375" s="51" t="s">
        <v>208</v>
      </c>
      <c r="C375" s="51"/>
      <c r="D375" s="51"/>
      <c r="E375" s="52">
        <f>IF(G375="Y",VLOOKUP(B375&amp;"|"&amp;C375,'[1]ETC Data'!$C$2:$D$16,2,FALSE),0)</f>
        <v>0</v>
      </c>
      <c r="F375" s="52">
        <f>IF(D375="",0,IF(G375="Y",VLOOKUP(B375&amp;"|"&amp;D375,'[1]ETC Data'!$C$2:$D$16,2,FALSE),0))</f>
        <v>0</v>
      </c>
      <c r="G375" s="53" t="str">
        <f>IF(VLOOKUP(A375,[1]Plan!A$1:H$804,8,FALSE)&lt;&gt;"",VLOOKUP(A375,[1]Plan!A$1:H$804,8,FALSE),"")</f>
        <v>N</v>
      </c>
      <c r="H375" s="54" t="str">
        <f>IF(VLOOKUP(A375,[1]Plan!A$1:L$804,12,FALSE)&lt;&gt;"",VLOOKUP(A375,[1]Plan!A$1:L$804,12,FALSE),"")</f>
        <v/>
      </c>
      <c r="I375" s="55" t="str">
        <f>IF(VLOOKUP(A375,[1]Plan!A$1:M$804,13,FALSE)&lt;&gt;"",VLOOKUP(A375,[1]Plan!A$1:M$804,13,FALSE),"")</f>
        <v/>
      </c>
      <c r="J375" s="55" t="str">
        <f>IF(VLOOKUP(A375,[1]Plan!A$1:N$804,14,FALSE)&lt;&gt;"",VLOOKUP(A375,[1]Plan!A$1:N$804,14,FALSE),IF(VLOOKUP(A375,[1]Plan!A$1:O$804,15,FALSE)&lt;&gt;"",VLOOKUP(A375,[1]Plan!A$1:O$804,15,FALSE),""))</f>
        <v/>
      </c>
      <c r="K375" s="56" t="str">
        <f>IF(VLOOKUP(A375,[1]Plan!A$1:P$804,16,FALSE)&lt;&gt;"",VLOOKUP(A375,[1]Plan!A$1:P$804,16,FALSE),"")</f>
        <v/>
      </c>
      <c r="L375" s="55"/>
      <c r="M375" s="55"/>
      <c r="N375" s="55"/>
      <c r="O375" s="57">
        <f>IF(F375=0,E375,F375)</f>
        <v>0</v>
      </c>
      <c r="P375" s="57" t="b">
        <f>OR(H375="Y",I375="Y")</f>
        <v>0</v>
      </c>
      <c r="Q375" s="58">
        <f>IF(P375,O375*'[1]ETC Data'!$H$3*'[1]ETC Data'!$I$3,0)</f>
        <v>0</v>
      </c>
      <c r="R375" s="58">
        <f>Q375-(Q375*((VLOOKUP(A375,[1]Plan!A$1:Z$804,26,FALSE)/100)))</f>
        <v>0</v>
      </c>
      <c r="S375" s="58">
        <f>IF(P375,O375*'[1]ETC Data'!$H$3*'[1]ETC Data'!$J$3,0)</f>
        <v>0</v>
      </c>
      <c r="T375" s="58">
        <f>S375-(S375*((VLOOKUP(A375,[1]Plan!A$1:AA$804,27,FALSE)/100)))</f>
        <v>0</v>
      </c>
      <c r="U375" s="58">
        <f>IF(P375,O375*'[1]ETC Data'!$H$3*'[1]ETC Data'!$K$3,0)</f>
        <v>0</v>
      </c>
      <c r="V375" s="58">
        <f>U375-(U375*((VLOOKUP(A375,[1]Plan!A$1:AB$804,28,FALSE)/100)))</f>
        <v>0</v>
      </c>
      <c r="W375" s="58">
        <f>IF(P375,O375*'[1]ETC Data'!$H$3*'[1]ETC Data'!$L$3,0)</f>
        <v>0</v>
      </c>
      <c r="X375" s="58">
        <f>W375-(W375*((VLOOKUP(A375,[1]Plan!A$1:AC$804,29,FALSE)/100)))</f>
        <v>0</v>
      </c>
      <c r="Y375" s="59"/>
      <c r="Z375" s="60" t="b">
        <f>OR(H375="Y",J375="Y")</f>
        <v>0</v>
      </c>
      <c r="AA375" s="58">
        <f>IF(Z375,O375*'[1]ETC Data'!$H$4*'[1]ETC Data'!$I$4,0)</f>
        <v>0</v>
      </c>
      <c r="AB375" s="58">
        <f>AA375-(AA375*((VLOOKUP(A375,[1]Plan!A$1:AI$804,35,FALSE)/100)))</f>
        <v>0</v>
      </c>
      <c r="AC375" s="58">
        <f>IF(Z375,O375*'[1]ETC Data'!$H$4*'[1]ETC Data'!$J$4,0)</f>
        <v>0</v>
      </c>
      <c r="AD375" s="58">
        <f>AC375-(AC375*((VLOOKUP(A375,[1]Plan!A$1:AJ$804,36,FALSE)/100)))</f>
        <v>0</v>
      </c>
      <c r="AE375" s="58">
        <f>IF(Z375,O375*'[1]ETC Data'!$H$4*'[1]ETC Data'!$K$4,0)</f>
        <v>0</v>
      </c>
      <c r="AF375" s="58">
        <f>AE375-(AE375*((VLOOKUP(A375,[1]Plan!A$1:AK$804,37,FALSE)/100)))</f>
        <v>0</v>
      </c>
      <c r="AG375" s="58">
        <f>IF(Z375,O375*'[1]ETC Data'!$H$4*'[1]ETC Data'!$L$4,0)</f>
        <v>0</v>
      </c>
      <c r="AH375" s="58">
        <f>AG375-(AG375*((VLOOKUP(A375,[1]Plan!A$1:AP$804,42,FALSE)/100)))</f>
        <v>0</v>
      </c>
      <c r="AI375" s="60"/>
      <c r="AJ375" s="60" t="b">
        <f>OR(H375="Y",K375="Y")</f>
        <v>0</v>
      </c>
      <c r="AK375" s="61">
        <f>IF(AJ375,O375*'[1]ETC Data'!$H$5*'[1]ETC Data'!$I$5,0)</f>
        <v>0</v>
      </c>
      <c r="AL375" s="58">
        <f>AK375-(AK375*((VLOOKUP(A375,[1]Plan!A$1:AY$804,51,FALSE)/100)))</f>
        <v>0</v>
      </c>
      <c r="AM375" s="58">
        <f>IF(AJ375,O375*'[1]ETC Data'!$H$5*'[1]ETC Data'!$J$5,0)</f>
        <v>0</v>
      </c>
      <c r="AN375" s="58">
        <f>AM375-(AM375*((VLOOKUP(A375,[1]Plan!A$1:BA$804,53,FALSE)/100)))</f>
        <v>0</v>
      </c>
      <c r="AO375" s="61">
        <f>IF(AJ375,O375*'[1]ETC Data'!$H$5*'[1]ETC Data'!$K$5,0)</f>
        <v>0</v>
      </c>
      <c r="AP375" s="58">
        <f>AO375-(AO375*((VLOOKUP(A375,[1]Plan!A$1:BB$804,54,FALSE)/100)))</f>
        <v>0</v>
      </c>
      <c r="AQ375" s="58">
        <f>IF(AJ375,O375*'[1]ETC Data'!$H$5*'[1]ETC Data'!$L$5,0)</f>
        <v>0</v>
      </c>
      <c r="AR375" s="58">
        <f>AQ375-(AQ375*((VLOOKUP(A375,[1]Plan!A$1:BD$804,56,FALSE)/100)))</f>
        <v>0</v>
      </c>
      <c r="AS375" s="20">
        <f>VLOOKUP(A375,'[1]PR Matrix'!A:B,2,FALSE)</f>
        <v>0</v>
      </c>
      <c r="AT375" s="21">
        <f>R375+T375+V375+X375+AB375+AD375+AF375+AH375+AL375+AN375+AP375+AR375</f>
        <v>0</v>
      </c>
      <c r="AU375" s="21">
        <f>Q375+S375+U375+W375+AA375+AC375+AE375+AG375+AK375+AM375+AO375+AQ375</f>
        <v>0</v>
      </c>
      <c r="AV375" s="21">
        <f>R375+AB375+AL375</f>
        <v>0</v>
      </c>
      <c r="AW375" s="21">
        <f>T375+AD375+AN375</f>
        <v>0</v>
      </c>
      <c r="AX375" s="21">
        <f>V375+AF375+AP375</f>
        <v>0</v>
      </c>
      <c r="AY375" s="21">
        <f>X375+AH375+AR375</f>
        <v>0</v>
      </c>
    </row>
    <row r="376" spans="1:51" hidden="1" x14ac:dyDescent="0.2">
      <c r="A376" s="50" t="s">
        <v>583</v>
      </c>
      <c r="B376" s="51" t="s">
        <v>208</v>
      </c>
      <c r="C376" s="51"/>
      <c r="D376" s="51"/>
      <c r="E376" s="52">
        <f>IF(G376="Y",VLOOKUP(B376&amp;"|"&amp;C376,'[1]ETC Data'!$C$2:$D$16,2,FALSE),0)</f>
        <v>0</v>
      </c>
      <c r="F376" s="52">
        <f>IF(D376="",0,IF(G376="Y",VLOOKUP(B376&amp;"|"&amp;D376,'[1]ETC Data'!$C$2:$D$16,2,FALSE),0))</f>
        <v>0</v>
      </c>
      <c r="G376" s="53" t="str">
        <f>IF(VLOOKUP(A376,[1]Plan!A$1:H$804,8,FALSE)&lt;&gt;"",VLOOKUP(A376,[1]Plan!A$1:H$804,8,FALSE),"")</f>
        <v>N</v>
      </c>
      <c r="H376" s="54" t="str">
        <f>IF(VLOOKUP(A376,[1]Plan!A$1:L$804,12,FALSE)&lt;&gt;"",VLOOKUP(A376,[1]Plan!A$1:L$804,12,FALSE),"")</f>
        <v/>
      </c>
      <c r="I376" s="55" t="str">
        <f>IF(VLOOKUP(A376,[1]Plan!A$1:M$804,13,FALSE)&lt;&gt;"",VLOOKUP(A376,[1]Plan!A$1:M$804,13,FALSE),"")</f>
        <v/>
      </c>
      <c r="J376" s="55" t="str">
        <f>IF(VLOOKUP(A376,[1]Plan!A$1:N$804,14,FALSE)&lt;&gt;"",VLOOKUP(A376,[1]Plan!A$1:N$804,14,FALSE),IF(VLOOKUP(A376,[1]Plan!A$1:O$804,15,FALSE)&lt;&gt;"",VLOOKUP(A376,[1]Plan!A$1:O$804,15,FALSE),""))</f>
        <v/>
      </c>
      <c r="K376" s="56" t="str">
        <f>IF(VLOOKUP(A376,[1]Plan!A$1:P$804,16,FALSE)&lt;&gt;"",VLOOKUP(A376,[1]Plan!A$1:P$804,16,FALSE),"")</f>
        <v/>
      </c>
      <c r="L376" s="55"/>
      <c r="M376" s="55"/>
      <c r="N376" s="55"/>
      <c r="O376" s="57">
        <f>IF(F376=0,E376,F376)</f>
        <v>0</v>
      </c>
      <c r="P376" s="57" t="b">
        <f>OR(H376="Y",I376="Y")</f>
        <v>0</v>
      </c>
      <c r="Q376" s="58">
        <f>IF(P376,O376*'[1]ETC Data'!$H$3*'[1]ETC Data'!$I$3,0)</f>
        <v>0</v>
      </c>
      <c r="R376" s="58">
        <f>Q376-(Q376*((VLOOKUP(A376,[1]Plan!A$1:Z$804,26,FALSE)/100)))</f>
        <v>0</v>
      </c>
      <c r="S376" s="58">
        <f>IF(P376,O376*'[1]ETC Data'!$H$3*'[1]ETC Data'!$J$3,0)</f>
        <v>0</v>
      </c>
      <c r="T376" s="58">
        <f>S376-(S376*((VLOOKUP(A376,[1]Plan!A$1:AA$804,27,FALSE)/100)))</f>
        <v>0</v>
      </c>
      <c r="U376" s="58">
        <f>IF(P376,O376*'[1]ETC Data'!$H$3*'[1]ETC Data'!$K$3,0)</f>
        <v>0</v>
      </c>
      <c r="V376" s="58">
        <f>U376-(U376*((VLOOKUP(A376,[1]Plan!A$1:AB$804,28,FALSE)/100)))</f>
        <v>0</v>
      </c>
      <c r="W376" s="58">
        <f>IF(P376,O376*'[1]ETC Data'!$H$3*'[1]ETC Data'!$L$3,0)</f>
        <v>0</v>
      </c>
      <c r="X376" s="58">
        <f>W376-(W376*((VLOOKUP(A376,[1]Plan!A$1:AC$804,29,FALSE)/100)))</f>
        <v>0</v>
      </c>
      <c r="Y376" s="59"/>
      <c r="Z376" s="60" t="b">
        <f>OR(H376="Y",J376="Y")</f>
        <v>0</v>
      </c>
      <c r="AA376" s="58">
        <f>IF(Z376,O376*'[1]ETC Data'!$H$4*'[1]ETC Data'!$I$4,0)</f>
        <v>0</v>
      </c>
      <c r="AB376" s="58">
        <f>AA376-(AA376*((VLOOKUP(A376,[1]Plan!A$1:AI$804,35,FALSE)/100)))</f>
        <v>0</v>
      </c>
      <c r="AC376" s="58">
        <f>IF(Z376,O376*'[1]ETC Data'!$H$4*'[1]ETC Data'!$J$4,0)</f>
        <v>0</v>
      </c>
      <c r="AD376" s="58">
        <f>AC376-(AC376*((VLOOKUP(A376,[1]Plan!A$1:AJ$804,36,FALSE)/100)))</f>
        <v>0</v>
      </c>
      <c r="AE376" s="58">
        <f>IF(Z376,O376*'[1]ETC Data'!$H$4*'[1]ETC Data'!$K$4,0)</f>
        <v>0</v>
      </c>
      <c r="AF376" s="58">
        <f>AE376-(AE376*((VLOOKUP(A376,[1]Plan!A$1:AK$804,37,FALSE)/100)))</f>
        <v>0</v>
      </c>
      <c r="AG376" s="58">
        <f>IF(Z376,O376*'[1]ETC Data'!$H$4*'[1]ETC Data'!$L$4,0)</f>
        <v>0</v>
      </c>
      <c r="AH376" s="58">
        <f>AG376-(AG376*((VLOOKUP(A376,[1]Plan!A$1:AP$804,42,FALSE)/100)))</f>
        <v>0</v>
      </c>
      <c r="AI376" s="60"/>
      <c r="AJ376" s="60" t="b">
        <f>OR(H376="Y",K376="Y")</f>
        <v>0</v>
      </c>
      <c r="AK376" s="61">
        <f>IF(AJ376,O376*'[1]ETC Data'!$H$5*'[1]ETC Data'!$I$5,0)</f>
        <v>0</v>
      </c>
      <c r="AL376" s="58">
        <f>AK376-(AK376*((VLOOKUP(A376,[1]Plan!A$1:AY$804,51,FALSE)/100)))</f>
        <v>0</v>
      </c>
      <c r="AM376" s="58">
        <f>IF(AJ376,O376*'[1]ETC Data'!$H$5*'[1]ETC Data'!$J$5,0)</f>
        <v>0</v>
      </c>
      <c r="AN376" s="58">
        <f>AM376-(AM376*((VLOOKUP(A376,[1]Plan!A$1:BA$804,53,FALSE)/100)))</f>
        <v>0</v>
      </c>
      <c r="AO376" s="61">
        <f>IF(AJ376,O376*'[1]ETC Data'!$H$5*'[1]ETC Data'!$K$5,0)</f>
        <v>0</v>
      </c>
      <c r="AP376" s="58">
        <f>AO376-(AO376*((VLOOKUP(A376,[1]Plan!A$1:BB$804,54,FALSE)/100)))</f>
        <v>0</v>
      </c>
      <c r="AQ376" s="58">
        <f>IF(AJ376,O376*'[1]ETC Data'!$H$5*'[1]ETC Data'!$L$5,0)</f>
        <v>0</v>
      </c>
      <c r="AR376" s="58">
        <f>AQ376-(AQ376*((VLOOKUP(A376,[1]Plan!A$1:BD$804,56,FALSE)/100)))</f>
        <v>0</v>
      </c>
      <c r="AS376" s="20">
        <f>VLOOKUP(A376,'[1]PR Matrix'!A:B,2,FALSE)</f>
        <v>0</v>
      </c>
      <c r="AT376" s="21">
        <f>R376+T376+V376+X376+AB376+AD376+AF376+AH376+AL376+AN376+AP376+AR376</f>
        <v>0</v>
      </c>
      <c r="AU376" s="21">
        <f>Q376+S376+U376+W376+AA376+AC376+AE376+AG376+AK376+AM376+AO376+AQ376</f>
        <v>0</v>
      </c>
      <c r="AV376" s="21">
        <f>R376+AB376+AL376</f>
        <v>0</v>
      </c>
      <c r="AW376" s="21">
        <f>T376+AD376+AN376</f>
        <v>0</v>
      </c>
      <c r="AX376" s="21">
        <f>V376+AF376+AP376</f>
        <v>0</v>
      </c>
      <c r="AY376" s="21">
        <f>X376+AH376+AR376</f>
        <v>0</v>
      </c>
    </row>
    <row r="377" spans="1:51" hidden="1" x14ac:dyDescent="0.2">
      <c r="A377" s="50" t="s">
        <v>584</v>
      </c>
      <c r="B377" s="51" t="s">
        <v>208</v>
      </c>
      <c r="C377" s="51"/>
      <c r="D377" s="51"/>
      <c r="E377" s="52">
        <f>IF(G377="Y",VLOOKUP(B377&amp;"|"&amp;C377,'[1]ETC Data'!$C$2:$D$16,2,FALSE),0)</f>
        <v>0</v>
      </c>
      <c r="F377" s="52">
        <f>IF(D377="",0,IF(G377="Y",VLOOKUP(B377&amp;"|"&amp;D377,'[1]ETC Data'!$C$2:$D$16,2,FALSE),0))</f>
        <v>0</v>
      </c>
      <c r="G377" s="53" t="str">
        <f>IF(VLOOKUP(A377,[1]Plan!A$1:H$804,8,FALSE)&lt;&gt;"",VLOOKUP(A377,[1]Plan!A$1:H$804,8,FALSE),"")</f>
        <v>N</v>
      </c>
      <c r="H377" s="54" t="str">
        <f>IF(VLOOKUP(A377,[1]Plan!A$1:L$804,12,FALSE)&lt;&gt;"",VLOOKUP(A377,[1]Plan!A$1:L$804,12,FALSE),"")</f>
        <v/>
      </c>
      <c r="I377" s="55" t="str">
        <f>IF(VLOOKUP(A377,[1]Plan!A$1:M$804,13,FALSE)&lt;&gt;"",VLOOKUP(A377,[1]Plan!A$1:M$804,13,FALSE),"")</f>
        <v/>
      </c>
      <c r="J377" s="55" t="str">
        <f>IF(VLOOKUP(A377,[1]Plan!A$1:N$804,14,FALSE)&lt;&gt;"",VLOOKUP(A377,[1]Plan!A$1:N$804,14,FALSE),IF(VLOOKUP(A377,[1]Plan!A$1:O$804,15,FALSE)&lt;&gt;"",VLOOKUP(A377,[1]Plan!A$1:O$804,15,FALSE),""))</f>
        <v/>
      </c>
      <c r="K377" s="56" t="str">
        <f>IF(VLOOKUP(A377,[1]Plan!A$1:P$804,16,FALSE)&lt;&gt;"",VLOOKUP(A377,[1]Plan!A$1:P$804,16,FALSE),"")</f>
        <v/>
      </c>
      <c r="L377" s="55"/>
      <c r="M377" s="55"/>
      <c r="N377" s="55"/>
      <c r="O377" s="57">
        <f>IF(F377=0,E377,F377)</f>
        <v>0</v>
      </c>
      <c r="P377" s="57" t="b">
        <f>OR(H377="Y",I377="Y")</f>
        <v>0</v>
      </c>
      <c r="Q377" s="58">
        <f>IF(P377,O377*'[1]ETC Data'!$H$3*'[1]ETC Data'!$I$3,0)</f>
        <v>0</v>
      </c>
      <c r="R377" s="58">
        <f>Q377-(Q377*((VLOOKUP(A377,[1]Plan!A$1:Z$804,26,FALSE)/100)))</f>
        <v>0</v>
      </c>
      <c r="S377" s="58">
        <f>IF(P377,O377*'[1]ETC Data'!$H$3*'[1]ETC Data'!$J$3,0)</f>
        <v>0</v>
      </c>
      <c r="T377" s="58">
        <f>S377-(S377*((VLOOKUP(A377,[1]Plan!A$1:AA$804,27,FALSE)/100)))</f>
        <v>0</v>
      </c>
      <c r="U377" s="58">
        <f>IF(P377,O377*'[1]ETC Data'!$H$3*'[1]ETC Data'!$K$3,0)</f>
        <v>0</v>
      </c>
      <c r="V377" s="58">
        <f>U377-(U377*((VLOOKUP(A377,[1]Plan!A$1:AB$804,28,FALSE)/100)))</f>
        <v>0</v>
      </c>
      <c r="W377" s="58">
        <f>IF(P377,O377*'[1]ETC Data'!$H$3*'[1]ETC Data'!$L$3,0)</f>
        <v>0</v>
      </c>
      <c r="X377" s="58">
        <f>W377-(W377*((VLOOKUP(A377,[1]Plan!A$1:AC$804,29,FALSE)/100)))</f>
        <v>0</v>
      </c>
      <c r="Y377" s="59"/>
      <c r="Z377" s="60" t="b">
        <f>OR(H377="Y",J377="Y")</f>
        <v>0</v>
      </c>
      <c r="AA377" s="58">
        <f>IF(Z377,O377*'[1]ETC Data'!$H$4*'[1]ETC Data'!$I$4,0)</f>
        <v>0</v>
      </c>
      <c r="AB377" s="58">
        <f>AA377-(AA377*((VLOOKUP(A377,[1]Plan!A$1:AI$804,35,FALSE)/100)))</f>
        <v>0</v>
      </c>
      <c r="AC377" s="58">
        <f>IF(Z377,O377*'[1]ETC Data'!$H$4*'[1]ETC Data'!$J$4,0)</f>
        <v>0</v>
      </c>
      <c r="AD377" s="58">
        <f>AC377-(AC377*((VLOOKUP(A377,[1]Plan!A$1:AJ$804,36,FALSE)/100)))</f>
        <v>0</v>
      </c>
      <c r="AE377" s="58">
        <f>IF(Z377,O377*'[1]ETC Data'!$H$4*'[1]ETC Data'!$K$4,0)</f>
        <v>0</v>
      </c>
      <c r="AF377" s="58">
        <f>AE377-(AE377*((VLOOKUP(A377,[1]Plan!A$1:AK$804,37,FALSE)/100)))</f>
        <v>0</v>
      </c>
      <c r="AG377" s="58">
        <f>IF(Z377,O377*'[1]ETC Data'!$H$4*'[1]ETC Data'!$L$4,0)</f>
        <v>0</v>
      </c>
      <c r="AH377" s="58">
        <f>AG377-(AG377*((VLOOKUP(A377,[1]Plan!A$1:AP$804,42,FALSE)/100)))</f>
        <v>0</v>
      </c>
      <c r="AI377" s="60"/>
      <c r="AJ377" s="60" t="b">
        <f>OR(H377="Y",K377="Y")</f>
        <v>0</v>
      </c>
      <c r="AK377" s="61">
        <f>IF(AJ377,O377*'[1]ETC Data'!$H$5*'[1]ETC Data'!$I$5,0)</f>
        <v>0</v>
      </c>
      <c r="AL377" s="58">
        <f>AK377-(AK377*((VLOOKUP(A377,[1]Plan!A$1:AY$804,51,FALSE)/100)))</f>
        <v>0</v>
      </c>
      <c r="AM377" s="58">
        <f>IF(AJ377,O377*'[1]ETC Data'!$H$5*'[1]ETC Data'!$J$5,0)</f>
        <v>0</v>
      </c>
      <c r="AN377" s="58">
        <f>AM377-(AM377*((VLOOKUP(A377,[1]Plan!A$1:BA$804,53,FALSE)/100)))</f>
        <v>0</v>
      </c>
      <c r="AO377" s="61">
        <f>IF(AJ377,O377*'[1]ETC Data'!$H$5*'[1]ETC Data'!$K$5,0)</f>
        <v>0</v>
      </c>
      <c r="AP377" s="58">
        <f>AO377-(AO377*((VLOOKUP(A377,[1]Plan!A$1:BB$804,54,FALSE)/100)))</f>
        <v>0</v>
      </c>
      <c r="AQ377" s="58">
        <f>IF(AJ377,O377*'[1]ETC Data'!$H$5*'[1]ETC Data'!$L$5,0)</f>
        <v>0</v>
      </c>
      <c r="AR377" s="58">
        <f>AQ377-(AQ377*((VLOOKUP(A377,[1]Plan!A$1:BD$804,56,FALSE)/100)))</f>
        <v>0</v>
      </c>
      <c r="AS377" s="20">
        <f>VLOOKUP(A377,'[1]PR Matrix'!A:B,2,FALSE)</f>
        <v>0</v>
      </c>
      <c r="AT377" s="21">
        <f>R377+T377+V377+X377+AB377+AD377+AF377+AH377+AL377+AN377+AP377+AR377</f>
        <v>0</v>
      </c>
      <c r="AU377" s="21">
        <f>Q377+S377+U377+W377+AA377+AC377+AE377+AG377+AK377+AM377+AO377+AQ377</f>
        <v>0</v>
      </c>
      <c r="AV377" s="21">
        <f>R377+AB377+AL377</f>
        <v>0</v>
      </c>
      <c r="AW377" s="21">
        <f>T377+AD377+AN377</f>
        <v>0</v>
      </c>
      <c r="AX377" s="21">
        <f>V377+AF377+AP377</f>
        <v>0</v>
      </c>
      <c r="AY377" s="21">
        <f>X377+AH377+AR377</f>
        <v>0</v>
      </c>
    </row>
    <row r="378" spans="1:51" hidden="1" x14ac:dyDescent="0.2">
      <c r="A378" s="50" t="s">
        <v>585</v>
      </c>
      <c r="B378" s="51" t="s">
        <v>208</v>
      </c>
      <c r="C378" s="51"/>
      <c r="D378" s="51"/>
      <c r="E378" s="52">
        <f>IF(G378="Y",VLOOKUP(B378&amp;"|"&amp;C378,'[1]ETC Data'!$C$2:$D$16,2,FALSE),0)</f>
        <v>0</v>
      </c>
      <c r="F378" s="52">
        <f>IF(D378="",0,IF(G378="Y",VLOOKUP(B378&amp;"|"&amp;D378,'[1]ETC Data'!$C$2:$D$16,2,FALSE),0))</f>
        <v>0</v>
      </c>
      <c r="G378" s="53" t="str">
        <f>IF(VLOOKUP(A378,[1]Plan!A$1:H$804,8,FALSE)&lt;&gt;"",VLOOKUP(A378,[1]Plan!A$1:H$804,8,FALSE),"")</f>
        <v>N</v>
      </c>
      <c r="H378" s="54" t="str">
        <f>IF(VLOOKUP(A378,[1]Plan!A$1:L$804,12,FALSE)&lt;&gt;"",VLOOKUP(A378,[1]Plan!A$1:L$804,12,FALSE),"")</f>
        <v/>
      </c>
      <c r="I378" s="55" t="str">
        <f>IF(VLOOKUP(A378,[1]Plan!A$1:M$804,13,FALSE)&lt;&gt;"",VLOOKUP(A378,[1]Plan!A$1:M$804,13,FALSE),"")</f>
        <v/>
      </c>
      <c r="J378" s="55" t="str">
        <f>IF(VLOOKUP(A378,[1]Plan!A$1:N$804,14,FALSE)&lt;&gt;"",VLOOKUP(A378,[1]Plan!A$1:N$804,14,FALSE),IF(VLOOKUP(A378,[1]Plan!A$1:O$804,15,FALSE)&lt;&gt;"",VLOOKUP(A378,[1]Plan!A$1:O$804,15,FALSE),""))</f>
        <v/>
      </c>
      <c r="K378" s="56" t="str">
        <f>IF(VLOOKUP(A378,[1]Plan!A$1:P$804,16,FALSE)&lt;&gt;"",VLOOKUP(A378,[1]Plan!A$1:P$804,16,FALSE),"")</f>
        <v/>
      </c>
      <c r="L378" s="55"/>
      <c r="M378" s="55"/>
      <c r="N378" s="55"/>
      <c r="O378" s="57">
        <f>IF(F378=0,E378,F378)</f>
        <v>0</v>
      </c>
      <c r="P378" s="57" t="b">
        <f>OR(H378="Y",I378="Y")</f>
        <v>0</v>
      </c>
      <c r="Q378" s="58">
        <f>IF(P378,O378*'[1]ETC Data'!$H$3*'[1]ETC Data'!$I$3,0)</f>
        <v>0</v>
      </c>
      <c r="R378" s="58">
        <f>Q378-(Q378*((VLOOKUP(A378,[1]Plan!A$1:Z$804,26,FALSE)/100)))</f>
        <v>0</v>
      </c>
      <c r="S378" s="58">
        <f>IF(P378,O378*'[1]ETC Data'!$H$3*'[1]ETC Data'!$J$3,0)</f>
        <v>0</v>
      </c>
      <c r="T378" s="58">
        <f>S378-(S378*((VLOOKUP(A378,[1]Plan!A$1:AA$804,27,FALSE)/100)))</f>
        <v>0</v>
      </c>
      <c r="U378" s="58">
        <f>IF(P378,O378*'[1]ETC Data'!$H$3*'[1]ETC Data'!$K$3,0)</f>
        <v>0</v>
      </c>
      <c r="V378" s="58">
        <f>U378-(U378*((VLOOKUP(A378,[1]Plan!A$1:AB$804,28,FALSE)/100)))</f>
        <v>0</v>
      </c>
      <c r="W378" s="58">
        <f>IF(P378,O378*'[1]ETC Data'!$H$3*'[1]ETC Data'!$L$3,0)</f>
        <v>0</v>
      </c>
      <c r="X378" s="58">
        <f>W378-(W378*((VLOOKUP(A378,[1]Plan!A$1:AC$804,29,FALSE)/100)))</f>
        <v>0</v>
      </c>
      <c r="Y378" s="59"/>
      <c r="Z378" s="60" t="b">
        <f>OR(H378="Y",J378="Y")</f>
        <v>0</v>
      </c>
      <c r="AA378" s="58">
        <f>IF(Z378,O378*'[1]ETC Data'!$H$4*'[1]ETC Data'!$I$4,0)</f>
        <v>0</v>
      </c>
      <c r="AB378" s="58">
        <f>AA378-(AA378*((VLOOKUP(A378,[1]Plan!A$1:AI$804,35,FALSE)/100)))</f>
        <v>0</v>
      </c>
      <c r="AC378" s="58">
        <f>IF(Z378,O378*'[1]ETC Data'!$H$4*'[1]ETC Data'!$J$4,0)</f>
        <v>0</v>
      </c>
      <c r="AD378" s="58">
        <f>AC378-(AC378*((VLOOKUP(A378,[1]Plan!A$1:AJ$804,36,FALSE)/100)))</f>
        <v>0</v>
      </c>
      <c r="AE378" s="58">
        <f>IF(Z378,O378*'[1]ETC Data'!$H$4*'[1]ETC Data'!$K$4,0)</f>
        <v>0</v>
      </c>
      <c r="AF378" s="58">
        <f>AE378-(AE378*((VLOOKUP(A378,[1]Plan!A$1:AK$804,37,FALSE)/100)))</f>
        <v>0</v>
      </c>
      <c r="AG378" s="58">
        <f>IF(Z378,O378*'[1]ETC Data'!$H$4*'[1]ETC Data'!$L$4,0)</f>
        <v>0</v>
      </c>
      <c r="AH378" s="58">
        <f>AG378-(AG378*((VLOOKUP(A378,[1]Plan!A$1:AP$804,42,FALSE)/100)))</f>
        <v>0</v>
      </c>
      <c r="AI378" s="60"/>
      <c r="AJ378" s="60" t="b">
        <f>OR(H378="Y",K378="Y")</f>
        <v>0</v>
      </c>
      <c r="AK378" s="61">
        <f>IF(AJ378,O378*'[1]ETC Data'!$H$5*'[1]ETC Data'!$I$5,0)</f>
        <v>0</v>
      </c>
      <c r="AL378" s="58">
        <f>AK378-(AK378*((VLOOKUP(A378,[1]Plan!A$1:AY$804,51,FALSE)/100)))</f>
        <v>0</v>
      </c>
      <c r="AM378" s="58">
        <f>IF(AJ378,O378*'[1]ETC Data'!$H$5*'[1]ETC Data'!$J$5,0)</f>
        <v>0</v>
      </c>
      <c r="AN378" s="58">
        <f>AM378-(AM378*((VLOOKUP(A378,[1]Plan!A$1:BA$804,53,FALSE)/100)))</f>
        <v>0</v>
      </c>
      <c r="AO378" s="61">
        <f>IF(AJ378,O378*'[1]ETC Data'!$H$5*'[1]ETC Data'!$K$5,0)</f>
        <v>0</v>
      </c>
      <c r="AP378" s="58">
        <f>AO378-(AO378*((VLOOKUP(A378,[1]Plan!A$1:BB$804,54,FALSE)/100)))</f>
        <v>0</v>
      </c>
      <c r="AQ378" s="58">
        <f>IF(AJ378,O378*'[1]ETC Data'!$H$5*'[1]ETC Data'!$L$5,0)</f>
        <v>0</v>
      </c>
      <c r="AR378" s="58">
        <f>AQ378-(AQ378*((VLOOKUP(A378,[1]Plan!A$1:BD$804,56,FALSE)/100)))</f>
        <v>0</v>
      </c>
      <c r="AS378" s="20">
        <f>VLOOKUP(A378,'[1]PR Matrix'!A:B,2,FALSE)</f>
        <v>0</v>
      </c>
      <c r="AT378" s="21">
        <f>R378+T378+V378+X378+AB378+AD378+AF378+AH378+AL378+AN378+AP378+AR378</f>
        <v>0</v>
      </c>
      <c r="AU378" s="21">
        <f>Q378+S378+U378+W378+AA378+AC378+AE378+AG378+AK378+AM378+AO378+AQ378</f>
        <v>0</v>
      </c>
      <c r="AV378" s="21">
        <f>R378+AB378+AL378</f>
        <v>0</v>
      </c>
      <c r="AW378" s="21">
        <f>T378+AD378+AN378</f>
        <v>0</v>
      </c>
      <c r="AX378" s="21">
        <f>V378+AF378+AP378</f>
        <v>0</v>
      </c>
      <c r="AY378" s="21">
        <f>X378+AH378+AR378</f>
        <v>0</v>
      </c>
    </row>
    <row r="379" spans="1:51" hidden="1" x14ac:dyDescent="0.2">
      <c r="A379" s="50" t="s">
        <v>586</v>
      </c>
      <c r="B379" s="51" t="s">
        <v>208</v>
      </c>
      <c r="C379" s="51"/>
      <c r="D379" s="51"/>
      <c r="E379" s="52">
        <f>IF(G379="Y",VLOOKUP(B379&amp;"|"&amp;C379,'[1]ETC Data'!$C$2:$D$16,2,FALSE),0)</f>
        <v>0</v>
      </c>
      <c r="F379" s="52">
        <f>IF(D379="",0,IF(G379="Y",VLOOKUP(B379&amp;"|"&amp;D379,'[1]ETC Data'!$C$2:$D$16,2,FALSE),0))</f>
        <v>0</v>
      </c>
      <c r="G379" s="53" t="str">
        <f>IF(VLOOKUP(A379,[1]Plan!A$1:H$804,8,FALSE)&lt;&gt;"",VLOOKUP(A379,[1]Plan!A$1:H$804,8,FALSE),"")</f>
        <v>N</v>
      </c>
      <c r="H379" s="54" t="str">
        <f>IF(VLOOKUP(A379,[1]Plan!A$1:L$804,12,FALSE)&lt;&gt;"",VLOOKUP(A379,[1]Plan!A$1:L$804,12,FALSE),"")</f>
        <v/>
      </c>
      <c r="I379" s="55" t="str">
        <f>IF(VLOOKUP(A379,[1]Plan!A$1:M$804,13,FALSE)&lt;&gt;"",VLOOKUP(A379,[1]Plan!A$1:M$804,13,FALSE),"")</f>
        <v/>
      </c>
      <c r="J379" s="55" t="str">
        <f>IF(VLOOKUP(A379,[1]Plan!A$1:N$804,14,FALSE)&lt;&gt;"",VLOOKUP(A379,[1]Plan!A$1:N$804,14,FALSE),IF(VLOOKUP(A379,[1]Plan!A$1:O$804,15,FALSE)&lt;&gt;"",VLOOKUP(A379,[1]Plan!A$1:O$804,15,FALSE),""))</f>
        <v/>
      </c>
      <c r="K379" s="56" t="str">
        <f>IF(VLOOKUP(A379,[1]Plan!A$1:P$804,16,FALSE)&lt;&gt;"",VLOOKUP(A379,[1]Plan!A$1:P$804,16,FALSE),"")</f>
        <v/>
      </c>
      <c r="L379" s="55"/>
      <c r="M379" s="55"/>
      <c r="N379" s="55"/>
      <c r="O379" s="57">
        <f>IF(F379=0,E379,F379)</f>
        <v>0</v>
      </c>
      <c r="P379" s="57" t="b">
        <f>OR(H379="Y",I379="Y")</f>
        <v>0</v>
      </c>
      <c r="Q379" s="58">
        <f>IF(P379,O379*'[1]ETC Data'!$H$3*'[1]ETC Data'!$I$3,0)</f>
        <v>0</v>
      </c>
      <c r="R379" s="58">
        <f>Q379-(Q379*((VLOOKUP(A379,[1]Plan!A$1:Z$804,26,FALSE)/100)))</f>
        <v>0</v>
      </c>
      <c r="S379" s="58">
        <f>IF(P379,O379*'[1]ETC Data'!$H$3*'[1]ETC Data'!$J$3,0)</f>
        <v>0</v>
      </c>
      <c r="T379" s="58">
        <f>S379-(S379*((VLOOKUP(A379,[1]Plan!A$1:AA$804,27,FALSE)/100)))</f>
        <v>0</v>
      </c>
      <c r="U379" s="58">
        <f>IF(P379,O379*'[1]ETC Data'!$H$3*'[1]ETC Data'!$K$3,0)</f>
        <v>0</v>
      </c>
      <c r="V379" s="58">
        <f>U379-(U379*((VLOOKUP(A379,[1]Plan!A$1:AB$804,28,FALSE)/100)))</f>
        <v>0</v>
      </c>
      <c r="W379" s="58">
        <f>IF(P379,O379*'[1]ETC Data'!$H$3*'[1]ETC Data'!$L$3,0)</f>
        <v>0</v>
      </c>
      <c r="X379" s="58">
        <f>W379-(W379*((VLOOKUP(A379,[1]Plan!A$1:AC$804,29,FALSE)/100)))</f>
        <v>0</v>
      </c>
      <c r="Y379" s="59"/>
      <c r="Z379" s="60" t="b">
        <f>OR(H379="Y",J379="Y")</f>
        <v>0</v>
      </c>
      <c r="AA379" s="58">
        <f>IF(Z379,O379*'[1]ETC Data'!$H$4*'[1]ETC Data'!$I$4,0)</f>
        <v>0</v>
      </c>
      <c r="AB379" s="58">
        <f>AA379-(AA379*((VLOOKUP(A379,[1]Plan!A$1:AI$804,35,FALSE)/100)))</f>
        <v>0</v>
      </c>
      <c r="AC379" s="58">
        <f>IF(Z379,O379*'[1]ETC Data'!$H$4*'[1]ETC Data'!$J$4,0)</f>
        <v>0</v>
      </c>
      <c r="AD379" s="58">
        <f>AC379-(AC379*((VLOOKUP(A379,[1]Plan!A$1:AJ$804,36,FALSE)/100)))</f>
        <v>0</v>
      </c>
      <c r="AE379" s="58">
        <f>IF(Z379,O379*'[1]ETC Data'!$H$4*'[1]ETC Data'!$K$4,0)</f>
        <v>0</v>
      </c>
      <c r="AF379" s="58">
        <f>AE379-(AE379*((VLOOKUP(A379,[1]Plan!A$1:AK$804,37,FALSE)/100)))</f>
        <v>0</v>
      </c>
      <c r="AG379" s="58">
        <f>IF(Z379,O379*'[1]ETC Data'!$H$4*'[1]ETC Data'!$L$4,0)</f>
        <v>0</v>
      </c>
      <c r="AH379" s="58">
        <f>AG379-(AG379*((VLOOKUP(A379,[1]Plan!A$1:AP$804,42,FALSE)/100)))</f>
        <v>0</v>
      </c>
      <c r="AI379" s="60"/>
      <c r="AJ379" s="60" t="b">
        <f>OR(H379="Y",K379="Y")</f>
        <v>0</v>
      </c>
      <c r="AK379" s="61">
        <f>IF(AJ379,O379*'[1]ETC Data'!$H$5*'[1]ETC Data'!$I$5,0)</f>
        <v>0</v>
      </c>
      <c r="AL379" s="58">
        <f>AK379-(AK379*((VLOOKUP(A379,[1]Plan!A$1:AY$804,51,FALSE)/100)))</f>
        <v>0</v>
      </c>
      <c r="AM379" s="58">
        <f>IF(AJ379,O379*'[1]ETC Data'!$H$5*'[1]ETC Data'!$J$5,0)</f>
        <v>0</v>
      </c>
      <c r="AN379" s="58">
        <f>AM379-(AM379*((VLOOKUP(A379,[1]Plan!A$1:BA$804,53,FALSE)/100)))</f>
        <v>0</v>
      </c>
      <c r="AO379" s="61">
        <f>IF(AJ379,O379*'[1]ETC Data'!$H$5*'[1]ETC Data'!$K$5,0)</f>
        <v>0</v>
      </c>
      <c r="AP379" s="58">
        <f>AO379-(AO379*((VLOOKUP(A379,[1]Plan!A$1:BB$804,54,FALSE)/100)))</f>
        <v>0</v>
      </c>
      <c r="AQ379" s="58">
        <f>IF(AJ379,O379*'[1]ETC Data'!$H$5*'[1]ETC Data'!$L$5,0)</f>
        <v>0</v>
      </c>
      <c r="AR379" s="58">
        <f>AQ379-(AQ379*((VLOOKUP(A379,[1]Plan!A$1:BD$804,56,FALSE)/100)))</f>
        <v>0</v>
      </c>
      <c r="AS379" s="20">
        <f>VLOOKUP(A379,'[1]PR Matrix'!A:B,2,FALSE)</f>
        <v>0</v>
      </c>
      <c r="AT379" s="21">
        <f>R379+T379+V379+X379+AB379+AD379+AF379+AH379+AL379+AN379+AP379+AR379</f>
        <v>0</v>
      </c>
      <c r="AU379" s="21">
        <f>Q379+S379+U379+W379+AA379+AC379+AE379+AG379+AK379+AM379+AO379+AQ379</f>
        <v>0</v>
      </c>
      <c r="AV379" s="21">
        <f>R379+AB379+AL379</f>
        <v>0</v>
      </c>
      <c r="AW379" s="21">
        <f>T379+AD379+AN379</f>
        <v>0</v>
      </c>
      <c r="AX379" s="21">
        <f>V379+AF379+AP379</f>
        <v>0</v>
      </c>
      <c r="AY379" s="21">
        <f>X379+AH379+AR379</f>
        <v>0</v>
      </c>
    </row>
    <row r="380" spans="1:51" hidden="1" x14ac:dyDescent="0.2">
      <c r="A380" s="50" t="s">
        <v>587</v>
      </c>
      <c r="B380" s="51" t="s">
        <v>208</v>
      </c>
      <c r="C380" s="51"/>
      <c r="D380" s="51"/>
      <c r="E380" s="52">
        <f>IF(G380="Y",VLOOKUP(B380&amp;"|"&amp;C380,'[1]ETC Data'!$C$2:$D$16,2,FALSE),0)</f>
        <v>0</v>
      </c>
      <c r="F380" s="52">
        <f>IF(D380="",0,IF(G380="Y",VLOOKUP(B380&amp;"|"&amp;D380,'[1]ETC Data'!$C$2:$D$16,2,FALSE),0))</f>
        <v>0</v>
      </c>
      <c r="G380" s="53" t="str">
        <f>IF(VLOOKUP(A380,[1]Plan!A$1:H$804,8,FALSE)&lt;&gt;"",VLOOKUP(A380,[1]Plan!A$1:H$804,8,FALSE),"")</f>
        <v>N</v>
      </c>
      <c r="H380" s="54" t="str">
        <f>IF(VLOOKUP(A380,[1]Plan!A$1:L$804,12,FALSE)&lt;&gt;"",VLOOKUP(A380,[1]Plan!A$1:L$804,12,FALSE),"")</f>
        <v/>
      </c>
      <c r="I380" s="55" t="str">
        <f>IF(VLOOKUP(A380,[1]Plan!A$1:M$804,13,FALSE)&lt;&gt;"",VLOOKUP(A380,[1]Plan!A$1:M$804,13,FALSE),"")</f>
        <v/>
      </c>
      <c r="J380" s="55" t="str">
        <f>IF(VLOOKUP(A380,[1]Plan!A$1:N$804,14,FALSE)&lt;&gt;"",VLOOKUP(A380,[1]Plan!A$1:N$804,14,FALSE),IF(VLOOKUP(A380,[1]Plan!A$1:O$804,15,FALSE)&lt;&gt;"",VLOOKUP(A380,[1]Plan!A$1:O$804,15,FALSE),""))</f>
        <v/>
      </c>
      <c r="K380" s="56" t="str">
        <f>IF(VLOOKUP(A380,[1]Plan!A$1:P$804,16,FALSE)&lt;&gt;"",VLOOKUP(A380,[1]Plan!A$1:P$804,16,FALSE),"")</f>
        <v/>
      </c>
      <c r="L380" s="55"/>
      <c r="M380" s="55"/>
      <c r="N380" s="55"/>
      <c r="O380" s="57">
        <f>IF(F380=0,E380,F380)</f>
        <v>0</v>
      </c>
      <c r="P380" s="57" t="b">
        <f>OR(H380="Y",I380="Y")</f>
        <v>0</v>
      </c>
      <c r="Q380" s="58">
        <f>IF(P380,O380*'[1]ETC Data'!$H$3*'[1]ETC Data'!$I$3,0)</f>
        <v>0</v>
      </c>
      <c r="R380" s="58">
        <f>Q380-(Q380*((VLOOKUP(A380,[1]Plan!A$1:Z$804,26,FALSE)/100)))</f>
        <v>0</v>
      </c>
      <c r="S380" s="58">
        <f>IF(P380,O380*'[1]ETC Data'!$H$3*'[1]ETC Data'!$J$3,0)</f>
        <v>0</v>
      </c>
      <c r="T380" s="58">
        <f>S380-(S380*((VLOOKUP(A380,[1]Plan!A$1:AA$804,27,FALSE)/100)))</f>
        <v>0</v>
      </c>
      <c r="U380" s="58">
        <f>IF(P380,O380*'[1]ETC Data'!$H$3*'[1]ETC Data'!$K$3,0)</f>
        <v>0</v>
      </c>
      <c r="V380" s="58">
        <f>U380-(U380*((VLOOKUP(A380,[1]Plan!A$1:AB$804,28,FALSE)/100)))</f>
        <v>0</v>
      </c>
      <c r="W380" s="58">
        <f>IF(P380,O380*'[1]ETC Data'!$H$3*'[1]ETC Data'!$L$3,0)</f>
        <v>0</v>
      </c>
      <c r="X380" s="58">
        <f>W380-(W380*((VLOOKUP(A380,[1]Plan!A$1:AC$804,29,FALSE)/100)))</f>
        <v>0</v>
      </c>
      <c r="Y380" s="59"/>
      <c r="Z380" s="60" t="b">
        <f>OR(H380="Y",J380="Y")</f>
        <v>0</v>
      </c>
      <c r="AA380" s="58">
        <f>IF(Z380,O380*'[1]ETC Data'!$H$4*'[1]ETC Data'!$I$4,0)</f>
        <v>0</v>
      </c>
      <c r="AB380" s="58">
        <f>AA380-(AA380*((VLOOKUP(A380,[1]Plan!A$1:AI$804,35,FALSE)/100)))</f>
        <v>0</v>
      </c>
      <c r="AC380" s="58">
        <f>IF(Z380,O380*'[1]ETC Data'!$H$4*'[1]ETC Data'!$J$4,0)</f>
        <v>0</v>
      </c>
      <c r="AD380" s="58">
        <f>AC380-(AC380*((VLOOKUP(A380,[1]Plan!A$1:AJ$804,36,FALSE)/100)))</f>
        <v>0</v>
      </c>
      <c r="AE380" s="58">
        <f>IF(Z380,O380*'[1]ETC Data'!$H$4*'[1]ETC Data'!$K$4,0)</f>
        <v>0</v>
      </c>
      <c r="AF380" s="58">
        <f>AE380-(AE380*((VLOOKUP(A380,[1]Plan!A$1:AK$804,37,FALSE)/100)))</f>
        <v>0</v>
      </c>
      <c r="AG380" s="58">
        <f>IF(Z380,O380*'[1]ETC Data'!$H$4*'[1]ETC Data'!$L$4,0)</f>
        <v>0</v>
      </c>
      <c r="AH380" s="58">
        <f>AG380-(AG380*((VLOOKUP(A380,[1]Plan!A$1:AP$804,42,FALSE)/100)))</f>
        <v>0</v>
      </c>
      <c r="AI380" s="60"/>
      <c r="AJ380" s="60" t="b">
        <f>OR(H380="Y",K380="Y")</f>
        <v>0</v>
      </c>
      <c r="AK380" s="61">
        <f>IF(AJ380,O380*'[1]ETC Data'!$H$5*'[1]ETC Data'!$I$5,0)</f>
        <v>0</v>
      </c>
      <c r="AL380" s="58">
        <f>AK380-(AK380*((VLOOKUP(A380,[1]Plan!A$1:AY$804,51,FALSE)/100)))</f>
        <v>0</v>
      </c>
      <c r="AM380" s="58">
        <f>IF(AJ380,O380*'[1]ETC Data'!$H$5*'[1]ETC Data'!$J$5,0)</f>
        <v>0</v>
      </c>
      <c r="AN380" s="58">
        <f>AM380-(AM380*((VLOOKUP(A380,[1]Plan!A$1:BA$804,53,FALSE)/100)))</f>
        <v>0</v>
      </c>
      <c r="AO380" s="61">
        <f>IF(AJ380,O380*'[1]ETC Data'!$H$5*'[1]ETC Data'!$K$5,0)</f>
        <v>0</v>
      </c>
      <c r="AP380" s="58">
        <f>AO380-(AO380*((VLOOKUP(A380,[1]Plan!A$1:BB$804,54,FALSE)/100)))</f>
        <v>0</v>
      </c>
      <c r="AQ380" s="58">
        <f>IF(AJ380,O380*'[1]ETC Data'!$H$5*'[1]ETC Data'!$L$5,0)</f>
        <v>0</v>
      </c>
      <c r="AR380" s="58">
        <f>AQ380-(AQ380*((VLOOKUP(A380,[1]Plan!A$1:BD$804,56,FALSE)/100)))</f>
        <v>0</v>
      </c>
      <c r="AS380" s="20">
        <f>VLOOKUP(A380,'[1]PR Matrix'!A:B,2,FALSE)</f>
        <v>0</v>
      </c>
      <c r="AT380" s="21">
        <f>R380+T380+V380+X380+AB380+AD380+AF380+AH380+AL380+AN380+AP380+AR380</f>
        <v>0</v>
      </c>
      <c r="AU380" s="21">
        <f>Q380+S380+U380+W380+AA380+AC380+AE380+AG380+AK380+AM380+AO380+AQ380</f>
        <v>0</v>
      </c>
      <c r="AV380" s="21">
        <f>R380+AB380+AL380</f>
        <v>0</v>
      </c>
      <c r="AW380" s="21">
        <f>T380+AD380+AN380</f>
        <v>0</v>
      </c>
      <c r="AX380" s="21">
        <f>V380+AF380+AP380</f>
        <v>0</v>
      </c>
      <c r="AY380" s="21">
        <f>X380+AH380+AR380</f>
        <v>0</v>
      </c>
    </row>
    <row r="381" spans="1:51" hidden="1" x14ac:dyDescent="0.2">
      <c r="A381" s="50" t="s">
        <v>588</v>
      </c>
      <c r="B381" s="51" t="s">
        <v>208</v>
      </c>
      <c r="C381" s="51"/>
      <c r="D381" s="51"/>
      <c r="E381" s="52">
        <f>IF(G381="Y",VLOOKUP(B381&amp;"|"&amp;C381,'[1]ETC Data'!$C$2:$D$16,2,FALSE),0)</f>
        <v>0</v>
      </c>
      <c r="F381" s="52">
        <f>IF(D381="",0,IF(G381="Y",VLOOKUP(B381&amp;"|"&amp;D381,'[1]ETC Data'!$C$2:$D$16,2,FALSE),0))</f>
        <v>0</v>
      </c>
      <c r="G381" s="53" t="str">
        <f>IF(VLOOKUP(A381,[1]Plan!A$1:H$804,8,FALSE)&lt;&gt;"",VLOOKUP(A381,[1]Plan!A$1:H$804,8,FALSE),"")</f>
        <v>N</v>
      </c>
      <c r="H381" s="54" t="str">
        <f>IF(VLOOKUP(A381,[1]Plan!A$1:L$804,12,FALSE)&lt;&gt;"",VLOOKUP(A381,[1]Plan!A$1:L$804,12,FALSE),"")</f>
        <v/>
      </c>
      <c r="I381" s="55" t="str">
        <f>IF(VLOOKUP(A381,[1]Plan!A$1:M$804,13,FALSE)&lt;&gt;"",VLOOKUP(A381,[1]Plan!A$1:M$804,13,FALSE),"")</f>
        <v/>
      </c>
      <c r="J381" s="55" t="str">
        <f>IF(VLOOKUP(A381,[1]Plan!A$1:N$804,14,FALSE)&lt;&gt;"",VLOOKUP(A381,[1]Plan!A$1:N$804,14,FALSE),IF(VLOOKUP(A381,[1]Plan!A$1:O$804,15,FALSE)&lt;&gt;"",VLOOKUP(A381,[1]Plan!A$1:O$804,15,FALSE),""))</f>
        <v/>
      </c>
      <c r="K381" s="56" t="str">
        <f>IF(VLOOKUP(A381,[1]Plan!A$1:P$804,16,FALSE)&lt;&gt;"",VLOOKUP(A381,[1]Plan!A$1:P$804,16,FALSE),"")</f>
        <v/>
      </c>
      <c r="L381" s="55"/>
      <c r="M381" s="55"/>
      <c r="N381" s="55"/>
      <c r="O381" s="57">
        <f>IF(F381=0,E381,F381)</f>
        <v>0</v>
      </c>
      <c r="P381" s="57" t="b">
        <f>OR(H381="Y",I381="Y")</f>
        <v>0</v>
      </c>
      <c r="Q381" s="58">
        <f>IF(P381,O381*'[1]ETC Data'!$H$3*'[1]ETC Data'!$I$3,0)</f>
        <v>0</v>
      </c>
      <c r="R381" s="58">
        <f>Q381-(Q381*((VLOOKUP(A381,[1]Plan!A$1:Z$804,26,FALSE)/100)))</f>
        <v>0</v>
      </c>
      <c r="S381" s="58">
        <f>IF(P381,O381*'[1]ETC Data'!$H$3*'[1]ETC Data'!$J$3,0)</f>
        <v>0</v>
      </c>
      <c r="T381" s="58">
        <f>S381-(S381*((VLOOKUP(A381,[1]Plan!A$1:AA$804,27,FALSE)/100)))</f>
        <v>0</v>
      </c>
      <c r="U381" s="58">
        <f>IF(P381,O381*'[1]ETC Data'!$H$3*'[1]ETC Data'!$K$3,0)</f>
        <v>0</v>
      </c>
      <c r="V381" s="58">
        <f>U381-(U381*((VLOOKUP(A381,[1]Plan!A$1:AB$804,28,FALSE)/100)))</f>
        <v>0</v>
      </c>
      <c r="W381" s="58">
        <f>IF(P381,O381*'[1]ETC Data'!$H$3*'[1]ETC Data'!$L$3,0)</f>
        <v>0</v>
      </c>
      <c r="X381" s="58">
        <f>W381-(W381*((VLOOKUP(A381,[1]Plan!A$1:AC$804,29,FALSE)/100)))</f>
        <v>0</v>
      </c>
      <c r="Y381" s="59"/>
      <c r="Z381" s="60" t="b">
        <f>OR(H381="Y",J381="Y")</f>
        <v>0</v>
      </c>
      <c r="AA381" s="58">
        <f>IF(Z381,O381*'[1]ETC Data'!$H$4*'[1]ETC Data'!$I$4,0)</f>
        <v>0</v>
      </c>
      <c r="AB381" s="58">
        <f>AA381-(AA381*((VLOOKUP(A381,[1]Plan!A$1:AI$804,35,FALSE)/100)))</f>
        <v>0</v>
      </c>
      <c r="AC381" s="58">
        <f>IF(Z381,O381*'[1]ETC Data'!$H$4*'[1]ETC Data'!$J$4,0)</f>
        <v>0</v>
      </c>
      <c r="AD381" s="58">
        <f>AC381-(AC381*((VLOOKUP(A381,[1]Plan!A$1:AJ$804,36,FALSE)/100)))</f>
        <v>0</v>
      </c>
      <c r="AE381" s="58">
        <f>IF(Z381,O381*'[1]ETC Data'!$H$4*'[1]ETC Data'!$K$4,0)</f>
        <v>0</v>
      </c>
      <c r="AF381" s="58">
        <f>AE381-(AE381*((VLOOKUP(A381,[1]Plan!A$1:AK$804,37,FALSE)/100)))</f>
        <v>0</v>
      </c>
      <c r="AG381" s="58">
        <f>IF(Z381,O381*'[1]ETC Data'!$H$4*'[1]ETC Data'!$L$4,0)</f>
        <v>0</v>
      </c>
      <c r="AH381" s="58">
        <f>AG381-(AG381*((VLOOKUP(A381,[1]Plan!A$1:AP$804,42,FALSE)/100)))</f>
        <v>0</v>
      </c>
      <c r="AI381" s="60"/>
      <c r="AJ381" s="60" t="b">
        <f>OR(H381="Y",K381="Y")</f>
        <v>0</v>
      </c>
      <c r="AK381" s="61">
        <f>IF(AJ381,O381*'[1]ETC Data'!$H$5*'[1]ETC Data'!$I$5,0)</f>
        <v>0</v>
      </c>
      <c r="AL381" s="58">
        <f>AK381-(AK381*((VLOOKUP(A381,[1]Plan!A$1:AY$804,51,FALSE)/100)))</f>
        <v>0</v>
      </c>
      <c r="AM381" s="58">
        <f>IF(AJ381,O381*'[1]ETC Data'!$H$5*'[1]ETC Data'!$J$5,0)</f>
        <v>0</v>
      </c>
      <c r="AN381" s="58">
        <f>AM381-(AM381*((VLOOKUP(A381,[1]Plan!A$1:BA$804,53,FALSE)/100)))</f>
        <v>0</v>
      </c>
      <c r="AO381" s="61">
        <f>IF(AJ381,O381*'[1]ETC Data'!$H$5*'[1]ETC Data'!$K$5,0)</f>
        <v>0</v>
      </c>
      <c r="AP381" s="58">
        <f>AO381-(AO381*((VLOOKUP(A381,[1]Plan!A$1:BB$804,54,FALSE)/100)))</f>
        <v>0</v>
      </c>
      <c r="AQ381" s="58">
        <f>IF(AJ381,O381*'[1]ETC Data'!$H$5*'[1]ETC Data'!$L$5,0)</f>
        <v>0</v>
      </c>
      <c r="AR381" s="58">
        <f>AQ381-(AQ381*((VLOOKUP(A381,[1]Plan!A$1:BD$804,56,FALSE)/100)))</f>
        <v>0</v>
      </c>
      <c r="AS381" s="20">
        <f>VLOOKUP(A381,'[1]PR Matrix'!A:B,2,FALSE)</f>
        <v>0</v>
      </c>
      <c r="AT381" s="21">
        <f>R381+T381+V381+X381+AB381+AD381+AF381+AH381+AL381+AN381+AP381+AR381</f>
        <v>0</v>
      </c>
      <c r="AU381" s="21">
        <f>Q381+S381+U381+W381+AA381+AC381+AE381+AG381+AK381+AM381+AO381+AQ381</f>
        <v>0</v>
      </c>
      <c r="AV381" s="21">
        <f>R381+AB381+AL381</f>
        <v>0</v>
      </c>
      <c r="AW381" s="21">
        <f>T381+AD381+AN381</f>
        <v>0</v>
      </c>
      <c r="AX381" s="21">
        <f>V381+AF381+AP381</f>
        <v>0</v>
      </c>
      <c r="AY381" s="21">
        <f>X381+AH381+AR381</f>
        <v>0</v>
      </c>
    </row>
    <row r="382" spans="1:51" hidden="1" x14ac:dyDescent="0.2">
      <c r="A382" s="50" t="s">
        <v>589</v>
      </c>
      <c r="B382" s="51" t="s">
        <v>208</v>
      </c>
      <c r="C382" s="51"/>
      <c r="D382" s="51"/>
      <c r="E382" s="52">
        <f>IF(G382="Y",VLOOKUP(B382&amp;"|"&amp;C382,'[1]ETC Data'!$C$2:$D$16,2,FALSE),0)</f>
        <v>0</v>
      </c>
      <c r="F382" s="52">
        <f>IF(D382="",0,IF(G382="Y",VLOOKUP(B382&amp;"|"&amp;D382,'[1]ETC Data'!$C$2:$D$16,2,FALSE),0))</f>
        <v>0</v>
      </c>
      <c r="G382" s="53" t="str">
        <f>IF(VLOOKUP(A382,[1]Plan!A$1:H$804,8,FALSE)&lt;&gt;"",VLOOKUP(A382,[1]Plan!A$1:H$804,8,FALSE),"")</f>
        <v>N</v>
      </c>
      <c r="H382" s="54" t="str">
        <f>IF(VLOOKUP(A382,[1]Plan!A$1:L$804,12,FALSE)&lt;&gt;"",VLOOKUP(A382,[1]Plan!A$1:L$804,12,FALSE),"")</f>
        <v/>
      </c>
      <c r="I382" s="55" t="str">
        <f>IF(VLOOKUP(A382,[1]Plan!A$1:M$804,13,FALSE)&lt;&gt;"",VLOOKUP(A382,[1]Plan!A$1:M$804,13,FALSE),"")</f>
        <v/>
      </c>
      <c r="J382" s="55" t="str">
        <f>IF(VLOOKUP(A382,[1]Plan!A$1:N$804,14,FALSE)&lt;&gt;"",VLOOKUP(A382,[1]Plan!A$1:N$804,14,FALSE),IF(VLOOKUP(A382,[1]Plan!A$1:O$804,15,FALSE)&lt;&gt;"",VLOOKUP(A382,[1]Plan!A$1:O$804,15,FALSE),""))</f>
        <v/>
      </c>
      <c r="K382" s="56" t="str">
        <f>IF(VLOOKUP(A382,[1]Plan!A$1:P$804,16,FALSE)&lt;&gt;"",VLOOKUP(A382,[1]Plan!A$1:P$804,16,FALSE),"")</f>
        <v/>
      </c>
      <c r="L382" s="55"/>
      <c r="M382" s="55"/>
      <c r="N382" s="55"/>
      <c r="O382" s="57">
        <f>IF(F382=0,E382,F382)</f>
        <v>0</v>
      </c>
      <c r="P382" s="57" t="b">
        <f>OR(H382="Y",I382="Y")</f>
        <v>0</v>
      </c>
      <c r="Q382" s="58">
        <f>IF(P382,O382*'[1]ETC Data'!$H$3*'[1]ETC Data'!$I$3,0)</f>
        <v>0</v>
      </c>
      <c r="R382" s="58">
        <f>Q382-(Q382*((VLOOKUP(A382,[1]Plan!A$1:Z$804,26,FALSE)/100)))</f>
        <v>0</v>
      </c>
      <c r="S382" s="58">
        <f>IF(P382,O382*'[1]ETC Data'!$H$3*'[1]ETC Data'!$J$3,0)</f>
        <v>0</v>
      </c>
      <c r="T382" s="58">
        <f>S382-(S382*((VLOOKUP(A382,[1]Plan!A$1:AA$804,27,FALSE)/100)))</f>
        <v>0</v>
      </c>
      <c r="U382" s="58">
        <f>IF(P382,O382*'[1]ETC Data'!$H$3*'[1]ETC Data'!$K$3,0)</f>
        <v>0</v>
      </c>
      <c r="V382" s="58">
        <f>U382-(U382*((VLOOKUP(A382,[1]Plan!A$1:AB$804,28,FALSE)/100)))</f>
        <v>0</v>
      </c>
      <c r="W382" s="58">
        <f>IF(P382,O382*'[1]ETC Data'!$H$3*'[1]ETC Data'!$L$3,0)</f>
        <v>0</v>
      </c>
      <c r="X382" s="58">
        <f>W382-(W382*((VLOOKUP(A382,[1]Plan!A$1:AC$804,29,FALSE)/100)))</f>
        <v>0</v>
      </c>
      <c r="Y382" s="59"/>
      <c r="Z382" s="60" t="b">
        <f>OR(H382="Y",J382="Y")</f>
        <v>0</v>
      </c>
      <c r="AA382" s="58">
        <f>IF(Z382,O382*'[1]ETC Data'!$H$4*'[1]ETC Data'!$I$4,0)</f>
        <v>0</v>
      </c>
      <c r="AB382" s="58">
        <f>AA382-(AA382*((VLOOKUP(A382,[1]Plan!A$1:AI$804,35,FALSE)/100)))</f>
        <v>0</v>
      </c>
      <c r="AC382" s="58">
        <f>IF(Z382,O382*'[1]ETC Data'!$H$4*'[1]ETC Data'!$J$4,0)</f>
        <v>0</v>
      </c>
      <c r="AD382" s="58">
        <f>AC382-(AC382*((VLOOKUP(A382,[1]Plan!A$1:AJ$804,36,FALSE)/100)))</f>
        <v>0</v>
      </c>
      <c r="AE382" s="58">
        <f>IF(Z382,O382*'[1]ETC Data'!$H$4*'[1]ETC Data'!$K$4,0)</f>
        <v>0</v>
      </c>
      <c r="AF382" s="58">
        <f>AE382-(AE382*((VLOOKUP(A382,[1]Plan!A$1:AK$804,37,FALSE)/100)))</f>
        <v>0</v>
      </c>
      <c r="AG382" s="58">
        <f>IF(Z382,O382*'[1]ETC Data'!$H$4*'[1]ETC Data'!$L$4,0)</f>
        <v>0</v>
      </c>
      <c r="AH382" s="58">
        <f>AG382-(AG382*((VLOOKUP(A382,[1]Plan!A$1:AP$804,42,FALSE)/100)))</f>
        <v>0</v>
      </c>
      <c r="AI382" s="60"/>
      <c r="AJ382" s="60" t="b">
        <f>OR(H382="Y",K382="Y")</f>
        <v>0</v>
      </c>
      <c r="AK382" s="61">
        <f>IF(AJ382,O382*'[1]ETC Data'!$H$5*'[1]ETC Data'!$I$5,0)</f>
        <v>0</v>
      </c>
      <c r="AL382" s="58">
        <f>AK382-(AK382*((VLOOKUP(A382,[1]Plan!A$1:AY$804,51,FALSE)/100)))</f>
        <v>0</v>
      </c>
      <c r="AM382" s="58">
        <f>IF(AJ382,O382*'[1]ETC Data'!$H$5*'[1]ETC Data'!$J$5,0)</f>
        <v>0</v>
      </c>
      <c r="AN382" s="58">
        <f>AM382-(AM382*((VLOOKUP(A382,[1]Plan!A$1:BA$804,53,FALSE)/100)))</f>
        <v>0</v>
      </c>
      <c r="AO382" s="61">
        <f>IF(AJ382,O382*'[1]ETC Data'!$H$5*'[1]ETC Data'!$K$5,0)</f>
        <v>0</v>
      </c>
      <c r="AP382" s="58">
        <f>AO382-(AO382*((VLOOKUP(A382,[1]Plan!A$1:BB$804,54,FALSE)/100)))</f>
        <v>0</v>
      </c>
      <c r="AQ382" s="58">
        <f>IF(AJ382,O382*'[1]ETC Data'!$H$5*'[1]ETC Data'!$L$5,0)</f>
        <v>0</v>
      </c>
      <c r="AR382" s="58">
        <f>AQ382-(AQ382*((VLOOKUP(A382,[1]Plan!A$1:BD$804,56,FALSE)/100)))</f>
        <v>0</v>
      </c>
      <c r="AS382" s="20">
        <f>VLOOKUP(A382,'[1]PR Matrix'!A:B,2,FALSE)</f>
        <v>0</v>
      </c>
      <c r="AT382" s="21">
        <f>R382+T382+V382+X382+AB382+AD382+AF382+AH382+AL382+AN382+AP382+AR382</f>
        <v>0</v>
      </c>
      <c r="AU382" s="21">
        <f>Q382+S382+U382+W382+AA382+AC382+AE382+AG382+AK382+AM382+AO382+AQ382</f>
        <v>0</v>
      </c>
      <c r="AV382" s="21">
        <f>R382+AB382+AL382</f>
        <v>0</v>
      </c>
      <c r="AW382" s="21">
        <f>T382+AD382+AN382</f>
        <v>0</v>
      </c>
      <c r="AX382" s="21">
        <f>V382+AF382+AP382</f>
        <v>0</v>
      </c>
      <c r="AY382" s="21">
        <f>X382+AH382+AR382</f>
        <v>0</v>
      </c>
    </row>
    <row r="383" spans="1:51" hidden="1" x14ac:dyDescent="0.2">
      <c r="A383" s="50" t="s">
        <v>590</v>
      </c>
      <c r="B383" s="51" t="s">
        <v>208</v>
      </c>
      <c r="C383" s="51"/>
      <c r="D383" s="51"/>
      <c r="E383" s="52">
        <f>IF(G383="Y",VLOOKUP(B383&amp;"|"&amp;C383,'[1]ETC Data'!$C$2:$D$16,2,FALSE),0)</f>
        <v>0</v>
      </c>
      <c r="F383" s="52">
        <f>IF(D383="",0,IF(G383="Y",VLOOKUP(B383&amp;"|"&amp;D383,'[1]ETC Data'!$C$2:$D$16,2,FALSE),0))</f>
        <v>0</v>
      </c>
      <c r="G383" s="53" t="str">
        <f>IF(VLOOKUP(A383,[1]Plan!A$1:H$804,8,FALSE)&lt;&gt;"",VLOOKUP(A383,[1]Plan!A$1:H$804,8,FALSE),"")</f>
        <v>N</v>
      </c>
      <c r="H383" s="54" t="str">
        <f>IF(VLOOKUP(A383,[1]Plan!A$1:L$804,12,FALSE)&lt;&gt;"",VLOOKUP(A383,[1]Plan!A$1:L$804,12,FALSE),"")</f>
        <v/>
      </c>
      <c r="I383" s="55" t="str">
        <f>IF(VLOOKUP(A383,[1]Plan!A$1:M$804,13,FALSE)&lt;&gt;"",VLOOKUP(A383,[1]Plan!A$1:M$804,13,FALSE),"")</f>
        <v/>
      </c>
      <c r="J383" s="55" t="str">
        <f>IF(VLOOKUP(A383,[1]Plan!A$1:N$804,14,FALSE)&lt;&gt;"",VLOOKUP(A383,[1]Plan!A$1:N$804,14,FALSE),IF(VLOOKUP(A383,[1]Plan!A$1:O$804,15,FALSE)&lt;&gt;"",VLOOKUP(A383,[1]Plan!A$1:O$804,15,FALSE),""))</f>
        <v/>
      </c>
      <c r="K383" s="56" t="str">
        <f>IF(VLOOKUP(A383,[1]Plan!A$1:P$804,16,FALSE)&lt;&gt;"",VLOOKUP(A383,[1]Plan!A$1:P$804,16,FALSE),"")</f>
        <v/>
      </c>
      <c r="L383" s="55"/>
      <c r="M383" s="55"/>
      <c r="N383" s="55"/>
      <c r="O383" s="57">
        <f>IF(F383=0,E383,F383)</f>
        <v>0</v>
      </c>
      <c r="P383" s="57" t="b">
        <f>OR(H383="Y",I383="Y")</f>
        <v>0</v>
      </c>
      <c r="Q383" s="58">
        <f>IF(P383,O383*'[1]ETC Data'!$H$3*'[1]ETC Data'!$I$3,0)</f>
        <v>0</v>
      </c>
      <c r="R383" s="58">
        <f>Q383-(Q383*((VLOOKUP(A383,[1]Plan!A$1:Z$804,26,FALSE)/100)))</f>
        <v>0</v>
      </c>
      <c r="S383" s="58">
        <f>IF(P383,O383*'[1]ETC Data'!$H$3*'[1]ETC Data'!$J$3,0)</f>
        <v>0</v>
      </c>
      <c r="T383" s="58">
        <f>S383-(S383*((VLOOKUP(A383,[1]Plan!A$1:AA$804,27,FALSE)/100)))</f>
        <v>0</v>
      </c>
      <c r="U383" s="58">
        <f>IF(P383,O383*'[1]ETC Data'!$H$3*'[1]ETC Data'!$K$3,0)</f>
        <v>0</v>
      </c>
      <c r="V383" s="58">
        <f>U383-(U383*((VLOOKUP(A383,[1]Plan!A$1:AB$804,28,FALSE)/100)))</f>
        <v>0</v>
      </c>
      <c r="W383" s="58">
        <f>IF(P383,O383*'[1]ETC Data'!$H$3*'[1]ETC Data'!$L$3,0)</f>
        <v>0</v>
      </c>
      <c r="X383" s="58">
        <f>W383-(W383*((VLOOKUP(A383,[1]Plan!A$1:AC$804,29,FALSE)/100)))</f>
        <v>0</v>
      </c>
      <c r="Y383" s="59"/>
      <c r="Z383" s="60" t="b">
        <f>OR(H383="Y",J383="Y")</f>
        <v>0</v>
      </c>
      <c r="AA383" s="58">
        <f>IF(Z383,O383*'[1]ETC Data'!$H$4*'[1]ETC Data'!$I$4,0)</f>
        <v>0</v>
      </c>
      <c r="AB383" s="58">
        <f>AA383-(AA383*((VLOOKUP(A383,[1]Plan!A$1:AI$804,35,FALSE)/100)))</f>
        <v>0</v>
      </c>
      <c r="AC383" s="58">
        <f>IF(Z383,O383*'[1]ETC Data'!$H$4*'[1]ETC Data'!$J$4,0)</f>
        <v>0</v>
      </c>
      <c r="AD383" s="58">
        <f>AC383-(AC383*((VLOOKUP(A383,[1]Plan!A$1:AJ$804,36,FALSE)/100)))</f>
        <v>0</v>
      </c>
      <c r="AE383" s="58">
        <f>IF(Z383,O383*'[1]ETC Data'!$H$4*'[1]ETC Data'!$K$4,0)</f>
        <v>0</v>
      </c>
      <c r="AF383" s="58">
        <f>AE383-(AE383*((VLOOKUP(A383,[1]Plan!A$1:AK$804,37,FALSE)/100)))</f>
        <v>0</v>
      </c>
      <c r="AG383" s="58">
        <f>IF(Z383,O383*'[1]ETC Data'!$H$4*'[1]ETC Data'!$L$4,0)</f>
        <v>0</v>
      </c>
      <c r="AH383" s="58">
        <f>AG383-(AG383*((VLOOKUP(A383,[1]Plan!A$1:AP$804,42,FALSE)/100)))</f>
        <v>0</v>
      </c>
      <c r="AI383" s="60"/>
      <c r="AJ383" s="60" t="b">
        <f>OR(H383="Y",K383="Y")</f>
        <v>0</v>
      </c>
      <c r="AK383" s="61">
        <f>IF(AJ383,O383*'[1]ETC Data'!$H$5*'[1]ETC Data'!$I$5,0)</f>
        <v>0</v>
      </c>
      <c r="AL383" s="58">
        <f>AK383-(AK383*((VLOOKUP(A383,[1]Plan!A$1:AY$804,51,FALSE)/100)))</f>
        <v>0</v>
      </c>
      <c r="AM383" s="58">
        <f>IF(AJ383,O383*'[1]ETC Data'!$H$5*'[1]ETC Data'!$J$5,0)</f>
        <v>0</v>
      </c>
      <c r="AN383" s="58">
        <f>AM383-(AM383*((VLOOKUP(A383,[1]Plan!A$1:BA$804,53,FALSE)/100)))</f>
        <v>0</v>
      </c>
      <c r="AO383" s="61">
        <f>IF(AJ383,O383*'[1]ETC Data'!$H$5*'[1]ETC Data'!$K$5,0)</f>
        <v>0</v>
      </c>
      <c r="AP383" s="58">
        <f>AO383-(AO383*((VLOOKUP(A383,[1]Plan!A$1:BB$804,54,FALSE)/100)))</f>
        <v>0</v>
      </c>
      <c r="AQ383" s="58">
        <f>IF(AJ383,O383*'[1]ETC Data'!$H$5*'[1]ETC Data'!$L$5,0)</f>
        <v>0</v>
      </c>
      <c r="AR383" s="58">
        <f>AQ383-(AQ383*((VLOOKUP(A383,[1]Plan!A$1:BD$804,56,FALSE)/100)))</f>
        <v>0</v>
      </c>
      <c r="AS383" s="20">
        <f>VLOOKUP(A383,'[1]PR Matrix'!A:B,2,FALSE)</f>
        <v>0</v>
      </c>
      <c r="AT383" s="21">
        <f>R383+T383+V383+X383+AB383+AD383+AF383+AH383+AL383+AN383+AP383+AR383</f>
        <v>0</v>
      </c>
      <c r="AU383" s="21">
        <f>Q383+S383+U383+W383+AA383+AC383+AE383+AG383+AK383+AM383+AO383+AQ383</f>
        <v>0</v>
      </c>
      <c r="AV383" s="21">
        <f>R383+AB383+AL383</f>
        <v>0</v>
      </c>
      <c r="AW383" s="21">
        <f>T383+AD383+AN383</f>
        <v>0</v>
      </c>
      <c r="AX383" s="21">
        <f>V383+AF383+AP383</f>
        <v>0</v>
      </c>
      <c r="AY383" s="21">
        <f>X383+AH383+AR383</f>
        <v>0</v>
      </c>
    </row>
    <row r="384" spans="1:51" hidden="1" x14ac:dyDescent="0.2">
      <c r="A384" s="50" t="s">
        <v>591</v>
      </c>
      <c r="B384" s="51" t="s">
        <v>208</v>
      </c>
      <c r="C384" s="51"/>
      <c r="D384" s="51"/>
      <c r="E384" s="52">
        <f>IF(G384="Y",VLOOKUP(B384&amp;"|"&amp;C384,'[1]ETC Data'!$C$2:$D$16,2,FALSE),0)</f>
        <v>0</v>
      </c>
      <c r="F384" s="52">
        <f>IF(D384="",0,IF(G384="Y",VLOOKUP(B384&amp;"|"&amp;D384,'[1]ETC Data'!$C$2:$D$16,2,FALSE),0))</f>
        <v>0</v>
      </c>
      <c r="G384" s="53" t="str">
        <f>IF(VLOOKUP(A384,[1]Plan!A$1:H$804,8,FALSE)&lt;&gt;"",VLOOKUP(A384,[1]Plan!A$1:H$804,8,FALSE),"")</f>
        <v>N</v>
      </c>
      <c r="H384" s="54" t="str">
        <f>IF(VLOOKUP(A384,[1]Plan!A$1:L$804,12,FALSE)&lt;&gt;"",VLOOKUP(A384,[1]Plan!A$1:L$804,12,FALSE),"")</f>
        <v/>
      </c>
      <c r="I384" s="55" t="str">
        <f>IF(VLOOKUP(A384,[1]Plan!A$1:M$804,13,FALSE)&lt;&gt;"",VLOOKUP(A384,[1]Plan!A$1:M$804,13,FALSE),"")</f>
        <v/>
      </c>
      <c r="J384" s="55" t="str">
        <f>IF(VLOOKUP(A384,[1]Plan!A$1:N$804,14,FALSE)&lt;&gt;"",VLOOKUP(A384,[1]Plan!A$1:N$804,14,FALSE),IF(VLOOKUP(A384,[1]Plan!A$1:O$804,15,FALSE)&lt;&gt;"",VLOOKUP(A384,[1]Plan!A$1:O$804,15,FALSE),""))</f>
        <v/>
      </c>
      <c r="K384" s="56" t="str">
        <f>IF(VLOOKUP(A384,[1]Plan!A$1:P$804,16,FALSE)&lt;&gt;"",VLOOKUP(A384,[1]Plan!A$1:P$804,16,FALSE),"")</f>
        <v/>
      </c>
      <c r="L384" s="55"/>
      <c r="M384" s="55"/>
      <c r="N384" s="55"/>
      <c r="O384" s="57">
        <f>IF(F384=0,E384,F384)</f>
        <v>0</v>
      </c>
      <c r="P384" s="57" t="b">
        <f>OR(H384="Y",I384="Y")</f>
        <v>0</v>
      </c>
      <c r="Q384" s="58">
        <f>IF(P384,O384*'[1]ETC Data'!$H$3*'[1]ETC Data'!$I$3,0)</f>
        <v>0</v>
      </c>
      <c r="R384" s="58">
        <f>Q384-(Q384*((VLOOKUP(A384,[1]Plan!A$1:Z$804,26,FALSE)/100)))</f>
        <v>0</v>
      </c>
      <c r="S384" s="58">
        <f>IF(P384,O384*'[1]ETC Data'!$H$3*'[1]ETC Data'!$J$3,0)</f>
        <v>0</v>
      </c>
      <c r="T384" s="58">
        <f>S384-(S384*((VLOOKUP(A384,[1]Plan!A$1:AA$804,27,FALSE)/100)))</f>
        <v>0</v>
      </c>
      <c r="U384" s="58">
        <f>IF(P384,O384*'[1]ETC Data'!$H$3*'[1]ETC Data'!$K$3,0)</f>
        <v>0</v>
      </c>
      <c r="V384" s="58">
        <f>U384-(U384*((VLOOKUP(A384,[1]Plan!A$1:AB$804,28,FALSE)/100)))</f>
        <v>0</v>
      </c>
      <c r="W384" s="58">
        <f>IF(P384,O384*'[1]ETC Data'!$H$3*'[1]ETC Data'!$L$3,0)</f>
        <v>0</v>
      </c>
      <c r="X384" s="58">
        <f>W384-(W384*((VLOOKUP(A384,[1]Plan!A$1:AC$804,29,FALSE)/100)))</f>
        <v>0</v>
      </c>
      <c r="Y384" s="59"/>
      <c r="Z384" s="60" t="b">
        <f>OR(H384="Y",J384="Y")</f>
        <v>0</v>
      </c>
      <c r="AA384" s="58">
        <f>IF(Z384,O384*'[1]ETC Data'!$H$4*'[1]ETC Data'!$I$4,0)</f>
        <v>0</v>
      </c>
      <c r="AB384" s="58">
        <f>AA384-(AA384*((VLOOKUP(A384,[1]Plan!A$1:AI$804,35,FALSE)/100)))</f>
        <v>0</v>
      </c>
      <c r="AC384" s="58">
        <f>IF(Z384,O384*'[1]ETC Data'!$H$4*'[1]ETC Data'!$J$4,0)</f>
        <v>0</v>
      </c>
      <c r="AD384" s="58">
        <f>AC384-(AC384*((VLOOKUP(A384,[1]Plan!A$1:AJ$804,36,FALSE)/100)))</f>
        <v>0</v>
      </c>
      <c r="AE384" s="58">
        <f>IF(Z384,O384*'[1]ETC Data'!$H$4*'[1]ETC Data'!$K$4,0)</f>
        <v>0</v>
      </c>
      <c r="AF384" s="58">
        <f>AE384-(AE384*((VLOOKUP(A384,[1]Plan!A$1:AK$804,37,FALSE)/100)))</f>
        <v>0</v>
      </c>
      <c r="AG384" s="58">
        <f>IF(Z384,O384*'[1]ETC Data'!$H$4*'[1]ETC Data'!$L$4,0)</f>
        <v>0</v>
      </c>
      <c r="AH384" s="58">
        <f>AG384-(AG384*((VLOOKUP(A384,[1]Plan!A$1:AP$804,42,FALSE)/100)))</f>
        <v>0</v>
      </c>
      <c r="AI384" s="60"/>
      <c r="AJ384" s="60" t="b">
        <f>OR(H384="Y",K384="Y")</f>
        <v>0</v>
      </c>
      <c r="AK384" s="61">
        <f>IF(AJ384,O384*'[1]ETC Data'!$H$5*'[1]ETC Data'!$I$5,0)</f>
        <v>0</v>
      </c>
      <c r="AL384" s="58">
        <f>AK384-(AK384*((VLOOKUP(A384,[1]Plan!A$1:AY$804,51,FALSE)/100)))</f>
        <v>0</v>
      </c>
      <c r="AM384" s="58">
        <f>IF(AJ384,O384*'[1]ETC Data'!$H$5*'[1]ETC Data'!$J$5,0)</f>
        <v>0</v>
      </c>
      <c r="AN384" s="58">
        <f>AM384-(AM384*((VLOOKUP(A384,[1]Plan!A$1:BA$804,53,FALSE)/100)))</f>
        <v>0</v>
      </c>
      <c r="AO384" s="61">
        <f>IF(AJ384,O384*'[1]ETC Data'!$H$5*'[1]ETC Data'!$K$5,0)</f>
        <v>0</v>
      </c>
      <c r="AP384" s="58">
        <f>AO384-(AO384*((VLOOKUP(A384,[1]Plan!A$1:BB$804,54,FALSE)/100)))</f>
        <v>0</v>
      </c>
      <c r="AQ384" s="58">
        <f>IF(AJ384,O384*'[1]ETC Data'!$H$5*'[1]ETC Data'!$L$5,0)</f>
        <v>0</v>
      </c>
      <c r="AR384" s="58">
        <f>AQ384-(AQ384*((VLOOKUP(A384,[1]Plan!A$1:BD$804,56,FALSE)/100)))</f>
        <v>0</v>
      </c>
      <c r="AS384" s="20">
        <f>VLOOKUP(A384,'[1]PR Matrix'!A:B,2,FALSE)</f>
        <v>0</v>
      </c>
      <c r="AT384" s="21">
        <f>R384+T384+V384+X384+AB384+AD384+AF384+AH384+AL384+AN384+AP384+AR384</f>
        <v>0</v>
      </c>
      <c r="AU384" s="21">
        <f>Q384+S384+U384+W384+AA384+AC384+AE384+AG384+AK384+AM384+AO384+AQ384</f>
        <v>0</v>
      </c>
      <c r="AV384" s="21">
        <f>R384+AB384+AL384</f>
        <v>0</v>
      </c>
      <c r="AW384" s="21">
        <f>T384+AD384+AN384</f>
        <v>0</v>
      </c>
      <c r="AX384" s="21">
        <f>V384+AF384+AP384</f>
        <v>0</v>
      </c>
      <c r="AY384" s="21">
        <f>X384+AH384+AR384</f>
        <v>0</v>
      </c>
    </row>
    <row r="385" spans="1:51" hidden="1" x14ac:dyDescent="0.2">
      <c r="A385" s="50" t="s">
        <v>592</v>
      </c>
      <c r="B385" s="51" t="s">
        <v>208</v>
      </c>
      <c r="C385" s="51"/>
      <c r="D385" s="51"/>
      <c r="E385" s="52">
        <f>IF(G385="Y",VLOOKUP(B385&amp;"|"&amp;C385,'[1]ETC Data'!$C$2:$D$16,2,FALSE),0)</f>
        <v>0</v>
      </c>
      <c r="F385" s="52">
        <f>IF(D385="",0,IF(G385="Y",VLOOKUP(B385&amp;"|"&amp;D385,'[1]ETC Data'!$C$2:$D$16,2,FALSE),0))</f>
        <v>0</v>
      </c>
      <c r="G385" s="53" t="str">
        <f>IF(VLOOKUP(A385,[1]Plan!A$1:H$804,8,FALSE)&lt;&gt;"",VLOOKUP(A385,[1]Plan!A$1:H$804,8,FALSE),"")</f>
        <v>N</v>
      </c>
      <c r="H385" s="54" t="str">
        <f>IF(VLOOKUP(A385,[1]Plan!A$1:L$804,12,FALSE)&lt;&gt;"",VLOOKUP(A385,[1]Plan!A$1:L$804,12,FALSE),"")</f>
        <v/>
      </c>
      <c r="I385" s="55" t="str">
        <f>IF(VLOOKUP(A385,[1]Plan!A$1:M$804,13,FALSE)&lt;&gt;"",VLOOKUP(A385,[1]Plan!A$1:M$804,13,FALSE),"")</f>
        <v/>
      </c>
      <c r="J385" s="55" t="str">
        <f>IF(VLOOKUP(A385,[1]Plan!A$1:N$804,14,FALSE)&lt;&gt;"",VLOOKUP(A385,[1]Plan!A$1:N$804,14,FALSE),IF(VLOOKUP(A385,[1]Plan!A$1:O$804,15,FALSE)&lt;&gt;"",VLOOKUP(A385,[1]Plan!A$1:O$804,15,FALSE),""))</f>
        <v/>
      </c>
      <c r="K385" s="56" t="str">
        <f>IF(VLOOKUP(A385,[1]Plan!A$1:P$804,16,FALSE)&lt;&gt;"",VLOOKUP(A385,[1]Plan!A$1:P$804,16,FALSE),"")</f>
        <v/>
      </c>
      <c r="L385" s="55"/>
      <c r="M385" s="55"/>
      <c r="N385" s="55"/>
      <c r="O385" s="57">
        <f>IF(F385=0,E385,F385)</f>
        <v>0</v>
      </c>
      <c r="P385" s="57" t="b">
        <f>OR(H385="Y",I385="Y")</f>
        <v>0</v>
      </c>
      <c r="Q385" s="58">
        <f>IF(P385,O385*'[1]ETC Data'!$H$3*'[1]ETC Data'!$I$3,0)</f>
        <v>0</v>
      </c>
      <c r="R385" s="58">
        <f>Q385-(Q385*((VLOOKUP(A385,[1]Plan!A$1:Z$804,26,FALSE)/100)))</f>
        <v>0</v>
      </c>
      <c r="S385" s="58">
        <f>IF(P385,O385*'[1]ETC Data'!$H$3*'[1]ETC Data'!$J$3,0)</f>
        <v>0</v>
      </c>
      <c r="T385" s="58">
        <f>S385-(S385*((VLOOKUP(A385,[1]Plan!A$1:AA$804,27,FALSE)/100)))</f>
        <v>0</v>
      </c>
      <c r="U385" s="58">
        <f>IF(P385,O385*'[1]ETC Data'!$H$3*'[1]ETC Data'!$K$3,0)</f>
        <v>0</v>
      </c>
      <c r="V385" s="58">
        <f>U385-(U385*((VLOOKUP(A385,[1]Plan!A$1:AB$804,28,FALSE)/100)))</f>
        <v>0</v>
      </c>
      <c r="W385" s="58">
        <f>IF(P385,O385*'[1]ETC Data'!$H$3*'[1]ETC Data'!$L$3,0)</f>
        <v>0</v>
      </c>
      <c r="X385" s="58">
        <f>W385-(W385*((VLOOKUP(A385,[1]Plan!A$1:AC$804,29,FALSE)/100)))</f>
        <v>0</v>
      </c>
      <c r="Y385" s="59"/>
      <c r="Z385" s="60" t="b">
        <f>OR(H385="Y",J385="Y")</f>
        <v>0</v>
      </c>
      <c r="AA385" s="58">
        <f>IF(Z385,O385*'[1]ETC Data'!$H$4*'[1]ETC Data'!$I$4,0)</f>
        <v>0</v>
      </c>
      <c r="AB385" s="58">
        <f>AA385-(AA385*((VLOOKUP(A385,[1]Plan!A$1:AI$804,35,FALSE)/100)))</f>
        <v>0</v>
      </c>
      <c r="AC385" s="58">
        <f>IF(Z385,O385*'[1]ETC Data'!$H$4*'[1]ETC Data'!$J$4,0)</f>
        <v>0</v>
      </c>
      <c r="AD385" s="58">
        <f>AC385-(AC385*((VLOOKUP(A385,[1]Plan!A$1:AJ$804,36,FALSE)/100)))</f>
        <v>0</v>
      </c>
      <c r="AE385" s="58">
        <f>IF(Z385,O385*'[1]ETC Data'!$H$4*'[1]ETC Data'!$K$4,0)</f>
        <v>0</v>
      </c>
      <c r="AF385" s="58">
        <f>AE385-(AE385*((VLOOKUP(A385,[1]Plan!A$1:AK$804,37,FALSE)/100)))</f>
        <v>0</v>
      </c>
      <c r="AG385" s="58">
        <f>IF(Z385,O385*'[1]ETC Data'!$H$4*'[1]ETC Data'!$L$4,0)</f>
        <v>0</v>
      </c>
      <c r="AH385" s="58">
        <f>AG385-(AG385*((VLOOKUP(A385,[1]Plan!A$1:AP$804,42,FALSE)/100)))</f>
        <v>0</v>
      </c>
      <c r="AI385" s="60"/>
      <c r="AJ385" s="60" t="b">
        <f>OR(H385="Y",K385="Y")</f>
        <v>0</v>
      </c>
      <c r="AK385" s="61">
        <f>IF(AJ385,O385*'[1]ETC Data'!$H$5*'[1]ETC Data'!$I$5,0)</f>
        <v>0</v>
      </c>
      <c r="AL385" s="58">
        <f>AK385-(AK385*((VLOOKUP(A385,[1]Plan!A$1:AY$804,51,FALSE)/100)))</f>
        <v>0</v>
      </c>
      <c r="AM385" s="58">
        <f>IF(AJ385,O385*'[1]ETC Data'!$H$5*'[1]ETC Data'!$J$5,0)</f>
        <v>0</v>
      </c>
      <c r="AN385" s="58">
        <f>AM385-(AM385*((VLOOKUP(A385,[1]Plan!A$1:BA$804,53,FALSE)/100)))</f>
        <v>0</v>
      </c>
      <c r="AO385" s="61">
        <f>IF(AJ385,O385*'[1]ETC Data'!$H$5*'[1]ETC Data'!$K$5,0)</f>
        <v>0</v>
      </c>
      <c r="AP385" s="58">
        <f>AO385-(AO385*((VLOOKUP(A385,[1]Plan!A$1:BB$804,54,FALSE)/100)))</f>
        <v>0</v>
      </c>
      <c r="AQ385" s="58">
        <f>IF(AJ385,O385*'[1]ETC Data'!$H$5*'[1]ETC Data'!$L$5,0)</f>
        <v>0</v>
      </c>
      <c r="AR385" s="58">
        <f>AQ385-(AQ385*((VLOOKUP(A385,[1]Plan!A$1:BD$804,56,FALSE)/100)))</f>
        <v>0</v>
      </c>
      <c r="AS385" s="20">
        <f>VLOOKUP(A385,'[1]PR Matrix'!A:B,2,FALSE)</f>
        <v>0</v>
      </c>
      <c r="AT385" s="21">
        <f>R385+T385+V385+X385+AB385+AD385+AF385+AH385+AL385+AN385+AP385+AR385</f>
        <v>0</v>
      </c>
      <c r="AU385" s="21">
        <f>Q385+S385+U385+W385+AA385+AC385+AE385+AG385+AK385+AM385+AO385+AQ385</f>
        <v>0</v>
      </c>
      <c r="AV385" s="21">
        <f>R385+AB385+AL385</f>
        <v>0</v>
      </c>
      <c r="AW385" s="21">
        <f>T385+AD385+AN385</f>
        <v>0</v>
      </c>
      <c r="AX385" s="21">
        <f>V385+AF385+AP385</f>
        <v>0</v>
      </c>
      <c r="AY385" s="21">
        <f>X385+AH385+AR385</f>
        <v>0</v>
      </c>
    </row>
    <row r="386" spans="1:51" hidden="1" x14ac:dyDescent="0.2">
      <c r="A386" s="50" t="s">
        <v>593</v>
      </c>
      <c r="B386" s="51" t="s">
        <v>208</v>
      </c>
      <c r="C386" s="51"/>
      <c r="D386" s="51"/>
      <c r="E386" s="52">
        <f>IF(G386="Y",VLOOKUP(B386&amp;"|"&amp;C386,'[1]ETC Data'!$C$2:$D$16,2,FALSE),0)</f>
        <v>0</v>
      </c>
      <c r="F386" s="52">
        <f>IF(D386="",0,IF(G386="Y",VLOOKUP(B386&amp;"|"&amp;D386,'[1]ETC Data'!$C$2:$D$16,2,FALSE),0))</f>
        <v>0</v>
      </c>
      <c r="G386" s="53" t="str">
        <f>IF(VLOOKUP(A386,[1]Plan!A$1:H$804,8,FALSE)&lt;&gt;"",VLOOKUP(A386,[1]Plan!A$1:H$804,8,FALSE),"")</f>
        <v>N</v>
      </c>
      <c r="H386" s="54" t="str">
        <f>IF(VLOOKUP(A386,[1]Plan!A$1:L$804,12,FALSE)&lt;&gt;"",VLOOKUP(A386,[1]Plan!A$1:L$804,12,FALSE),"")</f>
        <v/>
      </c>
      <c r="I386" s="55" t="str">
        <f>IF(VLOOKUP(A386,[1]Plan!A$1:M$804,13,FALSE)&lt;&gt;"",VLOOKUP(A386,[1]Plan!A$1:M$804,13,FALSE),"")</f>
        <v/>
      </c>
      <c r="J386" s="55" t="str">
        <f>IF(VLOOKUP(A386,[1]Plan!A$1:N$804,14,FALSE)&lt;&gt;"",VLOOKUP(A386,[1]Plan!A$1:N$804,14,FALSE),IF(VLOOKUP(A386,[1]Plan!A$1:O$804,15,FALSE)&lt;&gt;"",VLOOKUP(A386,[1]Plan!A$1:O$804,15,FALSE),""))</f>
        <v/>
      </c>
      <c r="K386" s="56" t="str">
        <f>IF(VLOOKUP(A386,[1]Plan!A$1:P$804,16,FALSE)&lt;&gt;"",VLOOKUP(A386,[1]Plan!A$1:P$804,16,FALSE),"")</f>
        <v/>
      </c>
      <c r="L386" s="55"/>
      <c r="M386" s="55"/>
      <c r="N386" s="55"/>
      <c r="O386" s="57">
        <f>IF(F386=0,E386,F386)</f>
        <v>0</v>
      </c>
      <c r="P386" s="57" t="b">
        <f>OR(H386="Y",I386="Y")</f>
        <v>0</v>
      </c>
      <c r="Q386" s="58">
        <f>IF(P386,O386*'[1]ETC Data'!$H$3*'[1]ETC Data'!$I$3,0)</f>
        <v>0</v>
      </c>
      <c r="R386" s="58">
        <f>Q386-(Q386*((VLOOKUP(A386,[1]Plan!A$1:Z$804,26,FALSE)/100)))</f>
        <v>0</v>
      </c>
      <c r="S386" s="58">
        <f>IF(P386,O386*'[1]ETC Data'!$H$3*'[1]ETC Data'!$J$3,0)</f>
        <v>0</v>
      </c>
      <c r="T386" s="58">
        <f>S386-(S386*((VLOOKUP(A386,[1]Plan!A$1:AA$804,27,FALSE)/100)))</f>
        <v>0</v>
      </c>
      <c r="U386" s="58">
        <f>IF(P386,O386*'[1]ETC Data'!$H$3*'[1]ETC Data'!$K$3,0)</f>
        <v>0</v>
      </c>
      <c r="V386" s="58">
        <f>U386-(U386*((VLOOKUP(A386,[1]Plan!A$1:AB$804,28,FALSE)/100)))</f>
        <v>0</v>
      </c>
      <c r="W386" s="58">
        <f>IF(P386,O386*'[1]ETC Data'!$H$3*'[1]ETC Data'!$L$3,0)</f>
        <v>0</v>
      </c>
      <c r="X386" s="58">
        <f>W386-(W386*((VLOOKUP(A386,[1]Plan!A$1:AC$804,29,FALSE)/100)))</f>
        <v>0</v>
      </c>
      <c r="Y386" s="59"/>
      <c r="Z386" s="60" t="b">
        <f>OR(H386="Y",J386="Y")</f>
        <v>0</v>
      </c>
      <c r="AA386" s="58">
        <f>IF(Z386,O386*'[1]ETC Data'!$H$4*'[1]ETC Data'!$I$4,0)</f>
        <v>0</v>
      </c>
      <c r="AB386" s="58">
        <f>AA386-(AA386*((VLOOKUP(A386,[1]Plan!A$1:AI$804,35,FALSE)/100)))</f>
        <v>0</v>
      </c>
      <c r="AC386" s="58">
        <f>IF(Z386,O386*'[1]ETC Data'!$H$4*'[1]ETC Data'!$J$4,0)</f>
        <v>0</v>
      </c>
      <c r="AD386" s="58">
        <f>AC386-(AC386*((VLOOKUP(A386,[1]Plan!A$1:AJ$804,36,FALSE)/100)))</f>
        <v>0</v>
      </c>
      <c r="AE386" s="58">
        <f>IF(Z386,O386*'[1]ETC Data'!$H$4*'[1]ETC Data'!$K$4,0)</f>
        <v>0</v>
      </c>
      <c r="AF386" s="58">
        <f>AE386-(AE386*((VLOOKUP(A386,[1]Plan!A$1:AK$804,37,FALSE)/100)))</f>
        <v>0</v>
      </c>
      <c r="AG386" s="58">
        <f>IF(Z386,O386*'[1]ETC Data'!$H$4*'[1]ETC Data'!$L$4,0)</f>
        <v>0</v>
      </c>
      <c r="AH386" s="58">
        <f>AG386-(AG386*((VLOOKUP(A386,[1]Plan!A$1:AP$804,42,FALSE)/100)))</f>
        <v>0</v>
      </c>
      <c r="AI386" s="60"/>
      <c r="AJ386" s="60" t="b">
        <f>OR(H386="Y",K386="Y")</f>
        <v>0</v>
      </c>
      <c r="AK386" s="61">
        <f>IF(AJ386,O386*'[1]ETC Data'!$H$5*'[1]ETC Data'!$I$5,0)</f>
        <v>0</v>
      </c>
      <c r="AL386" s="58">
        <f>AK386-(AK386*((VLOOKUP(A386,[1]Plan!A$1:AY$804,51,FALSE)/100)))</f>
        <v>0</v>
      </c>
      <c r="AM386" s="58">
        <f>IF(AJ386,O386*'[1]ETC Data'!$H$5*'[1]ETC Data'!$J$5,0)</f>
        <v>0</v>
      </c>
      <c r="AN386" s="58">
        <f>AM386-(AM386*((VLOOKUP(A386,[1]Plan!A$1:BA$804,53,FALSE)/100)))</f>
        <v>0</v>
      </c>
      <c r="AO386" s="61">
        <f>IF(AJ386,O386*'[1]ETC Data'!$H$5*'[1]ETC Data'!$K$5,0)</f>
        <v>0</v>
      </c>
      <c r="AP386" s="58">
        <f>AO386-(AO386*((VLOOKUP(A386,[1]Plan!A$1:BB$804,54,FALSE)/100)))</f>
        <v>0</v>
      </c>
      <c r="AQ386" s="58">
        <f>IF(AJ386,O386*'[1]ETC Data'!$H$5*'[1]ETC Data'!$L$5,0)</f>
        <v>0</v>
      </c>
      <c r="AR386" s="58">
        <f>AQ386-(AQ386*((VLOOKUP(A386,[1]Plan!A$1:BD$804,56,FALSE)/100)))</f>
        <v>0</v>
      </c>
      <c r="AS386" s="20">
        <f>VLOOKUP(A386,'[1]PR Matrix'!A:B,2,FALSE)</f>
        <v>0</v>
      </c>
      <c r="AT386" s="21">
        <f>R386+T386+V386+X386+AB386+AD386+AF386+AH386+AL386+AN386+AP386+AR386</f>
        <v>0</v>
      </c>
      <c r="AU386" s="21">
        <f>Q386+S386+U386+W386+AA386+AC386+AE386+AG386+AK386+AM386+AO386+AQ386</f>
        <v>0</v>
      </c>
      <c r="AV386" s="21">
        <f>R386+AB386+AL386</f>
        <v>0</v>
      </c>
      <c r="AW386" s="21">
        <f>T386+AD386+AN386</f>
        <v>0</v>
      </c>
      <c r="AX386" s="21">
        <f>V386+AF386+AP386</f>
        <v>0</v>
      </c>
      <c r="AY386" s="21">
        <f>X386+AH386+AR386</f>
        <v>0</v>
      </c>
    </row>
    <row r="387" spans="1:51" hidden="1" x14ac:dyDescent="0.2">
      <c r="A387" s="50" t="s">
        <v>594</v>
      </c>
      <c r="B387" s="51" t="s">
        <v>208</v>
      </c>
      <c r="C387" s="51"/>
      <c r="D387" s="51"/>
      <c r="E387" s="52">
        <f>IF(G387="Y",VLOOKUP(B387&amp;"|"&amp;C387,'[1]ETC Data'!$C$2:$D$16,2,FALSE),0)</f>
        <v>0</v>
      </c>
      <c r="F387" s="52">
        <f>IF(D387="",0,IF(G387="Y",VLOOKUP(B387&amp;"|"&amp;D387,'[1]ETC Data'!$C$2:$D$16,2,FALSE),0))</f>
        <v>0</v>
      </c>
      <c r="G387" s="53" t="str">
        <f>IF(VLOOKUP(A387,[1]Plan!A$1:H$804,8,FALSE)&lt;&gt;"",VLOOKUP(A387,[1]Plan!A$1:H$804,8,FALSE),"")</f>
        <v>N</v>
      </c>
      <c r="H387" s="54" t="str">
        <f>IF(VLOOKUP(A387,[1]Plan!A$1:L$804,12,FALSE)&lt;&gt;"",VLOOKUP(A387,[1]Plan!A$1:L$804,12,FALSE),"")</f>
        <v/>
      </c>
      <c r="I387" s="55" t="str">
        <f>IF(VLOOKUP(A387,[1]Plan!A$1:M$804,13,FALSE)&lt;&gt;"",VLOOKUP(A387,[1]Plan!A$1:M$804,13,FALSE),"")</f>
        <v/>
      </c>
      <c r="J387" s="55" t="str">
        <f>IF(VLOOKUP(A387,[1]Plan!A$1:N$804,14,FALSE)&lt;&gt;"",VLOOKUP(A387,[1]Plan!A$1:N$804,14,FALSE),IF(VLOOKUP(A387,[1]Plan!A$1:O$804,15,FALSE)&lt;&gt;"",VLOOKUP(A387,[1]Plan!A$1:O$804,15,FALSE),""))</f>
        <v/>
      </c>
      <c r="K387" s="56" t="str">
        <f>IF(VLOOKUP(A387,[1]Plan!A$1:P$804,16,FALSE)&lt;&gt;"",VLOOKUP(A387,[1]Plan!A$1:P$804,16,FALSE),"")</f>
        <v/>
      </c>
      <c r="L387" s="55"/>
      <c r="M387" s="55"/>
      <c r="N387" s="55"/>
      <c r="O387" s="57">
        <f>IF(F387=0,E387,F387)</f>
        <v>0</v>
      </c>
      <c r="P387" s="57" t="b">
        <f>OR(H387="Y",I387="Y")</f>
        <v>0</v>
      </c>
      <c r="Q387" s="58">
        <f>IF(P387,O387*'[1]ETC Data'!$H$3*'[1]ETC Data'!$I$3,0)</f>
        <v>0</v>
      </c>
      <c r="R387" s="58">
        <f>Q387-(Q387*((VLOOKUP(A387,[1]Plan!A$1:Z$804,26,FALSE)/100)))</f>
        <v>0</v>
      </c>
      <c r="S387" s="58">
        <f>IF(P387,O387*'[1]ETC Data'!$H$3*'[1]ETC Data'!$J$3,0)</f>
        <v>0</v>
      </c>
      <c r="T387" s="58">
        <f>S387-(S387*((VLOOKUP(A387,[1]Plan!A$1:AA$804,27,FALSE)/100)))</f>
        <v>0</v>
      </c>
      <c r="U387" s="58">
        <f>IF(P387,O387*'[1]ETC Data'!$H$3*'[1]ETC Data'!$K$3,0)</f>
        <v>0</v>
      </c>
      <c r="V387" s="58">
        <f>U387-(U387*((VLOOKUP(A387,[1]Plan!A$1:AB$804,28,FALSE)/100)))</f>
        <v>0</v>
      </c>
      <c r="W387" s="58">
        <f>IF(P387,O387*'[1]ETC Data'!$H$3*'[1]ETC Data'!$L$3,0)</f>
        <v>0</v>
      </c>
      <c r="X387" s="58">
        <f>W387-(W387*((VLOOKUP(A387,[1]Plan!A$1:AC$804,29,FALSE)/100)))</f>
        <v>0</v>
      </c>
      <c r="Y387" s="59"/>
      <c r="Z387" s="60" t="b">
        <f>OR(H387="Y",J387="Y")</f>
        <v>0</v>
      </c>
      <c r="AA387" s="58">
        <f>IF(Z387,O387*'[1]ETC Data'!$H$4*'[1]ETC Data'!$I$4,0)</f>
        <v>0</v>
      </c>
      <c r="AB387" s="58">
        <f>AA387-(AA387*((VLOOKUP(A387,[1]Plan!A$1:AI$804,35,FALSE)/100)))</f>
        <v>0</v>
      </c>
      <c r="AC387" s="58">
        <f>IF(Z387,O387*'[1]ETC Data'!$H$4*'[1]ETC Data'!$J$4,0)</f>
        <v>0</v>
      </c>
      <c r="AD387" s="58">
        <f>AC387-(AC387*((VLOOKUP(A387,[1]Plan!A$1:AJ$804,36,FALSE)/100)))</f>
        <v>0</v>
      </c>
      <c r="AE387" s="58">
        <f>IF(Z387,O387*'[1]ETC Data'!$H$4*'[1]ETC Data'!$K$4,0)</f>
        <v>0</v>
      </c>
      <c r="AF387" s="58">
        <f>AE387-(AE387*((VLOOKUP(A387,[1]Plan!A$1:AK$804,37,FALSE)/100)))</f>
        <v>0</v>
      </c>
      <c r="AG387" s="58">
        <f>IF(Z387,O387*'[1]ETC Data'!$H$4*'[1]ETC Data'!$L$4,0)</f>
        <v>0</v>
      </c>
      <c r="AH387" s="58">
        <f>AG387-(AG387*((VLOOKUP(A387,[1]Plan!A$1:AP$804,42,FALSE)/100)))</f>
        <v>0</v>
      </c>
      <c r="AI387" s="60"/>
      <c r="AJ387" s="60" t="b">
        <f>OR(H387="Y",K387="Y")</f>
        <v>0</v>
      </c>
      <c r="AK387" s="61">
        <f>IF(AJ387,O387*'[1]ETC Data'!$H$5*'[1]ETC Data'!$I$5,0)</f>
        <v>0</v>
      </c>
      <c r="AL387" s="58">
        <f>AK387-(AK387*((VLOOKUP(A387,[1]Plan!A$1:AY$804,51,FALSE)/100)))</f>
        <v>0</v>
      </c>
      <c r="AM387" s="58">
        <f>IF(AJ387,O387*'[1]ETC Data'!$H$5*'[1]ETC Data'!$J$5,0)</f>
        <v>0</v>
      </c>
      <c r="AN387" s="58">
        <f>AM387-(AM387*((VLOOKUP(A387,[1]Plan!A$1:BA$804,53,FALSE)/100)))</f>
        <v>0</v>
      </c>
      <c r="AO387" s="61">
        <f>IF(AJ387,O387*'[1]ETC Data'!$H$5*'[1]ETC Data'!$K$5,0)</f>
        <v>0</v>
      </c>
      <c r="AP387" s="58">
        <f>AO387-(AO387*((VLOOKUP(A387,[1]Plan!A$1:BB$804,54,FALSE)/100)))</f>
        <v>0</v>
      </c>
      <c r="AQ387" s="58">
        <f>IF(AJ387,O387*'[1]ETC Data'!$H$5*'[1]ETC Data'!$L$5,0)</f>
        <v>0</v>
      </c>
      <c r="AR387" s="58">
        <f>AQ387-(AQ387*((VLOOKUP(A387,[1]Plan!A$1:BD$804,56,FALSE)/100)))</f>
        <v>0</v>
      </c>
      <c r="AS387" s="20">
        <f>VLOOKUP(A387,'[1]PR Matrix'!A:B,2,FALSE)</f>
        <v>0</v>
      </c>
      <c r="AT387" s="21">
        <f>R387+T387+V387+X387+AB387+AD387+AF387+AH387+AL387+AN387+AP387+AR387</f>
        <v>0</v>
      </c>
      <c r="AU387" s="21">
        <f>Q387+S387+U387+W387+AA387+AC387+AE387+AG387+AK387+AM387+AO387+AQ387</f>
        <v>0</v>
      </c>
      <c r="AV387" s="21">
        <f>R387+AB387+AL387</f>
        <v>0</v>
      </c>
      <c r="AW387" s="21">
        <f>T387+AD387+AN387</f>
        <v>0</v>
      </c>
      <c r="AX387" s="21">
        <f>V387+AF387+AP387</f>
        <v>0</v>
      </c>
      <c r="AY387" s="21">
        <f>X387+AH387+AR387</f>
        <v>0</v>
      </c>
    </row>
    <row r="388" spans="1:51" hidden="1" x14ac:dyDescent="0.2">
      <c r="A388" s="50" t="s">
        <v>595</v>
      </c>
      <c r="B388" s="51" t="s">
        <v>208</v>
      </c>
      <c r="C388" s="51"/>
      <c r="D388" s="51"/>
      <c r="E388" s="52">
        <f>IF(G388="Y",VLOOKUP(B388&amp;"|"&amp;C388,'[1]ETC Data'!$C$2:$D$16,2,FALSE),0)</f>
        <v>0</v>
      </c>
      <c r="F388" s="52">
        <f>IF(D388="",0,IF(G388="Y",VLOOKUP(B388&amp;"|"&amp;D388,'[1]ETC Data'!$C$2:$D$16,2,FALSE),0))</f>
        <v>0</v>
      </c>
      <c r="G388" s="53" t="str">
        <f>IF(VLOOKUP(A388,[1]Plan!A$1:H$804,8,FALSE)&lt;&gt;"",VLOOKUP(A388,[1]Plan!A$1:H$804,8,FALSE),"")</f>
        <v>N</v>
      </c>
      <c r="H388" s="54" t="str">
        <f>IF(VLOOKUP(A388,[1]Plan!A$1:L$804,12,FALSE)&lt;&gt;"",VLOOKUP(A388,[1]Plan!A$1:L$804,12,FALSE),"")</f>
        <v/>
      </c>
      <c r="I388" s="55" t="str">
        <f>IF(VLOOKUP(A388,[1]Plan!A$1:M$804,13,FALSE)&lt;&gt;"",VLOOKUP(A388,[1]Plan!A$1:M$804,13,FALSE),"")</f>
        <v/>
      </c>
      <c r="J388" s="55" t="str">
        <f>IF(VLOOKUP(A388,[1]Plan!A$1:N$804,14,FALSE)&lt;&gt;"",VLOOKUP(A388,[1]Plan!A$1:N$804,14,FALSE),IF(VLOOKUP(A388,[1]Plan!A$1:O$804,15,FALSE)&lt;&gt;"",VLOOKUP(A388,[1]Plan!A$1:O$804,15,FALSE),""))</f>
        <v/>
      </c>
      <c r="K388" s="56" t="str">
        <f>IF(VLOOKUP(A388,[1]Plan!A$1:P$804,16,FALSE)&lt;&gt;"",VLOOKUP(A388,[1]Plan!A$1:P$804,16,FALSE),"")</f>
        <v/>
      </c>
      <c r="L388" s="55"/>
      <c r="M388" s="55"/>
      <c r="N388" s="55"/>
      <c r="O388" s="57">
        <f>IF(F388=0,E388,F388)</f>
        <v>0</v>
      </c>
      <c r="P388" s="57" t="b">
        <f>OR(H388="Y",I388="Y")</f>
        <v>0</v>
      </c>
      <c r="Q388" s="58">
        <f>IF(P388,O388*'[1]ETC Data'!$H$3*'[1]ETC Data'!$I$3,0)</f>
        <v>0</v>
      </c>
      <c r="R388" s="58">
        <f>Q388-(Q388*((VLOOKUP(A388,[1]Plan!A$1:Z$804,26,FALSE)/100)))</f>
        <v>0</v>
      </c>
      <c r="S388" s="58">
        <f>IF(P388,O388*'[1]ETC Data'!$H$3*'[1]ETC Data'!$J$3,0)</f>
        <v>0</v>
      </c>
      <c r="T388" s="58">
        <f>S388-(S388*((VLOOKUP(A388,[1]Plan!A$1:AA$804,27,FALSE)/100)))</f>
        <v>0</v>
      </c>
      <c r="U388" s="58">
        <f>IF(P388,O388*'[1]ETC Data'!$H$3*'[1]ETC Data'!$K$3,0)</f>
        <v>0</v>
      </c>
      <c r="V388" s="58">
        <f>U388-(U388*((VLOOKUP(A388,[1]Plan!A$1:AB$804,28,FALSE)/100)))</f>
        <v>0</v>
      </c>
      <c r="W388" s="58">
        <f>IF(P388,O388*'[1]ETC Data'!$H$3*'[1]ETC Data'!$L$3,0)</f>
        <v>0</v>
      </c>
      <c r="X388" s="58">
        <f>W388-(W388*((VLOOKUP(A388,[1]Plan!A$1:AC$804,29,FALSE)/100)))</f>
        <v>0</v>
      </c>
      <c r="Y388" s="59"/>
      <c r="Z388" s="60" t="b">
        <f>OR(H388="Y",J388="Y")</f>
        <v>0</v>
      </c>
      <c r="AA388" s="58">
        <f>IF(Z388,O388*'[1]ETC Data'!$H$4*'[1]ETC Data'!$I$4,0)</f>
        <v>0</v>
      </c>
      <c r="AB388" s="58">
        <f>AA388-(AA388*((VLOOKUP(A388,[1]Plan!A$1:AI$804,35,FALSE)/100)))</f>
        <v>0</v>
      </c>
      <c r="AC388" s="58">
        <f>IF(Z388,O388*'[1]ETC Data'!$H$4*'[1]ETC Data'!$J$4,0)</f>
        <v>0</v>
      </c>
      <c r="AD388" s="58">
        <f>AC388-(AC388*((VLOOKUP(A388,[1]Plan!A$1:AJ$804,36,FALSE)/100)))</f>
        <v>0</v>
      </c>
      <c r="AE388" s="58">
        <f>IF(Z388,O388*'[1]ETC Data'!$H$4*'[1]ETC Data'!$K$4,0)</f>
        <v>0</v>
      </c>
      <c r="AF388" s="58">
        <f>AE388-(AE388*((VLOOKUP(A388,[1]Plan!A$1:AK$804,37,FALSE)/100)))</f>
        <v>0</v>
      </c>
      <c r="AG388" s="58">
        <f>IF(Z388,O388*'[1]ETC Data'!$H$4*'[1]ETC Data'!$L$4,0)</f>
        <v>0</v>
      </c>
      <c r="AH388" s="58">
        <f>AG388-(AG388*((VLOOKUP(A388,[1]Plan!A$1:AP$804,42,FALSE)/100)))</f>
        <v>0</v>
      </c>
      <c r="AI388" s="60"/>
      <c r="AJ388" s="60" t="b">
        <f>OR(H388="Y",K388="Y")</f>
        <v>0</v>
      </c>
      <c r="AK388" s="61">
        <f>IF(AJ388,O388*'[1]ETC Data'!$H$5*'[1]ETC Data'!$I$5,0)</f>
        <v>0</v>
      </c>
      <c r="AL388" s="58">
        <f>AK388-(AK388*((VLOOKUP(A388,[1]Plan!A$1:AY$804,51,FALSE)/100)))</f>
        <v>0</v>
      </c>
      <c r="AM388" s="58">
        <f>IF(AJ388,O388*'[1]ETC Data'!$H$5*'[1]ETC Data'!$J$5,0)</f>
        <v>0</v>
      </c>
      <c r="AN388" s="58">
        <f>AM388-(AM388*((VLOOKUP(A388,[1]Plan!A$1:BA$804,53,FALSE)/100)))</f>
        <v>0</v>
      </c>
      <c r="AO388" s="61">
        <f>IF(AJ388,O388*'[1]ETC Data'!$H$5*'[1]ETC Data'!$K$5,0)</f>
        <v>0</v>
      </c>
      <c r="AP388" s="58">
        <f>AO388-(AO388*((VLOOKUP(A388,[1]Plan!A$1:BB$804,54,FALSE)/100)))</f>
        <v>0</v>
      </c>
      <c r="AQ388" s="58">
        <f>IF(AJ388,O388*'[1]ETC Data'!$H$5*'[1]ETC Data'!$L$5,0)</f>
        <v>0</v>
      </c>
      <c r="AR388" s="58">
        <f>AQ388-(AQ388*((VLOOKUP(A388,[1]Plan!A$1:BD$804,56,FALSE)/100)))</f>
        <v>0</v>
      </c>
      <c r="AS388" s="20">
        <f>VLOOKUP(A388,'[1]PR Matrix'!A:B,2,FALSE)</f>
        <v>0</v>
      </c>
      <c r="AT388" s="21">
        <f>R388+T388+V388+X388+AB388+AD388+AF388+AH388+AL388+AN388+AP388+AR388</f>
        <v>0</v>
      </c>
      <c r="AU388" s="21">
        <f>Q388+S388+U388+W388+AA388+AC388+AE388+AG388+AK388+AM388+AO388+AQ388</f>
        <v>0</v>
      </c>
      <c r="AV388" s="21">
        <f>R388+AB388+AL388</f>
        <v>0</v>
      </c>
      <c r="AW388" s="21">
        <f>T388+AD388+AN388</f>
        <v>0</v>
      </c>
      <c r="AX388" s="21">
        <f>V388+AF388+AP388</f>
        <v>0</v>
      </c>
      <c r="AY388" s="21">
        <f>X388+AH388+AR388</f>
        <v>0</v>
      </c>
    </row>
    <row r="389" spans="1:51" hidden="1" x14ac:dyDescent="0.2">
      <c r="A389" s="50" t="s">
        <v>596</v>
      </c>
      <c r="B389" s="51" t="s">
        <v>208</v>
      </c>
      <c r="C389" s="51"/>
      <c r="D389" s="51"/>
      <c r="E389" s="52">
        <f>IF(G389="Y",VLOOKUP(B389&amp;"|"&amp;C389,'[1]ETC Data'!$C$2:$D$16,2,FALSE),0)</f>
        <v>0</v>
      </c>
      <c r="F389" s="52">
        <f>IF(D389="",0,IF(G389="Y",VLOOKUP(B389&amp;"|"&amp;D389,'[1]ETC Data'!$C$2:$D$16,2,FALSE),0))</f>
        <v>0</v>
      </c>
      <c r="G389" s="53" t="str">
        <f>IF(VLOOKUP(A389,[1]Plan!A$1:H$804,8,FALSE)&lt;&gt;"",VLOOKUP(A389,[1]Plan!A$1:H$804,8,FALSE),"")</f>
        <v>N</v>
      </c>
      <c r="H389" s="54" t="str">
        <f>IF(VLOOKUP(A389,[1]Plan!A$1:L$804,12,FALSE)&lt;&gt;"",VLOOKUP(A389,[1]Plan!A$1:L$804,12,FALSE),"")</f>
        <v/>
      </c>
      <c r="I389" s="55" t="str">
        <f>IF(VLOOKUP(A389,[1]Plan!A$1:M$804,13,FALSE)&lt;&gt;"",VLOOKUP(A389,[1]Plan!A$1:M$804,13,FALSE),"")</f>
        <v/>
      </c>
      <c r="J389" s="55" t="str">
        <f>IF(VLOOKUP(A389,[1]Plan!A$1:N$804,14,FALSE)&lt;&gt;"",VLOOKUP(A389,[1]Plan!A$1:N$804,14,FALSE),IF(VLOOKUP(A389,[1]Plan!A$1:O$804,15,FALSE)&lt;&gt;"",VLOOKUP(A389,[1]Plan!A$1:O$804,15,FALSE),""))</f>
        <v/>
      </c>
      <c r="K389" s="56" t="str">
        <f>IF(VLOOKUP(A389,[1]Plan!A$1:P$804,16,FALSE)&lt;&gt;"",VLOOKUP(A389,[1]Plan!A$1:P$804,16,FALSE),"")</f>
        <v/>
      </c>
      <c r="L389" s="55"/>
      <c r="M389" s="55"/>
      <c r="N389" s="55"/>
      <c r="O389" s="57">
        <f>IF(F389=0,E389,F389)</f>
        <v>0</v>
      </c>
      <c r="P389" s="57" t="b">
        <f>OR(H389="Y",I389="Y")</f>
        <v>0</v>
      </c>
      <c r="Q389" s="58">
        <f>IF(P389,O389*'[1]ETC Data'!$H$3*'[1]ETC Data'!$I$3,0)</f>
        <v>0</v>
      </c>
      <c r="R389" s="58">
        <f>Q389-(Q389*((VLOOKUP(A389,[1]Plan!A$1:Z$804,26,FALSE)/100)))</f>
        <v>0</v>
      </c>
      <c r="S389" s="58">
        <f>IF(P389,O389*'[1]ETC Data'!$H$3*'[1]ETC Data'!$J$3,0)</f>
        <v>0</v>
      </c>
      <c r="T389" s="58">
        <f>S389-(S389*((VLOOKUP(A389,[1]Plan!A$1:AA$804,27,FALSE)/100)))</f>
        <v>0</v>
      </c>
      <c r="U389" s="58">
        <f>IF(P389,O389*'[1]ETC Data'!$H$3*'[1]ETC Data'!$K$3,0)</f>
        <v>0</v>
      </c>
      <c r="V389" s="58">
        <f>U389-(U389*((VLOOKUP(A389,[1]Plan!A$1:AB$804,28,FALSE)/100)))</f>
        <v>0</v>
      </c>
      <c r="W389" s="58">
        <f>IF(P389,O389*'[1]ETC Data'!$H$3*'[1]ETC Data'!$L$3,0)</f>
        <v>0</v>
      </c>
      <c r="X389" s="58">
        <f>W389-(W389*((VLOOKUP(A389,[1]Plan!A$1:AC$804,29,FALSE)/100)))</f>
        <v>0</v>
      </c>
      <c r="Y389" s="59"/>
      <c r="Z389" s="60" t="b">
        <f>OR(H389="Y",J389="Y")</f>
        <v>0</v>
      </c>
      <c r="AA389" s="58">
        <f>IF(Z389,O389*'[1]ETC Data'!$H$4*'[1]ETC Data'!$I$4,0)</f>
        <v>0</v>
      </c>
      <c r="AB389" s="58">
        <f>AA389-(AA389*((VLOOKUP(A389,[1]Plan!A$1:AI$804,35,FALSE)/100)))</f>
        <v>0</v>
      </c>
      <c r="AC389" s="58">
        <f>IF(Z389,O389*'[1]ETC Data'!$H$4*'[1]ETC Data'!$J$4,0)</f>
        <v>0</v>
      </c>
      <c r="AD389" s="58">
        <f>AC389-(AC389*((VLOOKUP(A389,[1]Plan!A$1:AJ$804,36,FALSE)/100)))</f>
        <v>0</v>
      </c>
      <c r="AE389" s="58">
        <f>IF(Z389,O389*'[1]ETC Data'!$H$4*'[1]ETC Data'!$K$4,0)</f>
        <v>0</v>
      </c>
      <c r="AF389" s="58">
        <f>AE389-(AE389*((VLOOKUP(A389,[1]Plan!A$1:AK$804,37,FALSE)/100)))</f>
        <v>0</v>
      </c>
      <c r="AG389" s="58">
        <f>IF(Z389,O389*'[1]ETC Data'!$H$4*'[1]ETC Data'!$L$4,0)</f>
        <v>0</v>
      </c>
      <c r="AH389" s="58">
        <f>AG389-(AG389*((VLOOKUP(A389,[1]Plan!A$1:AP$804,42,FALSE)/100)))</f>
        <v>0</v>
      </c>
      <c r="AI389" s="60"/>
      <c r="AJ389" s="60" t="b">
        <f>OR(H389="Y",K389="Y")</f>
        <v>0</v>
      </c>
      <c r="AK389" s="61">
        <f>IF(AJ389,O389*'[1]ETC Data'!$H$5*'[1]ETC Data'!$I$5,0)</f>
        <v>0</v>
      </c>
      <c r="AL389" s="58">
        <f>AK389-(AK389*((VLOOKUP(A389,[1]Plan!A$1:AY$804,51,FALSE)/100)))</f>
        <v>0</v>
      </c>
      <c r="AM389" s="58">
        <f>IF(AJ389,O389*'[1]ETC Data'!$H$5*'[1]ETC Data'!$J$5,0)</f>
        <v>0</v>
      </c>
      <c r="AN389" s="58">
        <f>AM389-(AM389*((VLOOKUP(A389,[1]Plan!A$1:BA$804,53,FALSE)/100)))</f>
        <v>0</v>
      </c>
      <c r="AO389" s="61">
        <f>IF(AJ389,O389*'[1]ETC Data'!$H$5*'[1]ETC Data'!$K$5,0)</f>
        <v>0</v>
      </c>
      <c r="AP389" s="58">
        <f>AO389-(AO389*((VLOOKUP(A389,[1]Plan!A$1:BB$804,54,FALSE)/100)))</f>
        <v>0</v>
      </c>
      <c r="AQ389" s="58">
        <f>IF(AJ389,O389*'[1]ETC Data'!$H$5*'[1]ETC Data'!$L$5,0)</f>
        <v>0</v>
      </c>
      <c r="AR389" s="58">
        <f>AQ389-(AQ389*((VLOOKUP(A389,[1]Plan!A$1:BD$804,56,FALSE)/100)))</f>
        <v>0</v>
      </c>
      <c r="AS389" s="20">
        <f>VLOOKUP(A389,'[1]PR Matrix'!A:B,2,FALSE)</f>
        <v>0</v>
      </c>
      <c r="AT389" s="21">
        <f>R389+T389+V389+X389+AB389+AD389+AF389+AH389+AL389+AN389+AP389+AR389</f>
        <v>0</v>
      </c>
      <c r="AU389" s="21">
        <f>Q389+S389+U389+W389+AA389+AC389+AE389+AG389+AK389+AM389+AO389+AQ389</f>
        <v>0</v>
      </c>
      <c r="AV389" s="21">
        <f>R389+AB389+AL389</f>
        <v>0</v>
      </c>
      <c r="AW389" s="21">
        <f>T389+AD389+AN389</f>
        <v>0</v>
      </c>
      <c r="AX389" s="21">
        <f>V389+AF389+AP389</f>
        <v>0</v>
      </c>
      <c r="AY389" s="21">
        <f>X389+AH389+AR389</f>
        <v>0</v>
      </c>
    </row>
    <row r="390" spans="1:51" hidden="1" x14ac:dyDescent="0.2">
      <c r="A390" s="50" t="s">
        <v>597</v>
      </c>
      <c r="B390" s="51" t="s">
        <v>208</v>
      </c>
      <c r="C390" s="51"/>
      <c r="D390" s="51"/>
      <c r="E390" s="52">
        <f>IF(G390="Y",VLOOKUP(B390&amp;"|"&amp;C390,'[1]ETC Data'!$C$2:$D$16,2,FALSE),0)</f>
        <v>0</v>
      </c>
      <c r="F390" s="52">
        <f>IF(D390="",0,IF(G390="Y",VLOOKUP(B390&amp;"|"&amp;D390,'[1]ETC Data'!$C$2:$D$16,2,FALSE),0))</f>
        <v>0</v>
      </c>
      <c r="G390" s="53" t="str">
        <f>IF(VLOOKUP(A390,[1]Plan!A$1:H$804,8,FALSE)&lt;&gt;"",VLOOKUP(A390,[1]Plan!A$1:H$804,8,FALSE),"")</f>
        <v>N</v>
      </c>
      <c r="H390" s="54" t="str">
        <f>IF(VLOOKUP(A390,[1]Plan!A$1:L$804,12,FALSE)&lt;&gt;"",VLOOKUP(A390,[1]Plan!A$1:L$804,12,FALSE),"")</f>
        <v/>
      </c>
      <c r="I390" s="55" t="str">
        <f>IF(VLOOKUP(A390,[1]Plan!A$1:M$804,13,FALSE)&lt;&gt;"",VLOOKUP(A390,[1]Plan!A$1:M$804,13,FALSE),"")</f>
        <v/>
      </c>
      <c r="J390" s="55" t="str">
        <f>IF(VLOOKUP(A390,[1]Plan!A$1:N$804,14,FALSE)&lt;&gt;"",VLOOKUP(A390,[1]Plan!A$1:N$804,14,FALSE),IF(VLOOKUP(A390,[1]Plan!A$1:O$804,15,FALSE)&lt;&gt;"",VLOOKUP(A390,[1]Plan!A$1:O$804,15,FALSE),""))</f>
        <v/>
      </c>
      <c r="K390" s="56" t="str">
        <f>IF(VLOOKUP(A390,[1]Plan!A$1:P$804,16,FALSE)&lt;&gt;"",VLOOKUP(A390,[1]Plan!A$1:P$804,16,FALSE),"")</f>
        <v/>
      </c>
      <c r="L390" s="55"/>
      <c r="M390" s="55"/>
      <c r="N390" s="55"/>
      <c r="O390" s="57">
        <f>IF(F390=0,E390,F390)</f>
        <v>0</v>
      </c>
      <c r="P390" s="57" t="b">
        <f>OR(H390="Y",I390="Y")</f>
        <v>0</v>
      </c>
      <c r="Q390" s="58">
        <f>IF(P390,O390*'[1]ETC Data'!$H$3*'[1]ETC Data'!$I$3,0)</f>
        <v>0</v>
      </c>
      <c r="R390" s="58">
        <f>Q390-(Q390*((VLOOKUP(A390,[1]Plan!A$1:Z$804,26,FALSE)/100)))</f>
        <v>0</v>
      </c>
      <c r="S390" s="58">
        <f>IF(P390,O390*'[1]ETC Data'!$H$3*'[1]ETC Data'!$J$3,0)</f>
        <v>0</v>
      </c>
      <c r="T390" s="58">
        <f>S390-(S390*((VLOOKUP(A390,[1]Plan!A$1:AA$804,27,FALSE)/100)))</f>
        <v>0</v>
      </c>
      <c r="U390" s="58">
        <f>IF(P390,O390*'[1]ETC Data'!$H$3*'[1]ETC Data'!$K$3,0)</f>
        <v>0</v>
      </c>
      <c r="V390" s="58">
        <f>U390-(U390*((VLOOKUP(A390,[1]Plan!A$1:AB$804,28,FALSE)/100)))</f>
        <v>0</v>
      </c>
      <c r="W390" s="58">
        <f>IF(P390,O390*'[1]ETC Data'!$H$3*'[1]ETC Data'!$L$3,0)</f>
        <v>0</v>
      </c>
      <c r="X390" s="58">
        <f>W390-(W390*((VLOOKUP(A390,[1]Plan!A$1:AC$804,29,FALSE)/100)))</f>
        <v>0</v>
      </c>
      <c r="Y390" s="59"/>
      <c r="Z390" s="60" t="b">
        <f>OR(H390="Y",J390="Y")</f>
        <v>0</v>
      </c>
      <c r="AA390" s="58">
        <f>IF(Z390,O390*'[1]ETC Data'!$H$4*'[1]ETC Data'!$I$4,0)</f>
        <v>0</v>
      </c>
      <c r="AB390" s="58">
        <f>AA390-(AA390*((VLOOKUP(A390,[1]Plan!A$1:AI$804,35,FALSE)/100)))</f>
        <v>0</v>
      </c>
      <c r="AC390" s="58">
        <f>IF(Z390,O390*'[1]ETC Data'!$H$4*'[1]ETC Data'!$J$4,0)</f>
        <v>0</v>
      </c>
      <c r="AD390" s="58">
        <f>AC390-(AC390*((VLOOKUP(A390,[1]Plan!A$1:AJ$804,36,FALSE)/100)))</f>
        <v>0</v>
      </c>
      <c r="AE390" s="58">
        <f>IF(Z390,O390*'[1]ETC Data'!$H$4*'[1]ETC Data'!$K$4,0)</f>
        <v>0</v>
      </c>
      <c r="AF390" s="58">
        <f>AE390-(AE390*((VLOOKUP(A390,[1]Plan!A$1:AK$804,37,FALSE)/100)))</f>
        <v>0</v>
      </c>
      <c r="AG390" s="58">
        <f>IF(Z390,O390*'[1]ETC Data'!$H$4*'[1]ETC Data'!$L$4,0)</f>
        <v>0</v>
      </c>
      <c r="AH390" s="58">
        <f>AG390-(AG390*((VLOOKUP(A390,[1]Plan!A$1:AP$804,42,FALSE)/100)))</f>
        <v>0</v>
      </c>
      <c r="AI390" s="60"/>
      <c r="AJ390" s="60" t="b">
        <f>OR(H390="Y",K390="Y")</f>
        <v>0</v>
      </c>
      <c r="AK390" s="61">
        <f>IF(AJ390,O390*'[1]ETC Data'!$H$5*'[1]ETC Data'!$I$5,0)</f>
        <v>0</v>
      </c>
      <c r="AL390" s="58">
        <f>AK390-(AK390*((VLOOKUP(A390,[1]Plan!A$1:AY$804,51,FALSE)/100)))</f>
        <v>0</v>
      </c>
      <c r="AM390" s="58">
        <f>IF(AJ390,O390*'[1]ETC Data'!$H$5*'[1]ETC Data'!$J$5,0)</f>
        <v>0</v>
      </c>
      <c r="AN390" s="58">
        <f>AM390-(AM390*((VLOOKUP(A390,[1]Plan!A$1:BA$804,53,FALSE)/100)))</f>
        <v>0</v>
      </c>
      <c r="AO390" s="61">
        <f>IF(AJ390,O390*'[1]ETC Data'!$H$5*'[1]ETC Data'!$K$5,0)</f>
        <v>0</v>
      </c>
      <c r="AP390" s="58">
        <f>AO390-(AO390*((VLOOKUP(A390,[1]Plan!A$1:BB$804,54,FALSE)/100)))</f>
        <v>0</v>
      </c>
      <c r="AQ390" s="58">
        <f>IF(AJ390,O390*'[1]ETC Data'!$H$5*'[1]ETC Data'!$L$5,0)</f>
        <v>0</v>
      </c>
      <c r="AR390" s="58">
        <f>AQ390-(AQ390*((VLOOKUP(A390,[1]Plan!A$1:BD$804,56,FALSE)/100)))</f>
        <v>0</v>
      </c>
      <c r="AS390" s="20">
        <f>VLOOKUP(A390,'[1]PR Matrix'!A:B,2,FALSE)</f>
        <v>0</v>
      </c>
      <c r="AT390" s="21">
        <f>R390+T390+V390+X390+AB390+AD390+AF390+AH390+AL390+AN390+AP390+AR390</f>
        <v>0</v>
      </c>
      <c r="AU390" s="21">
        <f>Q390+S390+U390+W390+AA390+AC390+AE390+AG390+AK390+AM390+AO390+AQ390</f>
        <v>0</v>
      </c>
      <c r="AV390" s="21">
        <f>R390+AB390+AL390</f>
        <v>0</v>
      </c>
      <c r="AW390" s="21">
        <f>T390+AD390+AN390</f>
        <v>0</v>
      </c>
      <c r="AX390" s="21">
        <f>V390+AF390+AP390</f>
        <v>0</v>
      </c>
      <c r="AY390" s="21">
        <f>X390+AH390+AR390</f>
        <v>0</v>
      </c>
    </row>
    <row r="391" spans="1:51" hidden="1" x14ac:dyDescent="0.2">
      <c r="A391" s="50" t="s">
        <v>598</v>
      </c>
      <c r="B391" s="51" t="s">
        <v>208</v>
      </c>
      <c r="C391" s="51"/>
      <c r="D391" s="51"/>
      <c r="E391" s="52">
        <f>IF(G391="Y",VLOOKUP(B391&amp;"|"&amp;C391,'[1]ETC Data'!$C$2:$D$16,2,FALSE),0)</f>
        <v>0</v>
      </c>
      <c r="F391" s="52">
        <f>IF(D391="",0,IF(G391="Y",VLOOKUP(B391&amp;"|"&amp;D391,'[1]ETC Data'!$C$2:$D$16,2,FALSE),0))</f>
        <v>0</v>
      </c>
      <c r="G391" s="53" t="str">
        <f>IF(VLOOKUP(A391,[1]Plan!A$1:H$804,8,FALSE)&lt;&gt;"",VLOOKUP(A391,[1]Plan!A$1:H$804,8,FALSE),"")</f>
        <v>N</v>
      </c>
      <c r="H391" s="54" t="str">
        <f>IF(VLOOKUP(A391,[1]Plan!A$1:L$804,12,FALSE)&lt;&gt;"",VLOOKUP(A391,[1]Plan!A$1:L$804,12,FALSE),"")</f>
        <v/>
      </c>
      <c r="I391" s="55" t="str">
        <f>IF(VLOOKUP(A391,[1]Plan!A$1:M$804,13,FALSE)&lt;&gt;"",VLOOKUP(A391,[1]Plan!A$1:M$804,13,FALSE),"")</f>
        <v/>
      </c>
      <c r="J391" s="55" t="str">
        <f>IF(VLOOKUP(A391,[1]Plan!A$1:N$804,14,FALSE)&lt;&gt;"",VLOOKUP(A391,[1]Plan!A$1:N$804,14,FALSE),IF(VLOOKUP(A391,[1]Plan!A$1:O$804,15,FALSE)&lt;&gt;"",VLOOKUP(A391,[1]Plan!A$1:O$804,15,FALSE),""))</f>
        <v/>
      </c>
      <c r="K391" s="56" t="str">
        <f>IF(VLOOKUP(A391,[1]Plan!A$1:P$804,16,FALSE)&lt;&gt;"",VLOOKUP(A391,[1]Plan!A$1:P$804,16,FALSE),"")</f>
        <v/>
      </c>
      <c r="L391" s="55"/>
      <c r="M391" s="55"/>
      <c r="N391" s="55"/>
      <c r="O391" s="57">
        <f>IF(F391=0,E391,F391)</f>
        <v>0</v>
      </c>
      <c r="P391" s="57" t="b">
        <f>OR(H391="Y",I391="Y")</f>
        <v>0</v>
      </c>
      <c r="Q391" s="58">
        <f>IF(P391,O391*'[1]ETC Data'!$H$3*'[1]ETC Data'!$I$3,0)</f>
        <v>0</v>
      </c>
      <c r="R391" s="58">
        <f>Q391-(Q391*((VLOOKUP(A391,[1]Plan!A$1:Z$804,26,FALSE)/100)))</f>
        <v>0</v>
      </c>
      <c r="S391" s="58">
        <f>IF(P391,O391*'[1]ETC Data'!$H$3*'[1]ETC Data'!$J$3,0)</f>
        <v>0</v>
      </c>
      <c r="T391" s="58">
        <f>S391-(S391*((VLOOKUP(A391,[1]Plan!A$1:AA$804,27,FALSE)/100)))</f>
        <v>0</v>
      </c>
      <c r="U391" s="58">
        <f>IF(P391,O391*'[1]ETC Data'!$H$3*'[1]ETC Data'!$K$3,0)</f>
        <v>0</v>
      </c>
      <c r="V391" s="58">
        <f>U391-(U391*((VLOOKUP(A391,[1]Plan!A$1:AB$804,28,FALSE)/100)))</f>
        <v>0</v>
      </c>
      <c r="W391" s="58">
        <f>IF(P391,O391*'[1]ETC Data'!$H$3*'[1]ETC Data'!$L$3,0)</f>
        <v>0</v>
      </c>
      <c r="X391" s="58">
        <f>W391-(W391*((VLOOKUP(A391,[1]Plan!A$1:AC$804,29,FALSE)/100)))</f>
        <v>0</v>
      </c>
      <c r="Y391" s="59"/>
      <c r="Z391" s="60" t="b">
        <f>OR(H391="Y",J391="Y")</f>
        <v>0</v>
      </c>
      <c r="AA391" s="58">
        <f>IF(Z391,O391*'[1]ETC Data'!$H$4*'[1]ETC Data'!$I$4,0)</f>
        <v>0</v>
      </c>
      <c r="AB391" s="58">
        <f>AA391-(AA391*((VLOOKUP(A391,[1]Plan!A$1:AI$804,35,FALSE)/100)))</f>
        <v>0</v>
      </c>
      <c r="AC391" s="58">
        <f>IF(Z391,O391*'[1]ETC Data'!$H$4*'[1]ETC Data'!$J$4,0)</f>
        <v>0</v>
      </c>
      <c r="AD391" s="58">
        <f>AC391-(AC391*((VLOOKUP(A391,[1]Plan!A$1:AJ$804,36,FALSE)/100)))</f>
        <v>0</v>
      </c>
      <c r="AE391" s="58">
        <f>IF(Z391,O391*'[1]ETC Data'!$H$4*'[1]ETC Data'!$K$4,0)</f>
        <v>0</v>
      </c>
      <c r="AF391" s="58">
        <f>AE391-(AE391*((VLOOKUP(A391,[1]Plan!A$1:AK$804,37,FALSE)/100)))</f>
        <v>0</v>
      </c>
      <c r="AG391" s="58">
        <f>IF(Z391,O391*'[1]ETC Data'!$H$4*'[1]ETC Data'!$L$4,0)</f>
        <v>0</v>
      </c>
      <c r="AH391" s="58">
        <f>AG391-(AG391*((VLOOKUP(A391,[1]Plan!A$1:AP$804,42,FALSE)/100)))</f>
        <v>0</v>
      </c>
      <c r="AI391" s="60"/>
      <c r="AJ391" s="60" t="b">
        <f>OR(H391="Y",K391="Y")</f>
        <v>0</v>
      </c>
      <c r="AK391" s="61">
        <f>IF(AJ391,O391*'[1]ETC Data'!$H$5*'[1]ETC Data'!$I$5,0)</f>
        <v>0</v>
      </c>
      <c r="AL391" s="58">
        <f>AK391-(AK391*((VLOOKUP(A391,[1]Plan!A$1:AY$804,51,FALSE)/100)))</f>
        <v>0</v>
      </c>
      <c r="AM391" s="58">
        <f>IF(AJ391,O391*'[1]ETC Data'!$H$5*'[1]ETC Data'!$J$5,0)</f>
        <v>0</v>
      </c>
      <c r="AN391" s="58">
        <f>AM391-(AM391*((VLOOKUP(A391,[1]Plan!A$1:BA$804,53,FALSE)/100)))</f>
        <v>0</v>
      </c>
      <c r="AO391" s="61">
        <f>IF(AJ391,O391*'[1]ETC Data'!$H$5*'[1]ETC Data'!$K$5,0)</f>
        <v>0</v>
      </c>
      <c r="AP391" s="58">
        <f>AO391-(AO391*((VLOOKUP(A391,[1]Plan!A$1:BB$804,54,FALSE)/100)))</f>
        <v>0</v>
      </c>
      <c r="AQ391" s="58">
        <f>IF(AJ391,O391*'[1]ETC Data'!$H$5*'[1]ETC Data'!$L$5,0)</f>
        <v>0</v>
      </c>
      <c r="AR391" s="58">
        <f>AQ391-(AQ391*((VLOOKUP(A391,[1]Plan!A$1:BD$804,56,FALSE)/100)))</f>
        <v>0</v>
      </c>
      <c r="AS391" s="20">
        <f>VLOOKUP(A391,'[1]PR Matrix'!A:B,2,FALSE)</f>
        <v>0</v>
      </c>
      <c r="AT391" s="21">
        <f>R391+T391+V391+X391+AB391+AD391+AF391+AH391+AL391+AN391+AP391+AR391</f>
        <v>0</v>
      </c>
      <c r="AU391" s="21">
        <f>Q391+S391+U391+W391+AA391+AC391+AE391+AG391+AK391+AM391+AO391+AQ391</f>
        <v>0</v>
      </c>
      <c r="AV391" s="21">
        <f>R391+AB391+AL391</f>
        <v>0</v>
      </c>
      <c r="AW391" s="21">
        <f>T391+AD391+AN391</f>
        <v>0</v>
      </c>
      <c r="AX391" s="21">
        <f>V391+AF391+AP391</f>
        <v>0</v>
      </c>
      <c r="AY391" s="21">
        <f>X391+AH391+AR391</f>
        <v>0</v>
      </c>
    </row>
    <row r="392" spans="1:51" hidden="1" x14ac:dyDescent="0.2">
      <c r="A392" s="50" t="s">
        <v>599</v>
      </c>
      <c r="B392" s="51" t="s">
        <v>208</v>
      </c>
      <c r="C392" s="51"/>
      <c r="D392" s="51"/>
      <c r="E392" s="52">
        <f>IF(G392="Y",VLOOKUP(B392&amp;"|"&amp;C392,'[1]ETC Data'!$C$2:$D$16,2,FALSE),0)</f>
        <v>0</v>
      </c>
      <c r="F392" s="52">
        <f>IF(D392="",0,IF(G392="Y",VLOOKUP(B392&amp;"|"&amp;D392,'[1]ETC Data'!$C$2:$D$16,2,FALSE),0))</f>
        <v>0</v>
      </c>
      <c r="G392" s="53" t="str">
        <f>IF(VLOOKUP(A392,[1]Plan!A$1:H$804,8,FALSE)&lt;&gt;"",VLOOKUP(A392,[1]Plan!A$1:H$804,8,FALSE),"")</f>
        <v>N</v>
      </c>
      <c r="H392" s="54" t="str">
        <f>IF(VLOOKUP(A392,[1]Plan!A$1:L$804,12,FALSE)&lt;&gt;"",VLOOKUP(A392,[1]Plan!A$1:L$804,12,FALSE),"")</f>
        <v/>
      </c>
      <c r="I392" s="55" t="str">
        <f>IF(VLOOKUP(A392,[1]Plan!A$1:M$804,13,FALSE)&lt;&gt;"",VLOOKUP(A392,[1]Plan!A$1:M$804,13,FALSE),"")</f>
        <v/>
      </c>
      <c r="J392" s="55" t="str">
        <f>IF(VLOOKUP(A392,[1]Plan!A$1:N$804,14,FALSE)&lt;&gt;"",VLOOKUP(A392,[1]Plan!A$1:N$804,14,FALSE),IF(VLOOKUP(A392,[1]Plan!A$1:O$804,15,FALSE)&lt;&gt;"",VLOOKUP(A392,[1]Plan!A$1:O$804,15,FALSE),""))</f>
        <v/>
      </c>
      <c r="K392" s="56" t="str">
        <f>IF(VLOOKUP(A392,[1]Plan!A$1:P$804,16,FALSE)&lt;&gt;"",VLOOKUP(A392,[1]Plan!A$1:P$804,16,FALSE),"")</f>
        <v/>
      </c>
      <c r="L392" s="55"/>
      <c r="M392" s="55"/>
      <c r="N392" s="55"/>
      <c r="O392" s="57">
        <f>IF(F392=0,E392,F392)</f>
        <v>0</v>
      </c>
      <c r="P392" s="57" t="b">
        <f>OR(H392="Y",I392="Y")</f>
        <v>0</v>
      </c>
      <c r="Q392" s="58">
        <f>IF(P392,O392*'[1]ETC Data'!$H$3*'[1]ETC Data'!$I$3,0)</f>
        <v>0</v>
      </c>
      <c r="R392" s="58">
        <f>Q392-(Q392*((VLOOKUP(A392,[1]Plan!A$1:Z$804,26,FALSE)/100)))</f>
        <v>0</v>
      </c>
      <c r="S392" s="58">
        <f>IF(P392,O392*'[1]ETC Data'!$H$3*'[1]ETC Data'!$J$3,0)</f>
        <v>0</v>
      </c>
      <c r="T392" s="58">
        <f>S392-(S392*((VLOOKUP(A392,[1]Plan!A$1:AA$804,27,FALSE)/100)))</f>
        <v>0</v>
      </c>
      <c r="U392" s="58">
        <f>IF(P392,O392*'[1]ETC Data'!$H$3*'[1]ETC Data'!$K$3,0)</f>
        <v>0</v>
      </c>
      <c r="V392" s="58">
        <f>U392-(U392*((VLOOKUP(A392,[1]Plan!A$1:AB$804,28,FALSE)/100)))</f>
        <v>0</v>
      </c>
      <c r="W392" s="58">
        <f>IF(P392,O392*'[1]ETC Data'!$H$3*'[1]ETC Data'!$L$3,0)</f>
        <v>0</v>
      </c>
      <c r="X392" s="58">
        <f>W392-(W392*((VLOOKUP(A392,[1]Plan!A$1:AC$804,29,FALSE)/100)))</f>
        <v>0</v>
      </c>
      <c r="Y392" s="59"/>
      <c r="Z392" s="60" t="b">
        <f>OR(H392="Y",J392="Y")</f>
        <v>0</v>
      </c>
      <c r="AA392" s="58">
        <f>IF(Z392,O392*'[1]ETC Data'!$H$4*'[1]ETC Data'!$I$4,0)</f>
        <v>0</v>
      </c>
      <c r="AB392" s="58">
        <f>AA392-(AA392*((VLOOKUP(A392,[1]Plan!A$1:AI$804,35,FALSE)/100)))</f>
        <v>0</v>
      </c>
      <c r="AC392" s="58">
        <f>IF(Z392,O392*'[1]ETC Data'!$H$4*'[1]ETC Data'!$J$4,0)</f>
        <v>0</v>
      </c>
      <c r="AD392" s="58">
        <f>AC392-(AC392*((VLOOKUP(A392,[1]Plan!A$1:AJ$804,36,FALSE)/100)))</f>
        <v>0</v>
      </c>
      <c r="AE392" s="58">
        <f>IF(Z392,O392*'[1]ETC Data'!$H$4*'[1]ETC Data'!$K$4,0)</f>
        <v>0</v>
      </c>
      <c r="AF392" s="58">
        <f>AE392-(AE392*((VLOOKUP(A392,[1]Plan!A$1:AK$804,37,FALSE)/100)))</f>
        <v>0</v>
      </c>
      <c r="AG392" s="58">
        <f>IF(Z392,O392*'[1]ETC Data'!$H$4*'[1]ETC Data'!$L$4,0)</f>
        <v>0</v>
      </c>
      <c r="AH392" s="58">
        <f>AG392-(AG392*((VLOOKUP(A392,[1]Plan!A$1:AP$804,42,FALSE)/100)))</f>
        <v>0</v>
      </c>
      <c r="AI392" s="60"/>
      <c r="AJ392" s="60" t="b">
        <f>OR(H392="Y",K392="Y")</f>
        <v>0</v>
      </c>
      <c r="AK392" s="61">
        <f>IF(AJ392,O392*'[1]ETC Data'!$H$5*'[1]ETC Data'!$I$5,0)</f>
        <v>0</v>
      </c>
      <c r="AL392" s="58">
        <f>AK392-(AK392*((VLOOKUP(A392,[1]Plan!A$1:AY$804,51,FALSE)/100)))</f>
        <v>0</v>
      </c>
      <c r="AM392" s="58">
        <f>IF(AJ392,O392*'[1]ETC Data'!$H$5*'[1]ETC Data'!$J$5,0)</f>
        <v>0</v>
      </c>
      <c r="AN392" s="58">
        <f>AM392-(AM392*((VLOOKUP(A392,[1]Plan!A$1:BA$804,53,FALSE)/100)))</f>
        <v>0</v>
      </c>
      <c r="AO392" s="61">
        <f>IF(AJ392,O392*'[1]ETC Data'!$H$5*'[1]ETC Data'!$K$5,0)</f>
        <v>0</v>
      </c>
      <c r="AP392" s="58">
        <f>AO392-(AO392*((VLOOKUP(A392,[1]Plan!A$1:BB$804,54,FALSE)/100)))</f>
        <v>0</v>
      </c>
      <c r="AQ392" s="58">
        <f>IF(AJ392,O392*'[1]ETC Data'!$H$5*'[1]ETC Data'!$L$5,0)</f>
        <v>0</v>
      </c>
      <c r="AR392" s="58">
        <f>AQ392-(AQ392*((VLOOKUP(A392,[1]Plan!A$1:BD$804,56,FALSE)/100)))</f>
        <v>0</v>
      </c>
      <c r="AS392" s="20">
        <f>VLOOKUP(A392,'[1]PR Matrix'!A:B,2,FALSE)</f>
        <v>0</v>
      </c>
      <c r="AT392" s="21">
        <f>R392+T392+V392+X392+AB392+AD392+AF392+AH392+AL392+AN392+AP392+AR392</f>
        <v>0</v>
      </c>
      <c r="AU392" s="21">
        <f>Q392+S392+U392+W392+AA392+AC392+AE392+AG392+AK392+AM392+AO392+AQ392</f>
        <v>0</v>
      </c>
      <c r="AV392" s="21">
        <f>R392+AB392+AL392</f>
        <v>0</v>
      </c>
      <c r="AW392" s="21">
        <f>T392+AD392+AN392</f>
        <v>0</v>
      </c>
      <c r="AX392" s="21">
        <f>V392+AF392+AP392</f>
        <v>0</v>
      </c>
      <c r="AY392" s="21">
        <f>X392+AH392+AR392</f>
        <v>0</v>
      </c>
    </row>
    <row r="393" spans="1:51" hidden="1" x14ac:dyDescent="0.2">
      <c r="A393" s="50" t="s">
        <v>600</v>
      </c>
      <c r="B393" s="51" t="s">
        <v>208</v>
      </c>
      <c r="C393" s="51"/>
      <c r="D393" s="51"/>
      <c r="E393" s="52">
        <f>IF(G393="Y",VLOOKUP(B393&amp;"|"&amp;C393,'[1]ETC Data'!$C$2:$D$16,2,FALSE),0)</f>
        <v>0</v>
      </c>
      <c r="F393" s="52">
        <f>IF(D393="",0,IF(G393="Y",VLOOKUP(B393&amp;"|"&amp;D393,'[1]ETC Data'!$C$2:$D$16,2,FALSE),0))</f>
        <v>0</v>
      </c>
      <c r="G393" s="53" t="str">
        <f>IF(VLOOKUP(A393,[1]Plan!A$1:H$804,8,FALSE)&lt;&gt;"",VLOOKUP(A393,[1]Plan!A$1:H$804,8,FALSE),"")</f>
        <v>N</v>
      </c>
      <c r="H393" s="54" t="str">
        <f>IF(VLOOKUP(A393,[1]Plan!A$1:L$804,12,FALSE)&lt;&gt;"",VLOOKUP(A393,[1]Plan!A$1:L$804,12,FALSE),"")</f>
        <v/>
      </c>
      <c r="I393" s="55" t="str">
        <f>IF(VLOOKUP(A393,[1]Plan!A$1:M$804,13,FALSE)&lt;&gt;"",VLOOKUP(A393,[1]Plan!A$1:M$804,13,FALSE),"")</f>
        <v/>
      </c>
      <c r="J393" s="55" t="str">
        <f>IF(VLOOKUP(A393,[1]Plan!A$1:N$804,14,FALSE)&lt;&gt;"",VLOOKUP(A393,[1]Plan!A$1:N$804,14,FALSE),IF(VLOOKUP(A393,[1]Plan!A$1:O$804,15,FALSE)&lt;&gt;"",VLOOKUP(A393,[1]Plan!A$1:O$804,15,FALSE),""))</f>
        <v/>
      </c>
      <c r="K393" s="56" t="str">
        <f>IF(VLOOKUP(A393,[1]Plan!A$1:P$804,16,FALSE)&lt;&gt;"",VLOOKUP(A393,[1]Plan!A$1:P$804,16,FALSE),"")</f>
        <v/>
      </c>
      <c r="L393" s="55"/>
      <c r="M393" s="55"/>
      <c r="N393" s="55"/>
      <c r="O393" s="57">
        <f>IF(F393=0,E393,F393)</f>
        <v>0</v>
      </c>
      <c r="P393" s="57" t="b">
        <f>OR(H393="Y",I393="Y")</f>
        <v>0</v>
      </c>
      <c r="Q393" s="58">
        <f>IF(P393,O393*'[1]ETC Data'!$H$3*'[1]ETC Data'!$I$3,0)</f>
        <v>0</v>
      </c>
      <c r="R393" s="58">
        <f>Q393-(Q393*((VLOOKUP(A393,[1]Plan!A$1:Z$804,26,FALSE)/100)))</f>
        <v>0</v>
      </c>
      <c r="S393" s="58">
        <f>IF(P393,O393*'[1]ETC Data'!$H$3*'[1]ETC Data'!$J$3,0)</f>
        <v>0</v>
      </c>
      <c r="T393" s="58">
        <f>S393-(S393*((VLOOKUP(A393,[1]Plan!A$1:AA$804,27,FALSE)/100)))</f>
        <v>0</v>
      </c>
      <c r="U393" s="58">
        <f>IF(P393,O393*'[1]ETC Data'!$H$3*'[1]ETC Data'!$K$3,0)</f>
        <v>0</v>
      </c>
      <c r="V393" s="58">
        <f>U393-(U393*((VLOOKUP(A393,[1]Plan!A$1:AB$804,28,FALSE)/100)))</f>
        <v>0</v>
      </c>
      <c r="W393" s="58">
        <f>IF(P393,O393*'[1]ETC Data'!$H$3*'[1]ETC Data'!$L$3,0)</f>
        <v>0</v>
      </c>
      <c r="X393" s="58">
        <f>W393-(W393*((VLOOKUP(A393,[1]Plan!A$1:AC$804,29,FALSE)/100)))</f>
        <v>0</v>
      </c>
      <c r="Y393" s="59"/>
      <c r="Z393" s="60" t="b">
        <f>OR(H393="Y",J393="Y")</f>
        <v>0</v>
      </c>
      <c r="AA393" s="58">
        <f>IF(Z393,O393*'[1]ETC Data'!$H$4*'[1]ETC Data'!$I$4,0)</f>
        <v>0</v>
      </c>
      <c r="AB393" s="58">
        <f>AA393-(AA393*((VLOOKUP(A393,[1]Plan!A$1:AI$804,35,FALSE)/100)))</f>
        <v>0</v>
      </c>
      <c r="AC393" s="58">
        <f>IF(Z393,O393*'[1]ETC Data'!$H$4*'[1]ETC Data'!$J$4,0)</f>
        <v>0</v>
      </c>
      <c r="AD393" s="58">
        <f>AC393-(AC393*((VLOOKUP(A393,[1]Plan!A$1:AJ$804,36,FALSE)/100)))</f>
        <v>0</v>
      </c>
      <c r="AE393" s="58">
        <f>IF(Z393,O393*'[1]ETC Data'!$H$4*'[1]ETC Data'!$K$4,0)</f>
        <v>0</v>
      </c>
      <c r="AF393" s="58">
        <f>AE393-(AE393*((VLOOKUP(A393,[1]Plan!A$1:AK$804,37,FALSE)/100)))</f>
        <v>0</v>
      </c>
      <c r="AG393" s="58">
        <f>IF(Z393,O393*'[1]ETC Data'!$H$4*'[1]ETC Data'!$L$4,0)</f>
        <v>0</v>
      </c>
      <c r="AH393" s="58">
        <f>AG393-(AG393*((VLOOKUP(A393,[1]Plan!A$1:AP$804,42,FALSE)/100)))</f>
        <v>0</v>
      </c>
      <c r="AI393" s="60"/>
      <c r="AJ393" s="60" t="b">
        <f>OR(H393="Y",K393="Y")</f>
        <v>0</v>
      </c>
      <c r="AK393" s="61">
        <f>IF(AJ393,O393*'[1]ETC Data'!$H$5*'[1]ETC Data'!$I$5,0)</f>
        <v>0</v>
      </c>
      <c r="AL393" s="58">
        <f>AK393-(AK393*((VLOOKUP(A393,[1]Plan!A$1:AY$804,51,FALSE)/100)))</f>
        <v>0</v>
      </c>
      <c r="AM393" s="58">
        <f>IF(AJ393,O393*'[1]ETC Data'!$H$5*'[1]ETC Data'!$J$5,0)</f>
        <v>0</v>
      </c>
      <c r="AN393" s="58">
        <f>AM393-(AM393*((VLOOKUP(A393,[1]Plan!A$1:BA$804,53,FALSE)/100)))</f>
        <v>0</v>
      </c>
      <c r="AO393" s="61">
        <f>IF(AJ393,O393*'[1]ETC Data'!$H$5*'[1]ETC Data'!$K$5,0)</f>
        <v>0</v>
      </c>
      <c r="AP393" s="58">
        <f>AO393-(AO393*((VLOOKUP(A393,[1]Plan!A$1:BB$804,54,FALSE)/100)))</f>
        <v>0</v>
      </c>
      <c r="AQ393" s="58">
        <f>IF(AJ393,O393*'[1]ETC Data'!$H$5*'[1]ETC Data'!$L$5,0)</f>
        <v>0</v>
      </c>
      <c r="AR393" s="58">
        <f>AQ393-(AQ393*((VLOOKUP(A393,[1]Plan!A$1:BD$804,56,FALSE)/100)))</f>
        <v>0</v>
      </c>
      <c r="AS393" s="20">
        <f>VLOOKUP(A393,'[1]PR Matrix'!A:B,2,FALSE)</f>
        <v>0</v>
      </c>
      <c r="AT393" s="21">
        <f>R393+T393+V393+X393+AB393+AD393+AF393+AH393+AL393+AN393+AP393+AR393</f>
        <v>0</v>
      </c>
      <c r="AU393" s="21">
        <f>Q393+S393+U393+W393+AA393+AC393+AE393+AG393+AK393+AM393+AO393+AQ393</f>
        <v>0</v>
      </c>
      <c r="AV393" s="21">
        <f>R393+AB393+AL393</f>
        <v>0</v>
      </c>
      <c r="AW393" s="21">
        <f>T393+AD393+AN393</f>
        <v>0</v>
      </c>
      <c r="AX393" s="21">
        <f>V393+AF393+AP393</f>
        <v>0</v>
      </c>
      <c r="AY393" s="21">
        <f>X393+AH393+AR393</f>
        <v>0</v>
      </c>
    </row>
    <row r="394" spans="1:51" hidden="1" x14ac:dyDescent="0.2">
      <c r="A394" s="50" t="s">
        <v>601</v>
      </c>
      <c r="B394" s="51" t="s">
        <v>208</v>
      </c>
      <c r="C394" s="51"/>
      <c r="D394" s="51"/>
      <c r="E394" s="52">
        <f>IF(G394="Y",VLOOKUP(B394&amp;"|"&amp;C394,'[1]ETC Data'!$C$2:$D$16,2,FALSE),0)</f>
        <v>0</v>
      </c>
      <c r="F394" s="52">
        <f>IF(D394="",0,IF(G394="Y",VLOOKUP(B394&amp;"|"&amp;D394,'[1]ETC Data'!$C$2:$D$16,2,FALSE),0))</f>
        <v>0</v>
      </c>
      <c r="G394" s="53" t="str">
        <f>IF(VLOOKUP(A394,[1]Plan!A$1:H$804,8,FALSE)&lt;&gt;"",VLOOKUP(A394,[1]Plan!A$1:H$804,8,FALSE),"")</f>
        <v>N</v>
      </c>
      <c r="H394" s="54" t="str">
        <f>IF(VLOOKUP(A394,[1]Plan!A$1:L$804,12,FALSE)&lt;&gt;"",VLOOKUP(A394,[1]Plan!A$1:L$804,12,FALSE),"")</f>
        <v/>
      </c>
      <c r="I394" s="55" t="str">
        <f>IF(VLOOKUP(A394,[1]Plan!A$1:M$804,13,FALSE)&lt;&gt;"",VLOOKUP(A394,[1]Plan!A$1:M$804,13,FALSE),"")</f>
        <v/>
      </c>
      <c r="J394" s="55" t="str">
        <f>IF(VLOOKUP(A394,[1]Plan!A$1:N$804,14,FALSE)&lt;&gt;"",VLOOKUP(A394,[1]Plan!A$1:N$804,14,FALSE),IF(VLOOKUP(A394,[1]Plan!A$1:O$804,15,FALSE)&lt;&gt;"",VLOOKUP(A394,[1]Plan!A$1:O$804,15,FALSE),""))</f>
        <v/>
      </c>
      <c r="K394" s="56" t="str">
        <f>IF(VLOOKUP(A394,[1]Plan!A$1:P$804,16,FALSE)&lt;&gt;"",VLOOKUP(A394,[1]Plan!A$1:P$804,16,FALSE),"")</f>
        <v/>
      </c>
      <c r="L394" s="55"/>
      <c r="M394" s="55"/>
      <c r="N394" s="55"/>
      <c r="O394" s="57">
        <f>IF(F394=0,E394,F394)</f>
        <v>0</v>
      </c>
      <c r="P394" s="57" t="b">
        <f>OR(H394="Y",I394="Y")</f>
        <v>0</v>
      </c>
      <c r="Q394" s="58">
        <f>IF(P394,O394*'[1]ETC Data'!$H$3*'[1]ETC Data'!$I$3,0)</f>
        <v>0</v>
      </c>
      <c r="R394" s="58">
        <f>Q394-(Q394*((VLOOKUP(A394,[1]Plan!A$1:Z$804,26,FALSE)/100)))</f>
        <v>0</v>
      </c>
      <c r="S394" s="58">
        <f>IF(P394,O394*'[1]ETC Data'!$H$3*'[1]ETC Data'!$J$3,0)</f>
        <v>0</v>
      </c>
      <c r="T394" s="58">
        <f>S394-(S394*((VLOOKUP(A394,[1]Plan!A$1:AA$804,27,FALSE)/100)))</f>
        <v>0</v>
      </c>
      <c r="U394" s="58">
        <f>IF(P394,O394*'[1]ETC Data'!$H$3*'[1]ETC Data'!$K$3,0)</f>
        <v>0</v>
      </c>
      <c r="V394" s="58">
        <f>U394-(U394*((VLOOKUP(A394,[1]Plan!A$1:AB$804,28,FALSE)/100)))</f>
        <v>0</v>
      </c>
      <c r="W394" s="58">
        <f>IF(P394,O394*'[1]ETC Data'!$H$3*'[1]ETC Data'!$L$3,0)</f>
        <v>0</v>
      </c>
      <c r="X394" s="58">
        <f>W394-(W394*((VLOOKUP(A394,[1]Plan!A$1:AC$804,29,FALSE)/100)))</f>
        <v>0</v>
      </c>
      <c r="Y394" s="59"/>
      <c r="Z394" s="60" t="b">
        <f>OR(H394="Y",J394="Y")</f>
        <v>0</v>
      </c>
      <c r="AA394" s="58">
        <f>IF(Z394,O394*'[1]ETC Data'!$H$4*'[1]ETC Data'!$I$4,0)</f>
        <v>0</v>
      </c>
      <c r="AB394" s="58">
        <f>AA394-(AA394*((VLOOKUP(A394,[1]Plan!A$1:AI$804,35,FALSE)/100)))</f>
        <v>0</v>
      </c>
      <c r="AC394" s="58">
        <f>IF(Z394,O394*'[1]ETC Data'!$H$4*'[1]ETC Data'!$J$4,0)</f>
        <v>0</v>
      </c>
      <c r="AD394" s="58">
        <f>AC394-(AC394*((VLOOKUP(A394,[1]Plan!A$1:AJ$804,36,FALSE)/100)))</f>
        <v>0</v>
      </c>
      <c r="AE394" s="58">
        <f>IF(Z394,O394*'[1]ETC Data'!$H$4*'[1]ETC Data'!$K$4,0)</f>
        <v>0</v>
      </c>
      <c r="AF394" s="58">
        <f>AE394-(AE394*((VLOOKUP(A394,[1]Plan!A$1:AK$804,37,FALSE)/100)))</f>
        <v>0</v>
      </c>
      <c r="AG394" s="58">
        <f>IF(Z394,O394*'[1]ETC Data'!$H$4*'[1]ETC Data'!$L$4,0)</f>
        <v>0</v>
      </c>
      <c r="AH394" s="58">
        <f>AG394-(AG394*((VLOOKUP(A394,[1]Plan!A$1:AP$804,42,FALSE)/100)))</f>
        <v>0</v>
      </c>
      <c r="AI394" s="60"/>
      <c r="AJ394" s="60" t="b">
        <f>OR(H394="Y",K394="Y")</f>
        <v>0</v>
      </c>
      <c r="AK394" s="61">
        <f>IF(AJ394,O394*'[1]ETC Data'!$H$5*'[1]ETC Data'!$I$5,0)</f>
        <v>0</v>
      </c>
      <c r="AL394" s="58">
        <f>AK394-(AK394*((VLOOKUP(A394,[1]Plan!A$1:AY$804,51,FALSE)/100)))</f>
        <v>0</v>
      </c>
      <c r="AM394" s="58">
        <f>IF(AJ394,O394*'[1]ETC Data'!$H$5*'[1]ETC Data'!$J$5,0)</f>
        <v>0</v>
      </c>
      <c r="AN394" s="58">
        <f>AM394-(AM394*((VLOOKUP(A394,[1]Plan!A$1:BA$804,53,FALSE)/100)))</f>
        <v>0</v>
      </c>
      <c r="AO394" s="61">
        <f>IF(AJ394,O394*'[1]ETC Data'!$H$5*'[1]ETC Data'!$K$5,0)</f>
        <v>0</v>
      </c>
      <c r="AP394" s="58">
        <f>AO394-(AO394*((VLOOKUP(A394,[1]Plan!A$1:BB$804,54,FALSE)/100)))</f>
        <v>0</v>
      </c>
      <c r="AQ394" s="58">
        <f>IF(AJ394,O394*'[1]ETC Data'!$H$5*'[1]ETC Data'!$L$5,0)</f>
        <v>0</v>
      </c>
      <c r="AR394" s="58">
        <f>AQ394-(AQ394*((VLOOKUP(A394,[1]Plan!A$1:BD$804,56,FALSE)/100)))</f>
        <v>0</v>
      </c>
      <c r="AS394" s="20">
        <f>VLOOKUP(A394,'[1]PR Matrix'!A:B,2,FALSE)</f>
        <v>0</v>
      </c>
      <c r="AT394" s="21">
        <f>R394+T394+V394+X394+AB394+AD394+AF394+AH394+AL394+AN394+AP394+AR394</f>
        <v>0</v>
      </c>
      <c r="AU394" s="21">
        <f>Q394+S394+U394+W394+AA394+AC394+AE394+AG394+AK394+AM394+AO394+AQ394</f>
        <v>0</v>
      </c>
      <c r="AV394" s="21">
        <f>R394+AB394+AL394</f>
        <v>0</v>
      </c>
      <c r="AW394" s="21">
        <f>T394+AD394+AN394</f>
        <v>0</v>
      </c>
      <c r="AX394" s="21">
        <f>V394+AF394+AP394</f>
        <v>0</v>
      </c>
      <c r="AY394" s="21">
        <f>X394+AH394+AR394</f>
        <v>0</v>
      </c>
    </row>
    <row r="395" spans="1:51" hidden="1" x14ac:dyDescent="0.2">
      <c r="A395" s="50" t="s">
        <v>602</v>
      </c>
      <c r="B395" s="51" t="s">
        <v>208</v>
      </c>
      <c r="C395" s="51"/>
      <c r="D395" s="51"/>
      <c r="E395" s="52">
        <f>IF(G395="Y",VLOOKUP(B395&amp;"|"&amp;C395,'[1]ETC Data'!$C$2:$D$16,2,FALSE),0)</f>
        <v>0</v>
      </c>
      <c r="F395" s="52">
        <f>IF(D395="",0,IF(G395="Y",VLOOKUP(B395&amp;"|"&amp;D395,'[1]ETC Data'!$C$2:$D$16,2,FALSE),0))</f>
        <v>0</v>
      </c>
      <c r="G395" s="53" t="str">
        <f>IF(VLOOKUP(A395,[1]Plan!A$1:H$804,8,FALSE)&lt;&gt;"",VLOOKUP(A395,[1]Plan!A$1:H$804,8,FALSE),"")</f>
        <v>N</v>
      </c>
      <c r="H395" s="54" t="str">
        <f>IF(VLOOKUP(A395,[1]Plan!A$1:L$804,12,FALSE)&lt;&gt;"",VLOOKUP(A395,[1]Plan!A$1:L$804,12,FALSE),"")</f>
        <v/>
      </c>
      <c r="I395" s="55" t="str">
        <f>IF(VLOOKUP(A395,[1]Plan!A$1:M$804,13,FALSE)&lt;&gt;"",VLOOKUP(A395,[1]Plan!A$1:M$804,13,FALSE),"")</f>
        <v/>
      </c>
      <c r="J395" s="55" t="str">
        <f>IF(VLOOKUP(A395,[1]Plan!A$1:N$804,14,FALSE)&lt;&gt;"",VLOOKUP(A395,[1]Plan!A$1:N$804,14,FALSE),IF(VLOOKUP(A395,[1]Plan!A$1:O$804,15,FALSE)&lt;&gt;"",VLOOKUP(A395,[1]Plan!A$1:O$804,15,FALSE),""))</f>
        <v/>
      </c>
      <c r="K395" s="56" t="str">
        <f>IF(VLOOKUP(A395,[1]Plan!A$1:P$804,16,FALSE)&lt;&gt;"",VLOOKUP(A395,[1]Plan!A$1:P$804,16,FALSE),"")</f>
        <v/>
      </c>
      <c r="L395" s="55"/>
      <c r="M395" s="55"/>
      <c r="N395" s="55"/>
      <c r="O395" s="57">
        <f>IF(F395=0,E395,F395)</f>
        <v>0</v>
      </c>
      <c r="P395" s="57" t="b">
        <f>OR(H395="Y",I395="Y")</f>
        <v>0</v>
      </c>
      <c r="Q395" s="58">
        <f>IF(P395,O395*'[1]ETC Data'!$H$3*'[1]ETC Data'!$I$3,0)</f>
        <v>0</v>
      </c>
      <c r="R395" s="58">
        <f>Q395-(Q395*((VLOOKUP(A395,[1]Plan!A$1:Z$804,26,FALSE)/100)))</f>
        <v>0</v>
      </c>
      <c r="S395" s="58">
        <f>IF(P395,O395*'[1]ETC Data'!$H$3*'[1]ETC Data'!$J$3,0)</f>
        <v>0</v>
      </c>
      <c r="T395" s="58">
        <f>S395-(S395*((VLOOKUP(A395,[1]Plan!A$1:AA$804,27,FALSE)/100)))</f>
        <v>0</v>
      </c>
      <c r="U395" s="58">
        <f>IF(P395,O395*'[1]ETC Data'!$H$3*'[1]ETC Data'!$K$3,0)</f>
        <v>0</v>
      </c>
      <c r="V395" s="58">
        <f>U395-(U395*((VLOOKUP(A395,[1]Plan!A$1:AB$804,28,FALSE)/100)))</f>
        <v>0</v>
      </c>
      <c r="W395" s="58">
        <f>IF(P395,O395*'[1]ETC Data'!$H$3*'[1]ETC Data'!$L$3,0)</f>
        <v>0</v>
      </c>
      <c r="X395" s="58">
        <f>W395-(W395*((VLOOKUP(A395,[1]Plan!A$1:AC$804,29,FALSE)/100)))</f>
        <v>0</v>
      </c>
      <c r="Y395" s="59"/>
      <c r="Z395" s="60" t="b">
        <f>OR(H395="Y",J395="Y")</f>
        <v>0</v>
      </c>
      <c r="AA395" s="58">
        <f>IF(Z395,O395*'[1]ETC Data'!$H$4*'[1]ETC Data'!$I$4,0)</f>
        <v>0</v>
      </c>
      <c r="AB395" s="58">
        <f>AA395-(AA395*((VLOOKUP(A395,[1]Plan!A$1:AI$804,35,FALSE)/100)))</f>
        <v>0</v>
      </c>
      <c r="AC395" s="58">
        <f>IF(Z395,O395*'[1]ETC Data'!$H$4*'[1]ETC Data'!$J$4,0)</f>
        <v>0</v>
      </c>
      <c r="AD395" s="58">
        <f>AC395-(AC395*((VLOOKUP(A395,[1]Plan!A$1:AJ$804,36,FALSE)/100)))</f>
        <v>0</v>
      </c>
      <c r="AE395" s="58">
        <f>IF(Z395,O395*'[1]ETC Data'!$H$4*'[1]ETC Data'!$K$4,0)</f>
        <v>0</v>
      </c>
      <c r="AF395" s="58">
        <f>AE395-(AE395*((VLOOKUP(A395,[1]Plan!A$1:AK$804,37,FALSE)/100)))</f>
        <v>0</v>
      </c>
      <c r="AG395" s="58">
        <f>IF(Z395,O395*'[1]ETC Data'!$H$4*'[1]ETC Data'!$L$4,0)</f>
        <v>0</v>
      </c>
      <c r="AH395" s="58">
        <f>AG395-(AG395*((VLOOKUP(A395,[1]Plan!A$1:AP$804,42,FALSE)/100)))</f>
        <v>0</v>
      </c>
      <c r="AI395" s="60"/>
      <c r="AJ395" s="60" t="b">
        <f>OR(H395="Y",K395="Y")</f>
        <v>0</v>
      </c>
      <c r="AK395" s="61">
        <f>IF(AJ395,O395*'[1]ETC Data'!$H$5*'[1]ETC Data'!$I$5,0)</f>
        <v>0</v>
      </c>
      <c r="AL395" s="58">
        <f>AK395-(AK395*((VLOOKUP(A395,[1]Plan!A$1:AY$804,51,FALSE)/100)))</f>
        <v>0</v>
      </c>
      <c r="AM395" s="58">
        <f>IF(AJ395,O395*'[1]ETC Data'!$H$5*'[1]ETC Data'!$J$5,0)</f>
        <v>0</v>
      </c>
      <c r="AN395" s="58">
        <f>AM395-(AM395*((VLOOKUP(A395,[1]Plan!A$1:BA$804,53,FALSE)/100)))</f>
        <v>0</v>
      </c>
      <c r="AO395" s="61">
        <f>IF(AJ395,O395*'[1]ETC Data'!$H$5*'[1]ETC Data'!$K$5,0)</f>
        <v>0</v>
      </c>
      <c r="AP395" s="58">
        <f>AO395-(AO395*((VLOOKUP(A395,[1]Plan!A$1:BB$804,54,FALSE)/100)))</f>
        <v>0</v>
      </c>
      <c r="AQ395" s="58">
        <f>IF(AJ395,O395*'[1]ETC Data'!$H$5*'[1]ETC Data'!$L$5,0)</f>
        <v>0</v>
      </c>
      <c r="AR395" s="58">
        <f>AQ395-(AQ395*((VLOOKUP(A395,[1]Plan!A$1:BD$804,56,FALSE)/100)))</f>
        <v>0</v>
      </c>
      <c r="AS395" s="20">
        <f>VLOOKUP(A395,'[1]PR Matrix'!A:B,2,FALSE)</f>
        <v>0</v>
      </c>
      <c r="AT395" s="21">
        <f>R395+T395+V395+X395+AB395+AD395+AF395+AH395+AL395+AN395+AP395+AR395</f>
        <v>0</v>
      </c>
      <c r="AU395" s="21">
        <f>Q395+S395+U395+W395+AA395+AC395+AE395+AG395+AK395+AM395+AO395+AQ395</f>
        <v>0</v>
      </c>
      <c r="AV395" s="21">
        <f>R395+AB395+AL395</f>
        <v>0</v>
      </c>
      <c r="AW395" s="21">
        <f>T395+AD395+AN395</f>
        <v>0</v>
      </c>
      <c r="AX395" s="21">
        <f>V395+AF395+AP395</f>
        <v>0</v>
      </c>
      <c r="AY395" s="21">
        <f>X395+AH395+AR395</f>
        <v>0</v>
      </c>
    </row>
    <row r="396" spans="1:51" hidden="1" x14ac:dyDescent="0.2">
      <c r="A396" s="50" t="s">
        <v>602</v>
      </c>
      <c r="B396" s="51" t="s">
        <v>208</v>
      </c>
      <c r="C396" s="51"/>
      <c r="D396" s="51"/>
      <c r="E396" s="52">
        <f>IF(G396="Y",VLOOKUP(B396&amp;"|"&amp;C396,'[1]ETC Data'!$C$2:$D$16,2,FALSE),0)</f>
        <v>0</v>
      </c>
      <c r="F396" s="52">
        <f>IF(D396="",0,IF(G396="Y",VLOOKUP(B396&amp;"|"&amp;D396,'[1]ETC Data'!$C$2:$D$16,2,FALSE),0))</f>
        <v>0</v>
      </c>
      <c r="G396" s="53" t="str">
        <f>IF(VLOOKUP(A396,[1]Plan!A$1:H$804,8,FALSE)&lt;&gt;"",VLOOKUP(A396,[1]Plan!A$1:H$804,8,FALSE),"")</f>
        <v>N</v>
      </c>
      <c r="H396" s="54" t="str">
        <f>IF(VLOOKUP(A396,[1]Plan!A$1:L$804,12,FALSE)&lt;&gt;"",VLOOKUP(A396,[1]Plan!A$1:L$804,12,FALSE),"")</f>
        <v/>
      </c>
      <c r="I396" s="55" t="str">
        <f>IF(VLOOKUP(A396,[1]Plan!A$1:M$804,13,FALSE)&lt;&gt;"",VLOOKUP(A396,[1]Plan!A$1:M$804,13,FALSE),"")</f>
        <v/>
      </c>
      <c r="J396" s="55" t="str">
        <f>IF(VLOOKUP(A396,[1]Plan!A$1:N$804,14,FALSE)&lt;&gt;"",VLOOKUP(A396,[1]Plan!A$1:N$804,14,FALSE),IF(VLOOKUP(A396,[1]Plan!A$1:O$804,15,FALSE)&lt;&gt;"",VLOOKUP(A396,[1]Plan!A$1:O$804,15,FALSE),""))</f>
        <v/>
      </c>
      <c r="K396" s="56" t="str">
        <f>IF(VLOOKUP(A396,[1]Plan!A$1:P$804,16,FALSE)&lt;&gt;"",VLOOKUP(A396,[1]Plan!A$1:P$804,16,FALSE),"")</f>
        <v/>
      </c>
      <c r="L396" s="55"/>
      <c r="M396" s="55"/>
      <c r="N396" s="55"/>
      <c r="O396" s="57">
        <f>IF(F396=0,E396,F396)</f>
        <v>0</v>
      </c>
      <c r="P396" s="57" t="b">
        <f>OR(H396="Y",I396="Y")</f>
        <v>0</v>
      </c>
      <c r="Q396" s="58">
        <f>IF(P396,O396*'[1]ETC Data'!$H$3*'[1]ETC Data'!$I$3,0)</f>
        <v>0</v>
      </c>
      <c r="R396" s="58">
        <f>Q396-(Q396*((VLOOKUP(A396,[1]Plan!A$1:Z$804,26,FALSE)/100)))</f>
        <v>0</v>
      </c>
      <c r="S396" s="58">
        <f>IF(P396,O396*'[1]ETC Data'!$H$3*'[1]ETC Data'!$J$3,0)</f>
        <v>0</v>
      </c>
      <c r="T396" s="58">
        <f>S396-(S396*((VLOOKUP(A396,[1]Plan!A$1:AA$804,27,FALSE)/100)))</f>
        <v>0</v>
      </c>
      <c r="U396" s="58">
        <f>IF(P396,O396*'[1]ETC Data'!$H$3*'[1]ETC Data'!$K$3,0)</f>
        <v>0</v>
      </c>
      <c r="V396" s="58">
        <f>U396-(U396*((VLOOKUP(A396,[1]Plan!A$1:AB$804,28,FALSE)/100)))</f>
        <v>0</v>
      </c>
      <c r="W396" s="58">
        <f>IF(P396,O396*'[1]ETC Data'!$H$3*'[1]ETC Data'!$L$3,0)</f>
        <v>0</v>
      </c>
      <c r="X396" s="58">
        <f>W396-(W396*((VLOOKUP(A396,[1]Plan!A$1:AC$804,29,FALSE)/100)))</f>
        <v>0</v>
      </c>
      <c r="Y396" s="59"/>
      <c r="Z396" s="60" t="b">
        <f>OR(H396="Y",J396="Y")</f>
        <v>0</v>
      </c>
      <c r="AA396" s="58">
        <f>IF(Z396,O396*'[1]ETC Data'!$H$4*'[1]ETC Data'!$I$4,0)</f>
        <v>0</v>
      </c>
      <c r="AB396" s="58">
        <f>AA396-(AA396*((VLOOKUP(A396,[1]Plan!A$1:AI$804,35,FALSE)/100)))</f>
        <v>0</v>
      </c>
      <c r="AC396" s="58">
        <f>IF(Z396,O396*'[1]ETC Data'!$H$4*'[1]ETC Data'!$J$4,0)</f>
        <v>0</v>
      </c>
      <c r="AD396" s="58">
        <f>AC396-(AC396*((VLOOKUP(A396,[1]Plan!A$1:AJ$804,36,FALSE)/100)))</f>
        <v>0</v>
      </c>
      <c r="AE396" s="58">
        <f>IF(Z396,O396*'[1]ETC Data'!$H$4*'[1]ETC Data'!$K$4,0)</f>
        <v>0</v>
      </c>
      <c r="AF396" s="58">
        <f>AE396-(AE396*((VLOOKUP(A396,[1]Plan!A$1:AK$804,37,FALSE)/100)))</f>
        <v>0</v>
      </c>
      <c r="AG396" s="58">
        <f>IF(Z396,O396*'[1]ETC Data'!$H$4*'[1]ETC Data'!$L$4,0)</f>
        <v>0</v>
      </c>
      <c r="AH396" s="58">
        <f>AG396-(AG396*((VLOOKUP(A396,[1]Plan!A$1:AP$804,42,FALSE)/100)))</f>
        <v>0</v>
      </c>
      <c r="AI396" s="60"/>
      <c r="AJ396" s="60" t="b">
        <f>OR(H396="Y",K396="Y")</f>
        <v>0</v>
      </c>
      <c r="AK396" s="61">
        <f>IF(AJ396,O396*'[1]ETC Data'!$H$5*'[1]ETC Data'!$I$5,0)</f>
        <v>0</v>
      </c>
      <c r="AL396" s="58">
        <f>AK396-(AK396*((VLOOKUP(A396,[1]Plan!A$1:AY$804,51,FALSE)/100)))</f>
        <v>0</v>
      </c>
      <c r="AM396" s="58">
        <f>IF(AJ396,O396*'[1]ETC Data'!$H$5*'[1]ETC Data'!$J$5,0)</f>
        <v>0</v>
      </c>
      <c r="AN396" s="58">
        <f>AM396-(AM396*((VLOOKUP(A396,[1]Plan!A$1:BA$804,53,FALSE)/100)))</f>
        <v>0</v>
      </c>
      <c r="AO396" s="61">
        <f>IF(AJ396,O396*'[1]ETC Data'!$H$5*'[1]ETC Data'!$K$5,0)</f>
        <v>0</v>
      </c>
      <c r="AP396" s="58">
        <f>AO396-(AO396*((VLOOKUP(A396,[1]Plan!A$1:BB$804,54,FALSE)/100)))</f>
        <v>0</v>
      </c>
      <c r="AQ396" s="58">
        <f>IF(AJ396,O396*'[1]ETC Data'!$H$5*'[1]ETC Data'!$L$5,0)</f>
        <v>0</v>
      </c>
      <c r="AR396" s="58">
        <f>AQ396-(AQ396*((VLOOKUP(A396,[1]Plan!A$1:BD$804,56,FALSE)/100)))</f>
        <v>0</v>
      </c>
      <c r="AS396" s="20">
        <f>VLOOKUP(A396,'[1]PR Matrix'!A:B,2,FALSE)</f>
        <v>0</v>
      </c>
      <c r="AT396" s="21">
        <f>R396+T396+V396+X396+AB396+AD396+AF396+AH396+AL396+AN396+AP396+AR396</f>
        <v>0</v>
      </c>
      <c r="AU396" s="21">
        <f>Q396+S396+U396+W396+AA396+AC396+AE396+AG396+AK396+AM396+AO396+AQ396</f>
        <v>0</v>
      </c>
      <c r="AV396" s="21">
        <f>R396+AB396+AL396</f>
        <v>0</v>
      </c>
      <c r="AW396" s="21">
        <f>T396+AD396+AN396</f>
        <v>0</v>
      </c>
      <c r="AX396" s="21">
        <f>V396+AF396+AP396</f>
        <v>0</v>
      </c>
      <c r="AY396" s="21">
        <f>X396+AH396+AR396</f>
        <v>0</v>
      </c>
    </row>
    <row r="397" spans="1:51" hidden="1" x14ac:dyDescent="0.2">
      <c r="A397" s="50" t="s">
        <v>603</v>
      </c>
      <c r="B397" s="51" t="s">
        <v>208</v>
      </c>
      <c r="C397" s="51"/>
      <c r="D397" s="51"/>
      <c r="E397" s="52">
        <f>IF(G397="Y",VLOOKUP(B397&amp;"|"&amp;C397,'[1]ETC Data'!$C$2:$D$16,2,FALSE),0)</f>
        <v>0</v>
      </c>
      <c r="F397" s="52">
        <f>IF(D397="",0,IF(G397="Y",VLOOKUP(B397&amp;"|"&amp;D397,'[1]ETC Data'!$C$2:$D$16,2,FALSE),0))</f>
        <v>0</v>
      </c>
      <c r="G397" s="53" t="str">
        <f>IF(VLOOKUP(A397,[1]Plan!A$1:H$804,8,FALSE)&lt;&gt;"",VLOOKUP(A397,[1]Plan!A$1:H$804,8,FALSE),"")</f>
        <v>N</v>
      </c>
      <c r="H397" s="54" t="str">
        <f>IF(VLOOKUP(A397,[1]Plan!A$1:L$804,12,FALSE)&lt;&gt;"",VLOOKUP(A397,[1]Plan!A$1:L$804,12,FALSE),"")</f>
        <v/>
      </c>
      <c r="I397" s="55" t="str">
        <f>IF(VLOOKUP(A397,[1]Plan!A$1:M$804,13,FALSE)&lt;&gt;"",VLOOKUP(A397,[1]Plan!A$1:M$804,13,FALSE),"")</f>
        <v/>
      </c>
      <c r="J397" s="55" t="str">
        <f>IF(VLOOKUP(A397,[1]Plan!A$1:N$804,14,FALSE)&lt;&gt;"",VLOOKUP(A397,[1]Plan!A$1:N$804,14,FALSE),IF(VLOOKUP(A397,[1]Plan!A$1:O$804,15,FALSE)&lt;&gt;"",VLOOKUP(A397,[1]Plan!A$1:O$804,15,FALSE),""))</f>
        <v/>
      </c>
      <c r="K397" s="56" t="str">
        <f>IF(VLOOKUP(A397,[1]Plan!A$1:P$804,16,FALSE)&lt;&gt;"",VLOOKUP(A397,[1]Plan!A$1:P$804,16,FALSE),"")</f>
        <v/>
      </c>
      <c r="L397" s="55"/>
      <c r="M397" s="55"/>
      <c r="N397" s="55"/>
      <c r="O397" s="57">
        <f>IF(F397=0,E397,F397)</f>
        <v>0</v>
      </c>
      <c r="P397" s="57" t="b">
        <f>OR(H397="Y",I397="Y")</f>
        <v>0</v>
      </c>
      <c r="Q397" s="58">
        <f>IF(P397,O397*'[1]ETC Data'!$H$3*'[1]ETC Data'!$I$3,0)</f>
        <v>0</v>
      </c>
      <c r="R397" s="58">
        <f>Q397-(Q397*((VLOOKUP(A397,[1]Plan!A$1:Z$804,26,FALSE)/100)))</f>
        <v>0</v>
      </c>
      <c r="S397" s="58">
        <f>IF(P397,O397*'[1]ETC Data'!$H$3*'[1]ETC Data'!$J$3,0)</f>
        <v>0</v>
      </c>
      <c r="T397" s="58">
        <f>S397-(S397*((VLOOKUP(A397,[1]Plan!A$1:AA$804,27,FALSE)/100)))</f>
        <v>0</v>
      </c>
      <c r="U397" s="58">
        <f>IF(P397,O397*'[1]ETC Data'!$H$3*'[1]ETC Data'!$K$3,0)</f>
        <v>0</v>
      </c>
      <c r="V397" s="58">
        <f>U397-(U397*((VLOOKUP(A397,[1]Plan!A$1:AB$804,28,FALSE)/100)))</f>
        <v>0</v>
      </c>
      <c r="W397" s="58">
        <f>IF(P397,O397*'[1]ETC Data'!$H$3*'[1]ETC Data'!$L$3,0)</f>
        <v>0</v>
      </c>
      <c r="X397" s="58">
        <f>W397-(W397*((VLOOKUP(A397,[1]Plan!A$1:AC$804,29,FALSE)/100)))</f>
        <v>0</v>
      </c>
      <c r="Y397" s="59"/>
      <c r="Z397" s="60" t="b">
        <f>OR(H397="Y",J397="Y")</f>
        <v>0</v>
      </c>
      <c r="AA397" s="58">
        <f>IF(Z397,O397*'[1]ETC Data'!$H$4*'[1]ETC Data'!$I$4,0)</f>
        <v>0</v>
      </c>
      <c r="AB397" s="58">
        <f>AA397-(AA397*((VLOOKUP(A397,[1]Plan!A$1:AI$804,35,FALSE)/100)))</f>
        <v>0</v>
      </c>
      <c r="AC397" s="58">
        <f>IF(Z397,O397*'[1]ETC Data'!$H$4*'[1]ETC Data'!$J$4,0)</f>
        <v>0</v>
      </c>
      <c r="AD397" s="58">
        <f>AC397-(AC397*((VLOOKUP(A397,[1]Plan!A$1:AJ$804,36,FALSE)/100)))</f>
        <v>0</v>
      </c>
      <c r="AE397" s="58">
        <f>IF(Z397,O397*'[1]ETC Data'!$H$4*'[1]ETC Data'!$K$4,0)</f>
        <v>0</v>
      </c>
      <c r="AF397" s="58">
        <f>AE397-(AE397*((VLOOKUP(A397,[1]Plan!A$1:AK$804,37,FALSE)/100)))</f>
        <v>0</v>
      </c>
      <c r="AG397" s="58">
        <f>IF(Z397,O397*'[1]ETC Data'!$H$4*'[1]ETC Data'!$L$4,0)</f>
        <v>0</v>
      </c>
      <c r="AH397" s="58">
        <f>AG397-(AG397*((VLOOKUP(A397,[1]Plan!A$1:AP$804,42,FALSE)/100)))</f>
        <v>0</v>
      </c>
      <c r="AI397" s="60"/>
      <c r="AJ397" s="60" t="b">
        <f>OR(H397="Y",K397="Y")</f>
        <v>0</v>
      </c>
      <c r="AK397" s="61">
        <f>IF(AJ397,O397*'[1]ETC Data'!$H$5*'[1]ETC Data'!$I$5,0)</f>
        <v>0</v>
      </c>
      <c r="AL397" s="58">
        <f>AK397-(AK397*((VLOOKUP(A397,[1]Plan!A$1:AY$804,51,FALSE)/100)))</f>
        <v>0</v>
      </c>
      <c r="AM397" s="58">
        <f>IF(AJ397,O397*'[1]ETC Data'!$H$5*'[1]ETC Data'!$J$5,0)</f>
        <v>0</v>
      </c>
      <c r="AN397" s="58">
        <f>AM397-(AM397*((VLOOKUP(A397,[1]Plan!A$1:BA$804,53,FALSE)/100)))</f>
        <v>0</v>
      </c>
      <c r="AO397" s="61">
        <f>IF(AJ397,O397*'[1]ETC Data'!$H$5*'[1]ETC Data'!$K$5,0)</f>
        <v>0</v>
      </c>
      <c r="AP397" s="58">
        <f>AO397-(AO397*((VLOOKUP(A397,[1]Plan!A$1:BB$804,54,FALSE)/100)))</f>
        <v>0</v>
      </c>
      <c r="AQ397" s="58">
        <f>IF(AJ397,O397*'[1]ETC Data'!$H$5*'[1]ETC Data'!$L$5,0)</f>
        <v>0</v>
      </c>
      <c r="AR397" s="58">
        <f>AQ397-(AQ397*((VLOOKUP(A397,[1]Plan!A$1:BD$804,56,FALSE)/100)))</f>
        <v>0</v>
      </c>
      <c r="AS397" s="20">
        <f>VLOOKUP(A397,'[1]PR Matrix'!A:B,2,FALSE)</f>
        <v>0</v>
      </c>
      <c r="AT397" s="21">
        <f>R397+T397+V397+X397+AB397+AD397+AF397+AH397+AL397+AN397+AP397+AR397</f>
        <v>0</v>
      </c>
      <c r="AU397" s="21">
        <f>Q397+S397+U397+W397+AA397+AC397+AE397+AG397+AK397+AM397+AO397+AQ397</f>
        <v>0</v>
      </c>
      <c r="AV397" s="21">
        <f>R397+AB397+AL397</f>
        <v>0</v>
      </c>
      <c r="AW397" s="21">
        <f>T397+AD397+AN397</f>
        <v>0</v>
      </c>
      <c r="AX397" s="21">
        <f>V397+AF397+AP397</f>
        <v>0</v>
      </c>
      <c r="AY397" s="21">
        <f>X397+AH397+AR397</f>
        <v>0</v>
      </c>
    </row>
    <row r="398" spans="1:51" hidden="1" x14ac:dyDescent="0.2">
      <c r="A398" s="50" t="s">
        <v>604</v>
      </c>
      <c r="B398" s="51" t="s">
        <v>208</v>
      </c>
      <c r="C398" s="51"/>
      <c r="D398" s="51"/>
      <c r="E398" s="52">
        <f>IF(G398="Y",VLOOKUP(B398&amp;"|"&amp;C398,'[1]ETC Data'!$C$2:$D$16,2,FALSE),0)</f>
        <v>0</v>
      </c>
      <c r="F398" s="52">
        <f>IF(D398="",0,IF(G398="Y",VLOOKUP(B398&amp;"|"&amp;D398,'[1]ETC Data'!$C$2:$D$16,2,FALSE),0))</f>
        <v>0</v>
      </c>
      <c r="G398" s="53" t="str">
        <f>IF(VLOOKUP(A398,[1]Plan!A$1:H$804,8,FALSE)&lt;&gt;"",VLOOKUP(A398,[1]Plan!A$1:H$804,8,FALSE),"")</f>
        <v>N</v>
      </c>
      <c r="H398" s="54" t="str">
        <f>IF(VLOOKUP(A398,[1]Plan!A$1:L$804,12,FALSE)&lt;&gt;"",VLOOKUP(A398,[1]Plan!A$1:L$804,12,FALSE),"")</f>
        <v/>
      </c>
      <c r="I398" s="55" t="str">
        <f>IF(VLOOKUP(A398,[1]Plan!A$1:M$804,13,FALSE)&lt;&gt;"",VLOOKUP(A398,[1]Plan!A$1:M$804,13,FALSE),"")</f>
        <v/>
      </c>
      <c r="J398" s="55" t="str">
        <f>IF(VLOOKUP(A398,[1]Plan!A$1:N$804,14,FALSE)&lt;&gt;"",VLOOKUP(A398,[1]Plan!A$1:N$804,14,FALSE),IF(VLOOKUP(A398,[1]Plan!A$1:O$804,15,FALSE)&lt;&gt;"",VLOOKUP(A398,[1]Plan!A$1:O$804,15,FALSE),""))</f>
        <v/>
      </c>
      <c r="K398" s="56" t="str">
        <f>IF(VLOOKUP(A398,[1]Plan!A$1:P$804,16,FALSE)&lt;&gt;"",VLOOKUP(A398,[1]Plan!A$1:P$804,16,FALSE),"")</f>
        <v/>
      </c>
      <c r="L398" s="55"/>
      <c r="M398" s="55"/>
      <c r="N398" s="55"/>
      <c r="O398" s="57">
        <f>IF(F398=0,E398,F398)</f>
        <v>0</v>
      </c>
      <c r="P398" s="57" t="b">
        <f>OR(H398="Y",I398="Y")</f>
        <v>0</v>
      </c>
      <c r="Q398" s="58">
        <f>IF(P398,O398*'[1]ETC Data'!$H$3*'[1]ETC Data'!$I$3,0)</f>
        <v>0</v>
      </c>
      <c r="R398" s="58">
        <f>Q398-(Q398*((VLOOKUP(A398,[1]Plan!A$1:Z$804,26,FALSE)/100)))</f>
        <v>0</v>
      </c>
      <c r="S398" s="58">
        <f>IF(P398,O398*'[1]ETC Data'!$H$3*'[1]ETC Data'!$J$3,0)</f>
        <v>0</v>
      </c>
      <c r="T398" s="58">
        <f>S398-(S398*((VLOOKUP(A398,[1]Plan!A$1:AA$804,27,FALSE)/100)))</f>
        <v>0</v>
      </c>
      <c r="U398" s="58">
        <f>IF(P398,O398*'[1]ETC Data'!$H$3*'[1]ETC Data'!$K$3,0)</f>
        <v>0</v>
      </c>
      <c r="V398" s="58">
        <f>U398-(U398*((VLOOKUP(A398,[1]Plan!A$1:AB$804,28,FALSE)/100)))</f>
        <v>0</v>
      </c>
      <c r="W398" s="58">
        <f>IF(P398,O398*'[1]ETC Data'!$H$3*'[1]ETC Data'!$L$3,0)</f>
        <v>0</v>
      </c>
      <c r="X398" s="58">
        <f>W398-(W398*((VLOOKUP(A398,[1]Plan!A$1:AC$804,29,FALSE)/100)))</f>
        <v>0</v>
      </c>
      <c r="Y398" s="59"/>
      <c r="Z398" s="60" t="b">
        <f>OR(H398="Y",J398="Y")</f>
        <v>0</v>
      </c>
      <c r="AA398" s="58">
        <f>IF(Z398,O398*'[1]ETC Data'!$H$4*'[1]ETC Data'!$I$4,0)</f>
        <v>0</v>
      </c>
      <c r="AB398" s="58">
        <f>AA398-(AA398*((VLOOKUP(A398,[1]Plan!A$1:AI$804,35,FALSE)/100)))</f>
        <v>0</v>
      </c>
      <c r="AC398" s="58">
        <f>IF(Z398,O398*'[1]ETC Data'!$H$4*'[1]ETC Data'!$J$4,0)</f>
        <v>0</v>
      </c>
      <c r="AD398" s="58">
        <f>AC398-(AC398*((VLOOKUP(A398,[1]Plan!A$1:AJ$804,36,FALSE)/100)))</f>
        <v>0</v>
      </c>
      <c r="AE398" s="58">
        <f>IF(Z398,O398*'[1]ETC Data'!$H$4*'[1]ETC Data'!$K$4,0)</f>
        <v>0</v>
      </c>
      <c r="AF398" s="58">
        <f>AE398-(AE398*((VLOOKUP(A398,[1]Plan!A$1:AK$804,37,FALSE)/100)))</f>
        <v>0</v>
      </c>
      <c r="AG398" s="58">
        <f>IF(Z398,O398*'[1]ETC Data'!$H$4*'[1]ETC Data'!$L$4,0)</f>
        <v>0</v>
      </c>
      <c r="AH398" s="58">
        <f>AG398-(AG398*((VLOOKUP(A398,[1]Plan!A$1:AP$804,42,FALSE)/100)))</f>
        <v>0</v>
      </c>
      <c r="AI398" s="60"/>
      <c r="AJ398" s="60" t="b">
        <f>OR(H398="Y",K398="Y")</f>
        <v>0</v>
      </c>
      <c r="AK398" s="61">
        <f>IF(AJ398,O398*'[1]ETC Data'!$H$5*'[1]ETC Data'!$I$5,0)</f>
        <v>0</v>
      </c>
      <c r="AL398" s="58">
        <f>AK398-(AK398*((VLOOKUP(A398,[1]Plan!A$1:AY$804,51,FALSE)/100)))</f>
        <v>0</v>
      </c>
      <c r="AM398" s="58">
        <f>IF(AJ398,O398*'[1]ETC Data'!$H$5*'[1]ETC Data'!$J$5,0)</f>
        <v>0</v>
      </c>
      <c r="AN398" s="58">
        <f>AM398-(AM398*((VLOOKUP(A398,[1]Plan!A$1:BA$804,53,FALSE)/100)))</f>
        <v>0</v>
      </c>
      <c r="AO398" s="61">
        <f>IF(AJ398,O398*'[1]ETC Data'!$H$5*'[1]ETC Data'!$K$5,0)</f>
        <v>0</v>
      </c>
      <c r="AP398" s="58">
        <f>AO398-(AO398*((VLOOKUP(A398,[1]Plan!A$1:BB$804,54,FALSE)/100)))</f>
        <v>0</v>
      </c>
      <c r="AQ398" s="58">
        <f>IF(AJ398,O398*'[1]ETC Data'!$H$5*'[1]ETC Data'!$L$5,0)</f>
        <v>0</v>
      </c>
      <c r="AR398" s="58">
        <f>AQ398-(AQ398*((VLOOKUP(A398,[1]Plan!A$1:BD$804,56,FALSE)/100)))</f>
        <v>0</v>
      </c>
      <c r="AS398" s="20">
        <f>VLOOKUP(A398,'[1]PR Matrix'!A:B,2,FALSE)</f>
        <v>0</v>
      </c>
      <c r="AT398" s="21">
        <f>R398+T398+V398+X398+AB398+AD398+AF398+AH398+AL398+AN398+AP398+AR398</f>
        <v>0</v>
      </c>
      <c r="AU398" s="21">
        <f>Q398+S398+U398+W398+AA398+AC398+AE398+AG398+AK398+AM398+AO398+AQ398</f>
        <v>0</v>
      </c>
      <c r="AV398" s="21">
        <f>R398+AB398+AL398</f>
        <v>0</v>
      </c>
      <c r="AW398" s="21">
        <f>T398+AD398+AN398</f>
        <v>0</v>
      </c>
      <c r="AX398" s="21">
        <f>V398+AF398+AP398</f>
        <v>0</v>
      </c>
      <c r="AY398" s="21">
        <f>X398+AH398+AR398</f>
        <v>0</v>
      </c>
    </row>
    <row r="399" spans="1:51" hidden="1" x14ac:dyDescent="0.2">
      <c r="A399" s="50" t="s">
        <v>605</v>
      </c>
      <c r="B399" s="51" t="s">
        <v>208</v>
      </c>
      <c r="C399" s="51"/>
      <c r="D399" s="51"/>
      <c r="E399" s="52">
        <f>IF(G399="Y",VLOOKUP(B399&amp;"|"&amp;C399,'[1]ETC Data'!$C$2:$D$16,2,FALSE),0)</f>
        <v>0</v>
      </c>
      <c r="F399" s="52">
        <f>IF(D399="",0,IF(G399="Y",VLOOKUP(B399&amp;"|"&amp;D399,'[1]ETC Data'!$C$2:$D$16,2,FALSE),0))</f>
        <v>0</v>
      </c>
      <c r="G399" s="53" t="str">
        <f>IF(VLOOKUP(A399,[1]Plan!A$1:H$804,8,FALSE)&lt;&gt;"",VLOOKUP(A399,[1]Plan!A$1:H$804,8,FALSE),"")</f>
        <v>N</v>
      </c>
      <c r="H399" s="54" t="str">
        <f>IF(VLOOKUP(A399,[1]Plan!A$1:L$804,12,FALSE)&lt;&gt;"",VLOOKUP(A399,[1]Plan!A$1:L$804,12,FALSE),"")</f>
        <v/>
      </c>
      <c r="I399" s="55" t="str">
        <f>IF(VLOOKUP(A399,[1]Plan!A$1:M$804,13,FALSE)&lt;&gt;"",VLOOKUP(A399,[1]Plan!A$1:M$804,13,FALSE),"")</f>
        <v/>
      </c>
      <c r="J399" s="55" t="str">
        <f>IF(VLOOKUP(A399,[1]Plan!A$1:N$804,14,FALSE)&lt;&gt;"",VLOOKUP(A399,[1]Plan!A$1:N$804,14,FALSE),IF(VLOOKUP(A399,[1]Plan!A$1:O$804,15,FALSE)&lt;&gt;"",VLOOKUP(A399,[1]Plan!A$1:O$804,15,FALSE),""))</f>
        <v/>
      </c>
      <c r="K399" s="56" t="str">
        <f>IF(VLOOKUP(A399,[1]Plan!A$1:P$804,16,FALSE)&lt;&gt;"",VLOOKUP(A399,[1]Plan!A$1:P$804,16,FALSE),"")</f>
        <v/>
      </c>
      <c r="L399" s="55"/>
      <c r="M399" s="55"/>
      <c r="N399" s="55"/>
      <c r="O399" s="57">
        <f>IF(F399=0,E399,F399)</f>
        <v>0</v>
      </c>
      <c r="P399" s="57" t="b">
        <f>OR(H399="Y",I399="Y")</f>
        <v>0</v>
      </c>
      <c r="Q399" s="58">
        <f>IF(P399,O399*'[1]ETC Data'!$H$3*'[1]ETC Data'!$I$3,0)</f>
        <v>0</v>
      </c>
      <c r="R399" s="58">
        <f>Q399-(Q399*((VLOOKUP(A399,[1]Plan!A$1:Z$804,26,FALSE)/100)))</f>
        <v>0</v>
      </c>
      <c r="S399" s="58">
        <f>IF(P399,O399*'[1]ETC Data'!$H$3*'[1]ETC Data'!$J$3,0)</f>
        <v>0</v>
      </c>
      <c r="T399" s="58">
        <f>S399-(S399*((VLOOKUP(A399,[1]Plan!A$1:AA$804,27,FALSE)/100)))</f>
        <v>0</v>
      </c>
      <c r="U399" s="58">
        <f>IF(P399,O399*'[1]ETC Data'!$H$3*'[1]ETC Data'!$K$3,0)</f>
        <v>0</v>
      </c>
      <c r="V399" s="58">
        <f>U399-(U399*((VLOOKUP(A399,[1]Plan!A$1:AB$804,28,FALSE)/100)))</f>
        <v>0</v>
      </c>
      <c r="W399" s="58">
        <f>IF(P399,O399*'[1]ETC Data'!$H$3*'[1]ETC Data'!$L$3,0)</f>
        <v>0</v>
      </c>
      <c r="X399" s="58">
        <f>W399-(W399*((VLOOKUP(A399,[1]Plan!A$1:AC$804,29,FALSE)/100)))</f>
        <v>0</v>
      </c>
      <c r="Y399" s="59"/>
      <c r="Z399" s="60" t="b">
        <f>OR(H399="Y",J399="Y")</f>
        <v>0</v>
      </c>
      <c r="AA399" s="58">
        <f>IF(Z399,O399*'[1]ETC Data'!$H$4*'[1]ETC Data'!$I$4,0)</f>
        <v>0</v>
      </c>
      <c r="AB399" s="58">
        <f>AA399-(AA399*((VLOOKUP(A399,[1]Plan!A$1:AI$804,35,FALSE)/100)))</f>
        <v>0</v>
      </c>
      <c r="AC399" s="58">
        <f>IF(Z399,O399*'[1]ETC Data'!$H$4*'[1]ETC Data'!$J$4,0)</f>
        <v>0</v>
      </c>
      <c r="AD399" s="58">
        <f>AC399-(AC399*((VLOOKUP(A399,[1]Plan!A$1:AJ$804,36,FALSE)/100)))</f>
        <v>0</v>
      </c>
      <c r="AE399" s="58">
        <f>IF(Z399,O399*'[1]ETC Data'!$H$4*'[1]ETC Data'!$K$4,0)</f>
        <v>0</v>
      </c>
      <c r="AF399" s="58">
        <f>AE399-(AE399*((VLOOKUP(A399,[1]Plan!A$1:AK$804,37,FALSE)/100)))</f>
        <v>0</v>
      </c>
      <c r="AG399" s="58">
        <f>IF(Z399,O399*'[1]ETC Data'!$H$4*'[1]ETC Data'!$L$4,0)</f>
        <v>0</v>
      </c>
      <c r="AH399" s="58">
        <f>AG399-(AG399*((VLOOKUP(A399,[1]Plan!A$1:AP$804,42,FALSE)/100)))</f>
        <v>0</v>
      </c>
      <c r="AI399" s="60"/>
      <c r="AJ399" s="60" t="b">
        <f>OR(H399="Y",K399="Y")</f>
        <v>0</v>
      </c>
      <c r="AK399" s="61">
        <f>IF(AJ399,O399*'[1]ETC Data'!$H$5*'[1]ETC Data'!$I$5,0)</f>
        <v>0</v>
      </c>
      <c r="AL399" s="58">
        <f>AK399-(AK399*((VLOOKUP(A399,[1]Plan!A$1:AY$804,51,FALSE)/100)))</f>
        <v>0</v>
      </c>
      <c r="AM399" s="58">
        <f>IF(AJ399,O399*'[1]ETC Data'!$H$5*'[1]ETC Data'!$J$5,0)</f>
        <v>0</v>
      </c>
      <c r="AN399" s="58">
        <f>AM399-(AM399*((VLOOKUP(A399,[1]Plan!A$1:BA$804,53,FALSE)/100)))</f>
        <v>0</v>
      </c>
      <c r="AO399" s="61">
        <f>IF(AJ399,O399*'[1]ETC Data'!$H$5*'[1]ETC Data'!$K$5,0)</f>
        <v>0</v>
      </c>
      <c r="AP399" s="58">
        <f>AO399-(AO399*((VLOOKUP(A399,[1]Plan!A$1:BB$804,54,FALSE)/100)))</f>
        <v>0</v>
      </c>
      <c r="AQ399" s="58">
        <f>IF(AJ399,O399*'[1]ETC Data'!$H$5*'[1]ETC Data'!$L$5,0)</f>
        <v>0</v>
      </c>
      <c r="AR399" s="58">
        <f>AQ399-(AQ399*((VLOOKUP(A399,[1]Plan!A$1:BD$804,56,FALSE)/100)))</f>
        <v>0</v>
      </c>
      <c r="AS399" s="20">
        <f>VLOOKUP(A399,'[1]PR Matrix'!A:B,2,FALSE)</f>
        <v>0</v>
      </c>
      <c r="AT399" s="21">
        <f>R399+T399+V399+X399+AB399+AD399+AF399+AH399+AL399+AN399+AP399+AR399</f>
        <v>0</v>
      </c>
      <c r="AU399" s="21">
        <f>Q399+S399+U399+W399+AA399+AC399+AE399+AG399+AK399+AM399+AO399+AQ399</f>
        <v>0</v>
      </c>
      <c r="AV399" s="21">
        <f>R399+AB399+AL399</f>
        <v>0</v>
      </c>
      <c r="AW399" s="21">
        <f>T399+AD399+AN399</f>
        <v>0</v>
      </c>
      <c r="AX399" s="21">
        <f>V399+AF399+AP399</f>
        <v>0</v>
      </c>
      <c r="AY399" s="21">
        <f>X399+AH399+AR399</f>
        <v>0</v>
      </c>
    </row>
    <row r="400" spans="1:51" hidden="1" x14ac:dyDescent="0.2">
      <c r="A400" s="50" t="s">
        <v>606</v>
      </c>
      <c r="B400" s="51" t="s">
        <v>208</v>
      </c>
      <c r="C400" s="51"/>
      <c r="D400" s="51"/>
      <c r="E400" s="52">
        <f>IF(G400="Y",VLOOKUP(B400&amp;"|"&amp;C400,'[1]ETC Data'!$C$2:$D$16,2,FALSE),0)</f>
        <v>0</v>
      </c>
      <c r="F400" s="52">
        <f>IF(D400="",0,IF(G400="Y",VLOOKUP(B400&amp;"|"&amp;D400,'[1]ETC Data'!$C$2:$D$16,2,FALSE),0))</f>
        <v>0</v>
      </c>
      <c r="G400" s="53" t="str">
        <f>IF(VLOOKUP(A400,[1]Plan!A$1:H$804,8,FALSE)&lt;&gt;"",VLOOKUP(A400,[1]Plan!A$1:H$804,8,FALSE),"")</f>
        <v>N</v>
      </c>
      <c r="H400" s="54" t="str">
        <f>IF(VLOOKUP(A400,[1]Plan!A$1:L$804,12,FALSE)&lt;&gt;"",VLOOKUP(A400,[1]Plan!A$1:L$804,12,FALSE),"")</f>
        <v/>
      </c>
      <c r="I400" s="55" t="str">
        <f>IF(VLOOKUP(A400,[1]Plan!A$1:M$804,13,FALSE)&lt;&gt;"",VLOOKUP(A400,[1]Plan!A$1:M$804,13,FALSE),"")</f>
        <v/>
      </c>
      <c r="J400" s="55" t="str">
        <f>IF(VLOOKUP(A400,[1]Plan!A$1:N$804,14,FALSE)&lt;&gt;"",VLOOKUP(A400,[1]Plan!A$1:N$804,14,FALSE),IF(VLOOKUP(A400,[1]Plan!A$1:O$804,15,FALSE)&lt;&gt;"",VLOOKUP(A400,[1]Plan!A$1:O$804,15,FALSE),""))</f>
        <v/>
      </c>
      <c r="K400" s="56" t="str">
        <f>IF(VLOOKUP(A400,[1]Plan!A$1:P$804,16,FALSE)&lt;&gt;"",VLOOKUP(A400,[1]Plan!A$1:P$804,16,FALSE),"")</f>
        <v/>
      </c>
      <c r="L400" s="55"/>
      <c r="M400" s="55"/>
      <c r="N400" s="55"/>
      <c r="O400" s="57">
        <f>IF(F400=0,E400,F400)</f>
        <v>0</v>
      </c>
      <c r="P400" s="57" t="b">
        <f>OR(H400="Y",I400="Y")</f>
        <v>0</v>
      </c>
      <c r="Q400" s="58">
        <f>IF(P400,O400*'[1]ETC Data'!$H$3*'[1]ETC Data'!$I$3,0)</f>
        <v>0</v>
      </c>
      <c r="R400" s="58">
        <f>Q400-(Q400*((VLOOKUP(A400,[1]Plan!A$1:Z$804,26,FALSE)/100)))</f>
        <v>0</v>
      </c>
      <c r="S400" s="58">
        <f>IF(P400,O400*'[1]ETC Data'!$H$3*'[1]ETC Data'!$J$3,0)</f>
        <v>0</v>
      </c>
      <c r="T400" s="58">
        <f>S400-(S400*((VLOOKUP(A400,[1]Plan!A$1:AA$804,27,FALSE)/100)))</f>
        <v>0</v>
      </c>
      <c r="U400" s="58">
        <f>IF(P400,O400*'[1]ETC Data'!$H$3*'[1]ETC Data'!$K$3,0)</f>
        <v>0</v>
      </c>
      <c r="V400" s="58">
        <f>U400-(U400*((VLOOKUP(A400,[1]Plan!A$1:AB$804,28,FALSE)/100)))</f>
        <v>0</v>
      </c>
      <c r="W400" s="58">
        <f>IF(P400,O400*'[1]ETC Data'!$H$3*'[1]ETC Data'!$L$3,0)</f>
        <v>0</v>
      </c>
      <c r="X400" s="58">
        <f>W400-(W400*((VLOOKUP(A400,[1]Plan!A$1:AC$804,29,FALSE)/100)))</f>
        <v>0</v>
      </c>
      <c r="Y400" s="59"/>
      <c r="Z400" s="60" t="b">
        <f>OR(H400="Y",J400="Y")</f>
        <v>0</v>
      </c>
      <c r="AA400" s="58">
        <f>IF(Z400,O400*'[1]ETC Data'!$H$4*'[1]ETC Data'!$I$4,0)</f>
        <v>0</v>
      </c>
      <c r="AB400" s="58">
        <f>AA400-(AA400*((VLOOKUP(A400,[1]Plan!A$1:AI$804,35,FALSE)/100)))</f>
        <v>0</v>
      </c>
      <c r="AC400" s="58">
        <f>IF(Z400,O400*'[1]ETC Data'!$H$4*'[1]ETC Data'!$J$4,0)</f>
        <v>0</v>
      </c>
      <c r="AD400" s="58">
        <f>AC400-(AC400*((VLOOKUP(A400,[1]Plan!A$1:AJ$804,36,FALSE)/100)))</f>
        <v>0</v>
      </c>
      <c r="AE400" s="58">
        <f>IF(Z400,O400*'[1]ETC Data'!$H$4*'[1]ETC Data'!$K$4,0)</f>
        <v>0</v>
      </c>
      <c r="AF400" s="58">
        <f>AE400-(AE400*((VLOOKUP(A400,[1]Plan!A$1:AK$804,37,FALSE)/100)))</f>
        <v>0</v>
      </c>
      <c r="AG400" s="58">
        <f>IF(Z400,O400*'[1]ETC Data'!$H$4*'[1]ETC Data'!$L$4,0)</f>
        <v>0</v>
      </c>
      <c r="AH400" s="58">
        <f>AG400-(AG400*((VLOOKUP(A400,[1]Plan!A$1:AP$804,42,FALSE)/100)))</f>
        <v>0</v>
      </c>
      <c r="AI400" s="60"/>
      <c r="AJ400" s="60" t="b">
        <f>OR(H400="Y",K400="Y")</f>
        <v>0</v>
      </c>
      <c r="AK400" s="61">
        <f>IF(AJ400,O400*'[1]ETC Data'!$H$5*'[1]ETC Data'!$I$5,0)</f>
        <v>0</v>
      </c>
      <c r="AL400" s="58">
        <f>AK400-(AK400*((VLOOKUP(A400,[1]Plan!A$1:AY$804,51,FALSE)/100)))</f>
        <v>0</v>
      </c>
      <c r="AM400" s="58">
        <f>IF(AJ400,O400*'[1]ETC Data'!$H$5*'[1]ETC Data'!$J$5,0)</f>
        <v>0</v>
      </c>
      <c r="AN400" s="58">
        <f>AM400-(AM400*((VLOOKUP(A400,[1]Plan!A$1:BA$804,53,FALSE)/100)))</f>
        <v>0</v>
      </c>
      <c r="AO400" s="61">
        <f>IF(AJ400,O400*'[1]ETC Data'!$H$5*'[1]ETC Data'!$K$5,0)</f>
        <v>0</v>
      </c>
      <c r="AP400" s="58">
        <f>AO400-(AO400*((VLOOKUP(A400,[1]Plan!A$1:BB$804,54,FALSE)/100)))</f>
        <v>0</v>
      </c>
      <c r="AQ400" s="58">
        <f>IF(AJ400,O400*'[1]ETC Data'!$H$5*'[1]ETC Data'!$L$5,0)</f>
        <v>0</v>
      </c>
      <c r="AR400" s="58">
        <f>AQ400-(AQ400*((VLOOKUP(A400,[1]Plan!A$1:BD$804,56,FALSE)/100)))</f>
        <v>0</v>
      </c>
      <c r="AS400" s="20">
        <f>VLOOKUP(A400,'[1]PR Matrix'!A:B,2,FALSE)</f>
        <v>0</v>
      </c>
      <c r="AT400" s="21">
        <f>R400+T400+V400+X400+AB400+AD400+AF400+AH400+AL400+AN400+AP400+AR400</f>
        <v>0</v>
      </c>
      <c r="AU400" s="21">
        <f>Q400+S400+U400+W400+AA400+AC400+AE400+AG400+AK400+AM400+AO400+AQ400</f>
        <v>0</v>
      </c>
      <c r="AV400" s="21">
        <f>R400+AB400+AL400</f>
        <v>0</v>
      </c>
      <c r="AW400" s="21">
        <f>T400+AD400+AN400</f>
        <v>0</v>
      </c>
      <c r="AX400" s="21">
        <f>V400+AF400+AP400</f>
        <v>0</v>
      </c>
      <c r="AY400" s="21">
        <f>X400+AH400+AR400</f>
        <v>0</v>
      </c>
    </row>
    <row r="401" spans="1:51" hidden="1" x14ac:dyDescent="0.2">
      <c r="A401" s="50" t="s">
        <v>607</v>
      </c>
      <c r="B401" s="51" t="s">
        <v>208</v>
      </c>
      <c r="C401" s="51"/>
      <c r="D401" s="51"/>
      <c r="E401" s="52">
        <f>IF(G401="Y",VLOOKUP(B401&amp;"|"&amp;C401,'[1]ETC Data'!$C$2:$D$16,2,FALSE),0)</f>
        <v>0</v>
      </c>
      <c r="F401" s="52">
        <f>IF(D401="",0,IF(G401="Y",VLOOKUP(B401&amp;"|"&amp;D401,'[1]ETC Data'!$C$2:$D$16,2,FALSE),0))</f>
        <v>0</v>
      </c>
      <c r="G401" s="53" t="str">
        <f>IF(VLOOKUP(A401,[1]Plan!A$1:H$804,8,FALSE)&lt;&gt;"",VLOOKUP(A401,[1]Plan!A$1:H$804,8,FALSE),"")</f>
        <v>N</v>
      </c>
      <c r="H401" s="54" t="str">
        <f>IF(VLOOKUP(A401,[1]Plan!A$1:L$804,12,FALSE)&lt;&gt;"",VLOOKUP(A401,[1]Plan!A$1:L$804,12,FALSE),"")</f>
        <v/>
      </c>
      <c r="I401" s="55" t="str">
        <f>IF(VLOOKUP(A401,[1]Plan!A$1:M$804,13,FALSE)&lt;&gt;"",VLOOKUP(A401,[1]Plan!A$1:M$804,13,FALSE),"")</f>
        <v/>
      </c>
      <c r="J401" s="55" t="str">
        <f>IF(VLOOKUP(A401,[1]Plan!A$1:N$804,14,FALSE)&lt;&gt;"",VLOOKUP(A401,[1]Plan!A$1:N$804,14,FALSE),IF(VLOOKUP(A401,[1]Plan!A$1:O$804,15,FALSE)&lt;&gt;"",VLOOKUP(A401,[1]Plan!A$1:O$804,15,FALSE),""))</f>
        <v/>
      </c>
      <c r="K401" s="56" t="str">
        <f>IF(VLOOKUP(A401,[1]Plan!A$1:P$804,16,FALSE)&lt;&gt;"",VLOOKUP(A401,[1]Plan!A$1:P$804,16,FALSE),"")</f>
        <v/>
      </c>
      <c r="L401" s="55"/>
      <c r="M401" s="55"/>
      <c r="N401" s="55"/>
      <c r="O401" s="57">
        <f>IF(F401=0,E401,F401)</f>
        <v>0</v>
      </c>
      <c r="P401" s="57" t="b">
        <f>OR(H401="Y",I401="Y")</f>
        <v>0</v>
      </c>
      <c r="Q401" s="58">
        <f>IF(P401,O401*'[1]ETC Data'!$H$3*'[1]ETC Data'!$I$3,0)</f>
        <v>0</v>
      </c>
      <c r="R401" s="58">
        <f>Q401-(Q401*((VLOOKUP(A401,[1]Plan!A$1:Z$804,26,FALSE)/100)))</f>
        <v>0</v>
      </c>
      <c r="S401" s="58">
        <f>IF(P401,O401*'[1]ETC Data'!$H$3*'[1]ETC Data'!$J$3,0)</f>
        <v>0</v>
      </c>
      <c r="T401" s="58">
        <f>S401-(S401*((VLOOKUP(A401,[1]Plan!A$1:AA$804,27,FALSE)/100)))</f>
        <v>0</v>
      </c>
      <c r="U401" s="58">
        <f>IF(P401,O401*'[1]ETC Data'!$H$3*'[1]ETC Data'!$K$3,0)</f>
        <v>0</v>
      </c>
      <c r="V401" s="58">
        <f>U401-(U401*((VLOOKUP(A401,[1]Plan!A$1:AB$804,28,FALSE)/100)))</f>
        <v>0</v>
      </c>
      <c r="W401" s="58">
        <f>IF(P401,O401*'[1]ETC Data'!$H$3*'[1]ETC Data'!$L$3,0)</f>
        <v>0</v>
      </c>
      <c r="X401" s="58">
        <f>W401-(W401*((VLOOKUP(A401,[1]Plan!A$1:AC$804,29,FALSE)/100)))</f>
        <v>0</v>
      </c>
      <c r="Y401" s="59"/>
      <c r="Z401" s="60" t="b">
        <f>OR(H401="Y",J401="Y")</f>
        <v>0</v>
      </c>
      <c r="AA401" s="58">
        <f>IF(Z401,O401*'[1]ETC Data'!$H$4*'[1]ETC Data'!$I$4,0)</f>
        <v>0</v>
      </c>
      <c r="AB401" s="58">
        <f>AA401-(AA401*((VLOOKUP(A401,[1]Plan!A$1:AI$804,35,FALSE)/100)))</f>
        <v>0</v>
      </c>
      <c r="AC401" s="58">
        <f>IF(Z401,O401*'[1]ETC Data'!$H$4*'[1]ETC Data'!$J$4,0)</f>
        <v>0</v>
      </c>
      <c r="AD401" s="58">
        <f>AC401-(AC401*((VLOOKUP(A401,[1]Plan!A$1:AJ$804,36,FALSE)/100)))</f>
        <v>0</v>
      </c>
      <c r="AE401" s="58">
        <f>IF(Z401,O401*'[1]ETC Data'!$H$4*'[1]ETC Data'!$K$4,0)</f>
        <v>0</v>
      </c>
      <c r="AF401" s="58">
        <f>AE401-(AE401*((VLOOKUP(A401,[1]Plan!A$1:AK$804,37,FALSE)/100)))</f>
        <v>0</v>
      </c>
      <c r="AG401" s="58">
        <f>IF(Z401,O401*'[1]ETC Data'!$H$4*'[1]ETC Data'!$L$4,0)</f>
        <v>0</v>
      </c>
      <c r="AH401" s="58">
        <f>AG401-(AG401*((VLOOKUP(A401,[1]Plan!A$1:AP$804,42,FALSE)/100)))</f>
        <v>0</v>
      </c>
      <c r="AI401" s="60"/>
      <c r="AJ401" s="60" t="b">
        <f>OR(H401="Y",K401="Y")</f>
        <v>0</v>
      </c>
      <c r="AK401" s="61">
        <f>IF(AJ401,O401*'[1]ETC Data'!$H$5*'[1]ETC Data'!$I$5,0)</f>
        <v>0</v>
      </c>
      <c r="AL401" s="58">
        <f>AK401-(AK401*((VLOOKUP(A401,[1]Plan!A$1:AY$804,51,FALSE)/100)))</f>
        <v>0</v>
      </c>
      <c r="AM401" s="58">
        <f>IF(AJ401,O401*'[1]ETC Data'!$H$5*'[1]ETC Data'!$J$5,0)</f>
        <v>0</v>
      </c>
      <c r="AN401" s="58">
        <f>AM401-(AM401*((VLOOKUP(A401,[1]Plan!A$1:BA$804,53,FALSE)/100)))</f>
        <v>0</v>
      </c>
      <c r="AO401" s="61">
        <f>IF(AJ401,O401*'[1]ETC Data'!$H$5*'[1]ETC Data'!$K$5,0)</f>
        <v>0</v>
      </c>
      <c r="AP401" s="58">
        <f>AO401-(AO401*((VLOOKUP(A401,[1]Plan!A$1:BB$804,54,FALSE)/100)))</f>
        <v>0</v>
      </c>
      <c r="AQ401" s="58">
        <f>IF(AJ401,O401*'[1]ETC Data'!$H$5*'[1]ETC Data'!$L$5,0)</f>
        <v>0</v>
      </c>
      <c r="AR401" s="58">
        <f>AQ401-(AQ401*((VLOOKUP(A401,[1]Plan!A$1:BD$804,56,FALSE)/100)))</f>
        <v>0</v>
      </c>
      <c r="AS401" s="20">
        <f>VLOOKUP(A401,'[1]PR Matrix'!A:B,2,FALSE)</f>
        <v>0</v>
      </c>
      <c r="AT401" s="21">
        <f>R401+T401+V401+X401+AB401+AD401+AF401+AH401+AL401+AN401+AP401+AR401</f>
        <v>0</v>
      </c>
      <c r="AU401" s="21">
        <f>Q401+S401+U401+W401+AA401+AC401+AE401+AG401+AK401+AM401+AO401+AQ401</f>
        <v>0</v>
      </c>
      <c r="AV401" s="21">
        <f>R401+AB401+AL401</f>
        <v>0</v>
      </c>
      <c r="AW401" s="21">
        <f>T401+AD401+AN401</f>
        <v>0</v>
      </c>
      <c r="AX401" s="21">
        <f>V401+AF401+AP401</f>
        <v>0</v>
      </c>
      <c r="AY401" s="21">
        <f>X401+AH401+AR401</f>
        <v>0</v>
      </c>
    </row>
    <row r="402" spans="1:51" x14ac:dyDescent="0.2">
      <c r="A402" s="50" t="s">
        <v>498</v>
      </c>
      <c r="B402" s="51" t="s">
        <v>208</v>
      </c>
      <c r="C402" s="51" t="s">
        <v>209</v>
      </c>
      <c r="D402" s="51"/>
      <c r="E402" s="63">
        <f>IF(G402="Y",VLOOKUP(B402&amp;"|"&amp;C402,'[1]ETC Data'!$C$2:$D$16,2,FALSE),0)</f>
        <v>48</v>
      </c>
      <c r="F402" s="63">
        <f>IF(D402="",0,IF(G402="Y",VLOOKUP(B402&amp;"|"&amp;D402,'[1]ETC Data'!$C$2:$D$16,2,FALSE),0))</f>
        <v>0</v>
      </c>
      <c r="G402" s="53" t="str">
        <f>IF(VLOOKUP(A402,[1]Plan!A$1:H$804,8,FALSE)&lt;&gt;"",VLOOKUP(A402,[1]Plan!A$1:H$804,8,FALSE),"")</f>
        <v>Y</v>
      </c>
      <c r="H402" s="54" t="str">
        <f>IF(VLOOKUP(A402,[1]Plan!A$1:L$804,12,FALSE)&lt;&gt;"",VLOOKUP(A402,[1]Plan!A$1:L$804,12,FALSE),"")</f>
        <v/>
      </c>
      <c r="I402" s="55" t="str">
        <f>IF(VLOOKUP(A402,[1]Plan!A$1:M$804,13,FALSE)&lt;&gt;"",VLOOKUP(A402,[1]Plan!A$1:M$804,13,FALSE),"")</f>
        <v>Y</v>
      </c>
      <c r="J402" s="55" t="str">
        <f>IF(VLOOKUP(A402,[1]Plan!A$1:N$804,14,FALSE)&lt;&gt;"",VLOOKUP(A402,[1]Plan!A$1:N$804,14,FALSE),IF(VLOOKUP(A402,[1]Plan!A$1:O$804,15,FALSE)&lt;&gt;"",VLOOKUP(A402,[1]Plan!A$1:O$804,15,FALSE),""))</f>
        <v>Y</v>
      </c>
      <c r="K402" s="56" t="str">
        <f>IF(VLOOKUP(A402,[1]Plan!A$1:P$804,16,FALSE)&lt;&gt;"",VLOOKUP(A402,[1]Plan!A$1:P$804,16,FALSE),"")</f>
        <v>Y</v>
      </c>
      <c r="L402" s="55"/>
      <c r="M402" s="55"/>
      <c r="N402" s="55"/>
      <c r="O402" s="57">
        <f>IF(F402=0,E402,F402)</f>
        <v>48</v>
      </c>
      <c r="P402" s="57" t="b">
        <f>OR(H402="Y",I402="Y")</f>
        <v>1</v>
      </c>
      <c r="Q402" s="58">
        <f>IF(P402,O402*'[1]ETC Data'!$H$3*'[1]ETC Data'!$I$3,0)</f>
        <v>9.4634070744240617</v>
      </c>
      <c r="R402" s="58">
        <f>Q402-(Q402*((VLOOKUP(A402,[1]Plan!A$1:Z$804,26,FALSE)/100)))</f>
        <v>0</v>
      </c>
      <c r="S402" s="58">
        <f>IF(P402,O402*'[1]ETC Data'!$H$3*'[1]ETC Data'!$J$3,0)</f>
        <v>2.2712176978617746</v>
      </c>
      <c r="T402" s="58">
        <f>S402-(S402*((VLOOKUP(A402,[1]Plan!A$1:AA$804,27,FALSE)/100)))</f>
        <v>0</v>
      </c>
      <c r="U402" s="58">
        <f>IF(P402,O402*'[1]ETC Data'!$H$3*'[1]ETC Data'!$K$3,0)</f>
        <v>0.63089380496160408</v>
      </c>
      <c r="V402" s="58">
        <f>U402-(U402*((VLOOKUP(A402,[1]Plan!A$1:AB$804,28,FALSE)/100)))</f>
        <v>0</v>
      </c>
      <c r="W402" s="58">
        <f>IF(P402,O402*'[1]ETC Data'!$H$3*'[1]ETC Data'!$L$3,0)</f>
        <v>0.25235752198464162</v>
      </c>
      <c r="X402" s="58">
        <f>W402-(W402*((VLOOKUP(A402,[1]Plan!A$1:AC$804,29,FALSE)/100)))</f>
        <v>0</v>
      </c>
      <c r="Y402" s="59"/>
      <c r="Z402" s="60" t="b">
        <f>OR(H402="Y",J402="Y")</f>
        <v>1</v>
      </c>
      <c r="AA402" s="58">
        <f>IF(Z402,O402*'[1]ETC Data'!$H$4*'[1]ETC Data'!$I$4,0)</f>
        <v>11.712596294967767</v>
      </c>
      <c r="AB402" s="58">
        <f>AA402-(AA402*((VLOOKUP(A402,[1]Plan!A$1:AI$804,35,FALSE)/100)))</f>
        <v>0</v>
      </c>
      <c r="AC402" s="58">
        <f>IF(Z402,O402*'[1]ETC Data'!$H$4*'[1]ETC Data'!$J$4,0)</f>
        <v>5.8562981474838836</v>
      </c>
      <c r="AD402" s="58">
        <f>AC402-(AC402*((VLOOKUP(A402,[1]Plan!A$1:AJ$804,36,FALSE)/100)))</f>
        <v>0</v>
      </c>
      <c r="AE402" s="58">
        <f>IF(Z402,O402*'[1]ETC Data'!$H$4*'[1]ETC Data'!$K$4,0)</f>
        <v>4.2165346661883962</v>
      </c>
      <c r="AF402" s="58">
        <f>AE402-(AE402*((VLOOKUP(A402,[1]Plan!A$1:AK$804,37,FALSE)/100)))</f>
        <v>0</v>
      </c>
      <c r="AG402" s="58">
        <f>IF(Z402,O402*'[1]ETC Data'!$H$4*'[1]ETC Data'!$L$4,0)</f>
        <v>1.6397634812954875</v>
      </c>
      <c r="AH402" s="58">
        <f>AG402-(AG402*((VLOOKUP(A402,[1]Plan!A$1:AP$804,42,FALSE)/100)))</f>
        <v>0</v>
      </c>
      <c r="AI402" s="60"/>
      <c r="AJ402" s="60" t="b">
        <f>OR(H402="Y",K402="Y")</f>
        <v>1</v>
      </c>
      <c r="AK402" s="61">
        <f>IF(AJ402,O402*'[1]ETC Data'!$H$5*'[1]ETC Data'!$I$5,0)</f>
        <v>5.9784656554161915</v>
      </c>
      <c r="AL402" s="58">
        <f>AK402-(AK402*((VLOOKUP(A402,[1]Plan!A$1:AY$804,51,FALSE)/100)))</f>
        <v>0</v>
      </c>
      <c r="AM402" s="58">
        <f>IF(AJ402,O402*'[1]ETC Data'!$H$5*'[1]ETC Data'!$J$5,0)</f>
        <v>2.9892328277080957</v>
      </c>
      <c r="AN402" s="58">
        <f>AM402-(AM402*((VLOOKUP(A402,[1]Plan!A$1:BA$804,53,FALSE)/100)))</f>
        <v>0</v>
      </c>
      <c r="AO402" s="61">
        <f>IF(AJ402,O402*'[1]ETC Data'!$H$5*'[1]ETC Data'!$K$5,0)</f>
        <v>2.1522476359498288</v>
      </c>
      <c r="AP402" s="58">
        <f>AO402-(AO402*((VLOOKUP(A402,[1]Plan!A$1:BB$804,54,FALSE)/100)))</f>
        <v>0</v>
      </c>
      <c r="AQ402" s="58">
        <f>IF(AJ402,O402*'[1]ETC Data'!$H$5*'[1]ETC Data'!$L$5,0)</f>
        <v>0.83698519175826691</v>
      </c>
      <c r="AR402" s="58">
        <f>AQ402-(AQ402*((VLOOKUP(A402,[1]Plan!A$1:BD$804,56,FALSE)/100)))</f>
        <v>0</v>
      </c>
      <c r="AS402" s="20">
        <f>VLOOKUP(A402,'[1]PR Matrix'!A:B,2,FALSE)</f>
        <v>6207</v>
      </c>
      <c r="AT402" s="21">
        <f>R402+T402+V402+X402+AB402+AD402+AF402+AH402+AL402+AN402+AP402+AR402</f>
        <v>0</v>
      </c>
      <c r="AU402" s="21">
        <f>Q402+S402+U402+W402+AA402+AC402+AE402+AG402+AK402+AM402+AO402+AQ402</f>
        <v>48</v>
      </c>
      <c r="AV402" s="21">
        <f>R402+AB402+AL402</f>
        <v>0</v>
      </c>
      <c r="AW402" s="21">
        <f>T402+AD402+AN402</f>
        <v>0</v>
      </c>
      <c r="AX402" s="21">
        <f>V402+AF402+AP402</f>
        <v>0</v>
      </c>
      <c r="AY402" s="21">
        <f>X402+AH402+AR402</f>
        <v>0</v>
      </c>
    </row>
    <row r="403" spans="1:51" hidden="1" x14ac:dyDescent="0.2">
      <c r="A403" s="50" t="s">
        <v>609</v>
      </c>
      <c r="B403" s="51" t="s">
        <v>208</v>
      </c>
      <c r="C403" s="51"/>
      <c r="D403" s="51"/>
      <c r="E403" s="52">
        <f>IF(G403="Y",VLOOKUP(B403&amp;"|"&amp;C403,'[1]ETC Data'!$C$2:$D$16,2,FALSE),0)</f>
        <v>0</v>
      </c>
      <c r="F403" s="52">
        <f>IF(D403="",0,IF(G403="Y",VLOOKUP(B403&amp;"|"&amp;D403,'[1]ETC Data'!$C$2:$D$16,2,FALSE),0))</f>
        <v>0</v>
      </c>
      <c r="G403" s="53" t="str">
        <f>IF(VLOOKUP(A403,[1]Plan!A$1:H$804,8,FALSE)&lt;&gt;"",VLOOKUP(A403,[1]Plan!A$1:H$804,8,FALSE),"")</f>
        <v>N</v>
      </c>
      <c r="H403" s="54" t="str">
        <f>IF(VLOOKUP(A403,[1]Plan!A$1:L$804,12,FALSE)&lt;&gt;"",VLOOKUP(A403,[1]Plan!A$1:L$804,12,FALSE),"")</f>
        <v/>
      </c>
      <c r="I403" s="55" t="str">
        <f>IF(VLOOKUP(A403,[1]Plan!A$1:M$804,13,FALSE)&lt;&gt;"",VLOOKUP(A403,[1]Plan!A$1:M$804,13,FALSE),"")</f>
        <v/>
      </c>
      <c r="J403" s="55" t="str">
        <f>IF(VLOOKUP(A403,[1]Plan!A$1:N$804,14,FALSE)&lt;&gt;"",VLOOKUP(A403,[1]Plan!A$1:N$804,14,FALSE),IF(VLOOKUP(A403,[1]Plan!A$1:O$804,15,FALSE)&lt;&gt;"",VLOOKUP(A403,[1]Plan!A$1:O$804,15,FALSE),""))</f>
        <v/>
      </c>
      <c r="K403" s="56" t="str">
        <f>IF(VLOOKUP(A403,[1]Plan!A$1:P$804,16,FALSE)&lt;&gt;"",VLOOKUP(A403,[1]Plan!A$1:P$804,16,FALSE),"")</f>
        <v/>
      </c>
      <c r="L403" s="55"/>
      <c r="M403" s="55"/>
      <c r="N403" s="55"/>
      <c r="O403" s="57">
        <f>IF(F403=0,E403,F403)</f>
        <v>0</v>
      </c>
      <c r="P403" s="57" t="b">
        <f>OR(H403="Y",I403="Y")</f>
        <v>0</v>
      </c>
      <c r="Q403" s="58">
        <f>IF(P403,O403*'[1]ETC Data'!$H$3*'[1]ETC Data'!$I$3,0)</f>
        <v>0</v>
      </c>
      <c r="R403" s="58">
        <f>Q403-(Q403*((VLOOKUP(A403,[1]Plan!A$1:Z$804,26,FALSE)/100)))</f>
        <v>0</v>
      </c>
      <c r="S403" s="58">
        <f>IF(P403,O403*'[1]ETC Data'!$H$3*'[1]ETC Data'!$J$3,0)</f>
        <v>0</v>
      </c>
      <c r="T403" s="58">
        <f>S403-(S403*((VLOOKUP(A403,[1]Plan!A$1:AA$804,27,FALSE)/100)))</f>
        <v>0</v>
      </c>
      <c r="U403" s="58">
        <f>IF(P403,O403*'[1]ETC Data'!$H$3*'[1]ETC Data'!$K$3,0)</f>
        <v>0</v>
      </c>
      <c r="V403" s="58">
        <f>U403-(U403*((VLOOKUP(A403,[1]Plan!A$1:AB$804,28,FALSE)/100)))</f>
        <v>0</v>
      </c>
      <c r="W403" s="58">
        <f>IF(P403,O403*'[1]ETC Data'!$H$3*'[1]ETC Data'!$L$3,0)</f>
        <v>0</v>
      </c>
      <c r="X403" s="58">
        <f>W403-(W403*((VLOOKUP(A403,[1]Plan!A$1:AC$804,29,FALSE)/100)))</f>
        <v>0</v>
      </c>
      <c r="Y403" s="59"/>
      <c r="Z403" s="60" t="b">
        <f>OR(H403="Y",J403="Y")</f>
        <v>0</v>
      </c>
      <c r="AA403" s="58">
        <f>IF(Z403,O403*'[1]ETC Data'!$H$4*'[1]ETC Data'!$I$4,0)</f>
        <v>0</v>
      </c>
      <c r="AB403" s="58">
        <f>AA403-(AA403*((VLOOKUP(A403,[1]Plan!A$1:AI$804,35,FALSE)/100)))</f>
        <v>0</v>
      </c>
      <c r="AC403" s="58">
        <f>IF(Z403,O403*'[1]ETC Data'!$H$4*'[1]ETC Data'!$J$4,0)</f>
        <v>0</v>
      </c>
      <c r="AD403" s="58">
        <f>AC403-(AC403*((VLOOKUP(A403,[1]Plan!A$1:AJ$804,36,FALSE)/100)))</f>
        <v>0</v>
      </c>
      <c r="AE403" s="58">
        <f>IF(Z403,O403*'[1]ETC Data'!$H$4*'[1]ETC Data'!$K$4,0)</f>
        <v>0</v>
      </c>
      <c r="AF403" s="58">
        <f>AE403-(AE403*((VLOOKUP(A403,[1]Plan!A$1:AK$804,37,FALSE)/100)))</f>
        <v>0</v>
      </c>
      <c r="AG403" s="58">
        <f>IF(Z403,O403*'[1]ETC Data'!$H$4*'[1]ETC Data'!$L$4,0)</f>
        <v>0</v>
      </c>
      <c r="AH403" s="58">
        <f>AG403-(AG403*((VLOOKUP(A403,[1]Plan!A$1:AP$804,42,FALSE)/100)))</f>
        <v>0</v>
      </c>
      <c r="AI403" s="60"/>
      <c r="AJ403" s="60" t="b">
        <f>OR(H403="Y",K403="Y")</f>
        <v>0</v>
      </c>
      <c r="AK403" s="61">
        <f>IF(AJ403,O403*'[1]ETC Data'!$H$5*'[1]ETC Data'!$I$5,0)</f>
        <v>0</v>
      </c>
      <c r="AL403" s="58">
        <f>AK403-(AK403*((VLOOKUP(A403,[1]Plan!A$1:AY$804,51,FALSE)/100)))</f>
        <v>0</v>
      </c>
      <c r="AM403" s="58">
        <f>IF(AJ403,O403*'[1]ETC Data'!$H$5*'[1]ETC Data'!$J$5,0)</f>
        <v>0</v>
      </c>
      <c r="AN403" s="58">
        <f>AM403-(AM403*((VLOOKUP(A403,[1]Plan!A$1:BA$804,53,FALSE)/100)))</f>
        <v>0</v>
      </c>
      <c r="AO403" s="61">
        <f>IF(AJ403,O403*'[1]ETC Data'!$H$5*'[1]ETC Data'!$K$5,0)</f>
        <v>0</v>
      </c>
      <c r="AP403" s="58">
        <f>AO403-(AO403*((VLOOKUP(A403,[1]Plan!A$1:BB$804,54,FALSE)/100)))</f>
        <v>0</v>
      </c>
      <c r="AQ403" s="58">
        <f>IF(AJ403,O403*'[1]ETC Data'!$H$5*'[1]ETC Data'!$L$5,0)</f>
        <v>0</v>
      </c>
      <c r="AR403" s="58">
        <f>AQ403-(AQ403*((VLOOKUP(A403,[1]Plan!A$1:BD$804,56,FALSE)/100)))</f>
        <v>0</v>
      </c>
      <c r="AS403" s="20">
        <f>VLOOKUP(A403,'[1]PR Matrix'!A:B,2,FALSE)</f>
        <v>0</v>
      </c>
      <c r="AT403" s="21">
        <f>R403+T403+V403+X403+AB403+AD403+AF403+AH403+AL403+AN403+AP403+AR403</f>
        <v>0</v>
      </c>
      <c r="AU403" s="21">
        <f>Q403+S403+U403+W403+AA403+AC403+AE403+AG403+AK403+AM403+AO403+AQ403</f>
        <v>0</v>
      </c>
      <c r="AV403" s="21">
        <f>R403+AB403+AL403</f>
        <v>0</v>
      </c>
      <c r="AW403" s="21">
        <f>T403+AD403+AN403</f>
        <v>0</v>
      </c>
      <c r="AX403" s="21">
        <f>V403+AF403+AP403</f>
        <v>0</v>
      </c>
      <c r="AY403" s="21">
        <f>X403+AH403+AR403</f>
        <v>0</v>
      </c>
    </row>
    <row r="404" spans="1:51" hidden="1" x14ac:dyDescent="0.2">
      <c r="A404" s="50" t="s">
        <v>610</v>
      </c>
      <c r="B404" s="51" t="s">
        <v>208</v>
      </c>
      <c r="C404" s="51"/>
      <c r="D404" s="51"/>
      <c r="E404" s="52">
        <f>IF(G404="Y",VLOOKUP(B404&amp;"|"&amp;C404,'[1]ETC Data'!$C$2:$D$16,2,FALSE),0)</f>
        <v>0</v>
      </c>
      <c r="F404" s="52">
        <f>IF(D404="",0,IF(G404="Y",VLOOKUP(B404&amp;"|"&amp;D404,'[1]ETC Data'!$C$2:$D$16,2,FALSE),0))</f>
        <v>0</v>
      </c>
      <c r="G404" s="53" t="str">
        <f>IF(VLOOKUP(A404,[1]Plan!A$1:H$804,8,FALSE)&lt;&gt;"",VLOOKUP(A404,[1]Plan!A$1:H$804,8,FALSE),"")</f>
        <v>N</v>
      </c>
      <c r="H404" s="54" t="str">
        <f>IF(VLOOKUP(A404,[1]Plan!A$1:L$804,12,FALSE)&lt;&gt;"",VLOOKUP(A404,[1]Plan!A$1:L$804,12,FALSE),"")</f>
        <v/>
      </c>
      <c r="I404" s="55" t="str">
        <f>IF(VLOOKUP(A404,[1]Plan!A$1:M$804,13,FALSE)&lt;&gt;"",VLOOKUP(A404,[1]Plan!A$1:M$804,13,FALSE),"")</f>
        <v/>
      </c>
      <c r="J404" s="55" t="str">
        <f>IF(VLOOKUP(A404,[1]Plan!A$1:N$804,14,FALSE)&lt;&gt;"",VLOOKUP(A404,[1]Plan!A$1:N$804,14,FALSE),IF(VLOOKUP(A404,[1]Plan!A$1:O$804,15,FALSE)&lt;&gt;"",VLOOKUP(A404,[1]Plan!A$1:O$804,15,FALSE),""))</f>
        <v/>
      </c>
      <c r="K404" s="56" t="str">
        <f>IF(VLOOKUP(A404,[1]Plan!A$1:P$804,16,FALSE)&lt;&gt;"",VLOOKUP(A404,[1]Plan!A$1:P$804,16,FALSE),"")</f>
        <v/>
      </c>
      <c r="L404" s="55"/>
      <c r="M404" s="55"/>
      <c r="N404" s="55"/>
      <c r="O404" s="57">
        <f>IF(F404=0,E404,F404)</f>
        <v>0</v>
      </c>
      <c r="P404" s="57" t="b">
        <f>OR(H404="Y",I404="Y")</f>
        <v>0</v>
      </c>
      <c r="Q404" s="58">
        <f>IF(P404,O404*'[1]ETC Data'!$H$3*'[1]ETC Data'!$I$3,0)</f>
        <v>0</v>
      </c>
      <c r="R404" s="58">
        <f>Q404-(Q404*((VLOOKUP(A404,[1]Plan!A$1:Z$804,26,FALSE)/100)))</f>
        <v>0</v>
      </c>
      <c r="S404" s="58">
        <f>IF(P404,O404*'[1]ETC Data'!$H$3*'[1]ETC Data'!$J$3,0)</f>
        <v>0</v>
      </c>
      <c r="T404" s="58">
        <f>S404-(S404*((VLOOKUP(A404,[1]Plan!A$1:AA$804,27,FALSE)/100)))</f>
        <v>0</v>
      </c>
      <c r="U404" s="58">
        <f>IF(P404,O404*'[1]ETC Data'!$H$3*'[1]ETC Data'!$K$3,0)</f>
        <v>0</v>
      </c>
      <c r="V404" s="58">
        <f>U404-(U404*((VLOOKUP(A404,[1]Plan!A$1:AB$804,28,FALSE)/100)))</f>
        <v>0</v>
      </c>
      <c r="W404" s="58">
        <f>IF(P404,O404*'[1]ETC Data'!$H$3*'[1]ETC Data'!$L$3,0)</f>
        <v>0</v>
      </c>
      <c r="X404" s="58">
        <f>W404-(W404*((VLOOKUP(A404,[1]Plan!A$1:AC$804,29,FALSE)/100)))</f>
        <v>0</v>
      </c>
      <c r="Y404" s="59"/>
      <c r="Z404" s="60" t="b">
        <f>OR(H404="Y",J404="Y")</f>
        <v>0</v>
      </c>
      <c r="AA404" s="58">
        <f>IF(Z404,O404*'[1]ETC Data'!$H$4*'[1]ETC Data'!$I$4,0)</f>
        <v>0</v>
      </c>
      <c r="AB404" s="58">
        <f>AA404-(AA404*((VLOOKUP(A404,[1]Plan!A$1:AI$804,35,FALSE)/100)))</f>
        <v>0</v>
      </c>
      <c r="AC404" s="58">
        <f>IF(Z404,O404*'[1]ETC Data'!$H$4*'[1]ETC Data'!$J$4,0)</f>
        <v>0</v>
      </c>
      <c r="AD404" s="58">
        <f>AC404-(AC404*((VLOOKUP(A404,[1]Plan!A$1:AJ$804,36,FALSE)/100)))</f>
        <v>0</v>
      </c>
      <c r="AE404" s="58">
        <f>IF(Z404,O404*'[1]ETC Data'!$H$4*'[1]ETC Data'!$K$4,0)</f>
        <v>0</v>
      </c>
      <c r="AF404" s="58">
        <f>AE404-(AE404*((VLOOKUP(A404,[1]Plan!A$1:AK$804,37,FALSE)/100)))</f>
        <v>0</v>
      </c>
      <c r="AG404" s="58">
        <f>IF(Z404,O404*'[1]ETC Data'!$H$4*'[1]ETC Data'!$L$4,0)</f>
        <v>0</v>
      </c>
      <c r="AH404" s="58">
        <f>AG404-(AG404*((VLOOKUP(A404,[1]Plan!A$1:AP$804,42,FALSE)/100)))</f>
        <v>0</v>
      </c>
      <c r="AI404" s="60"/>
      <c r="AJ404" s="60" t="b">
        <f>OR(H404="Y",K404="Y")</f>
        <v>0</v>
      </c>
      <c r="AK404" s="61">
        <f>IF(AJ404,O404*'[1]ETC Data'!$H$5*'[1]ETC Data'!$I$5,0)</f>
        <v>0</v>
      </c>
      <c r="AL404" s="58">
        <f>AK404-(AK404*((VLOOKUP(A404,[1]Plan!A$1:AY$804,51,FALSE)/100)))</f>
        <v>0</v>
      </c>
      <c r="AM404" s="58">
        <f>IF(AJ404,O404*'[1]ETC Data'!$H$5*'[1]ETC Data'!$J$5,0)</f>
        <v>0</v>
      </c>
      <c r="AN404" s="58">
        <f>AM404-(AM404*((VLOOKUP(A404,[1]Plan!A$1:BA$804,53,FALSE)/100)))</f>
        <v>0</v>
      </c>
      <c r="AO404" s="61">
        <f>IF(AJ404,O404*'[1]ETC Data'!$H$5*'[1]ETC Data'!$K$5,0)</f>
        <v>0</v>
      </c>
      <c r="AP404" s="58">
        <f>AO404-(AO404*((VLOOKUP(A404,[1]Plan!A$1:BB$804,54,FALSE)/100)))</f>
        <v>0</v>
      </c>
      <c r="AQ404" s="58">
        <f>IF(AJ404,O404*'[1]ETC Data'!$H$5*'[1]ETC Data'!$L$5,0)</f>
        <v>0</v>
      </c>
      <c r="AR404" s="58">
        <f>AQ404-(AQ404*((VLOOKUP(A404,[1]Plan!A$1:BD$804,56,FALSE)/100)))</f>
        <v>0</v>
      </c>
      <c r="AS404" s="20">
        <f>VLOOKUP(A404,'[1]PR Matrix'!A:B,2,FALSE)</f>
        <v>0</v>
      </c>
      <c r="AT404" s="21">
        <f>R404+T404+V404+X404+AB404+AD404+AF404+AH404+AL404+AN404+AP404+AR404</f>
        <v>0</v>
      </c>
      <c r="AU404" s="21">
        <f>Q404+S404+U404+W404+AA404+AC404+AE404+AG404+AK404+AM404+AO404+AQ404</f>
        <v>0</v>
      </c>
      <c r="AV404" s="21">
        <f>R404+AB404+AL404</f>
        <v>0</v>
      </c>
      <c r="AW404" s="21">
        <f>T404+AD404+AN404</f>
        <v>0</v>
      </c>
      <c r="AX404" s="21">
        <f>V404+AF404+AP404</f>
        <v>0</v>
      </c>
      <c r="AY404" s="21">
        <f>X404+AH404+AR404</f>
        <v>0</v>
      </c>
    </row>
    <row r="405" spans="1:51" x14ac:dyDescent="0.2">
      <c r="A405" s="50" t="s">
        <v>499</v>
      </c>
      <c r="B405" s="51" t="s">
        <v>208</v>
      </c>
      <c r="C405" s="51" t="s">
        <v>208</v>
      </c>
      <c r="D405" s="51"/>
      <c r="E405" s="63">
        <f>IF(G405="Y",VLOOKUP(B405&amp;"|"&amp;C405,'[1]ETC Data'!$C$2:$D$16,2,FALSE),0)</f>
        <v>104</v>
      </c>
      <c r="F405" s="63">
        <f>IF(D405="",0,IF(G405="Y",VLOOKUP(B405&amp;"|"&amp;D405,'[1]ETC Data'!$C$2:$D$16,2,FALSE),0))</f>
        <v>0</v>
      </c>
      <c r="G405" s="53" t="str">
        <f>IF(VLOOKUP(A405,[1]Plan!A$1:H$804,8,FALSE)&lt;&gt;"",VLOOKUP(A405,[1]Plan!A$1:H$804,8,FALSE),"")</f>
        <v>Y</v>
      </c>
      <c r="H405" s="54" t="str">
        <f>IF(VLOOKUP(A405,[1]Plan!A$1:L$804,12,FALSE)&lt;&gt;"",VLOOKUP(A405,[1]Plan!A$1:L$804,12,FALSE),"")</f>
        <v/>
      </c>
      <c r="I405" s="55" t="str">
        <f>IF(VLOOKUP(A405,[1]Plan!A$1:M$804,13,FALSE)&lt;&gt;"",VLOOKUP(A405,[1]Plan!A$1:M$804,13,FALSE),"")</f>
        <v/>
      </c>
      <c r="J405" s="55" t="str">
        <f>IF(VLOOKUP(A405,[1]Plan!A$1:N$804,14,FALSE)&lt;&gt;"",VLOOKUP(A405,[1]Plan!A$1:N$804,14,FALSE),IF(VLOOKUP(A405,[1]Plan!A$1:O$804,15,FALSE)&lt;&gt;"",VLOOKUP(A405,[1]Plan!A$1:O$804,15,FALSE),""))</f>
        <v>Y</v>
      </c>
      <c r="K405" s="56" t="str">
        <f>IF(VLOOKUP(A405,[1]Plan!A$1:P$804,16,FALSE)&lt;&gt;"",VLOOKUP(A405,[1]Plan!A$1:P$804,16,FALSE),"")</f>
        <v/>
      </c>
      <c r="L405" s="55"/>
      <c r="M405" s="55"/>
      <c r="N405" s="55"/>
      <c r="O405" s="57">
        <f>IF(F405=0,E405,F405)</f>
        <v>104</v>
      </c>
      <c r="P405" s="57" t="b">
        <f>OR(H405="Y",I405="Y")</f>
        <v>0</v>
      </c>
      <c r="Q405" s="58">
        <f>IF(P405,O405*'[1]ETC Data'!$H$3*'[1]ETC Data'!$I$3,0)</f>
        <v>0</v>
      </c>
      <c r="R405" s="58">
        <f>Q405-(Q405*((VLOOKUP(A405,[1]Plan!A$1:Z$804,26,FALSE)/100)))</f>
        <v>0</v>
      </c>
      <c r="S405" s="58">
        <f>IF(P405,O405*'[1]ETC Data'!$H$3*'[1]ETC Data'!$J$3,0)</f>
        <v>0</v>
      </c>
      <c r="T405" s="58">
        <v>8</v>
      </c>
      <c r="U405" s="58">
        <f>IF(P405,O405*'[1]ETC Data'!$H$3*'[1]ETC Data'!$K$3,0)</f>
        <v>0</v>
      </c>
      <c r="V405" s="58">
        <f>U405-(U405*((VLOOKUP(A405,[1]Plan!A$1:AB$804,28,FALSE)/100)))</f>
        <v>0</v>
      </c>
      <c r="W405" s="58">
        <f>IF(P405,O405*'[1]ETC Data'!$H$3*'[1]ETC Data'!$L$3,0)</f>
        <v>0</v>
      </c>
      <c r="X405" s="58">
        <f>W405-(W405*((VLOOKUP(A405,[1]Plan!A$1:AC$804,29,FALSE)/100)))</f>
        <v>0</v>
      </c>
      <c r="Y405" s="59"/>
      <c r="Z405" s="60" t="b">
        <f>OR(H405="Y",J405="Y")</f>
        <v>1</v>
      </c>
      <c r="AA405" s="58">
        <f>IF(Z405,O405*'[1]ETC Data'!$H$4*'[1]ETC Data'!$I$4,0)</f>
        <v>25.377291972430161</v>
      </c>
      <c r="AB405" s="58">
        <f>AA405-(AA405*((VLOOKUP(A405,[1]Plan!A$1:AI$804,35,FALSE)/100)))</f>
        <v>25.377291972430161</v>
      </c>
      <c r="AC405" s="58">
        <f>IF(Z405,O405*'[1]ETC Data'!$H$4*'[1]ETC Data'!$J$4,0)</f>
        <v>12.68864598621508</v>
      </c>
      <c r="AD405" s="58">
        <f>AC405-(AC405*((VLOOKUP(A405,[1]Plan!A$1:AJ$804,36,FALSE)/100)))</f>
        <v>12.68864598621508</v>
      </c>
      <c r="AE405" s="58">
        <f>IF(Z405,O405*'[1]ETC Data'!$H$4*'[1]ETC Data'!$K$4,0)</f>
        <v>9.1358251100748582</v>
      </c>
      <c r="AF405" s="58">
        <f>AE405-(AE405*((VLOOKUP(A405,[1]Plan!A$1:AK$804,37,FALSE)/100)))</f>
        <v>9.1358251100748582</v>
      </c>
      <c r="AG405" s="58">
        <f>IF(Z405,O405*'[1]ETC Data'!$H$4*'[1]ETC Data'!$L$4,0)</f>
        <v>3.5528208761402227</v>
      </c>
      <c r="AH405" s="58">
        <f>AG405-(AG405*((VLOOKUP(A405,[1]Plan!A$1:AP$804,42,FALSE)/100)))</f>
        <v>3.5528208761402227</v>
      </c>
      <c r="AI405" s="60"/>
      <c r="AJ405" s="60" t="b">
        <f>OR(H405="Y",K405="Y")</f>
        <v>0</v>
      </c>
      <c r="AK405" s="61">
        <f>IF(AJ405,O405*'[1]ETC Data'!$H$5*'[1]ETC Data'!$I$5,0)</f>
        <v>0</v>
      </c>
      <c r="AL405" s="58">
        <f>AK405-(AK405*((VLOOKUP(A405,[1]Plan!A$1:AY$804,51,FALSE)/100)))</f>
        <v>0</v>
      </c>
      <c r="AM405" s="58">
        <f>IF(AJ405,O405*'[1]ETC Data'!$H$5*'[1]ETC Data'!$J$5,0)</f>
        <v>0</v>
      </c>
      <c r="AN405" s="58">
        <v>9</v>
      </c>
      <c r="AO405" s="61">
        <f>IF(AJ405,O405*'[1]ETC Data'!$H$5*'[1]ETC Data'!$K$5,0)</f>
        <v>0</v>
      </c>
      <c r="AP405" s="58">
        <f>AO405-(AO405*((VLOOKUP(A405,[1]Plan!A$1:BB$804,54,FALSE)/100)))</f>
        <v>0</v>
      </c>
      <c r="AQ405" s="58">
        <f>IF(AJ405,O405*'[1]ETC Data'!$H$5*'[1]ETC Data'!$L$5,0)</f>
        <v>0</v>
      </c>
      <c r="AR405" s="58">
        <f>AQ405-(AQ405*((VLOOKUP(A405,[1]Plan!A$1:BD$804,56,FALSE)/100)))</f>
        <v>0</v>
      </c>
      <c r="AS405" s="20">
        <f>VLOOKUP(A405,'[1]PR Matrix'!A:B,2,FALSE)</f>
        <v>6230</v>
      </c>
      <c r="AT405" s="21">
        <f>R405+T405+V405+X405+AB405+AD405+AF405+AH405+AL405+AN405+AP405+AR405</f>
        <v>67.754583944860315</v>
      </c>
      <c r="AU405" s="21">
        <f>Q405+S405+U405+W405+AA405+AC405+AE405+AG405+AK405+AM405+AO405+AQ405</f>
        <v>50.754583944860322</v>
      </c>
      <c r="AV405" s="21">
        <f>R405+AB405+AL405</f>
        <v>25.377291972430161</v>
      </c>
      <c r="AW405" s="21">
        <f>T405+AD405+AN405</f>
        <v>29.688645986215079</v>
      </c>
      <c r="AX405" s="21">
        <f>V405+AF405+AP405</f>
        <v>9.1358251100748582</v>
      </c>
      <c r="AY405" s="21">
        <f>X405+AH405+AR405</f>
        <v>3.5528208761402227</v>
      </c>
    </row>
    <row r="406" spans="1:51" hidden="1" x14ac:dyDescent="0.2">
      <c r="A406" s="50" t="s">
        <v>612</v>
      </c>
      <c r="B406" s="51" t="s">
        <v>208</v>
      </c>
      <c r="C406" s="51"/>
      <c r="D406" s="51"/>
      <c r="E406" s="52">
        <f>IF(G406="Y",VLOOKUP(B406&amp;"|"&amp;C406,'[1]ETC Data'!$C$2:$D$16,2,FALSE),0)</f>
        <v>0</v>
      </c>
      <c r="F406" s="52">
        <f>IF(D406="",0,IF(G406="Y",VLOOKUP(B406&amp;"|"&amp;D406,'[1]ETC Data'!$C$2:$D$16,2,FALSE),0))</f>
        <v>0</v>
      </c>
      <c r="G406" s="53" t="str">
        <f>IF(VLOOKUP(A406,[1]Plan!A$1:H$804,8,FALSE)&lt;&gt;"",VLOOKUP(A406,[1]Plan!A$1:H$804,8,FALSE),"")</f>
        <v>N</v>
      </c>
      <c r="H406" s="54" t="str">
        <f>IF(VLOOKUP(A406,[1]Plan!A$1:L$804,12,FALSE)&lt;&gt;"",VLOOKUP(A406,[1]Plan!A$1:L$804,12,FALSE),"")</f>
        <v/>
      </c>
      <c r="I406" s="55" t="str">
        <f>IF(VLOOKUP(A406,[1]Plan!A$1:M$804,13,FALSE)&lt;&gt;"",VLOOKUP(A406,[1]Plan!A$1:M$804,13,FALSE),"")</f>
        <v/>
      </c>
      <c r="J406" s="55" t="str">
        <f>IF(VLOOKUP(A406,[1]Plan!A$1:N$804,14,FALSE)&lt;&gt;"",VLOOKUP(A406,[1]Plan!A$1:N$804,14,FALSE),IF(VLOOKUP(A406,[1]Plan!A$1:O$804,15,FALSE)&lt;&gt;"",VLOOKUP(A406,[1]Plan!A$1:O$804,15,FALSE),""))</f>
        <v/>
      </c>
      <c r="K406" s="56" t="str">
        <f>IF(VLOOKUP(A406,[1]Plan!A$1:P$804,16,FALSE)&lt;&gt;"",VLOOKUP(A406,[1]Plan!A$1:P$804,16,FALSE),"")</f>
        <v/>
      </c>
      <c r="L406" s="55"/>
      <c r="M406" s="55"/>
      <c r="N406" s="55"/>
      <c r="O406" s="57">
        <f>IF(F406=0,E406,F406)</f>
        <v>0</v>
      </c>
      <c r="P406" s="57" t="b">
        <f>OR(H406="Y",I406="Y")</f>
        <v>0</v>
      </c>
      <c r="Q406" s="58">
        <f>IF(P406,O406*'[1]ETC Data'!$H$3*'[1]ETC Data'!$I$3,0)</f>
        <v>0</v>
      </c>
      <c r="R406" s="58">
        <f>Q406-(Q406*((VLOOKUP(A406,[1]Plan!A$1:Z$804,26,FALSE)/100)))</f>
        <v>0</v>
      </c>
      <c r="S406" s="58">
        <f>IF(P406,O406*'[1]ETC Data'!$H$3*'[1]ETC Data'!$J$3,0)</f>
        <v>0</v>
      </c>
      <c r="T406" s="58">
        <f>S406-(S406*((VLOOKUP(A406,[1]Plan!A$1:AA$804,27,FALSE)/100)))</f>
        <v>0</v>
      </c>
      <c r="U406" s="58">
        <f>IF(P406,O406*'[1]ETC Data'!$H$3*'[1]ETC Data'!$K$3,0)</f>
        <v>0</v>
      </c>
      <c r="V406" s="58">
        <f>U406-(U406*((VLOOKUP(A406,[1]Plan!A$1:AB$804,28,FALSE)/100)))</f>
        <v>0</v>
      </c>
      <c r="W406" s="58">
        <f>IF(P406,O406*'[1]ETC Data'!$H$3*'[1]ETC Data'!$L$3,0)</f>
        <v>0</v>
      </c>
      <c r="X406" s="58">
        <f>W406-(W406*((VLOOKUP(A406,[1]Plan!A$1:AC$804,29,FALSE)/100)))</f>
        <v>0</v>
      </c>
      <c r="Y406" s="59"/>
      <c r="Z406" s="60" t="b">
        <f>OR(H406="Y",J406="Y")</f>
        <v>0</v>
      </c>
      <c r="AA406" s="58">
        <f>IF(Z406,O406*'[1]ETC Data'!$H$4*'[1]ETC Data'!$I$4,0)</f>
        <v>0</v>
      </c>
      <c r="AB406" s="58">
        <f>AA406-(AA406*((VLOOKUP(A406,[1]Plan!A$1:AI$804,35,FALSE)/100)))</f>
        <v>0</v>
      </c>
      <c r="AC406" s="58">
        <f>IF(Z406,O406*'[1]ETC Data'!$H$4*'[1]ETC Data'!$J$4,0)</f>
        <v>0</v>
      </c>
      <c r="AD406" s="58">
        <f>AC406-(AC406*((VLOOKUP(A406,[1]Plan!A$1:AJ$804,36,FALSE)/100)))</f>
        <v>0</v>
      </c>
      <c r="AE406" s="58">
        <f>IF(Z406,O406*'[1]ETC Data'!$H$4*'[1]ETC Data'!$K$4,0)</f>
        <v>0</v>
      </c>
      <c r="AF406" s="58">
        <f>AE406-(AE406*((VLOOKUP(A406,[1]Plan!A$1:AK$804,37,FALSE)/100)))</f>
        <v>0</v>
      </c>
      <c r="AG406" s="58">
        <f>IF(Z406,O406*'[1]ETC Data'!$H$4*'[1]ETC Data'!$L$4,0)</f>
        <v>0</v>
      </c>
      <c r="AH406" s="58">
        <f>AG406-(AG406*((VLOOKUP(A406,[1]Plan!A$1:AP$804,42,FALSE)/100)))</f>
        <v>0</v>
      </c>
      <c r="AI406" s="60"/>
      <c r="AJ406" s="60" t="b">
        <f>OR(H406="Y",K406="Y")</f>
        <v>0</v>
      </c>
      <c r="AK406" s="61">
        <f>IF(AJ406,O406*'[1]ETC Data'!$H$5*'[1]ETC Data'!$I$5,0)</f>
        <v>0</v>
      </c>
      <c r="AL406" s="58">
        <f>AK406-(AK406*((VLOOKUP(A406,[1]Plan!A$1:AY$804,51,FALSE)/100)))</f>
        <v>0</v>
      </c>
      <c r="AM406" s="58">
        <f>IF(AJ406,O406*'[1]ETC Data'!$H$5*'[1]ETC Data'!$J$5,0)</f>
        <v>0</v>
      </c>
      <c r="AN406" s="58">
        <f>AM406-(AM406*((VLOOKUP(A406,[1]Plan!A$1:BA$804,53,FALSE)/100)))</f>
        <v>0</v>
      </c>
      <c r="AO406" s="61">
        <f>IF(AJ406,O406*'[1]ETC Data'!$H$5*'[1]ETC Data'!$K$5,0)</f>
        <v>0</v>
      </c>
      <c r="AP406" s="58">
        <f>AO406-(AO406*((VLOOKUP(A406,[1]Plan!A$1:BB$804,54,FALSE)/100)))</f>
        <v>0</v>
      </c>
      <c r="AQ406" s="58">
        <f>IF(AJ406,O406*'[1]ETC Data'!$H$5*'[1]ETC Data'!$L$5,0)</f>
        <v>0</v>
      </c>
      <c r="AR406" s="58">
        <f>AQ406-(AQ406*((VLOOKUP(A406,[1]Plan!A$1:BD$804,56,FALSE)/100)))</f>
        <v>0</v>
      </c>
      <c r="AS406" s="20">
        <f>VLOOKUP(A406,'[1]PR Matrix'!A:B,2,FALSE)</f>
        <v>0</v>
      </c>
      <c r="AT406" s="21">
        <f>R406+T406+V406+X406+AB406+AD406+AF406+AH406+AL406+AN406+AP406+AR406</f>
        <v>0</v>
      </c>
      <c r="AU406" s="21">
        <f>Q406+S406+U406+W406+AA406+AC406+AE406+AG406+AK406+AM406+AO406+AQ406</f>
        <v>0</v>
      </c>
      <c r="AV406" s="21">
        <f>R406+AB406+AL406</f>
        <v>0</v>
      </c>
      <c r="AW406" s="21">
        <f>T406+AD406+AN406</f>
        <v>0</v>
      </c>
      <c r="AX406" s="21">
        <f>V406+AF406+AP406</f>
        <v>0</v>
      </c>
      <c r="AY406" s="21">
        <f>X406+AH406+AR406</f>
        <v>0</v>
      </c>
    </row>
    <row r="407" spans="1:51" x14ac:dyDescent="0.2">
      <c r="A407" s="66" t="s">
        <v>513</v>
      </c>
      <c r="B407" s="51" t="s">
        <v>208</v>
      </c>
      <c r="C407" s="51"/>
      <c r="D407" s="51"/>
      <c r="E407" s="52" t="e">
        <f>IF(G407="Y",VLOOKUP(B407&amp;"|"&amp;C407,'[1]ETC Data'!$C$2:$D$16,2,FALSE),0)</f>
        <v>#N/A</v>
      </c>
      <c r="F407" s="52">
        <f>IF(D407="",0,IF(G407="Y",VLOOKUP(B407&amp;"|"&amp;D407,'[1]ETC Data'!$C$2:$D$16,2,FALSE),0))</f>
        <v>0</v>
      </c>
      <c r="G407" s="53" t="str">
        <f>IF(VLOOKUP(A407,[1]Plan!A$1:H$804,8,FALSE)&lt;&gt;"",VLOOKUP(A407,[1]Plan!A$1:H$804,8,FALSE),"")</f>
        <v>Y</v>
      </c>
      <c r="H407" s="54" t="str">
        <f>IF(VLOOKUP(A407,[1]Plan!A$1:L$804,12,FALSE)&lt;&gt;"",VLOOKUP(A407,[1]Plan!A$1:L$804,12,FALSE),"")</f>
        <v/>
      </c>
      <c r="I407" s="55" t="str">
        <f>IF(VLOOKUP(A407,[1]Plan!A$1:M$804,13,FALSE)&lt;&gt;"",VLOOKUP(A407,[1]Plan!A$1:M$804,13,FALSE),"")</f>
        <v/>
      </c>
      <c r="J407" s="55" t="str">
        <f>IF(VLOOKUP(A407,[1]Plan!A$1:N$804,14,FALSE)&lt;&gt;"",VLOOKUP(A407,[1]Plan!A$1:N$804,14,FALSE),IF(VLOOKUP(A407,[1]Plan!A$1:O$804,15,FALSE)&lt;&gt;"",VLOOKUP(A407,[1]Plan!A$1:O$804,15,FALSE),""))</f>
        <v>Y</v>
      </c>
      <c r="K407" s="56" t="str">
        <f>IF(VLOOKUP(A407,[1]Plan!A$1:P$804,16,FALSE)&lt;&gt;"",VLOOKUP(A407,[1]Plan!A$1:P$804,16,FALSE),"")</f>
        <v/>
      </c>
      <c r="L407" s="55"/>
      <c r="M407" s="55"/>
      <c r="N407" s="55"/>
      <c r="O407" s="57" t="e">
        <f>IF(F407=0,E407,F407)</f>
        <v>#N/A</v>
      </c>
      <c r="P407" s="57" t="b">
        <f>OR(H407="Y",I407="Y")</f>
        <v>0</v>
      </c>
      <c r="Q407" s="58">
        <f>IF(P407,O407*'[1]ETC Data'!$H$3*'[1]ETC Data'!$I$3,0)</f>
        <v>0</v>
      </c>
      <c r="R407" s="58">
        <f>Q407-(Q407*((VLOOKUP(A407,[1]Plan!A$1:Z$804,26,FALSE)/100)))</f>
        <v>0</v>
      </c>
      <c r="S407" s="58">
        <f>IF(P407,O407*'[1]ETC Data'!$H$3*'[1]ETC Data'!$J$3,0)</f>
        <v>0</v>
      </c>
      <c r="T407" s="58">
        <f>S407-(S407*((VLOOKUP(A407,[1]Plan!A$1:AA$804,27,FALSE)/100)))</f>
        <v>0</v>
      </c>
      <c r="U407" s="58">
        <f>IF(P407,O407*'[1]ETC Data'!$H$3*'[1]ETC Data'!$K$3,0)</f>
        <v>0</v>
      </c>
      <c r="V407" s="58">
        <f>U407-(U407*((VLOOKUP(A407,[1]Plan!A$1:AB$804,28,FALSE)/100)))</f>
        <v>0</v>
      </c>
      <c r="W407" s="58">
        <f>IF(P407,O407*'[1]ETC Data'!$H$3*'[1]ETC Data'!$L$3,0)</f>
        <v>0</v>
      </c>
      <c r="X407" s="58">
        <f>W407-(W407*((VLOOKUP(A407,[1]Plan!A$1:AC$804,29,FALSE)/100)))</f>
        <v>0</v>
      </c>
      <c r="Y407" s="59"/>
      <c r="Z407" s="60" t="b">
        <f>OR(H407="Y",J407="Y")</f>
        <v>1</v>
      </c>
      <c r="AA407" s="58" t="e">
        <f>IF(Z407,O407*'[1]ETC Data'!$H$4*'[1]ETC Data'!$I$4,0)</f>
        <v>#N/A</v>
      </c>
      <c r="AB407" s="58" t="e">
        <f>AA407-(AA407*((VLOOKUP(A407,[1]Plan!A$1:AI$804,35,FALSE)/100)))</f>
        <v>#N/A</v>
      </c>
      <c r="AC407" s="58" t="e">
        <f>IF(Z407,O407*'[1]ETC Data'!$H$4*'[1]ETC Data'!$J$4,0)</f>
        <v>#N/A</v>
      </c>
      <c r="AD407" s="58" t="e">
        <f>AC407-(AC407*((VLOOKUP(A407,[1]Plan!A$1:AJ$804,36,FALSE)/100)))</f>
        <v>#N/A</v>
      </c>
      <c r="AE407" s="58" t="e">
        <f>IF(Z407,O407*'[1]ETC Data'!$H$4*'[1]ETC Data'!$K$4,0)</f>
        <v>#N/A</v>
      </c>
      <c r="AF407" s="58" t="e">
        <f>AE407-(AE407*((VLOOKUP(A407,[1]Plan!A$1:AK$804,37,FALSE)/100)))</f>
        <v>#N/A</v>
      </c>
      <c r="AG407" s="58" t="e">
        <f>IF(Z407,O407*'[1]ETC Data'!$H$4*'[1]ETC Data'!$L$4,0)</f>
        <v>#N/A</v>
      </c>
      <c r="AH407" s="58" t="e">
        <f>AG407-(AG407*((VLOOKUP(A407,[1]Plan!A$1:AP$804,42,FALSE)/100)))</f>
        <v>#N/A</v>
      </c>
      <c r="AI407" s="60"/>
      <c r="AJ407" s="60" t="b">
        <f>OR(H407="Y",K407="Y")</f>
        <v>0</v>
      </c>
      <c r="AK407" s="61">
        <f>IF(AJ407,O407*'[1]ETC Data'!$H$5*'[1]ETC Data'!$I$5,0)</f>
        <v>0</v>
      </c>
      <c r="AL407" s="58">
        <f>AK407-(AK407*((VLOOKUP(A407,[1]Plan!A$1:AY$804,51,FALSE)/100)))</f>
        <v>0</v>
      </c>
      <c r="AM407" s="58">
        <f>IF(AJ407,O407*'[1]ETC Data'!$H$5*'[1]ETC Data'!$J$5,0)</f>
        <v>0</v>
      </c>
      <c r="AN407" s="58">
        <f>AM407-(AM407*((VLOOKUP(A407,[1]Plan!A$1:BA$804,53,FALSE)/100)))</f>
        <v>0</v>
      </c>
      <c r="AO407" s="61">
        <f>IF(AJ407,O407*'[1]ETC Data'!$H$5*'[1]ETC Data'!$K$5,0)</f>
        <v>0</v>
      </c>
      <c r="AP407" s="58">
        <f>AO407-(AO407*((VLOOKUP(A407,[1]Plan!A$1:BB$804,54,FALSE)/100)))</f>
        <v>0</v>
      </c>
      <c r="AQ407" s="58">
        <f>IF(AJ407,O407*'[1]ETC Data'!$H$5*'[1]ETC Data'!$L$5,0)</f>
        <v>0</v>
      </c>
      <c r="AR407" s="58">
        <f>AQ407-(AQ407*((VLOOKUP(A407,[1]Plan!A$1:BD$804,56,FALSE)/100)))</f>
        <v>0</v>
      </c>
      <c r="AS407" s="20">
        <f>VLOOKUP(A407,'[1]PR Matrix'!A:B,2,FALSE)</f>
        <v>6233</v>
      </c>
      <c r="AT407" s="21" t="e">
        <f>R407+T407+V407+X407+AB407+AD407+AF407+AH407+AL407+AN407+AP407+AR407</f>
        <v>#N/A</v>
      </c>
      <c r="AU407" s="21" t="e">
        <f>Q407+S407+U407+W407+AA407+AC407+AE407+AG407+AK407+AM407+AO407+AQ407</f>
        <v>#N/A</v>
      </c>
      <c r="AV407" s="21" t="e">
        <f>R407+AB407+AL407</f>
        <v>#N/A</v>
      </c>
      <c r="AW407" s="21" t="e">
        <f>T407+AD407+AN407</f>
        <v>#N/A</v>
      </c>
      <c r="AX407" s="21" t="e">
        <f>V407+AF407+AP407</f>
        <v>#N/A</v>
      </c>
      <c r="AY407" s="21" t="e">
        <f>X407+AH407+AR407</f>
        <v>#N/A</v>
      </c>
    </row>
    <row r="408" spans="1:51" hidden="1" x14ac:dyDescent="0.2">
      <c r="A408" s="50" t="s">
        <v>614</v>
      </c>
      <c r="B408" s="51" t="s">
        <v>208</v>
      </c>
      <c r="C408" s="51"/>
      <c r="D408" s="51"/>
      <c r="E408" s="52">
        <f>IF(G408="Y",VLOOKUP(B408&amp;"|"&amp;C408,'[1]ETC Data'!$C$2:$D$16,2,FALSE),0)</f>
        <v>0</v>
      </c>
      <c r="F408" s="52">
        <f>IF(D408="",0,IF(G408="Y",VLOOKUP(B408&amp;"|"&amp;D408,'[1]ETC Data'!$C$2:$D$16,2,FALSE),0))</f>
        <v>0</v>
      </c>
      <c r="G408" s="53" t="str">
        <f>IF(VLOOKUP(A408,[1]Plan!A$1:H$804,8,FALSE)&lt;&gt;"",VLOOKUP(A408,[1]Plan!A$1:H$804,8,FALSE),"")</f>
        <v>N</v>
      </c>
      <c r="H408" s="54" t="str">
        <f>IF(VLOOKUP(A408,[1]Plan!A$1:L$804,12,FALSE)&lt;&gt;"",VLOOKUP(A408,[1]Plan!A$1:L$804,12,FALSE),"")</f>
        <v/>
      </c>
      <c r="I408" s="55" t="str">
        <f>IF(VLOOKUP(A408,[1]Plan!A$1:M$804,13,FALSE)&lt;&gt;"",VLOOKUP(A408,[1]Plan!A$1:M$804,13,FALSE),"")</f>
        <v/>
      </c>
      <c r="J408" s="55" t="str">
        <f>IF(VLOOKUP(A408,[1]Plan!A$1:N$804,14,FALSE)&lt;&gt;"",VLOOKUP(A408,[1]Plan!A$1:N$804,14,FALSE),IF(VLOOKUP(A408,[1]Plan!A$1:O$804,15,FALSE)&lt;&gt;"",VLOOKUP(A408,[1]Plan!A$1:O$804,15,FALSE),""))</f>
        <v/>
      </c>
      <c r="K408" s="56" t="str">
        <f>IF(VLOOKUP(A408,[1]Plan!A$1:P$804,16,FALSE)&lt;&gt;"",VLOOKUP(A408,[1]Plan!A$1:P$804,16,FALSE),"")</f>
        <v/>
      </c>
      <c r="L408" s="55"/>
      <c r="M408" s="55"/>
      <c r="N408" s="55"/>
      <c r="O408" s="57">
        <f>IF(F408=0,E408,F408)</f>
        <v>0</v>
      </c>
      <c r="P408" s="57" t="b">
        <f>OR(H408="Y",I408="Y")</f>
        <v>0</v>
      </c>
      <c r="Q408" s="58">
        <f>IF(P408,O408*'[1]ETC Data'!$H$3*'[1]ETC Data'!$I$3,0)</f>
        <v>0</v>
      </c>
      <c r="R408" s="58">
        <f>Q408-(Q408*((VLOOKUP(A408,[1]Plan!A$1:Z$804,26,FALSE)/100)))</f>
        <v>0</v>
      </c>
      <c r="S408" s="58">
        <f>IF(P408,O408*'[1]ETC Data'!$H$3*'[1]ETC Data'!$J$3,0)</f>
        <v>0</v>
      </c>
      <c r="T408" s="58">
        <f>S408-(S408*((VLOOKUP(A408,[1]Plan!A$1:AA$804,27,FALSE)/100)))</f>
        <v>0</v>
      </c>
      <c r="U408" s="58">
        <f>IF(P408,O408*'[1]ETC Data'!$H$3*'[1]ETC Data'!$K$3,0)</f>
        <v>0</v>
      </c>
      <c r="V408" s="58">
        <f>U408-(U408*((VLOOKUP(A408,[1]Plan!A$1:AB$804,28,FALSE)/100)))</f>
        <v>0</v>
      </c>
      <c r="W408" s="58">
        <f>IF(P408,O408*'[1]ETC Data'!$H$3*'[1]ETC Data'!$L$3,0)</f>
        <v>0</v>
      </c>
      <c r="X408" s="58">
        <f>W408-(W408*((VLOOKUP(A408,[1]Plan!A$1:AC$804,29,FALSE)/100)))</f>
        <v>0</v>
      </c>
      <c r="Y408" s="59"/>
      <c r="Z408" s="60" t="b">
        <f>OR(H408="Y",J408="Y")</f>
        <v>0</v>
      </c>
      <c r="AA408" s="58">
        <f>IF(Z408,O408*'[1]ETC Data'!$H$4*'[1]ETC Data'!$I$4,0)</f>
        <v>0</v>
      </c>
      <c r="AB408" s="58">
        <f>AA408-(AA408*((VLOOKUP(A408,[1]Plan!A$1:AI$804,35,FALSE)/100)))</f>
        <v>0</v>
      </c>
      <c r="AC408" s="58">
        <f>IF(Z408,O408*'[1]ETC Data'!$H$4*'[1]ETC Data'!$J$4,0)</f>
        <v>0</v>
      </c>
      <c r="AD408" s="58">
        <f>AC408-(AC408*((VLOOKUP(A408,[1]Plan!A$1:AJ$804,36,FALSE)/100)))</f>
        <v>0</v>
      </c>
      <c r="AE408" s="58">
        <f>IF(Z408,O408*'[1]ETC Data'!$H$4*'[1]ETC Data'!$K$4,0)</f>
        <v>0</v>
      </c>
      <c r="AF408" s="58">
        <f>AE408-(AE408*((VLOOKUP(A408,[1]Plan!A$1:AK$804,37,FALSE)/100)))</f>
        <v>0</v>
      </c>
      <c r="AG408" s="58">
        <f>IF(Z408,O408*'[1]ETC Data'!$H$4*'[1]ETC Data'!$L$4,0)</f>
        <v>0</v>
      </c>
      <c r="AH408" s="58">
        <f>AG408-(AG408*((VLOOKUP(A408,[1]Plan!A$1:AP$804,42,FALSE)/100)))</f>
        <v>0</v>
      </c>
      <c r="AI408" s="60"/>
      <c r="AJ408" s="60" t="b">
        <f>OR(H408="Y",K408="Y")</f>
        <v>0</v>
      </c>
      <c r="AK408" s="61">
        <f>IF(AJ408,O408*'[1]ETC Data'!$H$5*'[1]ETC Data'!$I$5,0)</f>
        <v>0</v>
      </c>
      <c r="AL408" s="58">
        <f>AK408-(AK408*((VLOOKUP(A408,[1]Plan!A$1:AY$804,51,FALSE)/100)))</f>
        <v>0</v>
      </c>
      <c r="AM408" s="58">
        <f>IF(AJ408,O408*'[1]ETC Data'!$H$5*'[1]ETC Data'!$J$5,0)</f>
        <v>0</v>
      </c>
      <c r="AN408" s="58">
        <f>AM408-(AM408*((VLOOKUP(A408,[1]Plan!A$1:BA$804,53,FALSE)/100)))</f>
        <v>0</v>
      </c>
      <c r="AO408" s="61">
        <f>IF(AJ408,O408*'[1]ETC Data'!$H$5*'[1]ETC Data'!$K$5,0)</f>
        <v>0</v>
      </c>
      <c r="AP408" s="58">
        <f>AO408-(AO408*((VLOOKUP(A408,[1]Plan!A$1:BB$804,54,FALSE)/100)))</f>
        <v>0</v>
      </c>
      <c r="AQ408" s="58">
        <f>IF(AJ408,O408*'[1]ETC Data'!$H$5*'[1]ETC Data'!$L$5,0)</f>
        <v>0</v>
      </c>
      <c r="AR408" s="58">
        <f>AQ408-(AQ408*((VLOOKUP(A408,[1]Plan!A$1:BD$804,56,FALSE)/100)))</f>
        <v>0</v>
      </c>
      <c r="AS408" s="20">
        <f>VLOOKUP(A408,'[1]PR Matrix'!A:B,2,FALSE)</f>
        <v>0</v>
      </c>
      <c r="AT408" s="21">
        <f>R408+T408+V408+X408+AB408+AD408+AF408+AH408+AL408+AN408+AP408+AR408</f>
        <v>0</v>
      </c>
      <c r="AU408" s="21">
        <f>Q408+S408+U408+W408+AA408+AC408+AE408+AG408+AK408+AM408+AO408+AQ408</f>
        <v>0</v>
      </c>
      <c r="AV408" s="21">
        <f>R408+AB408+AL408</f>
        <v>0</v>
      </c>
      <c r="AW408" s="21">
        <f>T408+AD408+AN408</f>
        <v>0</v>
      </c>
      <c r="AX408" s="21">
        <f>V408+AF408+AP408</f>
        <v>0</v>
      </c>
      <c r="AY408" s="21">
        <f>X408+AH408+AR408</f>
        <v>0</v>
      </c>
    </row>
    <row r="409" spans="1:51" hidden="1" x14ac:dyDescent="0.2">
      <c r="A409" s="50" t="s">
        <v>615</v>
      </c>
      <c r="B409" s="51" t="s">
        <v>208</v>
      </c>
      <c r="C409" s="51"/>
      <c r="D409" s="51"/>
      <c r="E409" s="52">
        <f>IF(G409="Y",VLOOKUP(B409&amp;"|"&amp;C409,'[1]ETC Data'!$C$2:$D$16,2,FALSE),0)</f>
        <v>0</v>
      </c>
      <c r="F409" s="52">
        <f>IF(D409="",0,IF(G409="Y",VLOOKUP(B409&amp;"|"&amp;D409,'[1]ETC Data'!$C$2:$D$16,2,FALSE),0))</f>
        <v>0</v>
      </c>
      <c r="G409" s="53" t="str">
        <f>IF(VLOOKUP(A409,[1]Plan!A$1:H$804,8,FALSE)&lt;&gt;"",VLOOKUP(A409,[1]Plan!A$1:H$804,8,FALSE),"")</f>
        <v>N</v>
      </c>
      <c r="H409" s="54" t="str">
        <f>IF(VLOOKUP(A409,[1]Plan!A$1:L$804,12,FALSE)&lt;&gt;"",VLOOKUP(A409,[1]Plan!A$1:L$804,12,FALSE),"")</f>
        <v/>
      </c>
      <c r="I409" s="55" t="str">
        <f>IF(VLOOKUP(A409,[1]Plan!A$1:M$804,13,FALSE)&lt;&gt;"",VLOOKUP(A409,[1]Plan!A$1:M$804,13,FALSE),"")</f>
        <v/>
      </c>
      <c r="J409" s="55" t="str">
        <f>IF(VLOOKUP(A409,[1]Plan!A$1:N$804,14,FALSE)&lt;&gt;"",VLOOKUP(A409,[1]Plan!A$1:N$804,14,FALSE),IF(VLOOKUP(A409,[1]Plan!A$1:O$804,15,FALSE)&lt;&gt;"",VLOOKUP(A409,[1]Plan!A$1:O$804,15,FALSE),""))</f>
        <v/>
      </c>
      <c r="K409" s="56" t="str">
        <f>IF(VLOOKUP(A409,[1]Plan!A$1:P$804,16,FALSE)&lt;&gt;"",VLOOKUP(A409,[1]Plan!A$1:P$804,16,FALSE),"")</f>
        <v/>
      </c>
      <c r="L409" s="55"/>
      <c r="M409" s="55"/>
      <c r="N409" s="55"/>
      <c r="O409" s="57">
        <f>IF(F409=0,E409,F409)</f>
        <v>0</v>
      </c>
      <c r="P409" s="57" t="b">
        <f>OR(H409="Y",I409="Y")</f>
        <v>0</v>
      </c>
      <c r="Q409" s="58">
        <f>IF(P409,O409*'[1]ETC Data'!$H$3*'[1]ETC Data'!$I$3,0)</f>
        <v>0</v>
      </c>
      <c r="R409" s="58">
        <f>Q409-(Q409*((VLOOKUP(A409,[1]Plan!A$1:Z$804,26,FALSE)/100)))</f>
        <v>0</v>
      </c>
      <c r="S409" s="58">
        <f>IF(P409,O409*'[1]ETC Data'!$H$3*'[1]ETC Data'!$J$3,0)</f>
        <v>0</v>
      </c>
      <c r="T409" s="58">
        <f>S409-(S409*((VLOOKUP(A409,[1]Plan!A$1:AA$804,27,FALSE)/100)))</f>
        <v>0</v>
      </c>
      <c r="U409" s="58">
        <f>IF(P409,O409*'[1]ETC Data'!$H$3*'[1]ETC Data'!$K$3,0)</f>
        <v>0</v>
      </c>
      <c r="V409" s="58">
        <f>U409-(U409*((VLOOKUP(A409,[1]Plan!A$1:AB$804,28,FALSE)/100)))</f>
        <v>0</v>
      </c>
      <c r="W409" s="58">
        <f>IF(P409,O409*'[1]ETC Data'!$H$3*'[1]ETC Data'!$L$3,0)</f>
        <v>0</v>
      </c>
      <c r="X409" s="58">
        <f>W409-(W409*((VLOOKUP(A409,[1]Plan!A$1:AC$804,29,FALSE)/100)))</f>
        <v>0</v>
      </c>
      <c r="Y409" s="59"/>
      <c r="Z409" s="60" t="b">
        <f>OR(H409="Y",J409="Y")</f>
        <v>0</v>
      </c>
      <c r="AA409" s="58">
        <f>IF(Z409,O409*'[1]ETC Data'!$H$4*'[1]ETC Data'!$I$4,0)</f>
        <v>0</v>
      </c>
      <c r="AB409" s="58">
        <f>AA409-(AA409*((VLOOKUP(A409,[1]Plan!A$1:AI$804,35,FALSE)/100)))</f>
        <v>0</v>
      </c>
      <c r="AC409" s="58">
        <f>IF(Z409,O409*'[1]ETC Data'!$H$4*'[1]ETC Data'!$J$4,0)</f>
        <v>0</v>
      </c>
      <c r="AD409" s="58">
        <f>AC409-(AC409*((VLOOKUP(A409,[1]Plan!A$1:AJ$804,36,FALSE)/100)))</f>
        <v>0</v>
      </c>
      <c r="AE409" s="58">
        <f>IF(Z409,O409*'[1]ETC Data'!$H$4*'[1]ETC Data'!$K$4,0)</f>
        <v>0</v>
      </c>
      <c r="AF409" s="58">
        <f>AE409-(AE409*((VLOOKUP(A409,[1]Plan!A$1:AK$804,37,FALSE)/100)))</f>
        <v>0</v>
      </c>
      <c r="AG409" s="58">
        <f>IF(Z409,O409*'[1]ETC Data'!$H$4*'[1]ETC Data'!$L$4,0)</f>
        <v>0</v>
      </c>
      <c r="AH409" s="58">
        <f>AG409-(AG409*((VLOOKUP(A409,[1]Plan!A$1:AP$804,42,FALSE)/100)))</f>
        <v>0</v>
      </c>
      <c r="AI409" s="60"/>
      <c r="AJ409" s="60" t="b">
        <f>OR(H409="Y",K409="Y")</f>
        <v>0</v>
      </c>
      <c r="AK409" s="61">
        <f>IF(AJ409,O409*'[1]ETC Data'!$H$5*'[1]ETC Data'!$I$5,0)</f>
        <v>0</v>
      </c>
      <c r="AL409" s="58">
        <f>AK409-(AK409*((VLOOKUP(A409,[1]Plan!A$1:AY$804,51,FALSE)/100)))</f>
        <v>0</v>
      </c>
      <c r="AM409" s="58">
        <f>IF(AJ409,O409*'[1]ETC Data'!$H$5*'[1]ETC Data'!$J$5,0)</f>
        <v>0</v>
      </c>
      <c r="AN409" s="58">
        <f>AM409-(AM409*((VLOOKUP(A409,[1]Plan!A$1:BA$804,53,FALSE)/100)))</f>
        <v>0</v>
      </c>
      <c r="AO409" s="61">
        <f>IF(AJ409,O409*'[1]ETC Data'!$H$5*'[1]ETC Data'!$K$5,0)</f>
        <v>0</v>
      </c>
      <c r="AP409" s="58">
        <f>AO409-(AO409*((VLOOKUP(A409,[1]Plan!A$1:BB$804,54,FALSE)/100)))</f>
        <v>0</v>
      </c>
      <c r="AQ409" s="58">
        <f>IF(AJ409,O409*'[1]ETC Data'!$H$5*'[1]ETC Data'!$L$5,0)</f>
        <v>0</v>
      </c>
      <c r="AR409" s="58">
        <f>AQ409-(AQ409*((VLOOKUP(A409,[1]Plan!A$1:BD$804,56,FALSE)/100)))</f>
        <v>0</v>
      </c>
      <c r="AS409" s="20">
        <f>VLOOKUP(A409,'[1]PR Matrix'!A:B,2,FALSE)</f>
        <v>0</v>
      </c>
      <c r="AT409" s="21">
        <f>R409+T409+V409+X409+AB409+AD409+AF409+AH409+AL409+AN409+AP409+AR409</f>
        <v>0</v>
      </c>
      <c r="AU409" s="21">
        <f>Q409+S409+U409+W409+AA409+AC409+AE409+AG409+AK409+AM409+AO409+AQ409</f>
        <v>0</v>
      </c>
      <c r="AV409" s="21">
        <f>R409+AB409+AL409</f>
        <v>0</v>
      </c>
      <c r="AW409" s="21">
        <f>T409+AD409+AN409</f>
        <v>0</v>
      </c>
      <c r="AX409" s="21">
        <f>V409+AF409+AP409</f>
        <v>0</v>
      </c>
      <c r="AY409" s="21">
        <f>X409+AH409+AR409</f>
        <v>0</v>
      </c>
    </row>
    <row r="410" spans="1:51" hidden="1" x14ac:dyDescent="0.2">
      <c r="A410" s="50" t="s">
        <v>616</v>
      </c>
      <c r="B410" s="51" t="s">
        <v>208</v>
      </c>
      <c r="C410" s="51"/>
      <c r="D410" s="51"/>
      <c r="E410" s="52">
        <f>IF(G410="Y",VLOOKUP(B410&amp;"|"&amp;C410,'[1]ETC Data'!$C$2:$D$16,2,FALSE),0)</f>
        <v>0</v>
      </c>
      <c r="F410" s="52">
        <f>IF(D410="",0,IF(G410="Y",VLOOKUP(B410&amp;"|"&amp;D410,'[1]ETC Data'!$C$2:$D$16,2,FALSE),0))</f>
        <v>0</v>
      </c>
      <c r="G410" s="53" t="str">
        <f>IF(VLOOKUP(A410,[1]Plan!A$1:H$804,8,FALSE)&lt;&gt;"",VLOOKUP(A410,[1]Plan!A$1:H$804,8,FALSE),"")</f>
        <v>N</v>
      </c>
      <c r="H410" s="54" t="str">
        <f>IF(VLOOKUP(A410,[1]Plan!A$1:L$804,12,FALSE)&lt;&gt;"",VLOOKUP(A410,[1]Plan!A$1:L$804,12,FALSE),"")</f>
        <v/>
      </c>
      <c r="I410" s="55" t="str">
        <f>IF(VLOOKUP(A410,[1]Plan!A$1:M$804,13,FALSE)&lt;&gt;"",VLOOKUP(A410,[1]Plan!A$1:M$804,13,FALSE),"")</f>
        <v/>
      </c>
      <c r="J410" s="55" t="str">
        <f>IF(VLOOKUP(A410,[1]Plan!A$1:N$804,14,FALSE)&lt;&gt;"",VLOOKUP(A410,[1]Plan!A$1:N$804,14,FALSE),IF(VLOOKUP(A410,[1]Plan!A$1:O$804,15,FALSE)&lt;&gt;"",VLOOKUP(A410,[1]Plan!A$1:O$804,15,FALSE),""))</f>
        <v/>
      </c>
      <c r="K410" s="56" t="str">
        <f>IF(VLOOKUP(A410,[1]Plan!A$1:P$804,16,FALSE)&lt;&gt;"",VLOOKUP(A410,[1]Plan!A$1:P$804,16,FALSE),"")</f>
        <v/>
      </c>
      <c r="L410" s="55"/>
      <c r="M410" s="55"/>
      <c r="N410" s="55"/>
      <c r="O410" s="57">
        <f>IF(F410=0,E410,F410)</f>
        <v>0</v>
      </c>
      <c r="P410" s="57" t="b">
        <f>OR(H410="Y",I410="Y")</f>
        <v>0</v>
      </c>
      <c r="Q410" s="58">
        <f>IF(P410,O410*'[1]ETC Data'!$H$3*'[1]ETC Data'!$I$3,0)</f>
        <v>0</v>
      </c>
      <c r="R410" s="58">
        <f>Q410-(Q410*((VLOOKUP(A410,[1]Plan!A$1:Z$804,26,FALSE)/100)))</f>
        <v>0</v>
      </c>
      <c r="S410" s="58">
        <f>IF(P410,O410*'[1]ETC Data'!$H$3*'[1]ETC Data'!$J$3,0)</f>
        <v>0</v>
      </c>
      <c r="T410" s="58">
        <f>S410-(S410*((VLOOKUP(A410,[1]Plan!A$1:AA$804,27,FALSE)/100)))</f>
        <v>0</v>
      </c>
      <c r="U410" s="58">
        <f>IF(P410,O410*'[1]ETC Data'!$H$3*'[1]ETC Data'!$K$3,0)</f>
        <v>0</v>
      </c>
      <c r="V410" s="58">
        <f>U410-(U410*((VLOOKUP(A410,[1]Plan!A$1:AB$804,28,FALSE)/100)))</f>
        <v>0</v>
      </c>
      <c r="W410" s="58">
        <f>IF(P410,O410*'[1]ETC Data'!$H$3*'[1]ETC Data'!$L$3,0)</f>
        <v>0</v>
      </c>
      <c r="X410" s="58">
        <f>W410-(W410*((VLOOKUP(A410,[1]Plan!A$1:AC$804,29,FALSE)/100)))</f>
        <v>0</v>
      </c>
      <c r="Y410" s="59"/>
      <c r="Z410" s="60" t="b">
        <f>OR(H410="Y",J410="Y")</f>
        <v>0</v>
      </c>
      <c r="AA410" s="58">
        <f>IF(Z410,O410*'[1]ETC Data'!$H$4*'[1]ETC Data'!$I$4,0)</f>
        <v>0</v>
      </c>
      <c r="AB410" s="58">
        <f>AA410-(AA410*((VLOOKUP(A410,[1]Plan!A$1:AI$804,35,FALSE)/100)))</f>
        <v>0</v>
      </c>
      <c r="AC410" s="58">
        <f>IF(Z410,O410*'[1]ETC Data'!$H$4*'[1]ETC Data'!$J$4,0)</f>
        <v>0</v>
      </c>
      <c r="AD410" s="58">
        <f>AC410-(AC410*((VLOOKUP(A410,[1]Plan!A$1:AJ$804,36,FALSE)/100)))</f>
        <v>0</v>
      </c>
      <c r="AE410" s="58">
        <f>IF(Z410,O410*'[1]ETC Data'!$H$4*'[1]ETC Data'!$K$4,0)</f>
        <v>0</v>
      </c>
      <c r="AF410" s="58">
        <f>AE410-(AE410*((VLOOKUP(A410,[1]Plan!A$1:AK$804,37,FALSE)/100)))</f>
        <v>0</v>
      </c>
      <c r="AG410" s="58">
        <f>IF(Z410,O410*'[1]ETC Data'!$H$4*'[1]ETC Data'!$L$4,0)</f>
        <v>0</v>
      </c>
      <c r="AH410" s="58">
        <f>AG410-(AG410*((VLOOKUP(A410,[1]Plan!A$1:AP$804,42,FALSE)/100)))</f>
        <v>0</v>
      </c>
      <c r="AI410" s="60"/>
      <c r="AJ410" s="60" t="b">
        <f>OR(H410="Y",K410="Y")</f>
        <v>0</v>
      </c>
      <c r="AK410" s="61">
        <f>IF(AJ410,O410*'[1]ETC Data'!$H$5*'[1]ETC Data'!$I$5,0)</f>
        <v>0</v>
      </c>
      <c r="AL410" s="58">
        <f>AK410-(AK410*((VLOOKUP(A410,[1]Plan!A$1:AY$804,51,FALSE)/100)))</f>
        <v>0</v>
      </c>
      <c r="AM410" s="58">
        <f>IF(AJ410,O410*'[1]ETC Data'!$H$5*'[1]ETC Data'!$J$5,0)</f>
        <v>0</v>
      </c>
      <c r="AN410" s="58">
        <f>AM410-(AM410*((VLOOKUP(A410,[1]Plan!A$1:BA$804,53,FALSE)/100)))</f>
        <v>0</v>
      </c>
      <c r="AO410" s="61">
        <f>IF(AJ410,O410*'[1]ETC Data'!$H$5*'[1]ETC Data'!$K$5,0)</f>
        <v>0</v>
      </c>
      <c r="AP410" s="58">
        <f>AO410-(AO410*((VLOOKUP(A410,[1]Plan!A$1:BB$804,54,FALSE)/100)))</f>
        <v>0</v>
      </c>
      <c r="AQ410" s="58">
        <f>IF(AJ410,O410*'[1]ETC Data'!$H$5*'[1]ETC Data'!$L$5,0)</f>
        <v>0</v>
      </c>
      <c r="AR410" s="58">
        <f>AQ410-(AQ410*((VLOOKUP(A410,[1]Plan!A$1:BD$804,56,FALSE)/100)))</f>
        <v>0</v>
      </c>
      <c r="AS410" s="20">
        <f>VLOOKUP(A410,'[1]PR Matrix'!A:B,2,FALSE)</f>
        <v>0</v>
      </c>
      <c r="AT410" s="21">
        <f>R410+T410+V410+X410+AB410+AD410+AF410+AH410+AL410+AN410+AP410+AR410</f>
        <v>0</v>
      </c>
      <c r="AU410" s="21">
        <f>Q410+S410+U410+W410+AA410+AC410+AE410+AG410+AK410+AM410+AO410+AQ410</f>
        <v>0</v>
      </c>
      <c r="AV410" s="21">
        <f>R410+AB410+AL410</f>
        <v>0</v>
      </c>
      <c r="AW410" s="21">
        <f>T410+AD410+AN410</f>
        <v>0</v>
      </c>
      <c r="AX410" s="21">
        <f>V410+AF410+AP410</f>
        <v>0</v>
      </c>
      <c r="AY410" s="21">
        <f>X410+AH410+AR410</f>
        <v>0</v>
      </c>
    </row>
    <row r="411" spans="1:51" hidden="1" x14ac:dyDescent="0.2">
      <c r="A411" s="50" t="s">
        <v>617</v>
      </c>
      <c r="B411" s="51" t="s">
        <v>208</v>
      </c>
      <c r="C411" s="51"/>
      <c r="D411" s="51"/>
      <c r="E411" s="52">
        <f>IF(G411="Y",VLOOKUP(B411&amp;"|"&amp;C411,'[1]ETC Data'!$C$2:$D$16,2,FALSE),0)</f>
        <v>0</v>
      </c>
      <c r="F411" s="52">
        <f>IF(D411="",0,IF(G411="Y",VLOOKUP(B411&amp;"|"&amp;D411,'[1]ETC Data'!$C$2:$D$16,2,FALSE),0))</f>
        <v>0</v>
      </c>
      <c r="G411" s="53" t="str">
        <f>IF(VLOOKUP(A411,[1]Plan!A$1:H$804,8,FALSE)&lt;&gt;"",VLOOKUP(A411,[1]Plan!A$1:H$804,8,FALSE),"")</f>
        <v>N</v>
      </c>
      <c r="H411" s="54" t="str">
        <f>IF(VLOOKUP(A411,[1]Plan!A$1:L$804,12,FALSE)&lt;&gt;"",VLOOKUP(A411,[1]Plan!A$1:L$804,12,FALSE),"")</f>
        <v/>
      </c>
      <c r="I411" s="55" t="str">
        <f>IF(VLOOKUP(A411,[1]Plan!A$1:M$804,13,FALSE)&lt;&gt;"",VLOOKUP(A411,[1]Plan!A$1:M$804,13,FALSE),"")</f>
        <v/>
      </c>
      <c r="J411" s="55" t="str">
        <f>IF(VLOOKUP(A411,[1]Plan!A$1:N$804,14,FALSE)&lt;&gt;"",VLOOKUP(A411,[1]Plan!A$1:N$804,14,FALSE),IF(VLOOKUP(A411,[1]Plan!A$1:O$804,15,FALSE)&lt;&gt;"",VLOOKUP(A411,[1]Plan!A$1:O$804,15,FALSE),""))</f>
        <v/>
      </c>
      <c r="K411" s="56" t="str">
        <f>IF(VLOOKUP(A411,[1]Plan!A$1:P$804,16,FALSE)&lt;&gt;"",VLOOKUP(A411,[1]Plan!A$1:P$804,16,FALSE),"")</f>
        <v/>
      </c>
      <c r="L411" s="55"/>
      <c r="M411" s="55"/>
      <c r="N411" s="55"/>
      <c r="O411" s="57">
        <f>IF(F411=0,E411,F411)</f>
        <v>0</v>
      </c>
      <c r="P411" s="57" t="b">
        <f>OR(H411="Y",I411="Y")</f>
        <v>0</v>
      </c>
      <c r="Q411" s="58">
        <f>IF(P411,O411*'[1]ETC Data'!$H$3*'[1]ETC Data'!$I$3,0)</f>
        <v>0</v>
      </c>
      <c r="R411" s="58">
        <f>Q411-(Q411*((VLOOKUP(A411,[1]Plan!A$1:Z$804,26,FALSE)/100)))</f>
        <v>0</v>
      </c>
      <c r="S411" s="58">
        <f>IF(P411,O411*'[1]ETC Data'!$H$3*'[1]ETC Data'!$J$3,0)</f>
        <v>0</v>
      </c>
      <c r="T411" s="58">
        <f>S411-(S411*((VLOOKUP(A411,[1]Plan!A$1:AA$804,27,FALSE)/100)))</f>
        <v>0</v>
      </c>
      <c r="U411" s="58">
        <f>IF(P411,O411*'[1]ETC Data'!$H$3*'[1]ETC Data'!$K$3,0)</f>
        <v>0</v>
      </c>
      <c r="V411" s="58">
        <f>U411-(U411*((VLOOKUP(A411,[1]Plan!A$1:AB$804,28,FALSE)/100)))</f>
        <v>0</v>
      </c>
      <c r="W411" s="58">
        <f>IF(P411,O411*'[1]ETC Data'!$H$3*'[1]ETC Data'!$L$3,0)</f>
        <v>0</v>
      </c>
      <c r="X411" s="58">
        <f>W411-(W411*((VLOOKUP(A411,[1]Plan!A$1:AC$804,29,FALSE)/100)))</f>
        <v>0</v>
      </c>
      <c r="Y411" s="59"/>
      <c r="Z411" s="60" t="b">
        <f>OR(H411="Y",J411="Y")</f>
        <v>0</v>
      </c>
      <c r="AA411" s="58">
        <f>IF(Z411,O411*'[1]ETC Data'!$H$4*'[1]ETC Data'!$I$4,0)</f>
        <v>0</v>
      </c>
      <c r="AB411" s="58">
        <f>AA411-(AA411*((VLOOKUP(A411,[1]Plan!A$1:AI$804,35,FALSE)/100)))</f>
        <v>0</v>
      </c>
      <c r="AC411" s="58">
        <f>IF(Z411,O411*'[1]ETC Data'!$H$4*'[1]ETC Data'!$J$4,0)</f>
        <v>0</v>
      </c>
      <c r="AD411" s="58">
        <f>AC411-(AC411*((VLOOKUP(A411,[1]Plan!A$1:AJ$804,36,FALSE)/100)))</f>
        <v>0</v>
      </c>
      <c r="AE411" s="58">
        <f>IF(Z411,O411*'[1]ETC Data'!$H$4*'[1]ETC Data'!$K$4,0)</f>
        <v>0</v>
      </c>
      <c r="AF411" s="58">
        <f>AE411-(AE411*((VLOOKUP(A411,[1]Plan!A$1:AK$804,37,FALSE)/100)))</f>
        <v>0</v>
      </c>
      <c r="AG411" s="58">
        <f>IF(Z411,O411*'[1]ETC Data'!$H$4*'[1]ETC Data'!$L$4,0)</f>
        <v>0</v>
      </c>
      <c r="AH411" s="58">
        <f>AG411-(AG411*((VLOOKUP(A411,[1]Plan!A$1:AP$804,42,FALSE)/100)))</f>
        <v>0</v>
      </c>
      <c r="AI411" s="60"/>
      <c r="AJ411" s="60" t="b">
        <f>OR(H411="Y",K411="Y")</f>
        <v>0</v>
      </c>
      <c r="AK411" s="61">
        <f>IF(AJ411,O411*'[1]ETC Data'!$H$5*'[1]ETC Data'!$I$5,0)</f>
        <v>0</v>
      </c>
      <c r="AL411" s="58">
        <f>AK411-(AK411*((VLOOKUP(A411,[1]Plan!A$1:AY$804,51,FALSE)/100)))</f>
        <v>0</v>
      </c>
      <c r="AM411" s="58">
        <f>IF(AJ411,O411*'[1]ETC Data'!$H$5*'[1]ETC Data'!$J$5,0)</f>
        <v>0</v>
      </c>
      <c r="AN411" s="58">
        <f>AM411-(AM411*((VLOOKUP(A411,[1]Plan!A$1:BA$804,53,FALSE)/100)))</f>
        <v>0</v>
      </c>
      <c r="AO411" s="61">
        <f>IF(AJ411,O411*'[1]ETC Data'!$H$5*'[1]ETC Data'!$K$5,0)</f>
        <v>0</v>
      </c>
      <c r="AP411" s="58">
        <f>AO411-(AO411*((VLOOKUP(A411,[1]Plan!A$1:BB$804,54,FALSE)/100)))</f>
        <v>0</v>
      </c>
      <c r="AQ411" s="58">
        <f>IF(AJ411,O411*'[1]ETC Data'!$H$5*'[1]ETC Data'!$L$5,0)</f>
        <v>0</v>
      </c>
      <c r="AR411" s="58">
        <f>AQ411-(AQ411*((VLOOKUP(A411,[1]Plan!A$1:BD$804,56,FALSE)/100)))</f>
        <v>0</v>
      </c>
      <c r="AS411" s="20">
        <f>VLOOKUP(A411,'[1]PR Matrix'!A:B,2,FALSE)</f>
        <v>0</v>
      </c>
      <c r="AT411" s="21">
        <f>R411+T411+V411+X411+AB411+AD411+AF411+AH411+AL411+AN411+AP411+AR411</f>
        <v>0</v>
      </c>
      <c r="AU411" s="21">
        <f>Q411+S411+U411+W411+AA411+AC411+AE411+AG411+AK411+AM411+AO411+AQ411</f>
        <v>0</v>
      </c>
      <c r="AV411" s="21">
        <f>R411+AB411+AL411</f>
        <v>0</v>
      </c>
      <c r="AW411" s="21">
        <f>T411+AD411+AN411</f>
        <v>0</v>
      </c>
      <c r="AX411" s="21">
        <f>V411+AF411+AP411</f>
        <v>0</v>
      </c>
      <c r="AY411" s="21">
        <f>X411+AH411+AR411</f>
        <v>0</v>
      </c>
    </row>
    <row r="412" spans="1:51" hidden="1" x14ac:dyDescent="0.2">
      <c r="A412" s="50" t="s">
        <v>618</v>
      </c>
      <c r="B412" s="51" t="s">
        <v>208</v>
      </c>
      <c r="C412" s="51"/>
      <c r="D412" s="51"/>
      <c r="E412" s="52">
        <f>IF(G412="Y",VLOOKUP(B412&amp;"|"&amp;C412,'[1]ETC Data'!$C$2:$D$16,2,FALSE),0)</f>
        <v>0</v>
      </c>
      <c r="F412" s="52">
        <f>IF(D412="",0,IF(G412="Y",VLOOKUP(B412&amp;"|"&amp;D412,'[1]ETC Data'!$C$2:$D$16,2,FALSE),0))</f>
        <v>0</v>
      </c>
      <c r="G412" s="53" t="str">
        <f>IF(VLOOKUP(A412,[1]Plan!A$1:H$804,8,FALSE)&lt;&gt;"",VLOOKUP(A412,[1]Plan!A$1:H$804,8,FALSE),"")</f>
        <v>N</v>
      </c>
      <c r="H412" s="54" t="str">
        <f>IF(VLOOKUP(A412,[1]Plan!A$1:L$804,12,FALSE)&lt;&gt;"",VLOOKUP(A412,[1]Plan!A$1:L$804,12,FALSE),"")</f>
        <v/>
      </c>
      <c r="I412" s="55" t="str">
        <f>IF(VLOOKUP(A412,[1]Plan!A$1:M$804,13,FALSE)&lt;&gt;"",VLOOKUP(A412,[1]Plan!A$1:M$804,13,FALSE),"")</f>
        <v/>
      </c>
      <c r="J412" s="55" t="str">
        <f>IF(VLOOKUP(A412,[1]Plan!A$1:N$804,14,FALSE)&lt;&gt;"",VLOOKUP(A412,[1]Plan!A$1:N$804,14,FALSE),IF(VLOOKUP(A412,[1]Plan!A$1:O$804,15,FALSE)&lt;&gt;"",VLOOKUP(A412,[1]Plan!A$1:O$804,15,FALSE),""))</f>
        <v/>
      </c>
      <c r="K412" s="56" t="str">
        <f>IF(VLOOKUP(A412,[1]Plan!A$1:P$804,16,FALSE)&lt;&gt;"",VLOOKUP(A412,[1]Plan!A$1:P$804,16,FALSE),"")</f>
        <v/>
      </c>
      <c r="L412" s="55"/>
      <c r="M412" s="55"/>
      <c r="N412" s="55"/>
      <c r="O412" s="57">
        <f>IF(F412=0,E412,F412)</f>
        <v>0</v>
      </c>
      <c r="P412" s="57" t="b">
        <f>OR(H412="Y",I412="Y")</f>
        <v>0</v>
      </c>
      <c r="Q412" s="58">
        <f>IF(P412,O412*'[1]ETC Data'!$H$3*'[1]ETC Data'!$I$3,0)</f>
        <v>0</v>
      </c>
      <c r="R412" s="58">
        <f>Q412-(Q412*((VLOOKUP(A412,[1]Plan!A$1:Z$804,26,FALSE)/100)))</f>
        <v>0</v>
      </c>
      <c r="S412" s="58">
        <f>IF(P412,O412*'[1]ETC Data'!$H$3*'[1]ETC Data'!$J$3,0)</f>
        <v>0</v>
      </c>
      <c r="T412" s="58">
        <f>S412-(S412*((VLOOKUP(A412,[1]Plan!A$1:AA$804,27,FALSE)/100)))</f>
        <v>0</v>
      </c>
      <c r="U412" s="58">
        <f>IF(P412,O412*'[1]ETC Data'!$H$3*'[1]ETC Data'!$K$3,0)</f>
        <v>0</v>
      </c>
      <c r="V412" s="58">
        <f>U412-(U412*((VLOOKUP(A412,[1]Plan!A$1:AB$804,28,FALSE)/100)))</f>
        <v>0</v>
      </c>
      <c r="W412" s="58">
        <f>IF(P412,O412*'[1]ETC Data'!$H$3*'[1]ETC Data'!$L$3,0)</f>
        <v>0</v>
      </c>
      <c r="X412" s="58">
        <f>W412-(W412*((VLOOKUP(A412,[1]Plan!A$1:AC$804,29,FALSE)/100)))</f>
        <v>0</v>
      </c>
      <c r="Y412" s="59"/>
      <c r="Z412" s="60" t="b">
        <f>OR(H412="Y",J412="Y")</f>
        <v>0</v>
      </c>
      <c r="AA412" s="58">
        <f>IF(Z412,O412*'[1]ETC Data'!$H$4*'[1]ETC Data'!$I$4,0)</f>
        <v>0</v>
      </c>
      <c r="AB412" s="58">
        <f>AA412-(AA412*((VLOOKUP(A412,[1]Plan!A$1:AI$804,35,FALSE)/100)))</f>
        <v>0</v>
      </c>
      <c r="AC412" s="58">
        <f>IF(Z412,O412*'[1]ETC Data'!$H$4*'[1]ETC Data'!$J$4,0)</f>
        <v>0</v>
      </c>
      <c r="AD412" s="58">
        <f>AC412-(AC412*((VLOOKUP(A412,[1]Plan!A$1:AJ$804,36,FALSE)/100)))</f>
        <v>0</v>
      </c>
      <c r="AE412" s="58">
        <f>IF(Z412,O412*'[1]ETC Data'!$H$4*'[1]ETC Data'!$K$4,0)</f>
        <v>0</v>
      </c>
      <c r="AF412" s="58">
        <f>AE412-(AE412*((VLOOKUP(A412,[1]Plan!A$1:AK$804,37,FALSE)/100)))</f>
        <v>0</v>
      </c>
      <c r="AG412" s="58">
        <f>IF(Z412,O412*'[1]ETC Data'!$H$4*'[1]ETC Data'!$L$4,0)</f>
        <v>0</v>
      </c>
      <c r="AH412" s="58">
        <f>AG412-(AG412*((VLOOKUP(A412,[1]Plan!A$1:AP$804,42,FALSE)/100)))</f>
        <v>0</v>
      </c>
      <c r="AI412" s="60"/>
      <c r="AJ412" s="60" t="b">
        <f>OR(H412="Y",K412="Y")</f>
        <v>0</v>
      </c>
      <c r="AK412" s="61">
        <f>IF(AJ412,O412*'[1]ETC Data'!$H$5*'[1]ETC Data'!$I$5,0)</f>
        <v>0</v>
      </c>
      <c r="AL412" s="58">
        <f>AK412-(AK412*((VLOOKUP(A412,[1]Plan!A$1:AY$804,51,FALSE)/100)))</f>
        <v>0</v>
      </c>
      <c r="AM412" s="58">
        <f>IF(AJ412,O412*'[1]ETC Data'!$H$5*'[1]ETC Data'!$J$5,0)</f>
        <v>0</v>
      </c>
      <c r="AN412" s="58">
        <f>AM412-(AM412*((VLOOKUP(A412,[1]Plan!A$1:BA$804,53,FALSE)/100)))</f>
        <v>0</v>
      </c>
      <c r="AO412" s="61">
        <f>IF(AJ412,O412*'[1]ETC Data'!$H$5*'[1]ETC Data'!$K$5,0)</f>
        <v>0</v>
      </c>
      <c r="AP412" s="58">
        <f>AO412-(AO412*((VLOOKUP(A412,[1]Plan!A$1:BB$804,54,FALSE)/100)))</f>
        <v>0</v>
      </c>
      <c r="AQ412" s="58">
        <f>IF(AJ412,O412*'[1]ETC Data'!$H$5*'[1]ETC Data'!$L$5,0)</f>
        <v>0</v>
      </c>
      <c r="AR412" s="58">
        <f>AQ412-(AQ412*((VLOOKUP(A412,[1]Plan!A$1:BD$804,56,FALSE)/100)))</f>
        <v>0</v>
      </c>
      <c r="AS412" s="20">
        <f>VLOOKUP(A412,'[1]PR Matrix'!A:B,2,FALSE)</f>
        <v>0</v>
      </c>
      <c r="AT412" s="21">
        <f>R412+T412+V412+X412+AB412+AD412+AF412+AH412+AL412+AN412+AP412+AR412</f>
        <v>0</v>
      </c>
      <c r="AU412" s="21">
        <f>Q412+S412+U412+W412+AA412+AC412+AE412+AG412+AK412+AM412+AO412+AQ412</f>
        <v>0</v>
      </c>
      <c r="AV412" s="21">
        <f>R412+AB412+AL412</f>
        <v>0</v>
      </c>
      <c r="AW412" s="21">
        <f>T412+AD412+AN412</f>
        <v>0</v>
      </c>
      <c r="AX412" s="21">
        <f>V412+AF412+AP412</f>
        <v>0</v>
      </c>
      <c r="AY412" s="21">
        <f>X412+AH412+AR412</f>
        <v>0</v>
      </c>
    </row>
    <row r="413" spans="1:51" hidden="1" x14ac:dyDescent="0.2">
      <c r="A413" s="50" t="s">
        <v>619</v>
      </c>
      <c r="B413" s="51" t="s">
        <v>208</v>
      </c>
      <c r="C413" s="51"/>
      <c r="D413" s="51"/>
      <c r="E413" s="52">
        <f>IF(G413="Y",VLOOKUP(B413&amp;"|"&amp;C413,'[1]ETC Data'!$C$2:$D$16,2,FALSE),0)</f>
        <v>0</v>
      </c>
      <c r="F413" s="52">
        <f>IF(D413="",0,IF(G413="Y",VLOOKUP(B413&amp;"|"&amp;D413,'[1]ETC Data'!$C$2:$D$16,2,FALSE),0))</f>
        <v>0</v>
      </c>
      <c r="G413" s="53" t="str">
        <f>IF(VLOOKUP(A413,[1]Plan!A$1:H$804,8,FALSE)&lt;&gt;"",VLOOKUP(A413,[1]Plan!A$1:H$804,8,FALSE),"")</f>
        <v>N</v>
      </c>
      <c r="H413" s="54" t="str">
        <f>IF(VLOOKUP(A413,[1]Plan!A$1:L$804,12,FALSE)&lt;&gt;"",VLOOKUP(A413,[1]Plan!A$1:L$804,12,FALSE),"")</f>
        <v/>
      </c>
      <c r="I413" s="55" t="str">
        <f>IF(VLOOKUP(A413,[1]Plan!A$1:M$804,13,FALSE)&lt;&gt;"",VLOOKUP(A413,[1]Plan!A$1:M$804,13,FALSE),"")</f>
        <v/>
      </c>
      <c r="J413" s="55" t="str">
        <f>IF(VLOOKUP(A413,[1]Plan!A$1:N$804,14,FALSE)&lt;&gt;"",VLOOKUP(A413,[1]Plan!A$1:N$804,14,FALSE),IF(VLOOKUP(A413,[1]Plan!A$1:O$804,15,FALSE)&lt;&gt;"",VLOOKUP(A413,[1]Plan!A$1:O$804,15,FALSE),""))</f>
        <v/>
      </c>
      <c r="K413" s="56" t="str">
        <f>IF(VLOOKUP(A413,[1]Plan!A$1:P$804,16,FALSE)&lt;&gt;"",VLOOKUP(A413,[1]Plan!A$1:P$804,16,FALSE),"")</f>
        <v/>
      </c>
      <c r="L413" s="55"/>
      <c r="M413" s="55"/>
      <c r="N413" s="55"/>
      <c r="O413" s="57">
        <f>IF(F413=0,E413,F413)</f>
        <v>0</v>
      </c>
      <c r="P413" s="57" t="b">
        <f>OR(H413="Y",I413="Y")</f>
        <v>0</v>
      </c>
      <c r="Q413" s="58">
        <f>IF(P413,O413*'[1]ETC Data'!$H$3*'[1]ETC Data'!$I$3,0)</f>
        <v>0</v>
      </c>
      <c r="R413" s="58">
        <f>Q413-(Q413*((VLOOKUP(A413,[1]Plan!A$1:Z$804,26,FALSE)/100)))</f>
        <v>0</v>
      </c>
      <c r="S413" s="58">
        <f>IF(P413,O413*'[1]ETC Data'!$H$3*'[1]ETC Data'!$J$3,0)</f>
        <v>0</v>
      </c>
      <c r="T413" s="58">
        <f>S413-(S413*((VLOOKUP(A413,[1]Plan!A$1:AA$804,27,FALSE)/100)))</f>
        <v>0</v>
      </c>
      <c r="U413" s="58">
        <f>IF(P413,O413*'[1]ETC Data'!$H$3*'[1]ETC Data'!$K$3,0)</f>
        <v>0</v>
      </c>
      <c r="V413" s="58">
        <f>U413-(U413*((VLOOKUP(A413,[1]Plan!A$1:AB$804,28,FALSE)/100)))</f>
        <v>0</v>
      </c>
      <c r="W413" s="58">
        <f>IF(P413,O413*'[1]ETC Data'!$H$3*'[1]ETC Data'!$L$3,0)</f>
        <v>0</v>
      </c>
      <c r="X413" s="58">
        <f>W413-(W413*((VLOOKUP(A413,[1]Plan!A$1:AC$804,29,FALSE)/100)))</f>
        <v>0</v>
      </c>
      <c r="Y413" s="59"/>
      <c r="Z413" s="60" t="b">
        <f>OR(H413="Y",J413="Y")</f>
        <v>0</v>
      </c>
      <c r="AA413" s="58">
        <f>IF(Z413,O413*'[1]ETC Data'!$H$4*'[1]ETC Data'!$I$4,0)</f>
        <v>0</v>
      </c>
      <c r="AB413" s="58">
        <f>AA413-(AA413*((VLOOKUP(A413,[1]Plan!A$1:AI$804,35,FALSE)/100)))</f>
        <v>0</v>
      </c>
      <c r="AC413" s="58">
        <f>IF(Z413,O413*'[1]ETC Data'!$H$4*'[1]ETC Data'!$J$4,0)</f>
        <v>0</v>
      </c>
      <c r="AD413" s="58">
        <f>AC413-(AC413*((VLOOKUP(A413,[1]Plan!A$1:AJ$804,36,FALSE)/100)))</f>
        <v>0</v>
      </c>
      <c r="AE413" s="58">
        <f>IF(Z413,O413*'[1]ETC Data'!$H$4*'[1]ETC Data'!$K$4,0)</f>
        <v>0</v>
      </c>
      <c r="AF413" s="58">
        <f>AE413-(AE413*((VLOOKUP(A413,[1]Plan!A$1:AK$804,37,FALSE)/100)))</f>
        <v>0</v>
      </c>
      <c r="AG413" s="58">
        <f>IF(Z413,O413*'[1]ETC Data'!$H$4*'[1]ETC Data'!$L$4,0)</f>
        <v>0</v>
      </c>
      <c r="AH413" s="58">
        <f>AG413-(AG413*((VLOOKUP(A413,[1]Plan!A$1:AP$804,42,FALSE)/100)))</f>
        <v>0</v>
      </c>
      <c r="AI413" s="60"/>
      <c r="AJ413" s="60" t="b">
        <f>OR(H413="Y",K413="Y")</f>
        <v>0</v>
      </c>
      <c r="AK413" s="61">
        <f>IF(AJ413,O413*'[1]ETC Data'!$H$5*'[1]ETC Data'!$I$5,0)</f>
        <v>0</v>
      </c>
      <c r="AL413" s="58">
        <f>AK413-(AK413*((VLOOKUP(A413,[1]Plan!A$1:AY$804,51,FALSE)/100)))</f>
        <v>0</v>
      </c>
      <c r="AM413" s="58">
        <f>IF(AJ413,O413*'[1]ETC Data'!$H$5*'[1]ETC Data'!$J$5,0)</f>
        <v>0</v>
      </c>
      <c r="AN413" s="58">
        <f>AM413-(AM413*((VLOOKUP(A413,[1]Plan!A$1:BA$804,53,FALSE)/100)))</f>
        <v>0</v>
      </c>
      <c r="AO413" s="61">
        <f>IF(AJ413,O413*'[1]ETC Data'!$H$5*'[1]ETC Data'!$K$5,0)</f>
        <v>0</v>
      </c>
      <c r="AP413" s="58">
        <f>AO413-(AO413*((VLOOKUP(A413,[1]Plan!A$1:BB$804,54,FALSE)/100)))</f>
        <v>0</v>
      </c>
      <c r="AQ413" s="58">
        <f>IF(AJ413,O413*'[1]ETC Data'!$H$5*'[1]ETC Data'!$L$5,0)</f>
        <v>0</v>
      </c>
      <c r="AR413" s="58">
        <f>AQ413-(AQ413*((VLOOKUP(A413,[1]Plan!A$1:BD$804,56,FALSE)/100)))</f>
        <v>0</v>
      </c>
      <c r="AS413" s="20">
        <f>VLOOKUP(A413,'[1]PR Matrix'!A:B,2,FALSE)</f>
        <v>0</v>
      </c>
      <c r="AT413" s="21">
        <f>R413+T413+V413+X413+AB413+AD413+AF413+AH413+AL413+AN413+AP413+AR413</f>
        <v>0</v>
      </c>
      <c r="AU413" s="21">
        <f>Q413+S413+U413+W413+AA413+AC413+AE413+AG413+AK413+AM413+AO413+AQ413</f>
        <v>0</v>
      </c>
      <c r="AV413" s="21">
        <f>R413+AB413+AL413</f>
        <v>0</v>
      </c>
      <c r="AW413" s="21">
        <f>T413+AD413+AN413</f>
        <v>0</v>
      </c>
      <c r="AX413" s="21">
        <f>V413+AF413+AP413</f>
        <v>0</v>
      </c>
      <c r="AY413" s="21">
        <f>X413+AH413+AR413</f>
        <v>0</v>
      </c>
    </row>
    <row r="414" spans="1:51" hidden="1" x14ac:dyDescent="0.2">
      <c r="A414" s="50" t="s">
        <v>620</v>
      </c>
      <c r="B414" s="51" t="s">
        <v>208</v>
      </c>
      <c r="C414" s="51"/>
      <c r="D414" s="51"/>
      <c r="E414" s="52">
        <f>IF(G414="Y",VLOOKUP(B414&amp;"|"&amp;C414,'[1]ETC Data'!$C$2:$D$16,2,FALSE),0)</f>
        <v>0</v>
      </c>
      <c r="F414" s="52">
        <f>IF(D414="",0,IF(G414="Y",VLOOKUP(B414&amp;"|"&amp;D414,'[1]ETC Data'!$C$2:$D$16,2,FALSE),0))</f>
        <v>0</v>
      </c>
      <c r="G414" s="53" t="str">
        <f>IF(VLOOKUP(A414,[1]Plan!A$1:H$804,8,FALSE)&lt;&gt;"",VLOOKUP(A414,[1]Plan!A$1:H$804,8,FALSE),"")</f>
        <v>N</v>
      </c>
      <c r="H414" s="54" t="str">
        <f>IF(VLOOKUP(A414,[1]Plan!A$1:L$804,12,FALSE)&lt;&gt;"",VLOOKUP(A414,[1]Plan!A$1:L$804,12,FALSE),"")</f>
        <v/>
      </c>
      <c r="I414" s="55" t="str">
        <f>IF(VLOOKUP(A414,[1]Plan!A$1:M$804,13,FALSE)&lt;&gt;"",VLOOKUP(A414,[1]Plan!A$1:M$804,13,FALSE),"")</f>
        <v/>
      </c>
      <c r="J414" s="55" t="str">
        <f>IF(VLOOKUP(A414,[1]Plan!A$1:N$804,14,FALSE)&lt;&gt;"",VLOOKUP(A414,[1]Plan!A$1:N$804,14,FALSE),IF(VLOOKUP(A414,[1]Plan!A$1:O$804,15,FALSE)&lt;&gt;"",VLOOKUP(A414,[1]Plan!A$1:O$804,15,FALSE),""))</f>
        <v/>
      </c>
      <c r="K414" s="56" t="str">
        <f>IF(VLOOKUP(A414,[1]Plan!A$1:P$804,16,FALSE)&lt;&gt;"",VLOOKUP(A414,[1]Plan!A$1:P$804,16,FALSE),"")</f>
        <v/>
      </c>
      <c r="L414" s="55"/>
      <c r="M414" s="55"/>
      <c r="N414" s="55"/>
      <c r="O414" s="57">
        <f>IF(F414=0,E414,F414)</f>
        <v>0</v>
      </c>
      <c r="P414" s="57" t="b">
        <f>OR(H414="Y",I414="Y")</f>
        <v>0</v>
      </c>
      <c r="Q414" s="58">
        <f>IF(P414,O414*'[1]ETC Data'!$H$3*'[1]ETC Data'!$I$3,0)</f>
        <v>0</v>
      </c>
      <c r="R414" s="58">
        <f>Q414-(Q414*((VLOOKUP(A414,[1]Plan!A$1:Z$804,26,FALSE)/100)))</f>
        <v>0</v>
      </c>
      <c r="S414" s="58">
        <f>IF(P414,O414*'[1]ETC Data'!$H$3*'[1]ETC Data'!$J$3,0)</f>
        <v>0</v>
      </c>
      <c r="T414" s="58">
        <f>S414-(S414*((VLOOKUP(A414,[1]Plan!A$1:AA$804,27,FALSE)/100)))</f>
        <v>0</v>
      </c>
      <c r="U414" s="58">
        <f>IF(P414,O414*'[1]ETC Data'!$H$3*'[1]ETC Data'!$K$3,0)</f>
        <v>0</v>
      </c>
      <c r="V414" s="58">
        <f>U414-(U414*((VLOOKUP(A414,[1]Plan!A$1:AB$804,28,FALSE)/100)))</f>
        <v>0</v>
      </c>
      <c r="W414" s="58">
        <f>IF(P414,O414*'[1]ETC Data'!$H$3*'[1]ETC Data'!$L$3,0)</f>
        <v>0</v>
      </c>
      <c r="X414" s="58">
        <f>W414-(W414*((VLOOKUP(A414,[1]Plan!A$1:AC$804,29,FALSE)/100)))</f>
        <v>0</v>
      </c>
      <c r="Y414" s="59"/>
      <c r="Z414" s="60" t="b">
        <f>OR(H414="Y",J414="Y")</f>
        <v>0</v>
      </c>
      <c r="AA414" s="58">
        <f>IF(Z414,O414*'[1]ETC Data'!$H$4*'[1]ETC Data'!$I$4,0)</f>
        <v>0</v>
      </c>
      <c r="AB414" s="58">
        <f>AA414-(AA414*((VLOOKUP(A414,[1]Plan!A$1:AI$804,35,FALSE)/100)))</f>
        <v>0</v>
      </c>
      <c r="AC414" s="58">
        <f>IF(Z414,O414*'[1]ETC Data'!$H$4*'[1]ETC Data'!$J$4,0)</f>
        <v>0</v>
      </c>
      <c r="AD414" s="58">
        <f>AC414-(AC414*((VLOOKUP(A414,[1]Plan!A$1:AJ$804,36,FALSE)/100)))</f>
        <v>0</v>
      </c>
      <c r="AE414" s="58">
        <f>IF(Z414,O414*'[1]ETC Data'!$H$4*'[1]ETC Data'!$K$4,0)</f>
        <v>0</v>
      </c>
      <c r="AF414" s="58">
        <f>AE414-(AE414*((VLOOKUP(A414,[1]Plan!A$1:AK$804,37,FALSE)/100)))</f>
        <v>0</v>
      </c>
      <c r="AG414" s="58">
        <f>IF(Z414,O414*'[1]ETC Data'!$H$4*'[1]ETC Data'!$L$4,0)</f>
        <v>0</v>
      </c>
      <c r="AH414" s="58">
        <f>AG414-(AG414*((VLOOKUP(A414,[1]Plan!A$1:AP$804,42,FALSE)/100)))</f>
        <v>0</v>
      </c>
      <c r="AI414" s="60"/>
      <c r="AJ414" s="60" t="b">
        <f>OR(H414="Y",K414="Y")</f>
        <v>0</v>
      </c>
      <c r="AK414" s="61">
        <f>IF(AJ414,O414*'[1]ETC Data'!$H$5*'[1]ETC Data'!$I$5,0)</f>
        <v>0</v>
      </c>
      <c r="AL414" s="58">
        <f>AK414-(AK414*((VLOOKUP(A414,[1]Plan!A$1:AY$804,51,FALSE)/100)))</f>
        <v>0</v>
      </c>
      <c r="AM414" s="58">
        <f>IF(AJ414,O414*'[1]ETC Data'!$H$5*'[1]ETC Data'!$J$5,0)</f>
        <v>0</v>
      </c>
      <c r="AN414" s="58">
        <f>AM414-(AM414*((VLOOKUP(A414,[1]Plan!A$1:BA$804,53,FALSE)/100)))</f>
        <v>0</v>
      </c>
      <c r="AO414" s="61">
        <f>IF(AJ414,O414*'[1]ETC Data'!$H$5*'[1]ETC Data'!$K$5,0)</f>
        <v>0</v>
      </c>
      <c r="AP414" s="58">
        <f>AO414-(AO414*((VLOOKUP(A414,[1]Plan!A$1:BB$804,54,FALSE)/100)))</f>
        <v>0</v>
      </c>
      <c r="AQ414" s="58">
        <f>IF(AJ414,O414*'[1]ETC Data'!$H$5*'[1]ETC Data'!$L$5,0)</f>
        <v>0</v>
      </c>
      <c r="AR414" s="58">
        <f>AQ414-(AQ414*((VLOOKUP(A414,[1]Plan!A$1:BD$804,56,FALSE)/100)))</f>
        <v>0</v>
      </c>
      <c r="AS414" s="20">
        <f>VLOOKUP(A414,'[1]PR Matrix'!A:B,2,FALSE)</f>
        <v>0</v>
      </c>
      <c r="AT414" s="21">
        <f>R414+T414+V414+X414+AB414+AD414+AF414+AH414+AL414+AN414+AP414+AR414</f>
        <v>0</v>
      </c>
      <c r="AU414" s="21">
        <f>Q414+S414+U414+W414+AA414+AC414+AE414+AG414+AK414+AM414+AO414+AQ414</f>
        <v>0</v>
      </c>
      <c r="AV414" s="21">
        <f>R414+AB414+AL414</f>
        <v>0</v>
      </c>
      <c r="AW414" s="21">
        <f>T414+AD414+AN414</f>
        <v>0</v>
      </c>
      <c r="AX414" s="21">
        <f>V414+AF414+AP414</f>
        <v>0</v>
      </c>
      <c r="AY414" s="21">
        <f>X414+AH414+AR414</f>
        <v>0</v>
      </c>
    </row>
    <row r="415" spans="1:51" hidden="1" x14ac:dyDescent="0.2">
      <c r="A415" s="50" t="s">
        <v>621</v>
      </c>
      <c r="B415" s="51" t="s">
        <v>208</v>
      </c>
      <c r="C415" s="51"/>
      <c r="D415" s="51"/>
      <c r="E415" s="52">
        <f>IF(G415="Y",VLOOKUP(B415&amp;"|"&amp;C415,'[1]ETC Data'!$C$2:$D$16,2,FALSE),0)</f>
        <v>0</v>
      </c>
      <c r="F415" s="52">
        <f>IF(D415="",0,IF(G415="Y",VLOOKUP(B415&amp;"|"&amp;D415,'[1]ETC Data'!$C$2:$D$16,2,FALSE),0))</f>
        <v>0</v>
      </c>
      <c r="G415" s="53" t="str">
        <f>IF(VLOOKUP(A415,[1]Plan!A$1:H$804,8,FALSE)&lt;&gt;"",VLOOKUP(A415,[1]Plan!A$1:H$804,8,FALSE),"")</f>
        <v>N</v>
      </c>
      <c r="H415" s="54" t="str">
        <f>IF(VLOOKUP(A415,[1]Plan!A$1:L$804,12,FALSE)&lt;&gt;"",VLOOKUP(A415,[1]Plan!A$1:L$804,12,FALSE),"")</f>
        <v/>
      </c>
      <c r="I415" s="55" t="str">
        <f>IF(VLOOKUP(A415,[1]Plan!A$1:M$804,13,FALSE)&lt;&gt;"",VLOOKUP(A415,[1]Plan!A$1:M$804,13,FALSE),"")</f>
        <v/>
      </c>
      <c r="J415" s="55" t="str">
        <f>IF(VLOOKUP(A415,[1]Plan!A$1:N$804,14,FALSE)&lt;&gt;"",VLOOKUP(A415,[1]Plan!A$1:N$804,14,FALSE),IF(VLOOKUP(A415,[1]Plan!A$1:O$804,15,FALSE)&lt;&gt;"",VLOOKUP(A415,[1]Plan!A$1:O$804,15,FALSE),""))</f>
        <v/>
      </c>
      <c r="K415" s="56" t="str">
        <f>IF(VLOOKUP(A415,[1]Plan!A$1:P$804,16,FALSE)&lt;&gt;"",VLOOKUP(A415,[1]Plan!A$1:P$804,16,FALSE),"")</f>
        <v/>
      </c>
      <c r="L415" s="55"/>
      <c r="M415" s="55"/>
      <c r="N415" s="55"/>
      <c r="O415" s="57">
        <f>IF(F415=0,E415,F415)</f>
        <v>0</v>
      </c>
      <c r="P415" s="57" t="b">
        <f>OR(H415="Y",I415="Y")</f>
        <v>0</v>
      </c>
      <c r="Q415" s="58">
        <f>IF(P415,O415*'[1]ETC Data'!$H$3*'[1]ETC Data'!$I$3,0)</f>
        <v>0</v>
      </c>
      <c r="R415" s="58">
        <f>Q415-(Q415*((VLOOKUP(A415,[1]Plan!A$1:Z$804,26,FALSE)/100)))</f>
        <v>0</v>
      </c>
      <c r="S415" s="58">
        <f>IF(P415,O415*'[1]ETC Data'!$H$3*'[1]ETC Data'!$J$3,0)</f>
        <v>0</v>
      </c>
      <c r="T415" s="58">
        <f>S415-(S415*((VLOOKUP(A415,[1]Plan!A$1:AA$804,27,FALSE)/100)))</f>
        <v>0</v>
      </c>
      <c r="U415" s="58">
        <f>IF(P415,O415*'[1]ETC Data'!$H$3*'[1]ETC Data'!$K$3,0)</f>
        <v>0</v>
      </c>
      <c r="V415" s="58">
        <f>U415-(U415*((VLOOKUP(A415,[1]Plan!A$1:AB$804,28,FALSE)/100)))</f>
        <v>0</v>
      </c>
      <c r="W415" s="58">
        <f>IF(P415,O415*'[1]ETC Data'!$H$3*'[1]ETC Data'!$L$3,0)</f>
        <v>0</v>
      </c>
      <c r="X415" s="58">
        <f>W415-(W415*((VLOOKUP(A415,[1]Plan!A$1:AC$804,29,FALSE)/100)))</f>
        <v>0</v>
      </c>
      <c r="Y415" s="59"/>
      <c r="Z415" s="60" t="b">
        <f>OR(H415="Y",J415="Y")</f>
        <v>0</v>
      </c>
      <c r="AA415" s="58">
        <f>IF(Z415,O415*'[1]ETC Data'!$H$4*'[1]ETC Data'!$I$4,0)</f>
        <v>0</v>
      </c>
      <c r="AB415" s="58">
        <f>AA415-(AA415*((VLOOKUP(A415,[1]Plan!A$1:AI$804,35,FALSE)/100)))</f>
        <v>0</v>
      </c>
      <c r="AC415" s="58">
        <f>IF(Z415,O415*'[1]ETC Data'!$H$4*'[1]ETC Data'!$J$4,0)</f>
        <v>0</v>
      </c>
      <c r="AD415" s="58">
        <f>AC415-(AC415*((VLOOKUP(A415,[1]Plan!A$1:AJ$804,36,FALSE)/100)))</f>
        <v>0</v>
      </c>
      <c r="AE415" s="58">
        <f>IF(Z415,O415*'[1]ETC Data'!$H$4*'[1]ETC Data'!$K$4,0)</f>
        <v>0</v>
      </c>
      <c r="AF415" s="58">
        <f>AE415-(AE415*((VLOOKUP(A415,[1]Plan!A$1:AK$804,37,FALSE)/100)))</f>
        <v>0</v>
      </c>
      <c r="AG415" s="58">
        <f>IF(Z415,O415*'[1]ETC Data'!$H$4*'[1]ETC Data'!$L$4,0)</f>
        <v>0</v>
      </c>
      <c r="AH415" s="58">
        <f>AG415-(AG415*((VLOOKUP(A415,[1]Plan!A$1:AP$804,42,FALSE)/100)))</f>
        <v>0</v>
      </c>
      <c r="AI415" s="60"/>
      <c r="AJ415" s="60" t="b">
        <f>OR(H415="Y",K415="Y")</f>
        <v>0</v>
      </c>
      <c r="AK415" s="61">
        <f>IF(AJ415,O415*'[1]ETC Data'!$H$5*'[1]ETC Data'!$I$5,0)</f>
        <v>0</v>
      </c>
      <c r="AL415" s="58">
        <f>AK415-(AK415*((VLOOKUP(A415,[1]Plan!A$1:AY$804,51,FALSE)/100)))</f>
        <v>0</v>
      </c>
      <c r="AM415" s="58">
        <f>IF(AJ415,O415*'[1]ETC Data'!$H$5*'[1]ETC Data'!$J$5,0)</f>
        <v>0</v>
      </c>
      <c r="AN415" s="58">
        <f>AM415-(AM415*((VLOOKUP(A415,[1]Plan!A$1:BA$804,53,FALSE)/100)))</f>
        <v>0</v>
      </c>
      <c r="AO415" s="61">
        <f>IF(AJ415,O415*'[1]ETC Data'!$H$5*'[1]ETC Data'!$K$5,0)</f>
        <v>0</v>
      </c>
      <c r="AP415" s="58">
        <f>AO415-(AO415*((VLOOKUP(A415,[1]Plan!A$1:BB$804,54,FALSE)/100)))</f>
        <v>0</v>
      </c>
      <c r="AQ415" s="58">
        <f>IF(AJ415,O415*'[1]ETC Data'!$H$5*'[1]ETC Data'!$L$5,0)</f>
        <v>0</v>
      </c>
      <c r="AR415" s="58">
        <f>AQ415-(AQ415*((VLOOKUP(A415,[1]Plan!A$1:BD$804,56,FALSE)/100)))</f>
        <v>0</v>
      </c>
      <c r="AS415" s="20">
        <f>VLOOKUP(A415,'[1]PR Matrix'!A:B,2,FALSE)</f>
        <v>0</v>
      </c>
      <c r="AT415" s="21">
        <f>R415+T415+V415+X415+AB415+AD415+AF415+AH415+AL415+AN415+AP415+AR415</f>
        <v>0</v>
      </c>
      <c r="AU415" s="21">
        <f>Q415+S415+U415+W415+AA415+AC415+AE415+AG415+AK415+AM415+AO415+AQ415</f>
        <v>0</v>
      </c>
      <c r="AV415" s="21">
        <f>R415+AB415+AL415</f>
        <v>0</v>
      </c>
      <c r="AW415" s="21">
        <f>T415+AD415+AN415</f>
        <v>0</v>
      </c>
      <c r="AX415" s="21">
        <f>V415+AF415+AP415</f>
        <v>0</v>
      </c>
      <c r="AY415" s="21">
        <f>X415+AH415+AR415</f>
        <v>0</v>
      </c>
    </row>
    <row r="416" spans="1:51" hidden="1" x14ac:dyDescent="0.2">
      <c r="A416" s="50" t="s">
        <v>622</v>
      </c>
      <c r="B416" s="51" t="s">
        <v>208</v>
      </c>
      <c r="C416" s="51"/>
      <c r="D416" s="51"/>
      <c r="E416" s="52">
        <f>IF(G416="Y",VLOOKUP(B416&amp;"|"&amp;C416,'[1]ETC Data'!$C$2:$D$16,2,FALSE),0)</f>
        <v>0</v>
      </c>
      <c r="F416" s="52">
        <f>IF(D416="",0,IF(G416="Y",VLOOKUP(B416&amp;"|"&amp;D416,'[1]ETC Data'!$C$2:$D$16,2,FALSE),0))</f>
        <v>0</v>
      </c>
      <c r="G416" s="53" t="str">
        <f>IF(VLOOKUP(A416,[1]Plan!A$1:H$804,8,FALSE)&lt;&gt;"",VLOOKUP(A416,[1]Plan!A$1:H$804,8,FALSE),"")</f>
        <v>N</v>
      </c>
      <c r="H416" s="54" t="str">
        <f>IF(VLOOKUP(A416,[1]Plan!A$1:L$804,12,FALSE)&lt;&gt;"",VLOOKUP(A416,[1]Plan!A$1:L$804,12,FALSE),"")</f>
        <v/>
      </c>
      <c r="I416" s="55" t="str">
        <f>IF(VLOOKUP(A416,[1]Plan!A$1:M$804,13,FALSE)&lt;&gt;"",VLOOKUP(A416,[1]Plan!A$1:M$804,13,FALSE),"")</f>
        <v/>
      </c>
      <c r="J416" s="55" t="str">
        <f>IF(VLOOKUP(A416,[1]Plan!A$1:N$804,14,FALSE)&lt;&gt;"",VLOOKUP(A416,[1]Plan!A$1:N$804,14,FALSE),IF(VLOOKUP(A416,[1]Plan!A$1:O$804,15,FALSE)&lt;&gt;"",VLOOKUP(A416,[1]Plan!A$1:O$804,15,FALSE),""))</f>
        <v/>
      </c>
      <c r="K416" s="56" t="str">
        <f>IF(VLOOKUP(A416,[1]Plan!A$1:P$804,16,FALSE)&lt;&gt;"",VLOOKUP(A416,[1]Plan!A$1:P$804,16,FALSE),"")</f>
        <v/>
      </c>
      <c r="L416" s="55"/>
      <c r="M416" s="55"/>
      <c r="N416" s="55"/>
      <c r="O416" s="57">
        <f>IF(F416=0,E416,F416)</f>
        <v>0</v>
      </c>
      <c r="P416" s="57" t="b">
        <f>OR(H416="Y",I416="Y")</f>
        <v>0</v>
      </c>
      <c r="Q416" s="58">
        <f>IF(P416,O416*'[1]ETC Data'!$H$3*'[1]ETC Data'!$I$3,0)</f>
        <v>0</v>
      </c>
      <c r="R416" s="58">
        <f>Q416-(Q416*((VLOOKUP(A416,[1]Plan!A$1:Z$804,26,FALSE)/100)))</f>
        <v>0</v>
      </c>
      <c r="S416" s="58">
        <f>IF(P416,O416*'[1]ETC Data'!$H$3*'[1]ETC Data'!$J$3,0)</f>
        <v>0</v>
      </c>
      <c r="T416" s="58">
        <f>S416-(S416*((VLOOKUP(A416,[1]Plan!A$1:AA$804,27,FALSE)/100)))</f>
        <v>0</v>
      </c>
      <c r="U416" s="58">
        <f>IF(P416,O416*'[1]ETC Data'!$H$3*'[1]ETC Data'!$K$3,0)</f>
        <v>0</v>
      </c>
      <c r="V416" s="58">
        <f>U416-(U416*((VLOOKUP(A416,[1]Plan!A$1:AB$804,28,FALSE)/100)))</f>
        <v>0</v>
      </c>
      <c r="W416" s="58">
        <f>IF(P416,O416*'[1]ETC Data'!$H$3*'[1]ETC Data'!$L$3,0)</f>
        <v>0</v>
      </c>
      <c r="X416" s="58">
        <f>W416-(W416*((VLOOKUP(A416,[1]Plan!A$1:AC$804,29,FALSE)/100)))</f>
        <v>0</v>
      </c>
      <c r="Y416" s="59"/>
      <c r="Z416" s="60" t="b">
        <f>OR(H416="Y",J416="Y")</f>
        <v>0</v>
      </c>
      <c r="AA416" s="58">
        <f>IF(Z416,O416*'[1]ETC Data'!$H$4*'[1]ETC Data'!$I$4,0)</f>
        <v>0</v>
      </c>
      <c r="AB416" s="58">
        <f>AA416-(AA416*((VLOOKUP(A416,[1]Plan!A$1:AI$804,35,FALSE)/100)))</f>
        <v>0</v>
      </c>
      <c r="AC416" s="58">
        <f>IF(Z416,O416*'[1]ETC Data'!$H$4*'[1]ETC Data'!$J$4,0)</f>
        <v>0</v>
      </c>
      <c r="AD416" s="58">
        <f>AC416-(AC416*((VLOOKUP(A416,[1]Plan!A$1:AJ$804,36,FALSE)/100)))</f>
        <v>0</v>
      </c>
      <c r="AE416" s="58">
        <f>IF(Z416,O416*'[1]ETC Data'!$H$4*'[1]ETC Data'!$K$4,0)</f>
        <v>0</v>
      </c>
      <c r="AF416" s="58">
        <f>AE416-(AE416*((VLOOKUP(A416,[1]Plan!A$1:AK$804,37,FALSE)/100)))</f>
        <v>0</v>
      </c>
      <c r="AG416" s="58">
        <f>IF(Z416,O416*'[1]ETC Data'!$H$4*'[1]ETC Data'!$L$4,0)</f>
        <v>0</v>
      </c>
      <c r="AH416" s="58">
        <f>AG416-(AG416*((VLOOKUP(A416,[1]Plan!A$1:AP$804,42,FALSE)/100)))</f>
        <v>0</v>
      </c>
      <c r="AI416" s="60"/>
      <c r="AJ416" s="60" t="b">
        <f>OR(H416="Y",K416="Y")</f>
        <v>0</v>
      </c>
      <c r="AK416" s="61">
        <f>IF(AJ416,O416*'[1]ETC Data'!$H$5*'[1]ETC Data'!$I$5,0)</f>
        <v>0</v>
      </c>
      <c r="AL416" s="58">
        <f>AK416-(AK416*((VLOOKUP(A416,[1]Plan!A$1:AY$804,51,FALSE)/100)))</f>
        <v>0</v>
      </c>
      <c r="AM416" s="58">
        <f>IF(AJ416,O416*'[1]ETC Data'!$H$5*'[1]ETC Data'!$J$5,0)</f>
        <v>0</v>
      </c>
      <c r="AN416" s="58">
        <f>AM416-(AM416*((VLOOKUP(A416,[1]Plan!A$1:BA$804,53,FALSE)/100)))</f>
        <v>0</v>
      </c>
      <c r="AO416" s="61">
        <f>IF(AJ416,O416*'[1]ETC Data'!$H$5*'[1]ETC Data'!$K$5,0)</f>
        <v>0</v>
      </c>
      <c r="AP416" s="58">
        <f>AO416-(AO416*((VLOOKUP(A416,[1]Plan!A$1:BB$804,54,FALSE)/100)))</f>
        <v>0</v>
      </c>
      <c r="AQ416" s="58">
        <f>IF(AJ416,O416*'[1]ETC Data'!$H$5*'[1]ETC Data'!$L$5,0)</f>
        <v>0</v>
      </c>
      <c r="AR416" s="58">
        <f>AQ416-(AQ416*((VLOOKUP(A416,[1]Plan!A$1:BD$804,56,FALSE)/100)))</f>
        <v>0</v>
      </c>
      <c r="AS416" s="20">
        <f>VLOOKUP(A416,'[1]PR Matrix'!A:B,2,FALSE)</f>
        <v>0</v>
      </c>
      <c r="AT416" s="21">
        <f>R416+T416+V416+X416+AB416+AD416+AF416+AH416+AL416+AN416+AP416+AR416</f>
        <v>0</v>
      </c>
      <c r="AU416" s="21">
        <f>Q416+S416+U416+W416+AA416+AC416+AE416+AG416+AK416+AM416+AO416+AQ416</f>
        <v>0</v>
      </c>
      <c r="AV416" s="21">
        <f>R416+AB416+AL416</f>
        <v>0</v>
      </c>
      <c r="AW416" s="21">
        <f>T416+AD416+AN416</f>
        <v>0</v>
      </c>
      <c r="AX416" s="21">
        <f>V416+AF416+AP416</f>
        <v>0</v>
      </c>
      <c r="AY416" s="21">
        <f>X416+AH416+AR416</f>
        <v>0</v>
      </c>
    </row>
    <row r="417" spans="1:51" hidden="1" x14ac:dyDescent="0.2">
      <c r="A417" s="50" t="s">
        <v>623</v>
      </c>
      <c r="B417" s="51" t="s">
        <v>208</v>
      </c>
      <c r="C417" s="51"/>
      <c r="D417" s="51"/>
      <c r="E417" s="52">
        <f>IF(G417="Y",VLOOKUP(B417&amp;"|"&amp;C417,'[1]ETC Data'!$C$2:$D$16,2,FALSE),0)</f>
        <v>0</v>
      </c>
      <c r="F417" s="52">
        <f>IF(D417="",0,IF(G417="Y",VLOOKUP(B417&amp;"|"&amp;D417,'[1]ETC Data'!$C$2:$D$16,2,FALSE),0))</f>
        <v>0</v>
      </c>
      <c r="G417" s="53" t="str">
        <f>IF(VLOOKUP(A417,[1]Plan!A$1:H$804,8,FALSE)&lt;&gt;"",VLOOKUP(A417,[1]Plan!A$1:H$804,8,FALSE),"")</f>
        <v>N</v>
      </c>
      <c r="H417" s="54" t="str">
        <f>IF(VLOOKUP(A417,[1]Plan!A$1:L$804,12,FALSE)&lt;&gt;"",VLOOKUP(A417,[1]Plan!A$1:L$804,12,FALSE),"")</f>
        <v/>
      </c>
      <c r="I417" s="55" t="str">
        <f>IF(VLOOKUP(A417,[1]Plan!A$1:M$804,13,FALSE)&lt;&gt;"",VLOOKUP(A417,[1]Plan!A$1:M$804,13,FALSE),"")</f>
        <v/>
      </c>
      <c r="J417" s="55" t="str">
        <f>IF(VLOOKUP(A417,[1]Plan!A$1:N$804,14,FALSE)&lt;&gt;"",VLOOKUP(A417,[1]Plan!A$1:N$804,14,FALSE),IF(VLOOKUP(A417,[1]Plan!A$1:O$804,15,FALSE)&lt;&gt;"",VLOOKUP(A417,[1]Plan!A$1:O$804,15,FALSE),""))</f>
        <v/>
      </c>
      <c r="K417" s="56" t="str">
        <f>IF(VLOOKUP(A417,[1]Plan!A$1:P$804,16,FALSE)&lt;&gt;"",VLOOKUP(A417,[1]Plan!A$1:P$804,16,FALSE),"")</f>
        <v/>
      </c>
      <c r="L417" s="55"/>
      <c r="M417" s="55"/>
      <c r="N417" s="55"/>
      <c r="O417" s="57">
        <f>IF(F417=0,E417,F417)</f>
        <v>0</v>
      </c>
      <c r="P417" s="57" t="b">
        <f>OR(H417="Y",I417="Y")</f>
        <v>0</v>
      </c>
      <c r="Q417" s="58">
        <f>IF(P417,O417*'[1]ETC Data'!$H$3*'[1]ETC Data'!$I$3,0)</f>
        <v>0</v>
      </c>
      <c r="R417" s="58">
        <f>Q417-(Q417*((VLOOKUP(A417,[1]Plan!A$1:Z$804,26,FALSE)/100)))</f>
        <v>0</v>
      </c>
      <c r="S417" s="58">
        <f>IF(P417,O417*'[1]ETC Data'!$H$3*'[1]ETC Data'!$J$3,0)</f>
        <v>0</v>
      </c>
      <c r="T417" s="58">
        <f>S417-(S417*((VLOOKUP(A417,[1]Plan!A$1:AA$804,27,FALSE)/100)))</f>
        <v>0</v>
      </c>
      <c r="U417" s="58">
        <f>IF(P417,O417*'[1]ETC Data'!$H$3*'[1]ETC Data'!$K$3,0)</f>
        <v>0</v>
      </c>
      <c r="V417" s="58">
        <f>U417-(U417*((VLOOKUP(A417,[1]Plan!A$1:AB$804,28,FALSE)/100)))</f>
        <v>0</v>
      </c>
      <c r="W417" s="58">
        <f>IF(P417,O417*'[1]ETC Data'!$H$3*'[1]ETC Data'!$L$3,0)</f>
        <v>0</v>
      </c>
      <c r="X417" s="58">
        <f>W417-(W417*((VLOOKUP(A417,[1]Plan!A$1:AC$804,29,FALSE)/100)))</f>
        <v>0</v>
      </c>
      <c r="Y417" s="59"/>
      <c r="Z417" s="60" t="b">
        <f>OR(H417="Y",J417="Y")</f>
        <v>0</v>
      </c>
      <c r="AA417" s="58">
        <f>IF(Z417,O417*'[1]ETC Data'!$H$4*'[1]ETC Data'!$I$4,0)</f>
        <v>0</v>
      </c>
      <c r="AB417" s="58">
        <f>AA417-(AA417*((VLOOKUP(A417,[1]Plan!A$1:AI$804,35,FALSE)/100)))</f>
        <v>0</v>
      </c>
      <c r="AC417" s="58">
        <f>IF(Z417,O417*'[1]ETC Data'!$H$4*'[1]ETC Data'!$J$4,0)</f>
        <v>0</v>
      </c>
      <c r="AD417" s="58">
        <f>AC417-(AC417*((VLOOKUP(A417,[1]Plan!A$1:AJ$804,36,FALSE)/100)))</f>
        <v>0</v>
      </c>
      <c r="AE417" s="58">
        <f>IF(Z417,O417*'[1]ETC Data'!$H$4*'[1]ETC Data'!$K$4,0)</f>
        <v>0</v>
      </c>
      <c r="AF417" s="58">
        <f>AE417-(AE417*((VLOOKUP(A417,[1]Plan!A$1:AK$804,37,FALSE)/100)))</f>
        <v>0</v>
      </c>
      <c r="AG417" s="58">
        <f>IF(Z417,O417*'[1]ETC Data'!$H$4*'[1]ETC Data'!$L$4,0)</f>
        <v>0</v>
      </c>
      <c r="AH417" s="58">
        <f>AG417-(AG417*((VLOOKUP(A417,[1]Plan!A$1:AP$804,42,FALSE)/100)))</f>
        <v>0</v>
      </c>
      <c r="AI417" s="60"/>
      <c r="AJ417" s="60" t="b">
        <f>OR(H417="Y",K417="Y")</f>
        <v>0</v>
      </c>
      <c r="AK417" s="61">
        <f>IF(AJ417,O417*'[1]ETC Data'!$H$5*'[1]ETC Data'!$I$5,0)</f>
        <v>0</v>
      </c>
      <c r="AL417" s="58">
        <f>AK417-(AK417*((VLOOKUP(A417,[1]Plan!A$1:AY$804,51,FALSE)/100)))</f>
        <v>0</v>
      </c>
      <c r="AM417" s="58">
        <f>IF(AJ417,O417*'[1]ETC Data'!$H$5*'[1]ETC Data'!$J$5,0)</f>
        <v>0</v>
      </c>
      <c r="AN417" s="58">
        <f>AM417-(AM417*((VLOOKUP(A417,[1]Plan!A$1:BA$804,53,FALSE)/100)))</f>
        <v>0</v>
      </c>
      <c r="AO417" s="61">
        <f>IF(AJ417,O417*'[1]ETC Data'!$H$5*'[1]ETC Data'!$K$5,0)</f>
        <v>0</v>
      </c>
      <c r="AP417" s="58">
        <f>AO417-(AO417*((VLOOKUP(A417,[1]Plan!A$1:BB$804,54,FALSE)/100)))</f>
        <v>0</v>
      </c>
      <c r="AQ417" s="58">
        <f>IF(AJ417,O417*'[1]ETC Data'!$H$5*'[1]ETC Data'!$L$5,0)</f>
        <v>0</v>
      </c>
      <c r="AR417" s="58">
        <f>AQ417-(AQ417*((VLOOKUP(A417,[1]Plan!A$1:BD$804,56,FALSE)/100)))</f>
        <v>0</v>
      </c>
      <c r="AS417" s="20">
        <f>VLOOKUP(A417,'[1]PR Matrix'!A:B,2,FALSE)</f>
        <v>0</v>
      </c>
      <c r="AT417" s="21">
        <f>R417+T417+V417+X417+AB417+AD417+AF417+AH417+AL417+AN417+AP417+AR417</f>
        <v>0</v>
      </c>
      <c r="AU417" s="21">
        <f>Q417+S417+U417+W417+AA417+AC417+AE417+AG417+AK417+AM417+AO417+AQ417</f>
        <v>0</v>
      </c>
      <c r="AV417" s="21">
        <f>R417+AB417+AL417</f>
        <v>0</v>
      </c>
      <c r="AW417" s="21">
        <f>T417+AD417+AN417</f>
        <v>0</v>
      </c>
      <c r="AX417" s="21">
        <f>V417+AF417+AP417</f>
        <v>0</v>
      </c>
      <c r="AY417" s="21">
        <f>X417+AH417+AR417</f>
        <v>0</v>
      </c>
    </row>
    <row r="418" spans="1:51" hidden="1" x14ac:dyDescent="0.2">
      <c r="A418" s="50" t="s">
        <v>624</v>
      </c>
      <c r="B418" s="51" t="s">
        <v>208</v>
      </c>
      <c r="C418" s="51"/>
      <c r="D418" s="51"/>
      <c r="E418" s="52">
        <f>IF(G418="Y",VLOOKUP(B418&amp;"|"&amp;C418,'[1]ETC Data'!$C$2:$D$16,2,FALSE),0)</f>
        <v>0</v>
      </c>
      <c r="F418" s="52">
        <f>IF(D418="",0,IF(G418="Y",VLOOKUP(B418&amp;"|"&amp;D418,'[1]ETC Data'!$C$2:$D$16,2,FALSE),0))</f>
        <v>0</v>
      </c>
      <c r="G418" s="53" t="str">
        <f>IF(VLOOKUP(A418,[1]Plan!A$1:H$804,8,FALSE)&lt;&gt;"",VLOOKUP(A418,[1]Plan!A$1:H$804,8,FALSE),"")</f>
        <v>N</v>
      </c>
      <c r="H418" s="54" t="str">
        <f>IF(VLOOKUP(A418,[1]Plan!A$1:L$804,12,FALSE)&lt;&gt;"",VLOOKUP(A418,[1]Plan!A$1:L$804,12,FALSE),"")</f>
        <v/>
      </c>
      <c r="I418" s="55" t="str">
        <f>IF(VLOOKUP(A418,[1]Plan!A$1:M$804,13,FALSE)&lt;&gt;"",VLOOKUP(A418,[1]Plan!A$1:M$804,13,FALSE),"")</f>
        <v/>
      </c>
      <c r="J418" s="55" t="str">
        <f>IF(VLOOKUP(A418,[1]Plan!A$1:N$804,14,FALSE)&lt;&gt;"",VLOOKUP(A418,[1]Plan!A$1:N$804,14,FALSE),IF(VLOOKUP(A418,[1]Plan!A$1:O$804,15,FALSE)&lt;&gt;"",VLOOKUP(A418,[1]Plan!A$1:O$804,15,FALSE),""))</f>
        <v/>
      </c>
      <c r="K418" s="56" t="str">
        <f>IF(VLOOKUP(A418,[1]Plan!A$1:P$804,16,FALSE)&lt;&gt;"",VLOOKUP(A418,[1]Plan!A$1:P$804,16,FALSE),"")</f>
        <v/>
      </c>
      <c r="L418" s="55"/>
      <c r="M418" s="55"/>
      <c r="N418" s="55"/>
      <c r="O418" s="57">
        <f>IF(F418=0,E418,F418)</f>
        <v>0</v>
      </c>
      <c r="P418" s="57" t="b">
        <f>OR(H418="Y",I418="Y")</f>
        <v>0</v>
      </c>
      <c r="Q418" s="58">
        <f>IF(P418,O418*'[1]ETC Data'!$H$3*'[1]ETC Data'!$I$3,0)</f>
        <v>0</v>
      </c>
      <c r="R418" s="58">
        <f>Q418-(Q418*((VLOOKUP(A418,[1]Plan!A$1:Z$804,26,FALSE)/100)))</f>
        <v>0</v>
      </c>
      <c r="S418" s="58">
        <f>IF(P418,O418*'[1]ETC Data'!$H$3*'[1]ETC Data'!$J$3,0)</f>
        <v>0</v>
      </c>
      <c r="T418" s="58">
        <f>S418-(S418*((VLOOKUP(A418,[1]Plan!A$1:AA$804,27,FALSE)/100)))</f>
        <v>0</v>
      </c>
      <c r="U418" s="58">
        <f>IF(P418,O418*'[1]ETC Data'!$H$3*'[1]ETC Data'!$K$3,0)</f>
        <v>0</v>
      </c>
      <c r="V418" s="58">
        <f>U418-(U418*((VLOOKUP(A418,[1]Plan!A$1:AB$804,28,FALSE)/100)))</f>
        <v>0</v>
      </c>
      <c r="W418" s="58">
        <f>IF(P418,O418*'[1]ETC Data'!$H$3*'[1]ETC Data'!$L$3,0)</f>
        <v>0</v>
      </c>
      <c r="X418" s="58">
        <f>W418-(W418*((VLOOKUP(A418,[1]Plan!A$1:AC$804,29,FALSE)/100)))</f>
        <v>0</v>
      </c>
      <c r="Y418" s="59"/>
      <c r="Z418" s="60" t="b">
        <f>OR(H418="Y",J418="Y")</f>
        <v>0</v>
      </c>
      <c r="AA418" s="58">
        <f>IF(Z418,O418*'[1]ETC Data'!$H$4*'[1]ETC Data'!$I$4,0)</f>
        <v>0</v>
      </c>
      <c r="AB418" s="58">
        <f>AA418-(AA418*((VLOOKUP(A418,[1]Plan!A$1:AI$804,35,FALSE)/100)))</f>
        <v>0</v>
      </c>
      <c r="AC418" s="58">
        <f>IF(Z418,O418*'[1]ETC Data'!$H$4*'[1]ETC Data'!$J$4,0)</f>
        <v>0</v>
      </c>
      <c r="AD418" s="58">
        <f>AC418-(AC418*((VLOOKUP(A418,[1]Plan!A$1:AJ$804,36,FALSE)/100)))</f>
        <v>0</v>
      </c>
      <c r="AE418" s="58">
        <f>IF(Z418,O418*'[1]ETC Data'!$H$4*'[1]ETC Data'!$K$4,0)</f>
        <v>0</v>
      </c>
      <c r="AF418" s="58">
        <f>AE418-(AE418*((VLOOKUP(A418,[1]Plan!A$1:AK$804,37,FALSE)/100)))</f>
        <v>0</v>
      </c>
      <c r="AG418" s="58">
        <f>IF(Z418,O418*'[1]ETC Data'!$H$4*'[1]ETC Data'!$L$4,0)</f>
        <v>0</v>
      </c>
      <c r="AH418" s="58">
        <f>AG418-(AG418*((VLOOKUP(A418,[1]Plan!A$1:AP$804,42,FALSE)/100)))</f>
        <v>0</v>
      </c>
      <c r="AI418" s="60"/>
      <c r="AJ418" s="60" t="b">
        <f>OR(H418="Y",K418="Y")</f>
        <v>0</v>
      </c>
      <c r="AK418" s="61">
        <f>IF(AJ418,O418*'[1]ETC Data'!$H$5*'[1]ETC Data'!$I$5,0)</f>
        <v>0</v>
      </c>
      <c r="AL418" s="58">
        <f>AK418-(AK418*((VLOOKUP(A418,[1]Plan!A$1:AY$804,51,FALSE)/100)))</f>
        <v>0</v>
      </c>
      <c r="AM418" s="58">
        <f>IF(AJ418,O418*'[1]ETC Data'!$H$5*'[1]ETC Data'!$J$5,0)</f>
        <v>0</v>
      </c>
      <c r="AN418" s="58">
        <f>AM418-(AM418*((VLOOKUP(A418,[1]Plan!A$1:BA$804,53,FALSE)/100)))</f>
        <v>0</v>
      </c>
      <c r="AO418" s="61">
        <f>IF(AJ418,O418*'[1]ETC Data'!$H$5*'[1]ETC Data'!$K$5,0)</f>
        <v>0</v>
      </c>
      <c r="AP418" s="58">
        <f>AO418-(AO418*((VLOOKUP(A418,[1]Plan!A$1:BB$804,54,FALSE)/100)))</f>
        <v>0</v>
      </c>
      <c r="AQ418" s="58">
        <f>IF(AJ418,O418*'[1]ETC Data'!$H$5*'[1]ETC Data'!$L$5,0)</f>
        <v>0</v>
      </c>
      <c r="AR418" s="58">
        <f>AQ418-(AQ418*((VLOOKUP(A418,[1]Plan!A$1:BD$804,56,FALSE)/100)))</f>
        <v>0</v>
      </c>
      <c r="AS418" s="20">
        <f>VLOOKUP(A418,'[1]PR Matrix'!A:B,2,FALSE)</f>
        <v>0</v>
      </c>
      <c r="AT418" s="21">
        <f>R418+T418+V418+X418+AB418+AD418+AF418+AH418+AL418+AN418+AP418+AR418</f>
        <v>0</v>
      </c>
      <c r="AU418" s="21">
        <f>Q418+S418+U418+W418+AA418+AC418+AE418+AG418+AK418+AM418+AO418+AQ418</f>
        <v>0</v>
      </c>
      <c r="AV418" s="21">
        <f>R418+AB418+AL418</f>
        <v>0</v>
      </c>
      <c r="AW418" s="21">
        <f>T418+AD418+AN418</f>
        <v>0</v>
      </c>
      <c r="AX418" s="21">
        <f>V418+AF418+AP418</f>
        <v>0</v>
      </c>
      <c r="AY418" s="21">
        <f>X418+AH418+AR418</f>
        <v>0</v>
      </c>
    </row>
    <row r="419" spans="1:51" x14ac:dyDescent="0.2">
      <c r="A419" s="50" t="s">
        <v>516</v>
      </c>
      <c r="B419" s="51" t="s">
        <v>208</v>
      </c>
      <c r="C419" s="51" t="s">
        <v>208</v>
      </c>
      <c r="D419" s="51"/>
      <c r="E419" s="63">
        <f>IF(G419="Y",VLOOKUP(B419&amp;"|"&amp;C419,'[1]ETC Data'!$C$2:$D$16,2,FALSE),0)</f>
        <v>104</v>
      </c>
      <c r="F419" s="63">
        <f>IF(D419="",0,IF(G419="Y",VLOOKUP(B419&amp;"|"&amp;D419,'[1]ETC Data'!$C$2:$D$16,2,FALSE),0))</f>
        <v>0</v>
      </c>
      <c r="G419" s="53" t="str">
        <f>IF(VLOOKUP(A419,[1]Plan!A$1:H$804,8,FALSE)&lt;&gt;"",VLOOKUP(A419,[1]Plan!A$1:H$804,8,FALSE),"")</f>
        <v>Y</v>
      </c>
      <c r="H419" s="54" t="str">
        <f>IF(VLOOKUP(A419,[1]Plan!A$1:L$804,12,FALSE)&lt;&gt;"",VLOOKUP(A419,[1]Plan!A$1:L$804,12,FALSE),"")</f>
        <v/>
      </c>
      <c r="I419" s="55" t="str">
        <f>IF(VLOOKUP(A419,[1]Plan!A$1:M$804,13,FALSE)&lt;&gt;"",VLOOKUP(A419,[1]Plan!A$1:M$804,13,FALSE),"")</f>
        <v/>
      </c>
      <c r="J419" s="55" t="str">
        <f>IF(VLOOKUP(A419,[1]Plan!A$1:N$804,14,FALSE)&lt;&gt;"",VLOOKUP(A419,[1]Plan!A$1:N$804,14,FALSE),IF(VLOOKUP(A419,[1]Plan!A$1:O$804,15,FALSE)&lt;&gt;"",VLOOKUP(A419,[1]Plan!A$1:O$804,15,FALSE),""))</f>
        <v>Y</v>
      </c>
      <c r="K419" s="56" t="str">
        <f>IF(VLOOKUP(A419,[1]Plan!A$1:P$804,16,FALSE)&lt;&gt;"",VLOOKUP(A419,[1]Plan!A$1:P$804,16,FALSE),"")</f>
        <v>Y</v>
      </c>
      <c r="L419" s="55"/>
      <c r="M419" s="55"/>
      <c r="N419" s="55"/>
      <c r="O419" s="57">
        <f>IF(F419=0,E419,F419)</f>
        <v>104</v>
      </c>
      <c r="P419" s="57" t="b">
        <f>OR(H419="Y",I419="Y")</f>
        <v>0</v>
      </c>
      <c r="Q419" s="58">
        <f>IF(P419,O419*'[1]ETC Data'!$H$3*'[1]ETC Data'!$I$3,0)</f>
        <v>0</v>
      </c>
      <c r="R419" s="58">
        <f>Q419-(Q419*((VLOOKUP(A419,[1]Plan!A$1:Z$804,26,FALSE)/100)))</f>
        <v>0</v>
      </c>
      <c r="S419" s="58">
        <f>IF(P419,O419*'[1]ETC Data'!$H$3*'[1]ETC Data'!$J$3,0)</f>
        <v>0</v>
      </c>
      <c r="T419" s="58">
        <f>S419-(S419*((VLOOKUP(A419,[1]Plan!A$1:AA$804,27,FALSE)/100)))</f>
        <v>0</v>
      </c>
      <c r="U419" s="58">
        <f>IF(P419,O419*'[1]ETC Data'!$H$3*'[1]ETC Data'!$K$3,0)</f>
        <v>0</v>
      </c>
      <c r="V419" s="58">
        <f>U419-(U419*((VLOOKUP(A419,[1]Plan!A$1:AB$804,28,FALSE)/100)))</f>
        <v>0</v>
      </c>
      <c r="W419" s="58">
        <f>IF(P419,O419*'[1]ETC Data'!$H$3*'[1]ETC Data'!$L$3,0)</f>
        <v>0</v>
      </c>
      <c r="X419" s="58">
        <f>W419-(W419*((VLOOKUP(A419,[1]Plan!A$1:AC$804,29,FALSE)/100)))</f>
        <v>0</v>
      </c>
      <c r="Y419" s="59"/>
      <c r="Z419" s="60" t="b">
        <f>OR(H419="Y",J419="Y")</f>
        <v>1</v>
      </c>
      <c r="AA419" s="58">
        <f>IF(Z419,O419*'[1]ETC Data'!$H$4*'[1]ETC Data'!$I$4,0)</f>
        <v>25.377291972430161</v>
      </c>
      <c r="AB419" s="58">
        <f>AA419-(AA419*((VLOOKUP(A419,[1]Plan!A$1:AI$804,35,FALSE)/100)))</f>
        <v>0</v>
      </c>
      <c r="AC419" s="58">
        <f>IF(Z419,O419*'[1]ETC Data'!$H$4*'[1]ETC Data'!$J$4,0)</f>
        <v>12.68864598621508</v>
      </c>
      <c r="AD419" s="58">
        <f>AC419-(AC419*((VLOOKUP(A419,[1]Plan!A$1:AJ$804,36,FALSE)/100)))</f>
        <v>0</v>
      </c>
      <c r="AE419" s="58">
        <f>IF(Z419,O419*'[1]ETC Data'!$H$4*'[1]ETC Data'!$K$4,0)</f>
        <v>9.1358251100748582</v>
      </c>
      <c r="AF419" s="58">
        <f>AE419-(AE419*((VLOOKUP(A419,[1]Plan!A$1:AK$804,37,FALSE)/100)))</f>
        <v>0</v>
      </c>
      <c r="AG419" s="58">
        <f>IF(Z419,O419*'[1]ETC Data'!$H$4*'[1]ETC Data'!$L$4,0)</f>
        <v>3.5528208761402227</v>
      </c>
      <c r="AH419" s="58">
        <f>AG419-(AG419*((VLOOKUP(A419,[1]Plan!A$1:AP$804,42,FALSE)/100)))</f>
        <v>0</v>
      </c>
      <c r="AI419" s="60"/>
      <c r="AJ419" s="60" t="b">
        <f>OR(H419="Y",K419="Y")</f>
        <v>1</v>
      </c>
      <c r="AK419" s="61">
        <f>IF(AJ419,O419*'[1]ETC Data'!$H$5*'[1]ETC Data'!$I$5,0)</f>
        <v>12.953342253401749</v>
      </c>
      <c r="AL419" s="58">
        <f>AK419-(AK419*((VLOOKUP(A419,[1]Plan!A$1:AY$804,51,FALSE)/100)))</f>
        <v>0</v>
      </c>
      <c r="AM419" s="58">
        <f>IF(AJ419,O419*'[1]ETC Data'!$H$5*'[1]ETC Data'!$J$5,0)</f>
        <v>6.4766711267008743</v>
      </c>
      <c r="AN419" s="58">
        <f>AM419-(AM419*((VLOOKUP(A419,[1]Plan!A$1:BA$804,53,FALSE)/100)))</f>
        <v>0</v>
      </c>
      <c r="AO419" s="61">
        <f>IF(AJ419,O419*'[1]ETC Data'!$H$5*'[1]ETC Data'!$K$5,0)</f>
        <v>4.6632032112246291</v>
      </c>
      <c r="AP419" s="58">
        <f>AO419-(AO419*((VLOOKUP(A419,[1]Plan!A$1:BB$804,54,FALSE)/100)))</f>
        <v>0</v>
      </c>
      <c r="AQ419" s="58">
        <f>IF(AJ419,O419*'[1]ETC Data'!$H$5*'[1]ETC Data'!$L$5,0)</f>
        <v>1.813467915476245</v>
      </c>
      <c r="AR419" s="58">
        <f>AQ419-(AQ419*((VLOOKUP(A419,[1]Plan!A$1:BD$804,56,FALSE)/100)))</f>
        <v>0</v>
      </c>
      <c r="AS419" s="20">
        <f>VLOOKUP(A419,'[1]PR Matrix'!A:B,2,FALSE)</f>
        <v>6230</v>
      </c>
      <c r="AT419" s="21">
        <f>R419+T419+V419+X419+AB419+AD419+AF419+AH419+AL419+AN419+AP419+AR419</f>
        <v>0</v>
      </c>
      <c r="AU419" s="21">
        <f>Q419+S419+U419+W419+AA419+AC419+AE419+AG419+AK419+AM419+AO419+AQ419</f>
        <v>76.661268451663815</v>
      </c>
      <c r="AV419" s="21">
        <f>R419+AB419+AL419</f>
        <v>0</v>
      </c>
      <c r="AW419" s="21">
        <f>T419+AD419+AN419</f>
        <v>0</v>
      </c>
      <c r="AX419" s="21">
        <f>V419+AF419+AP419</f>
        <v>0</v>
      </c>
      <c r="AY419" s="21">
        <f>X419+AH419+AR419</f>
        <v>0</v>
      </c>
    </row>
    <row r="420" spans="1:51" hidden="1" x14ac:dyDescent="0.2">
      <c r="A420" s="50" t="s">
        <v>626</v>
      </c>
      <c r="B420" s="51" t="s">
        <v>208</v>
      </c>
      <c r="C420" s="51"/>
      <c r="D420" s="51"/>
      <c r="E420" s="52">
        <f>IF(G420="Y",VLOOKUP(B420&amp;"|"&amp;C420,'[1]ETC Data'!$C$2:$D$16,2,FALSE),0)</f>
        <v>0</v>
      </c>
      <c r="F420" s="52">
        <f>IF(D420="",0,IF(G420="Y",VLOOKUP(B420&amp;"|"&amp;D420,'[1]ETC Data'!$C$2:$D$16,2,FALSE),0))</f>
        <v>0</v>
      </c>
      <c r="G420" s="53" t="str">
        <f>IF(VLOOKUP(A420,[1]Plan!A$1:H$804,8,FALSE)&lt;&gt;"",VLOOKUP(A420,[1]Plan!A$1:H$804,8,FALSE),"")</f>
        <v>N</v>
      </c>
      <c r="H420" s="54" t="str">
        <f>IF(VLOOKUP(A420,[1]Plan!A$1:L$804,12,FALSE)&lt;&gt;"",VLOOKUP(A420,[1]Plan!A$1:L$804,12,FALSE),"")</f>
        <v/>
      </c>
      <c r="I420" s="55" t="str">
        <f>IF(VLOOKUP(A420,[1]Plan!A$1:M$804,13,FALSE)&lt;&gt;"",VLOOKUP(A420,[1]Plan!A$1:M$804,13,FALSE),"")</f>
        <v/>
      </c>
      <c r="J420" s="55" t="str">
        <f>IF(VLOOKUP(A420,[1]Plan!A$1:N$804,14,FALSE)&lt;&gt;"",VLOOKUP(A420,[1]Plan!A$1:N$804,14,FALSE),IF(VLOOKUP(A420,[1]Plan!A$1:O$804,15,FALSE)&lt;&gt;"",VLOOKUP(A420,[1]Plan!A$1:O$804,15,FALSE),""))</f>
        <v/>
      </c>
      <c r="K420" s="56" t="str">
        <f>IF(VLOOKUP(A420,[1]Plan!A$1:P$804,16,FALSE)&lt;&gt;"",VLOOKUP(A420,[1]Plan!A$1:P$804,16,FALSE),"")</f>
        <v/>
      </c>
      <c r="L420" s="55"/>
      <c r="M420" s="55"/>
      <c r="N420" s="55"/>
      <c r="O420" s="57">
        <f t="shared" ref="O387:O450" si="10">IF(F420=0,E420,F420)</f>
        <v>0</v>
      </c>
      <c r="P420" s="57" t="b">
        <f t="shared" ref="P388:P451" si="11">OR(H420="Y",I420="Y")</f>
        <v>0</v>
      </c>
      <c r="Q420" s="58">
        <f>IF(P420,O420*'[1]ETC Data'!$H$3*'[1]ETC Data'!$I$3,0)</f>
        <v>0</v>
      </c>
      <c r="R420" s="58">
        <f>Q420-(Q420*((VLOOKUP(A420,[1]Plan!A$1:Z$804,26,FALSE)/100)))</f>
        <v>0</v>
      </c>
      <c r="S420" s="58">
        <f>IF(P420,O420*'[1]ETC Data'!$H$3*'[1]ETC Data'!$J$3,0)</f>
        <v>0</v>
      </c>
      <c r="T420" s="58">
        <f>S420-(S420*((VLOOKUP(A420,[1]Plan!A$1:AA$804,27,FALSE)/100)))</f>
        <v>0</v>
      </c>
      <c r="U420" s="58">
        <f>IF(P420,O420*'[1]ETC Data'!$H$3*'[1]ETC Data'!$K$3,0)</f>
        <v>0</v>
      </c>
      <c r="V420" s="58">
        <f>U420-(U420*((VLOOKUP(A420,[1]Plan!A$1:AB$804,28,FALSE)/100)))</f>
        <v>0</v>
      </c>
      <c r="W420" s="58">
        <f>IF(P420,O420*'[1]ETC Data'!$H$3*'[1]ETC Data'!$L$3,0)</f>
        <v>0</v>
      </c>
      <c r="X420" s="58">
        <f>W420-(W420*((VLOOKUP(A420,[1]Plan!A$1:AC$804,29,FALSE)/100)))</f>
        <v>0</v>
      </c>
      <c r="Y420" s="59"/>
      <c r="Z420" s="60" t="b">
        <f t="shared" ref="Z387:Z450" si="12">OR(H420="Y",J420="Y")</f>
        <v>0</v>
      </c>
      <c r="AA420" s="58">
        <f>IF(Z420,O420*'[1]ETC Data'!$H$4*'[1]ETC Data'!$I$4,0)</f>
        <v>0</v>
      </c>
      <c r="AB420" s="58">
        <f>AA420-(AA420*((VLOOKUP(A420,[1]Plan!A$1:AI$804,35,FALSE)/100)))</f>
        <v>0</v>
      </c>
      <c r="AC420" s="58">
        <f>IF(Z420,O420*'[1]ETC Data'!$H$4*'[1]ETC Data'!$J$4,0)</f>
        <v>0</v>
      </c>
      <c r="AD420" s="58">
        <f>AC420-(AC420*((VLOOKUP(A420,[1]Plan!A$1:AJ$804,36,FALSE)/100)))</f>
        <v>0</v>
      </c>
      <c r="AE420" s="58">
        <f>IF(Z420,O420*'[1]ETC Data'!$H$4*'[1]ETC Data'!$K$4,0)</f>
        <v>0</v>
      </c>
      <c r="AF420" s="58">
        <f>AE420-(AE420*((VLOOKUP(A420,[1]Plan!A$1:AK$804,37,FALSE)/100)))</f>
        <v>0</v>
      </c>
      <c r="AG420" s="58">
        <f>IF(Z420,O420*'[1]ETC Data'!$H$4*'[1]ETC Data'!$L$4,0)</f>
        <v>0</v>
      </c>
      <c r="AH420" s="58">
        <f>AG420-(AG420*((VLOOKUP(A420,[1]Plan!A$1:AP$804,42,FALSE)/100)))</f>
        <v>0</v>
      </c>
      <c r="AI420" s="60"/>
      <c r="AJ420" s="60" t="b">
        <f t="shared" ref="AJ387:AJ450" si="13">OR(H420="Y",K420="Y")</f>
        <v>0</v>
      </c>
      <c r="AK420" s="61">
        <f>IF(AJ420,O420*'[1]ETC Data'!$H$5*'[1]ETC Data'!$I$5,0)</f>
        <v>0</v>
      </c>
      <c r="AL420" s="58">
        <f>AK420-(AK420*((VLOOKUP(A420,[1]Plan!A$1:AY$804,51,FALSE)/100)))</f>
        <v>0</v>
      </c>
      <c r="AM420" s="58">
        <f>IF(AJ420,O420*'[1]ETC Data'!$H$5*'[1]ETC Data'!$J$5,0)</f>
        <v>0</v>
      </c>
      <c r="AN420" s="58">
        <f>AM420-(AM420*((VLOOKUP(A420,[1]Plan!A$1:BA$804,53,FALSE)/100)))</f>
        <v>0</v>
      </c>
      <c r="AO420" s="61">
        <f>IF(AJ420,O420*'[1]ETC Data'!$H$5*'[1]ETC Data'!$K$5,0)</f>
        <v>0</v>
      </c>
      <c r="AP420" s="58">
        <f>AO420-(AO420*((VLOOKUP(A420,[1]Plan!A$1:BB$804,54,FALSE)/100)))</f>
        <v>0</v>
      </c>
      <c r="AQ420" s="58">
        <f>IF(AJ420,O420*'[1]ETC Data'!$H$5*'[1]ETC Data'!$L$5,0)</f>
        <v>0</v>
      </c>
      <c r="AR420" s="58">
        <f>AQ420-(AQ420*((VLOOKUP(A420,[1]Plan!A$1:BD$804,56,FALSE)/100)))</f>
        <v>0</v>
      </c>
      <c r="AS420" s="20">
        <f>VLOOKUP(A420,'[1]PR Matrix'!A:B,2,FALSE)</f>
        <v>0</v>
      </c>
      <c r="AT420" s="21">
        <f t="shared" ref="AT387:AT450" si="14">R420+T420+V420+X420+AB420+AD420+AF420+AH420+AL420+AN420+AP420+AR420</f>
        <v>0</v>
      </c>
      <c r="AU420" s="21">
        <f t="shared" ref="AU388:AU451" si="15">Q420+S420+U420+W420+AA420+AC420+AE420+AG420+AK420+AM420+AO420+AQ420</f>
        <v>0</v>
      </c>
      <c r="AV420" s="21">
        <f t="shared" ref="AV388:AV451" si="16">R420+AB420+AL420</f>
        <v>0</v>
      </c>
      <c r="AW420" s="21">
        <f t="shared" ref="AW388:AW451" si="17">T420+AD420+AN420</f>
        <v>0</v>
      </c>
      <c r="AX420" s="21">
        <f t="shared" ref="AX388:AX451" si="18">V420+AF420+AP420</f>
        <v>0</v>
      </c>
      <c r="AY420" s="21">
        <f t="shared" ref="AY388:AY451" si="19">X420+AH420+AR420</f>
        <v>0</v>
      </c>
    </row>
    <row r="421" spans="1:51" hidden="1" x14ac:dyDescent="0.2">
      <c r="A421" s="50" t="s">
        <v>627</v>
      </c>
      <c r="B421" s="51" t="s">
        <v>208</v>
      </c>
      <c r="C421" s="51"/>
      <c r="D421" s="51"/>
      <c r="E421" s="52">
        <f>IF(G421="Y",VLOOKUP(B421&amp;"|"&amp;C421,'[1]ETC Data'!$C$2:$D$16,2,FALSE),0)</f>
        <v>0</v>
      </c>
      <c r="F421" s="52">
        <f>IF(D421="",0,IF(G421="Y",VLOOKUP(B421&amp;"|"&amp;D421,'[1]ETC Data'!$C$2:$D$16,2,FALSE),0))</f>
        <v>0</v>
      </c>
      <c r="G421" s="53" t="str">
        <f>IF(VLOOKUP(A421,[1]Plan!A$1:H$804,8,FALSE)&lt;&gt;"",VLOOKUP(A421,[1]Plan!A$1:H$804,8,FALSE),"")</f>
        <v>N</v>
      </c>
      <c r="H421" s="54" t="str">
        <f>IF(VLOOKUP(A421,[1]Plan!A$1:L$804,12,FALSE)&lt;&gt;"",VLOOKUP(A421,[1]Plan!A$1:L$804,12,FALSE),"")</f>
        <v/>
      </c>
      <c r="I421" s="55" t="str">
        <f>IF(VLOOKUP(A421,[1]Plan!A$1:M$804,13,FALSE)&lt;&gt;"",VLOOKUP(A421,[1]Plan!A$1:M$804,13,FALSE),"")</f>
        <v/>
      </c>
      <c r="J421" s="55" t="str">
        <f>IF(VLOOKUP(A421,[1]Plan!A$1:N$804,14,FALSE)&lt;&gt;"",VLOOKUP(A421,[1]Plan!A$1:N$804,14,FALSE),IF(VLOOKUP(A421,[1]Plan!A$1:O$804,15,FALSE)&lt;&gt;"",VLOOKUP(A421,[1]Plan!A$1:O$804,15,FALSE),""))</f>
        <v/>
      </c>
      <c r="K421" s="56" t="str">
        <f>IF(VLOOKUP(A421,[1]Plan!A$1:P$804,16,FALSE)&lt;&gt;"",VLOOKUP(A421,[1]Plan!A$1:P$804,16,FALSE),"")</f>
        <v/>
      </c>
      <c r="L421" s="55"/>
      <c r="M421" s="55"/>
      <c r="N421" s="55"/>
      <c r="O421" s="57">
        <f t="shared" si="10"/>
        <v>0</v>
      </c>
      <c r="P421" s="57" t="b">
        <f t="shared" si="11"/>
        <v>0</v>
      </c>
      <c r="Q421" s="58">
        <f>IF(P421,O421*'[1]ETC Data'!$H$3*'[1]ETC Data'!$I$3,0)</f>
        <v>0</v>
      </c>
      <c r="R421" s="58">
        <f>Q421-(Q421*((VLOOKUP(A421,[1]Plan!A$1:Z$804,26,FALSE)/100)))</f>
        <v>0</v>
      </c>
      <c r="S421" s="58">
        <f>IF(P421,O421*'[1]ETC Data'!$H$3*'[1]ETC Data'!$J$3,0)</f>
        <v>0</v>
      </c>
      <c r="T421" s="58">
        <f>S421-(S421*((VLOOKUP(A421,[1]Plan!A$1:AA$804,27,FALSE)/100)))</f>
        <v>0</v>
      </c>
      <c r="U421" s="58">
        <f>IF(P421,O421*'[1]ETC Data'!$H$3*'[1]ETC Data'!$K$3,0)</f>
        <v>0</v>
      </c>
      <c r="V421" s="58">
        <f>U421-(U421*((VLOOKUP(A421,[1]Plan!A$1:AB$804,28,FALSE)/100)))</f>
        <v>0</v>
      </c>
      <c r="W421" s="58">
        <f>IF(P421,O421*'[1]ETC Data'!$H$3*'[1]ETC Data'!$L$3,0)</f>
        <v>0</v>
      </c>
      <c r="X421" s="58">
        <f>W421-(W421*((VLOOKUP(A421,[1]Plan!A$1:AC$804,29,FALSE)/100)))</f>
        <v>0</v>
      </c>
      <c r="Y421" s="59"/>
      <c r="Z421" s="60" t="b">
        <f t="shared" si="12"/>
        <v>0</v>
      </c>
      <c r="AA421" s="58">
        <f>IF(Z421,O421*'[1]ETC Data'!$H$4*'[1]ETC Data'!$I$4,0)</f>
        <v>0</v>
      </c>
      <c r="AB421" s="58">
        <f>AA421-(AA421*((VLOOKUP(A421,[1]Plan!A$1:AI$804,35,FALSE)/100)))</f>
        <v>0</v>
      </c>
      <c r="AC421" s="58">
        <f>IF(Z421,O421*'[1]ETC Data'!$H$4*'[1]ETC Data'!$J$4,0)</f>
        <v>0</v>
      </c>
      <c r="AD421" s="58">
        <f>AC421-(AC421*((VLOOKUP(A421,[1]Plan!A$1:AJ$804,36,FALSE)/100)))</f>
        <v>0</v>
      </c>
      <c r="AE421" s="58">
        <f>IF(Z421,O421*'[1]ETC Data'!$H$4*'[1]ETC Data'!$K$4,0)</f>
        <v>0</v>
      </c>
      <c r="AF421" s="58">
        <f>AE421-(AE421*((VLOOKUP(A421,[1]Plan!A$1:AK$804,37,FALSE)/100)))</f>
        <v>0</v>
      </c>
      <c r="AG421" s="58">
        <f>IF(Z421,O421*'[1]ETC Data'!$H$4*'[1]ETC Data'!$L$4,0)</f>
        <v>0</v>
      </c>
      <c r="AH421" s="58">
        <f>AG421-(AG421*((VLOOKUP(A421,[1]Plan!A$1:AP$804,42,FALSE)/100)))</f>
        <v>0</v>
      </c>
      <c r="AI421" s="60"/>
      <c r="AJ421" s="60" t="b">
        <f t="shared" si="13"/>
        <v>0</v>
      </c>
      <c r="AK421" s="61">
        <f>IF(AJ421,O421*'[1]ETC Data'!$H$5*'[1]ETC Data'!$I$5,0)</f>
        <v>0</v>
      </c>
      <c r="AL421" s="58">
        <f>AK421-(AK421*((VLOOKUP(A421,[1]Plan!A$1:AY$804,51,FALSE)/100)))</f>
        <v>0</v>
      </c>
      <c r="AM421" s="58">
        <f>IF(AJ421,O421*'[1]ETC Data'!$H$5*'[1]ETC Data'!$J$5,0)</f>
        <v>0</v>
      </c>
      <c r="AN421" s="58">
        <f>AM421-(AM421*((VLOOKUP(A421,[1]Plan!A$1:BA$804,53,FALSE)/100)))</f>
        <v>0</v>
      </c>
      <c r="AO421" s="61">
        <f>IF(AJ421,O421*'[1]ETC Data'!$H$5*'[1]ETC Data'!$K$5,0)</f>
        <v>0</v>
      </c>
      <c r="AP421" s="58">
        <f>AO421-(AO421*((VLOOKUP(A421,[1]Plan!A$1:BB$804,54,FALSE)/100)))</f>
        <v>0</v>
      </c>
      <c r="AQ421" s="58">
        <f>IF(AJ421,O421*'[1]ETC Data'!$H$5*'[1]ETC Data'!$L$5,0)</f>
        <v>0</v>
      </c>
      <c r="AR421" s="58">
        <f>AQ421-(AQ421*((VLOOKUP(A421,[1]Plan!A$1:BD$804,56,FALSE)/100)))</f>
        <v>0</v>
      </c>
      <c r="AS421" s="20">
        <f>VLOOKUP(A421,'[1]PR Matrix'!A:B,2,FALSE)</f>
        <v>0</v>
      </c>
      <c r="AT421" s="21">
        <f t="shared" si="14"/>
        <v>0</v>
      </c>
      <c r="AU421" s="21">
        <f t="shared" si="15"/>
        <v>0</v>
      </c>
      <c r="AV421" s="21">
        <f t="shared" si="16"/>
        <v>0</v>
      </c>
      <c r="AW421" s="21">
        <f t="shared" si="17"/>
        <v>0</v>
      </c>
      <c r="AX421" s="21">
        <f t="shared" si="18"/>
        <v>0</v>
      </c>
      <c r="AY421" s="21">
        <f t="shared" si="19"/>
        <v>0</v>
      </c>
    </row>
    <row r="422" spans="1:51" hidden="1" x14ac:dyDescent="0.2">
      <c r="A422" s="50" t="s">
        <v>628</v>
      </c>
      <c r="B422" s="51" t="s">
        <v>208</v>
      </c>
      <c r="C422" s="51"/>
      <c r="D422" s="51"/>
      <c r="E422" s="52">
        <f>IF(G422="Y",VLOOKUP(B422&amp;"|"&amp;C422,'[1]ETC Data'!$C$2:$D$16,2,FALSE),0)</f>
        <v>0</v>
      </c>
      <c r="F422" s="52">
        <f>IF(D422="",0,IF(G422="Y",VLOOKUP(B422&amp;"|"&amp;D422,'[1]ETC Data'!$C$2:$D$16,2,FALSE),0))</f>
        <v>0</v>
      </c>
      <c r="G422" s="53" t="str">
        <f>IF(VLOOKUP(A422,[1]Plan!A$1:H$804,8,FALSE)&lt;&gt;"",VLOOKUP(A422,[1]Plan!A$1:H$804,8,FALSE),"")</f>
        <v>N</v>
      </c>
      <c r="H422" s="54" t="str">
        <f>IF(VLOOKUP(A422,[1]Plan!A$1:L$804,12,FALSE)&lt;&gt;"",VLOOKUP(A422,[1]Plan!A$1:L$804,12,FALSE),"")</f>
        <v/>
      </c>
      <c r="I422" s="55" t="str">
        <f>IF(VLOOKUP(A422,[1]Plan!A$1:M$804,13,FALSE)&lt;&gt;"",VLOOKUP(A422,[1]Plan!A$1:M$804,13,FALSE),"")</f>
        <v/>
      </c>
      <c r="J422" s="55" t="str">
        <f>IF(VLOOKUP(A422,[1]Plan!A$1:N$804,14,FALSE)&lt;&gt;"",VLOOKUP(A422,[1]Plan!A$1:N$804,14,FALSE),IF(VLOOKUP(A422,[1]Plan!A$1:O$804,15,FALSE)&lt;&gt;"",VLOOKUP(A422,[1]Plan!A$1:O$804,15,FALSE),""))</f>
        <v/>
      </c>
      <c r="K422" s="56" t="str">
        <f>IF(VLOOKUP(A422,[1]Plan!A$1:P$804,16,FALSE)&lt;&gt;"",VLOOKUP(A422,[1]Plan!A$1:P$804,16,FALSE),"")</f>
        <v/>
      </c>
      <c r="L422" s="55"/>
      <c r="M422" s="55"/>
      <c r="N422" s="55"/>
      <c r="O422" s="57">
        <f t="shared" si="10"/>
        <v>0</v>
      </c>
      <c r="P422" s="57" t="b">
        <f t="shared" si="11"/>
        <v>0</v>
      </c>
      <c r="Q422" s="58">
        <f>IF(P422,O422*'[1]ETC Data'!$H$3*'[1]ETC Data'!$I$3,0)</f>
        <v>0</v>
      </c>
      <c r="R422" s="58">
        <f>Q422-(Q422*((VLOOKUP(A422,[1]Plan!A$1:Z$804,26,FALSE)/100)))</f>
        <v>0</v>
      </c>
      <c r="S422" s="58">
        <f>IF(P422,O422*'[1]ETC Data'!$H$3*'[1]ETC Data'!$J$3,0)</f>
        <v>0</v>
      </c>
      <c r="T422" s="58">
        <f>S422-(S422*((VLOOKUP(A422,[1]Plan!A$1:AA$804,27,FALSE)/100)))</f>
        <v>0</v>
      </c>
      <c r="U422" s="58">
        <f>IF(P422,O422*'[1]ETC Data'!$H$3*'[1]ETC Data'!$K$3,0)</f>
        <v>0</v>
      </c>
      <c r="V422" s="58">
        <f>U422-(U422*((VLOOKUP(A422,[1]Plan!A$1:AB$804,28,FALSE)/100)))</f>
        <v>0</v>
      </c>
      <c r="W422" s="58">
        <f>IF(P422,O422*'[1]ETC Data'!$H$3*'[1]ETC Data'!$L$3,0)</f>
        <v>0</v>
      </c>
      <c r="X422" s="58">
        <f>W422-(W422*((VLOOKUP(A422,[1]Plan!A$1:AC$804,29,FALSE)/100)))</f>
        <v>0</v>
      </c>
      <c r="Y422" s="59"/>
      <c r="Z422" s="60" t="b">
        <f t="shared" si="12"/>
        <v>0</v>
      </c>
      <c r="AA422" s="58">
        <f>IF(Z422,O422*'[1]ETC Data'!$H$4*'[1]ETC Data'!$I$4,0)</f>
        <v>0</v>
      </c>
      <c r="AB422" s="58">
        <f>AA422-(AA422*((VLOOKUP(A422,[1]Plan!A$1:AI$804,35,FALSE)/100)))</f>
        <v>0</v>
      </c>
      <c r="AC422" s="58">
        <f>IF(Z422,O422*'[1]ETC Data'!$H$4*'[1]ETC Data'!$J$4,0)</f>
        <v>0</v>
      </c>
      <c r="AD422" s="58">
        <f>AC422-(AC422*((VLOOKUP(A422,[1]Plan!A$1:AJ$804,36,FALSE)/100)))</f>
        <v>0</v>
      </c>
      <c r="AE422" s="58">
        <f>IF(Z422,O422*'[1]ETC Data'!$H$4*'[1]ETC Data'!$K$4,0)</f>
        <v>0</v>
      </c>
      <c r="AF422" s="58">
        <f>AE422-(AE422*((VLOOKUP(A422,[1]Plan!A$1:AK$804,37,FALSE)/100)))</f>
        <v>0</v>
      </c>
      <c r="AG422" s="58">
        <f>IF(Z422,O422*'[1]ETC Data'!$H$4*'[1]ETC Data'!$L$4,0)</f>
        <v>0</v>
      </c>
      <c r="AH422" s="58">
        <f>AG422-(AG422*((VLOOKUP(A422,[1]Plan!A$1:AP$804,42,FALSE)/100)))</f>
        <v>0</v>
      </c>
      <c r="AI422" s="60"/>
      <c r="AJ422" s="60" t="b">
        <f t="shared" si="13"/>
        <v>0</v>
      </c>
      <c r="AK422" s="61">
        <f>IF(AJ422,O422*'[1]ETC Data'!$H$5*'[1]ETC Data'!$I$5,0)</f>
        <v>0</v>
      </c>
      <c r="AL422" s="58">
        <f>AK422-(AK422*((VLOOKUP(A422,[1]Plan!A$1:AY$804,51,FALSE)/100)))</f>
        <v>0</v>
      </c>
      <c r="AM422" s="58">
        <f>IF(AJ422,O422*'[1]ETC Data'!$H$5*'[1]ETC Data'!$J$5,0)</f>
        <v>0</v>
      </c>
      <c r="AN422" s="58">
        <f>AM422-(AM422*((VLOOKUP(A422,[1]Plan!A$1:BA$804,53,FALSE)/100)))</f>
        <v>0</v>
      </c>
      <c r="AO422" s="61">
        <f>IF(AJ422,O422*'[1]ETC Data'!$H$5*'[1]ETC Data'!$K$5,0)</f>
        <v>0</v>
      </c>
      <c r="AP422" s="58">
        <f>AO422-(AO422*((VLOOKUP(A422,[1]Plan!A$1:BB$804,54,FALSE)/100)))</f>
        <v>0</v>
      </c>
      <c r="AQ422" s="58">
        <f>IF(AJ422,O422*'[1]ETC Data'!$H$5*'[1]ETC Data'!$L$5,0)</f>
        <v>0</v>
      </c>
      <c r="AR422" s="58">
        <f>AQ422-(AQ422*((VLOOKUP(A422,[1]Plan!A$1:BD$804,56,FALSE)/100)))</f>
        <v>0</v>
      </c>
      <c r="AS422" s="20">
        <f>VLOOKUP(A422,'[1]PR Matrix'!A:B,2,FALSE)</f>
        <v>0</v>
      </c>
      <c r="AT422" s="21">
        <f t="shared" si="14"/>
        <v>0</v>
      </c>
      <c r="AU422" s="21">
        <f t="shared" si="15"/>
        <v>0</v>
      </c>
      <c r="AV422" s="21">
        <f t="shared" si="16"/>
        <v>0</v>
      </c>
      <c r="AW422" s="21">
        <f t="shared" si="17"/>
        <v>0</v>
      </c>
      <c r="AX422" s="21">
        <f t="shared" si="18"/>
        <v>0</v>
      </c>
      <c r="AY422" s="21">
        <f t="shared" si="19"/>
        <v>0</v>
      </c>
    </row>
    <row r="423" spans="1:51" hidden="1" x14ac:dyDescent="0.2">
      <c r="A423" s="50" t="s">
        <v>629</v>
      </c>
      <c r="B423" s="51" t="s">
        <v>208</v>
      </c>
      <c r="C423" s="51"/>
      <c r="D423" s="51"/>
      <c r="E423" s="52">
        <f>IF(G423="Y",VLOOKUP(B423&amp;"|"&amp;C423,'[1]ETC Data'!$C$2:$D$16,2,FALSE),0)</f>
        <v>0</v>
      </c>
      <c r="F423" s="52">
        <f>IF(D423="",0,IF(G423="Y",VLOOKUP(B423&amp;"|"&amp;D423,'[1]ETC Data'!$C$2:$D$16,2,FALSE),0))</f>
        <v>0</v>
      </c>
      <c r="G423" s="53" t="str">
        <f>IF(VLOOKUP(A423,[1]Plan!A$1:H$804,8,FALSE)&lt;&gt;"",VLOOKUP(A423,[1]Plan!A$1:H$804,8,FALSE),"")</f>
        <v>N</v>
      </c>
      <c r="H423" s="54" t="str">
        <f>IF(VLOOKUP(A423,[1]Plan!A$1:L$804,12,FALSE)&lt;&gt;"",VLOOKUP(A423,[1]Plan!A$1:L$804,12,FALSE),"")</f>
        <v/>
      </c>
      <c r="I423" s="55" t="str">
        <f>IF(VLOOKUP(A423,[1]Plan!A$1:M$804,13,FALSE)&lt;&gt;"",VLOOKUP(A423,[1]Plan!A$1:M$804,13,FALSE),"")</f>
        <v/>
      </c>
      <c r="J423" s="55" t="str">
        <f>IF(VLOOKUP(A423,[1]Plan!A$1:N$804,14,FALSE)&lt;&gt;"",VLOOKUP(A423,[1]Plan!A$1:N$804,14,FALSE),IF(VLOOKUP(A423,[1]Plan!A$1:O$804,15,FALSE)&lt;&gt;"",VLOOKUP(A423,[1]Plan!A$1:O$804,15,FALSE),""))</f>
        <v/>
      </c>
      <c r="K423" s="56" t="str">
        <f>IF(VLOOKUP(A423,[1]Plan!A$1:P$804,16,FALSE)&lt;&gt;"",VLOOKUP(A423,[1]Plan!A$1:P$804,16,FALSE),"")</f>
        <v/>
      </c>
      <c r="L423" s="55"/>
      <c r="M423" s="55"/>
      <c r="N423" s="55"/>
      <c r="O423" s="57">
        <f t="shared" si="10"/>
        <v>0</v>
      </c>
      <c r="P423" s="57" t="b">
        <f t="shared" si="11"/>
        <v>0</v>
      </c>
      <c r="Q423" s="58">
        <f>IF(P423,O423*'[1]ETC Data'!$H$3*'[1]ETC Data'!$I$3,0)</f>
        <v>0</v>
      </c>
      <c r="R423" s="58">
        <f>Q423-(Q423*((VLOOKUP(A423,[1]Plan!A$1:Z$804,26,FALSE)/100)))</f>
        <v>0</v>
      </c>
      <c r="S423" s="58">
        <f>IF(P423,O423*'[1]ETC Data'!$H$3*'[1]ETC Data'!$J$3,0)</f>
        <v>0</v>
      </c>
      <c r="T423" s="58">
        <f>S423-(S423*((VLOOKUP(A423,[1]Plan!A$1:AA$804,27,FALSE)/100)))</f>
        <v>0</v>
      </c>
      <c r="U423" s="58">
        <f>IF(P423,O423*'[1]ETC Data'!$H$3*'[1]ETC Data'!$K$3,0)</f>
        <v>0</v>
      </c>
      <c r="V423" s="58">
        <f>U423-(U423*((VLOOKUP(A423,[1]Plan!A$1:AB$804,28,FALSE)/100)))</f>
        <v>0</v>
      </c>
      <c r="W423" s="58">
        <f>IF(P423,O423*'[1]ETC Data'!$H$3*'[1]ETC Data'!$L$3,0)</f>
        <v>0</v>
      </c>
      <c r="X423" s="58">
        <f>W423-(W423*((VLOOKUP(A423,[1]Plan!A$1:AC$804,29,FALSE)/100)))</f>
        <v>0</v>
      </c>
      <c r="Y423" s="59"/>
      <c r="Z423" s="60" t="b">
        <f t="shared" si="12"/>
        <v>0</v>
      </c>
      <c r="AA423" s="58">
        <f>IF(Z423,O423*'[1]ETC Data'!$H$4*'[1]ETC Data'!$I$4,0)</f>
        <v>0</v>
      </c>
      <c r="AB423" s="58">
        <f>AA423-(AA423*((VLOOKUP(A423,[1]Plan!A$1:AI$804,35,FALSE)/100)))</f>
        <v>0</v>
      </c>
      <c r="AC423" s="58">
        <f>IF(Z423,O423*'[1]ETC Data'!$H$4*'[1]ETC Data'!$J$4,0)</f>
        <v>0</v>
      </c>
      <c r="AD423" s="58">
        <f>AC423-(AC423*((VLOOKUP(A423,[1]Plan!A$1:AJ$804,36,FALSE)/100)))</f>
        <v>0</v>
      </c>
      <c r="AE423" s="58">
        <f>IF(Z423,O423*'[1]ETC Data'!$H$4*'[1]ETC Data'!$K$4,0)</f>
        <v>0</v>
      </c>
      <c r="AF423" s="58">
        <f>AE423-(AE423*((VLOOKUP(A423,[1]Plan!A$1:AK$804,37,FALSE)/100)))</f>
        <v>0</v>
      </c>
      <c r="AG423" s="58">
        <f>IF(Z423,O423*'[1]ETC Data'!$H$4*'[1]ETC Data'!$L$4,0)</f>
        <v>0</v>
      </c>
      <c r="AH423" s="58">
        <f>AG423-(AG423*((VLOOKUP(A423,[1]Plan!A$1:AP$804,42,FALSE)/100)))</f>
        <v>0</v>
      </c>
      <c r="AI423" s="60"/>
      <c r="AJ423" s="60" t="b">
        <f t="shared" si="13"/>
        <v>0</v>
      </c>
      <c r="AK423" s="61">
        <f>IF(AJ423,O423*'[1]ETC Data'!$H$5*'[1]ETC Data'!$I$5,0)</f>
        <v>0</v>
      </c>
      <c r="AL423" s="58">
        <f>AK423-(AK423*((VLOOKUP(A423,[1]Plan!A$1:AY$804,51,FALSE)/100)))</f>
        <v>0</v>
      </c>
      <c r="AM423" s="58">
        <f>IF(AJ423,O423*'[1]ETC Data'!$H$5*'[1]ETC Data'!$J$5,0)</f>
        <v>0</v>
      </c>
      <c r="AN423" s="58">
        <f>AM423-(AM423*((VLOOKUP(A423,[1]Plan!A$1:BA$804,53,FALSE)/100)))</f>
        <v>0</v>
      </c>
      <c r="AO423" s="61">
        <f>IF(AJ423,O423*'[1]ETC Data'!$H$5*'[1]ETC Data'!$K$5,0)</f>
        <v>0</v>
      </c>
      <c r="AP423" s="58">
        <f>AO423-(AO423*((VLOOKUP(A423,[1]Plan!A$1:BB$804,54,FALSE)/100)))</f>
        <v>0</v>
      </c>
      <c r="AQ423" s="58">
        <f>IF(AJ423,O423*'[1]ETC Data'!$H$5*'[1]ETC Data'!$L$5,0)</f>
        <v>0</v>
      </c>
      <c r="AR423" s="58">
        <f>AQ423-(AQ423*((VLOOKUP(A423,[1]Plan!A$1:BD$804,56,FALSE)/100)))</f>
        <v>0</v>
      </c>
      <c r="AS423" s="20">
        <f>VLOOKUP(A423,'[1]PR Matrix'!A:B,2,FALSE)</f>
        <v>0</v>
      </c>
      <c r="AT423" s="21">
        <f t="shared" si="14"/>
        <v>0</v>
      </c>
      <c r="AU423" s="21">
        <f t="shared" si="15"/>
        <v>0</v>
      </c>
      <c r="AV423" s="21">
        <f t="shared" si="16"/>
        <v>0</v>
      </c>
      <c r="AW423" s="21">
        <f t="shared" si="17"/>
        <v>0</v>
      </c>
      <c r="AX423" s="21">
        <f t="shared" si="18"/>
        <v>0</v>
      </c>
      <c r="AY423" s="21">
        <f t="shared" si="19"/>
        <v>0</v>
      </c>
    </row>
    <row r="424" spans="1:51" hidden="1" x14ac:dyDescent="0.2">
      <c r="A424" s="50" t="s">
        <v>630</v>
      </c>
      <c r="B424" s="51" t="s">
        <v>208</v>
      </c>
      <c r="C424" s="51"/>
      <c r="D424" s="51"/>
      <c r="E424" s="52">
        <f>IF(G424="Y",VLOOKUP(B424&amp;"|"&amp;C424,'[1]ETC Data'!$C$2:$D$16,2,FALSE),0)</f>
        <v>0</v>
      </c>
      <c r="F424" s="52">
        <f>IF(D424="",0,IF(G424="Y",VLOOKUP(B424&amp;"|"&amp;D424,'[1]ETC Data'!$C$2:$D$16,2,FALSE),0))</f>
        <v>0</v>
      </c>
      <c r="G424" s="53" t="str">
        <f>IF(VLOOKUP(A424,[1]Plan!A$1:H$804,8,FALSE)&lt;&gt;"",VLOOKUP(A424,[1]Plan!A$1:H$804,8,FALSE),"")</f>
        <v>N</v>
      </c>
      <c r="H424" s="54" t="str">
        <f>IF(VLOOKUP(A424,[1]Plan!A$1:L$804,12,FALSE)&lt;&gt;"",VLOOKUP(A424,[1]Plan!A$1:L$804,12,FALSE),"")</f>
        <v/>
      </c>
      <c r="I424" s="55" t="str">
        <f>IF(VLOOKUP(A424,[1]Plan!A$1:M$804,13,FALSE)&lt;&gt;"",VLOOKUP(A424,[1]Plan!A$1:M$804,13,FALSE),"")</f>
        <v/>
      </c>
      <c r="J424" s="55" t="str">
        <f>IF(VLOOKUP(A424,[1]Plan!A$1:N$804,14,FALSE)&lt;&gt;"",VLOOKUP(A424,[1]Plan!A$1:N$804,14,FALSE),IF(VLOOKUP(A424,[1]Plan!A$1:O$804,15,FALSE)&lt;&gt;"",VLOOKUP(A424,[1]Plan!A$1:O$804,15,FALSE),""))</f>
        <v/>
      </c>
      <c r="K424" s="56" t="str">
        <f>IF(VLOOKUP(A424,[1]Plan!A$1:P$804,16,FALSE)&lt;&gt;"",VLOOKUP(A424,[1]Plan!A$1:P$804,16,FALSE),"")</f>
        <v/>
      </c>
      <c r="L424" s="55"/>
      <c r="M424" s="55"/>
      <c r="N424" s="55"/>
      <c r="O424" s="57">
        <f t="shared" si="10"/>
        <v>0</v>
      </c>
      <c r="P424" s="57" t="b">
        <f t="shared" si="11"/>
        <v>0</v>
      </c>
      <c r="Q424" s="58">
        <f>IF(P424,O424*'[1]ETC Data'!$H$3*'[1]ETC Data'!$I$3,0)</f>
        <v>0</v>
      </c>
      <c r="R424" s="58">
        <f>Q424-(Q424*((VLOOKUP(A424,[1]Plan!A$1:Z$804,26,FALSE)/100)))</f>
        <v>0</v>
      </c>
      <c r="S424" s="58">
        <f>IF(P424,O424*'[1]ETC Data'!$H$3*'[1]ETC Data'!$J$3,0)</f>
        <v>0</v>
      </c>
      <c r="T424" s="58">
        <f>S424-(S424*((VLOOKUP(A424,[1]Plan!A$1:AA$804,27,FALSE)/100)))</f>
        <v>0</v>
      </c>
      <c r="U424" s="58">
        <f>IF(P424,O424*'[1]ETC Data'!$H$3*'[1]ETC Data'!$K$3,0)</f>
        <v>0</v>
      </c>
      <c r="V424" s="58">
        <f>U424-(U424*((VLOOKUP(A424,[1]Plan!A$1:AB$804,28,FALSE)/100)))</f>
        <v>0</v>
      </c>
      <c r="W424" s="58">
        <f>IF(P424,O424*'[1]ETC Data'!$H$3*'[1]ETC Data'!$L$3,0)</f>
        <v>0</v>
      </c>
      <c r="X424" s="58">
        <f>W424-(W424*((VLOOKUP(A424,[1]Plan!A$1:AC$804,29,FALSE)/100)))</f>
        <v>0</v>
      </c>
      <c r="Y424" s="59"/>
      <c r="Z424" s="60" t="b">
        <f t="shared" si="12"/>
        <v>0</v>
      </c>
      <c r="AA424" s="58">
        <f>IF(Z424,O424*'[1]ETC Data'!$H$4*'[1]ETC Data'!$I$4,0)</f>
        <v>0</v>
      </c>
      <c r="AB424" s="58">
        <f>AA424-(AA424*((VLOOKUP(A424,[1]Plan!A$1:AI$804,35,FALSE)/100)))</f>
        <v>0</v>
      </c>
      <c r="AC424" s="58">
        <f>IF(Z424,O424*'[1]ETC Data'!$H$4*'[1]ETC Data'!$J$4,0)</f>
        <v>0</v>
      </c>
      <c r="AD424" s="58">
        <f>AC424-(AC424*((VLOOKUP(A424,[1]Plan!A$1:AJ$804,36,FALSE)/100)))</f>
        <v>0</v>
      </c>
      <c r="AE424" s="58">
        <f>IF(Z424,O424*'[1]ETC Data'!$H$4*'[1]ETC Data'!$K$4,0)</f>
        <v>0</v>
      </c>
      <c r="AF424" s="58">
        <f>AE424-(AE424*((VLOOKUP(A424,[1]Plan!A$1:AK$804,37,FALSE)/100)))</f>
        <v>0</v>
      </c>
      <c r="AG424" s="58">
        <f>IF(Z424,O424*'[1]ETC Data'!$H$4*'[1]ETC Data'!$L$4,0)</f>
        <v>0</v>
      </c>
      <c r="AH424" s="58">
        <f>AG424-(AG424*((VLOOKUP(A424,[1]Plan!A$1:AP$804,42,FALSE)/100)))</f>
        <v>0</v>
      </c>
      <c r="AI424" s="60"/>
      <c r="AJ424" s="60" t="b">
        <f t="shared" si="13"/>
        <v>0</v>
      </c>
      <c r="AK424" s="61">
        <f>IF(AJ424,O424*'[1]ETC Data'!$H$5*'[1]ETC Data'!$I$5,0)</f>
        <v>0</v>
      </c>
      <c r="AL424" s="58">
        <f>AK424-(AK424*((VLOOKUP(A424,[1]Plan!A$1:AY$804,51,FALSE)/100)))</f>
        <v>0</v>
      </c>
      <c r="AM424" s="58">
        <f>IF(AJ424,O424*'[1]ETC Data'!$H$5*'[1]ETC Data'!$J$5,0)</f>
        <v>0</v>
      </c>
      <c r="AN424" s="58">
        <f>AM424-(AM424*((VLOOKUP(A424,[1]Plan!A$1:BA$804,53,FALSE)/100)))</f>
        <v>0</v>
      </c>
      <c r="AO424" s="61">
        <f>IF(AJ424,O424*'[1]ETC Data'!$H$5*'[1]ETC Data'!$K$5,0)</f>
        <v>0</v>
      </c>
      <c r="AP424" s="58">
        <f>AO424-(AO424*((VLOOKUP(A424,[1]Plan!A$1:BB$804,54,FALSE)/100)))</f>
        <v>0</v>
      </c>
      <c r="AQ424" s="58">
        <f>IF(AJ424,O424*'[1]ETC Data'!$H$5*'[1]ETC Data'!$L$5,0)</f>
        <v>0</v>
      </c>
      <c r="AR424" s="58">
        <f>AQ424-(AQ424*((VLOOKUP(A424,[1]Plan!A$1:BD$804,56,FALSE)/100)))</f>
        <v>0</v>
      </c>
      <c r="AS424" s="20">
        <f>VLOOKUP(A424,'[1]PR Matrix'!A:B,2,FALSE)</f>
        <v>0</v>
      </c>
      <c r="AT424" s="21">
        <f t="shared" si="14"/>
        <v>0</v>
      </c>
      <c r="AU424" s="21">
        <f t="shared" si="15"/>
        <v>0</v>
      </c>
      <c r="AV424" s="21">
        <f t="shared" si="16"/>
        <v>0</v>
      </c>
      <c r="AW424" s="21">
        <f t="shared" si="17"/>
        <v>0</v>
      </c>
      <c r="AX424" s="21">
        <f t="shared" si="18"/>
        <v>0</v>
      </c>
      <c r="AY424" s="21">
        <f t="shared" si="19"/>
        <v>0</v>
      </c>
    </row>
    <row r="425" spans="1:51" hidden="1" x14ac:dyDescent="0.2">
      <c r="A425" s="50" t="s">
        <v>631</v>
      </c>
      <c r="B425" s="51" t="s">
        <v>208</v>
      </c>
      <c r="C425" s="51"/>
      <c r="D425" s="51"/>
      <c r="E425" s="52">
        <f>IF(G425="Y",VLOOKUP(B425&amp;"|"&amp;C425,'[1]ETC Data'!$C$2:$D$16,2,FALSE),0)</f>
        <v>0</v>
      </c>
      <c r="F425" s="52">
        <f>IF(D425="",0,IF(G425="Y",VLOOKUP(B425&amp;"|"&amp;D425,'[1]ETC Data'!$C$2:$D$16,2,FALSE),0))</f>
        <v>0</v>
      </c>
      <c r="G425" s="53" t="str">
        <f>IF(VLOOKUP(A425,[1]Plan!A$1:H$804,8,FALSE)&lt;&gt;"",VLOOKUP(A425,[1]Plan!A$1:H$804,8,FALSE),"")</f>
        <v>N</v>
      </c>
      <c r="H425" s="54" t="str">
        <f>IF(VLOOKUP(A425,[1]Plan!A$1:L$804,12,FALSE)&lt;&gt;"",VLOOKUP(A425,[1]Plan!A$1:L$804,12,FALSE),"")</f>
        <v/>
      </c>
      <c r="I425" s="55" t="str">
        <f>IF(VLOOKUP(A425,[1]Plan!A$1:M$804,13,FALSE)&lt;&gt;"",VLOOKUP(A425,[1]Plan!A$1:M$804,13,FALSE),"")</f>
        <v/>
      </c>
      <c r="J425" s="55" t="str">
        <f>IF(VLOOKUP(A425,[1]Plan!A$1:N$804,14,FALSE)&lt;&gt;"",VLOOKUP(A425,[1]Plan!A$1:N$804,14,FALSE),IF(VLOOKUP(A425,[1]Plan!A$1:O$804,15,FALSE)&lt;&gt;"",VLOOKUP(A425,[1]Plan!A$1:O$804,15,FALSE),""))</f>
        <v/>
      </c>
      <c r="K425" s="56" t="str">
        <f>IF(VLOOKUP(A425,[1]Plan!A$1:P$804,16,FALSE)&lt;&gt;"",VLOOKUP(A425,[1]Plan!A$1:P$804,16,FALSE),"")</f>
        <v/>
      </c>
      <c r="L425" s="55"/>
      <c r="M425" s="55"/>
      <c r="N425" s="55"/>
      <c r="O425" s="57">
        <f t="shared" si="10"/>
        <v>0</v>
      </c>
      <c r="P425" s="57" t="b">
        <f t="shared" si="11"/>
        <v>0</v>
      </c>
      <c r="Q425" s="58">
        <f>IF(P425,O425*'[1]ETC Data'!$H$3*'[1]ETC Data'!$I$3,0)</f>
        <v>0</v>
      </c>
      <c r="R425" s="58">
        <f>Q425-(Q425*((VLOOKUP(A425,[1]Plan!A$1:Z$804,26,FALSE)/100)))</f>
        <v>0</v>
      </c>
      <c r="S425" s="58">
        <f>IF(P425,O425*'[1]ETC Data'!$H$3*'[1]ETC Data'!$J$3,0)</f>
        <v>0</v>
      </c>
      <c r="T425" s="58">
        <f>S425-(S425*((VLOOKUP(A425,[1]Plan!A$1:AA$804,27,FALSE)/100)))</f>
        <v>0</v>
      </c>
      <c r="U425" s="58">
        <f>IF(P425,O425*'[1]ETC Data'!$H$3*'[1]ETC Data'!$K$3,0)</f>
        <v>0</v>
      </c>
      <c r="V425" s="58">
        <f>U425-(U425*((VLOOKUP(A425,[1]Plan!A$1:AB$804,28,FALSE)/100)))</f>
        <v>0</v>
      </c>
      <c r="W425" s="58">
        <f>IF(P425,O425*'[1]ETC Data'!$H$3*'[1]ETC Data'!$L$3,0)</f>
        <v>0</v>
      </c>
      <c r="X425" s="58">
        <f>W425-(W425*((VLOOKUP(A425,[1]Plan!A$1:AC$804,29,FALSE)/100)))</f>
        <v>0</v>
      </c>
      <c r="Y425" s="59"/>
      <c r="Z425" s="60" t="b">
        <f t="shared" si="12"/>
        <v>0</v>
      </c>
      <c r="AA425" s="58">
        <f>IF(Z425,O425*'[1]ETC Data'!$H$4*'[1]ETC Data'!$I$4,0)</f>
        <v>0</v>
      </c>
      <c r="AB425" s="58">
        <f>AA425-(AA425*((VLOOKUP(A425,[1]Plan!A$1:AI$804,35,FALSE)/100)))</f>
        <v>0</v>
      </c>
      <c r="AC425" s="58">
        <f>IF(Z425,O425*'[1]ETC Data'!$H$4*'[1]ETC Data'!$J$4,0)</f>
        <v>0</v>
      </c>
      <c r="AD425" s="58">
        <f>AC425-(AC425*((VLOOKUP(A425,[1]Plan!A$1:AJ$804,36,FALSE)/100)))</f>
        <v>0</v>
      </c>
      <c r="AE425" s="58">
        <f>IF(Z425,O425*'[1]ETC Data'!$H$4*'[1]ETC Data'!$K$4,0)</f>
        <v>0</v>
      </c>
      <c r="AF425" s="58">
        <f>AE425-(AE425*((VLOOKUP(A425,[1]Plan!A$1:AK$804,37,FALSE)/100)))</f>
        <v>0</v>
      </c>
      <c r="AG425" s="58">
        <f>IF(Z425,O425*'[1]ETC Data'!$H$4*'[1]ETC Data'!$L$4,0)</f>
        <v>0</v>
      </c>
      <c r="AH425" s="58">
        <f>AG425-(AG425*((VLOOKUP(A425,[1]Plan!A$1:AP$804,42,FALSE)/100)))</f>
        <v>0</v>
      </c>
      <c r="AI425" s="60"/>
      <c r="AJ425" s="60" t="b">
        <f t="shared" si="13"/>
        <v>0</v>
      </c>
      <c r="AK425" s="61">
        <f>IF(AJ425,O425*'[1]ETC Data'!$H$5*'[1]ETC Data'!$I$5,0)</f>
        <v>0</v>
      </c>
      <c r="AL425" s="58">
        <f>AK425-(AK425*((VLOOKUP(A425,[1]Plan!A$1:AY$804,51,FALSE)/100)))</f>
        <v>0</v>
      </c>
      <c r="AM425" s="58">
        <f>IF(AJ425,O425*'[1]ETC Data'!$H$5*'[1]ETC Data'!$J$5,0)</f>
        <v>0</v>
      </c>
      <c r="AN425" s="58">
        <f>AM425-(AM425*((VLOOKUP(A425,[1]Plan!A$1:BA$804,53,FALSE)/100)))</f>
        <v>0</v>
      </c>
      <c r="AO425" s="61">
        <f>IF(AJ425,O425*'[1]ETC Data'!$H$5*'[1]ETC Data'!$K$5,0)</f>
        <v>0</v>
      </c>
      <c r="AP425" s="58">
        <f>AO425-(AO425*((VLOOKUP(A425,[1]Plan!A$1:BB$804,54,FALSE)/100)))</f>
        <v>0</v>
      </c>
      <c r="AQ425" s="58">
        <f>IF(AJ425,O425*'[1]ETC Data'!$H$5*'[1]ETC Data'!$L$5,0)</f>
        <v>0</v>
      </c>
      <c r="AR425" s="58">
        <f>AQ425-(AQ425*((VLOOKUP(A425,[1]Plan!A$1:BD$804,56,FALSE)/100)))</f>
        <v>0</v>
      </c>
      <c r="AS425" s="20">
        <f>VLOOKUP(A425,'[1]PR Matrix'!A:B,2,FALSE)</f>
        <v>0</v>
      </c>
      <c r="AT425" s="21">
        <f t="shared" si="14"/>
        <v>0</v>
      </c>
      <c r="AU425" s="21">
        <f t="shared" si="15"/>
        <v>0</v>
      </c>
      <c r="AV425" s="21">
        <f t="shared" si="16"/>
        <v>0</v>
      </c>
      <c r="AW425" s="21">
        <f t="shared" si="17"/>
        <v>0</v>
      </c>
      <c r="AX425" s="21">
        <f t="shared" si="18"/>
        <v>0</v>
      </c>
      <c r="AY425" s="21">
        <f t="shared" si="19"/>
        <v>0</v>
      </c>
    </row>
    <row r="426" spans="1:51" hidden="1" x14ac:dyDescent="0.2">
      <c r="A426" s="50" t="s">
        <v>632</v>
      </c>
      <c r="B426" s="51" t="s">
        <v>208</v>
      </c>
      <c r="C426" s="51"/>
      <c r="D426" s="51"/>
      <c r="E426" s="52">
        <f>IF(G426="Y",VLOOKUP(B426&amp;"|"&amp;C426,'[1]ETC Data'!$C$2:$D$16,2,FALSE),0)</f>
        <v>0</v>
      </c>
      <c r="F426" s="52">
        <f>IF(D426="",0,IF(G426="Y",VLOOKUP(B426&amp;"|"&amp;D426,'[1]ETC Data'!$C$2:$D$16,2,FALSE),0))</f>
        <v>0</v>
      </c>
      <c r="G426" s="53" t="str">
        <f>IF(VLOOKUP(A426,[1]Plan!A$1:H$804,8,FALSE)&lt;&gt;"",VLOOKUP(A426,[1]Plan!A$1:H$804,8,FALSE),"")</f>
        <v>N</v>
      </c>
      <c r="H426" s="54" t="str">
        <f>IF(VLOOKUP(A426,[1]Plan!A$1:L$804,12,FALSE)&lt;&gt;"",VLOOKUP(A426,[1]Plan!A$1:L$804,12,FALSE),"")</f>
        <v/>
      </c>
      <c r="I426" s="55" t="str">
        <f>IF(VLOOKUP(A426,[1]Plan!A$1:M$804,13,FALSE)&lt;&gt;"",VLOOKUP(A426,[1]Plan!A$1:M$804,13,FALSE),"")</f>
        <v/>
      </c>
      <c r="J426" s="55" t="str">
        <f>IF(VLOOKUP(A426,[1]Plan!A$1:N$804,14,FALSE)&lt;&gt;"",VLOOKUP(A426,[1]Plan!A$1:N$804,14,FALSE),IF(VLOOKUP(A426,[1]Plan!A$1:O$804,15,FALSE)&lt;&gt;"",VLOOKUP(A426,[1]Plan!A$1:O$804,15,FALSE),""))</f>
        <v/>
      </c>
      <c r="K426" s="56" t="str">
        <f>IF(VLOOKUP(A426,[1]Plan!A$1:P$804,16,FALSE)&lt;&gt;"",VLOOKUP(A426,[1]Plan!A$1:P$804,16,FALSE),"")</f>
        <v/>
      </c>
      <c r="L426" s="55"/>
      <c r="M426" s="55"/>
      <c r="N426" s="55"/>
      <c r="O426" s="57">
        <f t="shared" si="10"/>
        <v>0</v>
      </c>
      <c r="P426" s="57" t="b">
        <f t="shared" si="11"/>
        <v>0</v>
      </c>
      <c r="Q426" s="58">
        <f>IF(P426,O426*'[1]ETC Data'!$H$3*'[1]ETC Data'!$I$3,0)</f>
        <v>0</v>
      </c>
      <c r="R426" s="58">
        <f>Q426-(Q426*((VLOOKUP(A426,[1]Plan!A$1:Z$804,26,FALSE)/100)))</f>
        <v>0</v>
      </c>
      <c r="S426" s="58">
        <f>IF(P426,O426*'[1]ETC Data'!$H$3*'[1]ETC Data'!$J$3,0)</f>
        <v>0</v>
      </c>
      <c r="T426" s="58">
        <f>S426-(S426*((VLOOKUP(A426,[1]Plan!A$1:AA$804,27,FALSE)/100)))</f>
        <v>0</v>
      </c>
      <c r="U426" s="58">
        <f>IF(P426,O426*'[1]ETC Data'!$H$3*'[1]ETC Data'!$K$3,0)</f>
        <v>0</v>
      </c>
      <c r="V426" s="58">
        <f>U426-(U426*((VLOOKUP(A426,[1]Plan!A$1:AB$804,28,FALSE)/100)))</f>
        <v>0</v>
      </c>
      <c r="W426" s="58">
        <f>IF(P426,O426*'[1]ETC Data'!$H$3*'[1]ETC Data'!$L$3,0)</f>
        <v>0</v>
      </c>
      <c r="X426" s="58">
        <f>W426-(W426*((VLOOKUP(A426,[1]Plan!A$1:AC$804,29,FALSE)/100)))</f>
        <v>0</v>
      </c>
      <c r="Y426" s="59"/>
      <c r="Z426" s="60" t="b">
        <f t="shared" si="12"/>
        <v>0</v>
      </c>
      <c r="AA426" s="58">
        <f>IF(Z426,O426*'[1]ETC Data'!$H$4*'[1]ETC Data'!$I$4,0)</f>
        <v>0</v>
      </c>
      <c r="AB426" s="58">
        <f>AA426-(AA426*((VLOOKUP(A426,[1]Plan!A$1:AI$804,35,FALSE)/100)))</f>
        <v>0</v>
      </c>
      <c r="AC426" s="58">
        <f>IF(Z426,O426*'[1]ETC Data'!$H$4*'[1]ETC Data'!$J$4,0)</f>
        <v>0</v>
      </c>
      <c r="AD426" s="58">
        <f>AC426-(AC426*((VLOOKUP(A426,[1]Plan!A$1:AJ$804,36,FALSE)/100)))</f>
        <v>0</v>
      </c>
      <c r="AE426" s="58">
        <f>IF(Z426,O426*'[1]ETC Data'!$H$4*'[1]ETC Data'!$K$4,0)</f>
        <v>0</v>
      </c>
      <c r="AF426" s="58">
        <f>AE426-(AE426*((VLOOKUP(A426,[1]Plan!A$1:AK$804,37,FALSE)/100)))</f>
        <v>0</v>
      </c>
      <c r="AG426" s="58">
        <f>IF(Z426,O426*'[1]ETC Data'!$H$4*'[1]ETC Data'!$L$4,0)</f>
        <v>0</v>
      </c>
      <c r="AH426" s="58">
        <f>AG426-(AG426*((VLOOKUP(A426,[1]Plan!A$1:AP$804,42,FALSE)/100)))</f>
        <v>0</v>
      </c>
      <c r="AI426" s="60"/>
      <c r="AJ426" s="60" t="b">
        <f t="shared" si="13"/>
        <v>0</v>
      </c>
      <c r="AK426" s="61">
        <f>IF(AJ426,O426*'[1]ETC Data'!$H$5*'[1]ETC Data'!$I$5,0)</f>
        <v>0</v>
      </c>
      <c r="AL426" s="58">
        <f>AK426-(AK426*((VLOOKUP(A426,[1]Plan!A$1:AY$804,51,FALSE)/100)))</f>
        <v>0</v>
      </c>
      <c r="AM426" s="58">
        <f>IF(AJ426,O426*'[1]ETC Data'!$H$5*'[1]ETC Data'!$J$5,0)</f>
        <v>0</v>
      </c>
      <c r="AN426" s="58">
        <f>AM426-(AM426*((VLOOKUP(A426,[1]Plan!A$1:BA$804,53,FALSE)/100)))</f>
        <v>0</v>
      </c>
      <c r="AO426" s="61">
        <f>IF(AJ426,O426*'[1]ETC Data'!$H$5*'[1]ETC Data'!$K$5,0)</f>
        <v>0</v>
      </c>
      <c r="AP426" s="58">
        <f>AO426-(AO426*((VLOOKUP(A426,[1]Plan!A$1:BB$804,54,FALSE)/100)))</f>
        <v>0</v>
      </c>
      <c r="AQ426" s="58">
        <f>IF(AJ426,O426*'[1]ETC Data'!$H$5*'[1]ETC Data'!$L$5,0)</f>
        <v>0</v>
      </c>
      <c r="AR426" s="58">
        <f>AQ426-(AQ426*((VLOOKUP(A426,[1]Plan!A$1:BD$804,56,FALSE)/100)))</f>
        <v>0</v>
      </c>
      <c r="AS426" s="20">
        <f>VLOOKUP(A426,'[1]PR Matrix'!A:B,2,FALSE)</f>
        <v>0</v>
      </c>
      <c r="AT426" s="21">
        <f t="shared" si="14"/>
        <v>0</v>
      </c>
      <c r="AU426" s="21">
        <f t="shared" si="15"/>
        <v>0</v>
      </c>
      <c r="AV426" s="21">
        <f t="shared" si="16"/>
        <v>0</v>
      </c>
      <c r="AW426" s="21">
        <f t="shared" si="17"/>
        <v>0</v>
      </c>
      <c r="AX426" s="21">
        <f t="shared" si="18"/>
        <v>0</v>
      </c>
      <c r="AY426" s="21">
        <f t="shared" si="19"/>
        <v>0</v>
      </c>
    </row>
    <row r="427" spans="1:51" hidden="1" x14ac:dyDescent="0.2">
      <c r="A427" s="50" t="s">
        <v>633</v>
      </c>
      <c r="B427" s="51" t="s">
        <v>208</v>
      </c>
      <c r="C427" s="51"/>
      <c r="D427" s="51"/>
      <c r="E427" s="52">
        <f>IF(G427="Y",VLOOKUP(B427&amp;"|"&amp;C427,'[1]ETC Data'!$C$2:$D$16,2,FALSE),0)</f>
        <v>0</v>
      </c>
      <c r="F427" s="52">
        <f>IF(D427="",0,IF(G427="Y",VLOOKUP(B427&amp;"|"&amp;D427,'[1]ETC Data'!$C$2:$D$16,2,FALSE),0))</f>
        <v>0</v>
      </c>
      <c r="G427" s="53" t="str">
        <f>IF(VLOOKUP(A427,[1]Plan!A$1:H$804,8,FALSE)&lt;&gt;"",VLOOKUP(A427,[1]Plan!A$1:H$804,8,FALSE),"")</f>
        <v>N</v>
      </c>
      <c r="H427" s="54" t="str">
        <f>IF(VLOOKUP(A427,[1]Plan!A$1:L$804,12,FALSE)&lt;&gt;"",VLOOKUP(A427,[1]Plan!A$1:L$804,12,FALSE),"")</f>
        <v/>
      </c>
      <c r="I427" s="55" t="str">
        <f>IF(VLOOKUP(A427,[1]Plan!A$1:M$804,13,FALSE)&lt;&gt;"",VLOOKUP(A427,[1]Plan!A$1:M$804,13,FALSE),"")</f>
        <v/>
      </c>
      <c r="J427" s="55" t="str">
        <f>IF(VLOOKUP(A427,[1]Plan!A$1:N$804,14,FALSE)&lt;&gt;"",VLOOKUP(A427,[1]Plan!A$1:N$804,14,FALSE),IF(VLOOKUP(A427,[1]Plan!A$1:O$804,15,FALSE)&lt;&gt;"",VLOOKUP(A427,[1]Plan!A$1:O$804,15,FALSE),""))</f>
        <v/>
      </c>
      <c r="K427" s="56" t="str">
        <f>IF(VLOOKUP(A427,[1]Plan!A$1:P$804,16,FALSE)&lt;&gt;"",VLOOKUP(A427,[1]Plan!A$1:P$804,16,FALSE),"")</f>
        <v/>
      </c>
      <c r="L427" s="55"/>
      <c r="M427" s="55"/>
      <c r="N427" s="55"/>
      <c r="O427" s="57">
        <f t="shared" si="10"/>
        <v>0</v>
      </c>
      <c r="P427" s="57" t="b">
        <f t="shared" si="11"/>
        <v>0</v>
      </c>
      <c r="Q427" s="58">
        <f>IF(P427,O427*'[1]ETC Data'!$H$3*'[1]ETC Data'!$I$3,0)</f>
        <v>0</v>
      </c>
      <c r="R427" s="58">
        <f>Q427-(Q427*((VLOOKUP(A427,[1]Plan!A$1:Z$804,26,FALSE)/100)))</f>
        <v>0</v>
      </c>
      <c r="S427" s="58">
        <f>IF(P427,O427*'[1]ETC Data'!$H$3*'[1]ETC Data'!$J$3,0)</f>
        <v>0</v>
      </c>
      <c r="T427" s="58">
        <f>S427-(S427*((VLOOKUP(A427,[1]Plan!A$1:AA$804,27,FALSE)/100)))</f>
        <v>0</v>
      </c>
      <c r="U427" s="58">
        <f>IF(P427,O427*'[1]ETC Data'!$H$3*'[1]ETC Data'!$K$3,0)</f>
        <v>0</v>
      </c>
      <c r="V427" s="58">
        <f>U427-(U427*((VLOOKUP(A427,[1]Plan!A$1:AB$804,28,FALSE)/100)))</f>
        <v>0</v>
      </c>
      <c r="W427" s="58">
        <f>IF(P427,O427*'[1]ETC Data'!$H$3*'[1]ETC Data'!$L$3,0)</f>
        <v>0</v>
      </c>
      <c r="X427" s="58">
        <f>W427-(W427*((VLOOKUP(A427,[1]Plan!A$1:AC$804,29,FALSE)/100)))</f>
        <v>0</v>
      </c>
      <c r="Y427" s="59"/>
      <c r="Z427" s="60" t="b">
        <f t="shared" si="12"/>
        <v>0</v>
      </c>
      <c r="AA427" s="58">
        <f>IF(Z427,O427*'[1]ETC Data'!$H$4*'[1]ETC Data'!$I$4,0)</f>
        <v>0</v>
      </c>
      <c r="AB427" s="58">
        <f>AA427-(AA427*((VLOOKUP(A427,[1]Plan!A$1:AI$804,35,FALSE)/100)))</f>
        <v>0</v>
      </c>
      <c r="AC427" s="58">
        <f>IF(Z427,O427*'[1]ETC Data'!$H$4*'[1]ETC Data'!$J$4,0)</f>
        <v>0</v>
      </c>
      <c r="AD427" s="58">
        <f>AC427-(AC427*((VLOOKUP(A427,[1]Plan!A$1:AJ$804,36,FALSE)/100)))</f>
        <v>0</v>
      </c>
      <c r="AE427" s="58">
        <f>IF(Z427,O427*'[1]ETC Data'!$H$4*'[1]ETC Data'!$K$4,0)</f>
        <v>0</v>
      </c>
      <c r="AF427" s="58">
        <f>AE427-(AE427*((VLOOKUP(A427,[1]Plan!A$1:AK$804,37,FALSE)/100)))</f>
        <v>0</v>
      </c>
      <c r="AG427" s="58">
        <f>IF(Z427,O427*'[1]ETC Data'!$H$4*'[1]ETC Data'!$L$4,0)</f>
        <v>0</v>
      </c>
      <c r="AH427" s="58">
        <f>AG427-(AG427*((VLOOKUP(A427,[1]Plan!A$1:AP$804,42,FALSE)/100)))</f>
        <v>0</v>
      </c>
      <c r="AI427" s="60"/>
      <c r="AJ427" s="60" t="b">
        <f t="shared" si="13"/>
        <v>0</v>
      </c>
      <c r="AK427" s="61">
        <f>IF(AJ427,O427*'[1]ETC Data'!$H$5*'[1]ETC Data'!$I$5,0)</f>
        <v>0</v>
      </c>
      <c r="AL427" s="58">
        <f>AK427-(AK427*((VLOOKUP(A427,[1]Plan!A$1:AY$804,51,FALSE)/100)))</f>
        <v>0</v>
      </c>
      <c r="AM427" s="58">
        <f>IF(AJ427,O427*'[1]ETC Data'!$H$5*'[1]ETC Data'!$J$5,0)</f>
        <v>0</v>
      </c>
      <c r="AN427" s="58">
        <f>AM427-(AM427*((VLOOKUP(A427,[1]Plan!A$1:BA$804,53,FALSE)/100)))</f>
        <v>0</v>
      </c>
      <c r="AO427" s="61">
        <f>IF(AJ427,O427*'[1]ETC Data'!$H$5*'[1]ETC Data'!$K$5,0)</f>
        <v>0</v>
      </c>
      <c r="AP427" s="58">
        <f>AO427-(AO427*((VLOOKUP(A427,[1]Plan!A$1:BB$804,54,FALSE)/100)))</f>
        <v>0</v>
      </c>
      <c r="AQ427" s="58">
        <f>IF(AJ427,O427*'[1]ETC Data'!$H$5*'[1]ETC Data'!$L$5,0)</f>
        <v>0</v>
      </c>
      <c r="AR427" s="58">
        <f>AQ427-(AQ427*((VLOOKUP(A427,[1]Plan!A$1:BD$804,56,FALSE)/100)))</f>
        <v>0</v>
      </c>
      <c r="AS427" s="20">
        <f>VLOOKUP(A427,'[1]PR Matrix'!A:B,2,FALSE)</f>
        <v>0</v>
      </c>
      <c r="AT427" s="21">
        <f t="shared" si="14"/>
        <v>0</v>
      </c>
      <c r="AU427" s="21">
        <f t="shared" si="15"/>
        <v>0</v>
      </c>
      <c r="AV427" s="21">
        <f t="shared" si="16"/>
        <v>0</v>
      </c>
      <c r="AW427" s="21">
        <f t="shared" si="17"/>
        <v>0</v>
      </c>
      <c r="AX427" s="21">
        <f t="shared" si="18"/>
        <v>0</v>
      </c>
      <c r="AY427" s="21">
        <f t="shared" si="19"/>
        <v>0</v>
      </c>
    </row>
    <row r="428" spans="1:51" hidden="1" x14ac:dyDescent="0.2">
      <c r="A428" s="50" t="s">
        <v>634</v>
      </c>
      <c r="B428" s="51" t="s">
        <v>208</v>
      </c>
      <c r="C428" s="51"/>
      <c r="D428" s="51"/>
      <c r="E428" s="52">
        <f>IF(G428="Y",VLOOKUP(B428&amp;"|"&amp;C428,'[1]ETC Data'!$C$2:$D$16,2,FALSE),0)</f>
        <v>0</v>
      </c>
      <c r="F428" s="52">
        <f>IF(D428="",0,IF(G428="Y",VLOOKUP(B428&amp;"|"&amp;D428,'[1]ETC Data'!$C$2:$D$16,2,FALSE),0))</f>
        <v>0</v>
      </c>
      <c r="G428" s="53" t="str">
        <f>IF(VLOOKUP(A428,[1]Plan!A$1:H$804,8,FALSE)&lt;&gt;"",VLOOKUP(A428,[1]Plan!A$1:H$804,8,FALSE),"")</f>
        <v>N</v>
      </c>
      <c r="H428" s="54" t="str">
        <f>IF(VLOOKUP(A428,[1]Plan!A$1:L$804,12,FALSE)&lt;&gt;"",VLOOKUP(A428,[1]Plan!A$1:L$804,12,FALSE),"")</f>
        <v/>
      </c>
      <c r="I428" s="55" t="str">
        <f>IF(VLOOKUP(A428,[1]Plan!A$1:M$804,13,FALSE)&lt;&gt;"",VLOOKUP(A428,[1]Plan!A$1:M$804,13,FALSE),"")</f>
        <v/>
      </c>
      <c r="J428" s="55" t="str">
        <f>IF(VLOOKUP(A428,[1]Plan!A$1:N$804,14,FALSE)&lt;&gt;"",VLOOKUP(A428,[1]Plan!A$1:N$804,14,FALSE),IF(VLOOKUP(A428,[1]Plan!A$1:O$804,15,FALSE)&lt;&gt;"",VLOOKUP(A428,[1]Plan!A$1:O$804,15,FALSE),""))</f>
        <v/>
      </c>
      <c r="K428" s="56" t="str">
        <f>IF(VLOOKUP(A428,[1]Plan!A$1:P$804,16,FALSE)&lt;&gt;"",VLOOKUP(A428,[1]Plan!A$1:P$804,16,FALSE),"")</f>
        <v/>
      </c>
      <c r="L428" s="55"/>
      <c r="M428" s="55"/>
      <c r="N428" s="55"/>
      <c r="O428" s="57">
        <f t="shared" si="10"/>
        <v>0</v>
      </c>
      <c r="P428" s="57" t="b">
        <f t="shared" si="11"/>
        <v>0</v>
      </c>
      <c r="Q428" s="58">
        <f>IF(P428,O428*'[1]ETC Data'!$H$3*'[1]ETC Data'!$I$3,0)</f>
        <v>0</v>
      </c>
      <c r="R428" s="58">
        <f>Q428-(Q428*((VLOOKUP(A428,[1]Plan!A$1:Z$804,26,FALSE)/100)))</f>
        <v>0</v>
      </c>
      <c r="S428" s="58">
        <f>IF(P428,O428*'[1]ETC Data'!$H$3*'[1]ETC Data'!$J$3,0)</f>
        <v>0</v>
      </c>
      <c r="T428" s="58">
        <f>S428-(S428*((VLOOKUP(A428,[1]Plan!A$1:AA$804,27,FALSE)/100)))</f>
        <v>0</v>
      </c>
      <c r="U428" s="58">
        <f>IF(P428,O428*'[1]ETC Data'!$H$3*'[1]ETC Data'!$K$3,0)</f>
        <v>0</v>
      </c>
      <c r="V428" s="58">
        <f>U428-(U428*((VLOOKUP(A428,[1]Plan!A$1:AB$804,28,FALSE)/100)))</f>
        <v>0</v>
      </c>
      <c r="W428" s="58">
        <f>IF(P428,O428*'[1]ETC Data'!$H$3*'[1]ETC Data'!$L$3,0)</f>
        <v>0</v>
      </c>
      <c r="X428" s="58">
        <f>W428-(W428*((VLOOKUP(A428,[1]Plan!A$1:AC$804,29,FALSE)/100)))</f>
        <v>0</v>
      </c>
      <c r="Y428" s="59"/>
      <c r="Z428" s="60" t="b">
        <f t="shared" si="12"/>
        <v>0</v>
      </c>
      <c r="AA428" s="58">
        <f>IF(Z428,O428*'[1]ETC Data'!$H$4*'[1]ETC Data'!$I$4,0)</f>
        <v>0</v>
      </c>
      <c r="AB428" s="58">
        <f>AA428-(AA428*((VLOOKUP(A428,[1]Plan!A$1:AI$804,35,FALSE)/100)))</f>
        <v>0</v>
      </c>
      <c r="AC428" s="58">
        <f>IF(Z428,O428*'[1]ETC Data'!$H$4*'[1]ETC Data'!$J$4,0)</f>
        <v>0</v>
      </c>
      <c r="AD428" s="58">
        <f>AC428-(AC428*((VLOOKUP(A428,[1]Plan!A$1:AJ$804,36,FALSE)/100)))</f>
        <v>0</v>
      </c>
      <c r="AE428" s="58">
        <f>IF(Z428,O428*'[1]ETC Data'!$H$4*'[1]ETC Data'!$K$4,0)</f>
        <v>0</v>
      </c>
      <c r="AF428" s="58">
        <f>AE428-(AE428*((VLOOKUP(A428,[1]Plan!A$1:AK$804,37,FALSE)/100)))</f>
        <v>0</v>
      </c>
      <c r="AG428" s="58">
        <f>IF(Z428,O428*'[1]ETC Data'!$H$4*'[1]ETC Data'!$L$4,0)</f>
        <v>0</v>
      </c>
      <c r="AH428" s="58">
        <f>AG428-(AG428*((VLOOKUP(A428,[1]Plan!A$1:AP$804,42,FALSE)/100)))</f>
        <v>0</v>
      </c>
      <c r="AI428" s="60"/>
      <c r="AJ428" s="60" t="b">
        <f t="shared" si="13"/>
        <v>0</v>
      </c>
      <c r="AK428" s="61">
        <f>IF(AJ428,O428*'[1]ETC Data'!$H$5*'[1]ETC Data'!$I$5,0)</f>
        <v>0</v>
      </c>
      <c r="AL428" s="58">
        <f>AK428-(AK428*((VLOOKUP(A428,[1]Plan!A$1:AY$804,51,FALSE)/100)))</f>
        <v>0</v>
      </c>
      <c r="AM428" s="58">
        <f>IF(AJ428,O428*'[1]ETC Data'!$H$5*'[1]ETC Data'!$J$5,0)</f>
        <v>0</v>
      </c>
      <c r="AN428" s="58">
        <f>AM428-(AM428*((VLOOKUP(A428,[1]Plan!A$1:BA$804,53,FALSE)/100)))</f>
        <v>0</v>
      </c>
      <c r="AO428" s="61">
        <f>IF(AJ428,O428*'[1]ETC Data'!$H$5*'[1]ETC Data'!$K$5,0)</f>
        <v>0</v>
      </c>
      <c r="AP428" s="58">
        <f>AO428-(AO428*((VLOOKUP(A428,[1]Plan!A$1:BB$804,54,FALSE)/100)))</f>
        <v>0</v>
      </c>
      <c r="AQ428" s="58">
        <f>IF(AJ428,O428*'[1]ETC Data'!$H$5*'[1]ETC Data'!$L$5,0)</f>
        <v>0</v>
      </c>
      <c r="AR428" s="58">
        <f>AQ428-(AQ428*((VLOOKUP(A428,[1]Plan!A$1:BD$804,56,FALSE)/100)))</f>
        <v>0</v>
      </c>
      <c r="AS428" s="20">
        <f>VLOOKUP(A428,'[1]PR Matrix'!A:B,2,FALSE)</f>
        <v>0</v>
      </c>
      <c r="AT428" s="21">
        <f t="shared" si="14"/>
        <v>0</v>
      </c>
      <c r="AU428" s="21">
        <f t="shared" si="15"/>
        <v>0</v>
      </c>
      <c r="AV428" s="21">
        <f t="shared" si="16"/>
        <v>0</v>
      </c>
      <c r="AW428" s="21">
        <f t="shared" si="17"/>
        <v>0</v>
      </c>
      <c r="AX428" s="21">
        <f t="shared" si="18"/>
        <v>0</v>
      </c>
      <c r="AY428" s="21">
        <f t="shared" si="19"/>
        <v>0</v>
      </c>
    </row>
    <row r="429" spans="1:51" hidden="1" x14ac:dyDescent="0.2">
      <c r="A429" s="50" t="s">
        <v>635</v>
      </c>
      <c r="B429" s="51" t="s">
        <v>208</v>
      </c>
      <c r="C429" s="51"/>
      <c r="D429" s="51"/>
      <c r="E429" s="52">
        <f>IF(G429="Y",VLOOKUP(B429&amp;"|"&amp;C429,'[1]ETC Data'!$C$2:$D$16,2,FALSE),0)</f>
        <v>0</v>
      </c>
      <c r="F429" s="52">
        <f>IF(D429="",0,IF(G429="Y",VLOOKUP(B429&amp;"|"&amp;D429,'[1]ETC Data'!$C$2:$D$16,2,FALSE),0))</f>
        <v>0</v>
      </c>
      <c r="G429" s="53" t="str">
        <f>IF(VLOOKUP(A429,[1]Plan!A$1:H$804,8,FALSE)&lt;&gt;"",VLOOKUP(A429,[1]Plan!A$1:H$804,8,FALSE),"")</f>
        <v>N</v>
      </c>
      <c r="H429" s="54" t="str">
        <f>IF(VLOOKUP(A429,[1]Plan!A$1:L$804,12,FALSE)&lt;&gt;"",VLOOKUP(A429,[1]Plan!A$1:L$804,12,FALSE),"")</f>
        <v/>
      </c>
      <c r="I429" s="55" t="str">
        <f>IF(VLOOKUP(A429,[1]Plan!A$1:M$804,13,FALSE)&lt;&gt;"",VLOOKUP(A429,[1]Plan!A$1:M$804,13,FALSE),"")</f>
        <v/>
      </c>
      <c r="J429" s="55" t="str">
        <f>IF(VLOOKUP(A429,[1]Plan!A$1:N$804,14,FALSE)&lt;&gt;"",VLOOKUP(A429,[1]Plan!A$1:N$804,14,FALSE),IF(VLOOKUP(A429,[1]Plan!A$1:O$804,15,FALSE)&lt;&gt;"",VLOOKUP(A429,[1]Plan!A$1:O$804,15,FALSE),""))</f>
        <v/>
      </c>
      <c r="K429" s="56" t="str">
        <f>IF(VLOOKUP(A429,[1]Plan!A$1:P$804,16,FALSE)&lt;&gt;"",VLOOKUP(A429,[1]Plan!A$1:P$804,16,FALSE),"")</f>
        <v/>
      </c>
      <c r="L429" s="55"/>
      <c r="M429" s="55"/>
      <c r="N429" s="55"/>
      <c r="O429" s="57">
        <f t="shared" si="10"/>
        <v>0</v>
      </c>
      <c r="P429" s="57" t="b">
        <f t="shared" si="11"/>
        <v>0</v>
      </c>
      <c r="Q429" s="58">
        <f>IF(P429,O429*'[1]ETC Data'!$H$3*'[1]ETC Data'!$I$3,0)</f>
        <v>0</v>
      </c>
      <c r="R429" s="58">
        <f>Q429-(Q429*((VLOOKUP(A429,[1]Plan!A$1:Z$804,26,FALSE)/100)))</f>
        <v>0</v>
      </c>
      <c r="S429" s="58">
        <f>IF(P429,O429*'[1]ETC Data'!$H$3*'[1]ETC Data'!$J$3,0)</f>
        <v>0</v>
      </c>
      <c r="T429" s="58">
        <f>S429-(S429*((VLOOKUP(A429,[1]Plan!A$1:AA$804,27,FALSE)/100)))</f>
        <v>0</v>
      </c>
      <c r="U429" s="58">
        <f>IF(P429,O429*'[1]ETC Data'!$H$3*'[1]ETC Data'!$K$3,0)</f>
        <v>0</v>
      </c>
      <c r="V429" s="58">
        <f>U429-(U429*((VLOOKUP(A429,[1]Plan!A$1:AB$804,28,FALSE)/100)))</f>
        <v>0</v>
      </c>
      <c r="W429" s="58">
        <f>IF(P429,O429*'[1]ETC Data'!$H$3*'[1]ETC Data'!$L$3,0)</f>
        <v>0</v>
      </c>
      <c r="X429" s="58">
        <f>W429-(W429*((VLOOKUP(A429,[1]Plan!A$1:AC$804,29,FALSE)/100)))</f>
        <v>0</v>
      </c>
      <c r="Y429" s="59"/>
      <c r="Z429" s="60" t="b">
        <f t="shared" si="12"/>
        <v>0</v>
      </c>
      <c r="AA429" s="58">
        <f>IF(Z429,O429*'[1]ETC Data'!$H$4*'[1]ETC Data'!$I$4,0)</f>
        <v>0</v>
      </c>
      <c r="AB429" s="58">
        <f>AA429-(AA429*((VLOOKUP(A429,[1]Plan!A$1:AI$804,35,FALSE)/100)))</f>
        <v>0</v>
      </c>
      <c r="AC429" s="58">
        <f>IF(Z429,O429*'[1]ETC Data'!$H$4*'[1]ETC Data'!$J$4,0)</f>
        <v>0</v>
      </c>
      <c r="AD429" s="58">
        <f>AC429-(AC429*((VLOOKUP(A429,[1]Plan!A$1:AJ$804,36,FALSE)/100)))</f>
        <v>0</v>
      </c>
      <c r="AE429" s="58">
        <f>IF(Z429,O429*'[1]ETC Data'!$H$4*'[1]ETC Data'!$K$4,0)</f>
        <v>0</v>
      </c>
      <c r="AF429" s="58">
        <f>AE429-(AE429*((VLOOKUP(A429,[1]Plan!A$1:AK$804,37,FALSE)/100)))</f>
        <v>0</v>
      </c>
      <c r="AG429" s="58">
        <f>IF(Z429,O429*'[1]ETC Data'!$H$4*'[1]ETC Data'!$L$4,0)</f>
        <v>0</v>
      </c>
      <c r="AH429" s="58">
        <f>AG429-(AG429*((VLOOKUP(A429,[1]Plan!A$1:AP$804,42,FALSE)/100)))</f>
        <v>0</v>
      </c>
      <c r="AI429" s="60"/>
      <c r="AJ429" s="60" t="b">
        <f t="shared" si="13"/>
        <v>0</v>
      </c>
      <c r="AK429" s="61">
        <f>IF(AJ429,O429*'[1]ETC Data'!$H$5*'[1]ETC Data'!$I$5,0)</f>
        <v>0</v>
      </c>
      <c r="AL429" s="58">
        <f>AK429-(AK429*((VLOOKUP(A429,[1]Plan!A$1:AY$804,51,FALSE)/100)))</f>
        <v>0</v>
      </c>
      <c r="AM429" s="58">
        <f>IF(AJ429,O429*'[1]ETC Data'!$H$5*'[1]ETC Data'!$J$5,0)</f>
        <v>0</v>
      </c>
      <c r="AN429" s="58">
        <f>AM429-(AM429*((VLOOKUP(A429,[1]Plan!A$1:BA$804,53,FALSE)/100)))</f>
        <v>0</v>
      </c>
      <c r="AO429" s="61">
        <f>IF(AJ429,O429*'[1]ETC Data'!$H$5*'[1]ETC Data'!$K$5,0)</f>
        <v>0</v>
      </c>
      <c r="AP429" s="58">
        <f>AO429-(AO429*((VLOOKUP(A429,[1]Plan!A$1:BB$804,54,FALSE)/100)))</f>
        <v>0</v>
      </c>
      <c r="AQ429" s="58">
        <f>IF(AJ429,O429*'[1]ETC Data'!$H$5*'[1]ETC Data'!$L$5,0)</f>
        <v>0</v>
      </c>
      <c r="AR429" s="58">
        <f>AQ429-(AQ429*((VLOOKUP(A429,[1]Plan!A$1:BD$804,56,FALSE)/100)))</f>
        <v>0</v>
      </c>
      <c r="AS429" s="20">
        <f>VLOOKUP(A429,'[1]PR Matrix'!A:B,2,FALSE)</f>
        <v>0</v>
      </c>
      <c r="AT429" s="21">
        <f t="shared" si="14"/>
        <v>0</v>
      </c>
      <c r="AU429" s="21">
        <f t="shared" si="15"/>
        <v>0</v>
      </c>
      <c r="AV429" s="21">
        <f t="shared" si="16"/>
        <v>0</v>
      </c>
      <c r="AW429" s="21">
        <f t="shared" si="17"/>
        <v>0</v>
      </c>
      <c r="AX429" s="21">
        <f t="shared" si="18"/>
        <v>0</v>
      </c>
      <c r="AY429" s="21">
        <f t="shared" si="19"/>
        <v>0</v>
      </c>
    </row>
    <row r="430" spans="1:51" hidden="1" x14ac:dyDescent="0.2">
      <c r="A430" s="50" t="s">
        <v>636</v>
      </c>
      <c r="B430" s="51" t="s">
        <v>208</v>
      </c>
      <c r="C430" s="51"/>
      <c r="D430" s="51"/>
      <c r="E430" s="52">
        <f>IF(G430="Y",VLOOKUP(B430&amp;"|"&amp;C430,'[1]ETC Data'!$C$2:$D$16,2,FALSE),0)</f>
        <v>0</v>
      </c>
      <c r="F430" s="52">
        <f>IF(D430="",0,IF(G430="Y",VLOOKUP(B430&amp;"|"&amp;D430,'[1]ETC Data'!$C$2:$D$16,2,FALSE),0))</f>
        <v>0</v>
      </c>
      <c r="G430" s="53" t="str">
        <f>IF(VLOOKUP(A430,[1]Plan!A$1:H$804,8,FALSE)&lt;&gt;"",VLOOKUP(A430,[1]Plan!A$1:H$804,8,FALSE),"")</f>
        <v>N</v>
      </c>
      <c r="H430" s="54" t="str">
        <f>IF(VLOOKUP(A430,[1]Plan!A$1:L$804,12,FALSE)&lt;&gt;"",VLOOKUP(A430,[1]Plan!A$1:L$804,12,FALSE),"")</f>
        <v/>
      </c>
      <c r="I430" s="55" t="str">
        <f>IF(VLOOKUP(A430,[1]Plan!A$1:M$804,13,FALSE)&lt;&gt;"",VLOOKUP(A430,[1]Plan!A$1:M$804,13,FALSE),"")</f>
        <v/>
      </c>
      <c r="J430" s="55" t="str">
        <f>IF(VLOOKUP(A430,[1]Plan!A$1:N$804,14,FALSE)&lt;&gt;"",VLOOKUP(A430,[1]Plan!A$1:N$804,14,FALSE),IF(VLOOKUP(A430,[1]Plan!A$1:O$804,15,FALSE)&lt;&gt;"",VLOOKUP(A430,[1]Plan!A$1:O$804,15,FALSE),""))</f>
        <v/>
      </c>
      <c r="K430" s="56" t="str">
        <f>IF(VLOOKUP(A430,[1]Plan!A$1:P$804,16,FALSE)&lt;&gt;"",VLOOKUP(A430,[1]Plan!A$1:P$804,16,FALSE),"")</f>
        <v/>
      </c>
      <c r="L430" s="55"/>
      <c r="M430" s="55"/>
      <c r="N430" s="55"/>
      <c r="O430" s="57">
        <f t="shared" si="10"/>
        <v>0</v>
      </c>
      <c r="P430" s="57" t="b">
        <f t="shared" si="11"/>
        <v>0</v>
      </c>
      <c r="Q430" s="58">
        <f>IF(P430,O430*'[1]ETC Data'!$H$3*'[1]ETC Data'!$I$3,0)</f>
        <v>0</v>
      </c>
      <c r="R430" s="58">
        <f>Q430-(Q430*((VLOOKUP(A430,[1]Plan!A$1:Z$804,26,FALSE)/100)))</f>
        <v>0</v>
      </c>
      <c r="S430" s="58">
        <f>IF(P430,O430*'[1]ETC Data'!$H$3*'[1]ETC Data'!$J$3,0)</f>
        <v>0</v>
      </c>
      <c r="T430" s="58">
        <f>S430-(S430*((VLOOKUP(A430,[1]Plan!A$1:AA$804,27,FALSE)/100)))</f>
        <v>0</v>
      </c>
      <c r="U430" s="58">
        <f>IF(P430,O430*'[1]ETC Data'!$H$3*'[1]ETC Data'!$K$3,0)</f>
        <v>0</v>
      </c>
      <c r="V430" s="58">
        <f>U430-(U430*((VLOOKUP(A430,[1]Plan!A$1:AB$804,28,FALSE)/100)))</f>
        <v>0</v>
      </c>
      <c r="W430" s="58">
        <f>IF(P430,O430*'[1]ETC Data'!$H$3*'[1]ETC Data'!$L$3,0)</f>
        <v>0</v>
      </c>
      <c r="X430" s="58">
        <f>W430-(W430*((VLOOKUP(A430,[1]Plan!A$1:AC$804,29,FALSE)/100)))</f>
        <v>0</v>
      </c>
      <c r="Y430" s="59"/>
      <c r="Z430" s="60" t="b">
        <f t="shared" si="12"/>
        <v>0</v>
      </c>
      <c r="AA430" s="58">
        <f>IF(Z430,O430*'[1]ETC Data'!$H$4*'[1]ETC Data'!$I$4,0)</f>
        <v>0</v>
      </c>
      <c r="AB430" s="58">
        <f>AA430-(AA430*((VLOOKUP(A430,[1]Plan!A$1:AI$804,35,FALSE)/100)))</f>
        <v>0</v>
      </c>
      <c r="AC430" s="58">
        <f>IF(Z430,O430*'[1]ETC Data'!$H$4*'[1]ETC Data'!$J$4,0)</f>
        <v>0</v>
      </c>
      <c r="AD430" s="58">
        <f>AC430-(AC430*((VLOOKUP(A430,[1]Plan!A$1:AJ$804,36,FALSE)/100)))</f>
        <v>0</v>
      </c>
      <c r="AE430" s="58">
        <f>IF(Z430,O430*'[1]ETC Data'!$H$4*'[1]ETC Data'!$K$4,0)</f>
        <v>0</v>
      </c>
      <c r="AF430" s="58">
        <f>AE430-(AE430*((VLOOKUP(A430,[1]Plan!A$1:AK$804,37,FALSE)/100)))</f>
        <v>0</v>
      </c>
      <c r="AG430" s="58">
        <f>IF(Z430,O430*'[1]ETC Data'!$H$4*'[1]ETC Data'!$L$4,0)</f>
        <v>0</v>
      </c>
      <c r="AH430" s="58">
        <f>AG430-(AG430*((VLOOKUP(A430,[1]Plan!A$1:AP$804,42,FALSE)/100)))</f>
        <v>0</v>
      </c>
      <c r="AI430" s="60"/>
      <c r="AJ430" s="60" t="b">
        <f t="shared" si="13"/>
        <v>0</v>
      </c>
      <c r="AK430" s="61">
        <f>IF(AJ430,O430*'[1]ETC Data'!$H$5*'[1]ETC Data'!$I$5,0)</f>
        <v>0</v>
      </c>
      <c r="AL430" s="58">
        <f>AK430-(AK430*((VLOOKUP(A430,[1]Plan!A$1:AY$804,51,FALSE)/100)))</f>
        <v>0</v>
      </c>
      <c r="AM430" s="58">
        <f>IF(AJ430,O430*'[1]ETC Data'!$H$5*'[1]ETC Data'!$J$5,0)</f>
        <v>0</v>
      </c>
      <c r="AN430" s="58">
        <f>AM430-(AM430*((VLOOKUP(A430,[1]Plan!A$1:BA$804,53,FALSE)/100)))</f>
        <v>0</v>
      </c>
      <c r="AO430" s="61">
        <f>IF(AJ430,O430*'[1]ETC Data'!$H$5*'[1]ETC Data'!$K$5,0)</f>
        <v>0</v>
      </c>
      <c r="AP430" s="58">
        <f>AO430-(AO430*((VLOOKUP(A430,[1]Plan!A$1:BB$804,54,FALSE)/100)))</f>
        <v>0</v>
      </c>
      <c r="AQ430" s="58">
        <f>IF(AJ430,O430*'[1]ETC Data'!$H$5*'[1]ETC Data'!$L$5,0)</f>
        <v>0</v>
      </c>
      <c r="AR430" s="58">
        <f>AQ430-(AQ430*((VLOOKUP(A430,[1]Plan!A$1:BD$804,56,FALSE)/100)))</f>
        <v>0</v>
      </c>
      <c r="AS430" s="20">
        <f>VLOOKUP(A430,'[1]PR Matrix'!A:B,2,FALSE)</f>
        <v>0</v>
      </c>
      <c r="AT430" s="21">
        <f t="shared" si="14"/>
        <v>0</v>
      </c>
      <c r="AU430" s="21">
        <f t="shared" si="15"/>
        <v>0</v>
      </c>
      <c r="AV430" s="21">
        <f t="shared" si="16"/>
        <v>0</v>
      </c>
      <c r="AW430" s="21">
        <f t="shared" si="17"/>
        <v>0</v>
      </c>
      <c r="AX430" s="21">
        <f t="shared" si="18"/>
        <v>0</v>
      </c>
      <c r="AY430" s="21">
        <f t="shared" si="19"/>
        <v>0</v>
      </c>
    </row>
    <row r="431" spans="1:51" hidden="1" x14ac:dyDescent="0.2">
      <c r="A431" s="50" t="s">
        <v>637</v>
      </c>
      <c r="B431" s="51" t="s">
        <v>208</v>
      </c>
      <c r="C431" s="51"/>
      <c r="D431" s="51"/>
      <c r="E431" s="52">
        <f>IF(G431="Y",VLOOKUP(B431&amp;"|"&amp;C431,'[1]ETC Data'!$C$2:$D$16,2,FALSE),0)</f>
        <v>0</v>
      </c>
      <c r="F431" s="52">
        <f>IF(D431="",0,IF(G431="Y",VLOOKUP(B431&amp;"|"&amp;D431,'[1]ETC Data'!$C$2:$D$16,2,FALSE),0))</f>
        <v>0</v>
      </c>
      <c r="G431" s="53" t="str">
        <f>IF(VLOOKUP(A431,[1]Plan!A$1:H$804,8,FALSE)&lt;&gt;"",VLOOKUP(A431,[1]Plan!A$1:H$804,8,FALSE),"")</f>
        <v>N</v>
      </c>
      <c r="H431" s="54" t="str">
        <f>IF(VLOOKUP(A431,[1]Plan!A$1:L$804,12,FALSE)&lt;&gt;"",VLOOKUP(A431,[1]Plan!A$1:L$804,12,FALSE),"")</f>
        <v/>
      </c>
      <c r="I431" s="55" t="str">
        <f>IF(VLOOKUP(A431,[1]Plan!A$1:M$804,13,FALSE)&lt;&gt;"",VLOOKUP(A431,[1]Plan!A$1:M$804,13,FALSE),"")</f>
        <v/>
      </c>
      <c r="J431" s="55" t="str">
        <f>IF(VLOOKUP(A431,[1]Plan!A$1:N$804,14,FALSE)&lt;&gt;"",VLOOKUP(A431,[1]Plan!A$1:N$804,14,FALSE),IF(VLOOKUP(A431,[1]Plan!A$1:O$804,15,FALSE)&lt;&gt;"",VLOOKUP(A431,[1]Plan!A$1:O$804,15,FALSE),""))</f>
        <v/>
      </c>
      <c r="K431" s="56" t="str">
        <f>IF(VLOOKUP(A431,[1]Plan!A$1:P$804,16,FALSE)&lt;&gt;"",VLOOKUP(A431,[1]Plan!A$1:P$804,16,FALSE),"")</f>
        <v/>
      </c>
      <c r="L431" s="55"/>
      <c r="M431" s="55"/>
      <c r="N431" s="55"/>
      <c r="O431" s="57">
        <f t="shared" si="10"/>
        <v>0</v>
      </c>
      <c r="P431" s="57" t="b">
        <f t="shared" si="11"/>
        <v>0</v>
      </c>
      <c r="Q431" s="58">
        <f>IF(P431,O431*'[1]ETC Data'!$H$3*'[1]ETC Data'!$I$3,0)</f>
        <v>0</v>
      </c>
      <c r="R431" s="58">
        <f>Q431-(Q431*((VLOOKUP(A431,[1]Plan!A$1:Z$804,26,FALSE)/100)))</f>
        <v>0</v>
      </c>
      <c r="S431" s="58">
        <f>IF(P431,O431*'[1]ETC Data'!$H$3*'[1]ETC Data'!$J$3,0)</f>
        <v>0</v>
      </c>
      <c r="T431" s="58">
        <f>S431-(S431*((VLOOKUP(A431,[1]Plan!A$1:AA$804,27,FALSE)/100)))</f>
        <v>0</v>
      </c>
      <c r="U431" s="58">
        <f>IF(P431,O431*'[1]ETC Data'!$H$3*'[1]ETC Data'!$K$3,0)</f>
        <v>0</v>
      </c>
      <c r="V431" s="58">
        <f>U431-(U431*((VLOOKUP(A431,[1]Plan!A$1:AB$804,28,FALSE)/100)))</f>
        <v>0</v>
      </c>
      <c r="W431" s="58">
        <f>IF(P431,O431*'[1]ETC Data'!$H$3*'[1]ETC Data'!$L$3,0)</f>
        <v>0</v>
      </c>
      <c r="X431" s="58">
        <f>W431-(W431*((VLOOKUP(A431,[1]Plan!A$1:AC$804,29,FALSE)/100)))</f>
        <v>0</v>
      </c>
      <c r="Y431" s="59"/>
      <c r="Z431" s="60" t="b">
        <f t="shared" si="12"/>
        <v>0</v>
      </c>
      <c r="AA431" s="58">
        <f>IF(Z431,O431*'[1]ETC Data'!$H$4*'[1]ETC Data'!$I$4,0)</f>
        <v>0</v>
      </c>
      <c r="AB431" s="58">
        <f>AA431-(AA431*((VLOOKUP(A431,[1]Plan!A$1:AI$804,35,FALSE)/100)))</f>
        <v>0</v>
      </c>
      <c r="AC431" s="58">
        <f>IF(Z431,O431*'[1]ETC Data'!$H$4*'[1]ETC Data'!$J$4,0)</f>
        <v>0</v>
      </c>
      <c r="AD431" s="58">
        <f>AC431-(AC431*((VLOOKUP(A431,[1]Plan!A$1:AJ$804,36,FALSE)/100)))</f>
        <v>0</v>
      </c>
      <c r="AE431" s="58">
        <f>IF(Z431,O431*'[1]ETC Data'!$H$4*'[1]ETC Data'!$K$4,0)</f>
        <v>0</v>
      </c>
      <c r="AF431" s="58">
        <f>AE431-(AE431*((VLOOKUP(A431,[1]Plan!A$1:AK$804,37,FALSE)/100)))</f>
        <v>0</v>
      </c>
      <c r="AG431" s="58">
        <f>IF(Z431,O431*'[1]ETC Data'!$H$4*'[1]ETC Data'!$L$4,0)</f>
        <v>0</v>
      </c>
      <c r="AH431" s="58">
        <f>AG431-(AG431*((VLOOKUP(A431,[1]Plan!A$1:AP$804,42,FALSE)/100)))</f>
        <v>0</v>
      </c>
      <c r="AI431" s="60"/>
      <c r="AJ431" s="60" t="b">
        <f t="shared" si="13"/>
        <v>0</v>
      </c>
      <c r="AK431" s="61">
        <f>IF(AJ431,O431*'[1]ETC Data'!$H$5*'[1]ETC Data'!$I$5,0)</f>
        <v>0</v>
      </c>
      <c r="AL431" s="58">
        <f>AK431-(AK431*((VLOOKUP(A431,[1]Plan!A$1:AY$804,51,FALSE)/100)))</f>
        <v>0</v>
      </c>
      <c r="AM431" s="58">
        <f>IF(AJ431,O431*'[1]ETC Data'!$H$5*'[1]ETC Data'!$J$5,0)</f>
        <v>0</v>
      </c>
      <c r="AN431" s="58">
        <f>AM431-(AM431*((VLOOKUP(A431,[1]Plan!A$1:BA$804,53,FALSE)/100)))</f>
        <v>0</v>
      </c>
      <c r="AO431" s="61">
        <f>IF(AJ431,O431*'[1]ETC Data'!$H$5*'[1]ETC Data'!$K$5,0)</f>
        <v>0</v>
      </c>
      <c r="AP431" s="58">
        <f>AO431-(AO431*((VLOOKUP(A431,[1]Plan!A$1:BB$804,54,FALSE)/100)))</f>
        <v>0</v>
      </c>
      <c r="AQ431" s="58">
        <f>IF(AJ431,O431*'[1]ETC Data'!$H$5*'[1]ETC Data'!$L$5,0)</f>
        <v>0</v>
      </c>
      <c r="AR431" s="58">
        <f>AQ431-(AQ431*((VLOOKUP(A431,[1]Plan!A$1:BD$804,56,FALSE)/100)))</f>
        <v>0</v>
      </c>
      <c r="AS431" s="20">
        <f>VLOOKUP(A431,'[1]PR Matrix'!A:B,2,FALSE)</f>
        <v>0</v>
      </c>
      <c r="AT431" s="21">
        <f t="shared" si="14"/>
        <v>0</v>
      </c>
      <c r="AU431" s="21">
        <f t="shared" si="15"/>
        <v>0</v>
      </c>
      <c r="AV431" s="21">
        <f t="shared" si="16"/>
        <v>0</v>
      </c>
      <c r="AW431" s="21">
        <f t="shared" si="17"/>
        <v>0</v>
      </c>
      <c r="AX431" s="21">
        <f t="shared" si="18"/>
        <v>0</v>
      </c>
      <c r="AY431" s="21">
        <f t="shared" si="19"/>
        <v>0</v>
      </c>
    </row>
    <row r="432" spans="1:51" hidden="1" x14ac:dyDescent="0.2">
      <c r="A432" s="50" t="s">
        <v>638</v>
      </c>
      <c r="B432" s="51" t="s">
        <v>208</v>
      </c>
      <c r="C432" s="51"/>
      <c r="D432" s="51"/>
      <c r="E432" s="52">
        <f>IF(G432="Y",VLOOKUP(B432&amp;"|"&amp;C432,'[1]ETC Data'!$C$2:$D$16,2,FALSE),0)</f>
        <v>0</v>
      </c>
      <c r="F432" s="52">
        <f>IF(D432="",0,IF(G432="Y",VLOOKUP(B432&amp;"|"&amp;D432,'[1]ETC Data'!$C$2:$D$16,2,FALSE),0))</f>
        <v>0</v>
      </c>
      <c r="G432" s="53" t="str">
        <f>IF(VLOOKUP(A432,[1]Plan!A$1:H$804,8,FALSE)&lt;&gt;"",VLOOKUP(A432,[1]Plan!A$1:H$804,8,FALSE),"")</f>
        <v>N</v>
      </c>
      <c r="H432" s="54" t="str">
        <f>IF(VLOOKUP(A432,[1]Plan!A$1:L$804,12,FALSE)&lt;&gt;"",VLOOKUP(A432,[1]Plan!A$1:L$804,12,FALSE),"")</f>
        <v/>
      </c>
      <c r="I432" s="55" t="str">
        <f>IF(VLOOKUP(A432,[1]Plan!A$1:M$804,13,FALSE)&lt;&gt;"",VLOOKUP(A432,[1]Plan!A$1:M$804,13,FALSE),"")</f>
        <v/>
      </c>
      <c r="J432" s="55" t="str">
        <f>IF(VLOOKUP(A432,[1]Plan!A$1:N$804,14,FALSE)&lt;&gt;"",VLOOKUP(A432,[1]Plan!A$1:N$804,14,FALSE),IF(VLOOKUP(A432,[1]Plan!A$1:O$804,15,FALSE)&lt;&gt;"",VLOOKUP(A432,[1]Plan!A$1:O$804,15,FALSE),""))</f>
        <v/>
      </c>
      <c r="K432" s="56" t="str">
        <f>IF(VLOOKUP(A432,[1]Plan!A$1:P$804,16,FALSE)&lt;&gt;"",VLOOKUP(A432,[1]Plan!A$1:P$804,16,FALSE),"")</f>
        <v/>
      </c>
      <c r="L432" s="55"/>
      <c r="M432" s="55"/>
      <c r="N432" s="55"/>
      <c r="O432" s="57">
        <f t="shared" si="10"/>
        <v>0</v>
      </c>
      <c r="P432" s="57" t="b">
        <f t="shared" si="11"/>
        <v>0</v>
      </c>
      <c r="Q432" s="58">
        <f>IF(P432,O432*'[1]ETC Data'!$H$3*'[1]ETC Data'!$I$3,0)</f>
        <v>0</v>
      </c>
      <c r="R432" s="58">
        <f>Q432-(Q432*((VLOOKUP(A432,[1]Plan!A$1:Z$804,26,FALSE)/100)))</f>
        <v>0</v>
      </c>
      <c r="S432" s="58">
        <f>IF(P432,O432*'[1]ETC Data'!$H$3*'[1]ETC Data'!$J$3,0)</f>
        <v>0</v>
      </c>
      <c r="T432" s="58">
        <f>S432-(S432*((VLOOKUP(A432,[1]Plan!A$1:AA$804,27,FALSE)/100)))</f>
        <v>0</v>
      </c>
      <c r="U432" s="58">
        <f>IF(P432,O432*'[1]ETC Data'!$H$3*'[1]ETC Data'!$K$3,0)</f>
        <v>0</v>
      </c>
      <c r="V432" s="58">
        <f>U432-(U432*((VLOOKUP(A432,[1]Plan!A$1:AB$804,28,FALSE)/100)))</f>
        <v>0</v>
      </c>
      <c r="W432" s="58">
        <f>IF(P432,O432*'[1]ETC Data'!$H$3*'[1]ETC Data'!$L$3,0)</f>
        <v>0</v>
      </c>
      <c r="X432" s="58">
        <f>W432-(W432*((VLOOKUP(A432,[1]Plan!A$1:AC$804,29,FALSE)/100)))</f>
        <v>0</v>
      </c>
      <c r="Y432" s="59"/>
      <c r="Z432" s="60" t="b">
        <f t="shared" si="12"/>
        <v>0</v>
      </c>
      <c r="AA432" s="58">
        <f>IF(Z432,O432*'[1]ETC Data'!$H$4*'[1]ETC Data'!$I$4,0)</f>
        <v>0</v>
      </c>
      <c r="AB432" s="58">
        <f>AA432-(AA432*((VLOOKUP(A432,[1]Plan!A$1:AI$804,35,FALSE)/100)))</f>
        <v>0</v>
      </c>
      <c r="AC432" s="58">
        <f>IF(Z432,O432*'[1]ETC Data'!$H$4*'[1]ETC Data'!$J$4,0)</f>
        <v>0</v>
      </c>
      <c r="AD432" s="58">
        <f>AC432-(AC432*((VLOOKUP(A432,[1]Plan!A$1:AJ$804,36,FALSE)/100)))</f>
        <v>0</v>
      </c>
      <c r="AE432" s="58">
        <f>IF(Z432,O432*'[1]ETC Data'!$H$4*'[1]ETC Data'!$K$4,0)</f>
        <v>0</v>
      </c>
      <c r="AF432" s="58">
        <f>AE432-(AE432*((VLOOKUP(A432,[1]Plan!A$1:AK$804,37,FALSE)/100)))</f>
        <v>0</v>
      </c>
      <c r="AG432" s="58">
        <f>IF(Z432,O432*'[1]ETC Data'!$H$4*'[1]ETC Data'!$L$4,0)</f>
        <v>0</v>
      </c>
      <c r="AH432" s="58">
        <f>AG432-(AG432*((VLOOKUP(A432,[1]Plan!A$1:AP$804,42,FALSE)/100)))</f>
        <v>0</v>
      </c>
      <c r="AI432" s="60"/>
      <c r="AJ432" s="60" t="b">
        <f t="shared" si="13"/>
        <v>0</v>
      </c>
      <c r="AK432" s="61">
        <f>IF(AJ432,O432*'[1]ETC Data'!$H$5*'[1]ETC Data'!$I$5,0)</f>
        <v>0</v>
      </c>
      <c r="AL432" s="58">
        <f>AK432-(AK432*((VLOOKUP(A432,[1]Plan!A$1:AY$804,51,FALSE)/100)))</f>
        <v>0</v>
      </c>
      <c r="AM432" s="58">
        <f>IF(AJ432,O432*'[1]ETC Data'!$H$5*'[1]ETC Data'!$J$5,0)</f>
        <v>0</v>
      </c>
      <c r="AN432" s="58">
        <f>AM432-(AM432*((VLOOKUP(A432,[1]Plan!A$1:BA$804,53,FALSE)/100)))</f>
        <v>0</v>
      </c>
      <c r="AO432" s="61">
        <f>IF(AJ432,O432*'[1]ETC Data'!$H$5*'[1]ETC Data'!$K$5,0)</f>
        <v>0</v>
      </c>
      <c r="AP432" s="58">
        <f>AO432-(AO432*((VLOOKUP(A432,[1]Plan!A$1:BB$804,54,FALSE)/100)))</f>
        <v>0</v>
      </c>
      <c r="AQ432" s="58">
        <f>IF(AJ432,O432*'[1]ETC Data'!$H$5*'[1]ETC Data'!$L$5,0)</f>
        <v>0</v>
      </c>
      <c r="AR432" s="58">
        <f>AQ432-(AQ432*((VLOOKUP(A432,[1]Plan!A$1:BD$804,56,FALSE)/100)))</f>
        <v>0</v>
      </c>
      <c r="AS432" s="20">
        <f>VLOOKUP(A432,'[1]PR Matrix'!A:B,2,FALSE)</f>
        <v>0</v>
      </c>
      <c r="AT432" s="21">
        <f t="shared" si="14"/>
        <v>0</v>
      </c>
      <c r="AU432" s="21">
        <f t="shared" si="15"/>
        <v>0</v>
      </c>
      <c r="AV432" s="21">
        <f t="shared" si="16"/>
        <v>0</v>
      </c>
      <c r="AW432" s="21">
        <f t="shared" si="17"/>
        <v>0</v>
      </c>
      <c r="AX432" s="21">
        <f t="shared" si="18"/>
        <v>0</v>
      </c>
      <c r="AY432" s="21">
        <f t="shared" si="19"/>
        <v>0</v>
      </c>
    </row>
    <row r="433" spans="1:51" hidden="1" x14ac:dyDescent="0.2">
      <c r="A433" s="50" t="s">
        <v>639</v>
      </c>
      <c r="B433" s="51" t="s">
        <v>208</v>
      </c>
      <c r="C433" s="51"/>
      <c r="D433" s="51"/>
      <c r="E433" s="52">
        <f>IF(G433="Y",VLOOKUP(B433&amp;"|"&amp;C433,'[1]ETC Data'!$C$2:$D$16,2,FALSE),0)</f>
        <v>0</v>
      </c>
      <c r="F433" s="52">
        <f>IF(D433="",0,IF(G433="Y",VLOOKUP(B433&amp;"|"&amp;D433,'[1]ETC Data'!$C$2:$D$16,2,FALSE),0))</f>
        <v>0</v>
      </c>
      <c r="G433" s="53" t="str">
        <f>IF(VLOOKUP(A433,[1]Plan!A$1:H$804,8,FALSE)&lt;&gt;"",VLOOKUP(A433,[1]Plan!A$1:H$804,8,FALSE),"")</f>
        <v>N</v>
      </c>
      <c r="H433" s="54" t="str">
        <f>IF(VLOOKUP(A433,[1]Plan!A$1:L$804,12,FALSE)&lt;&gt;"",VLOOKUP(A433,[1]Plan!A$1:L$804,12,FALSE),"")</f>
        <v/>
      </c>
      <c r="I433" s="55" t="str">
        <f>IF(VLOOKUP(A433,[1]Plan!A$1:M$804,13,FALSE)&lt;&gt;"",VLOOKUP(A433,[1]Plan!A$1:M$804,13,FALSE),"")</f>
        <v/>
      </c>
      <c r="J433" s="55" t="str">
        <f>IF(VLOOKUP(A433,[1]Plan!A$1:N$804,14,FALSE)&lt;&gt;"",VLOOKUP(A433,[1]Plan!A$1:N$804,14,FALSE),IF(VLOOKUP(A433,[1]Plan!A$1:O$804,15,FALSE)&lt;&gt;"",VLOOKUP(A433,[1]Plan!A$1:O$804,15,FALSE),""))</f>
        <v/>
      </c>
      <c r="K433" s="56" t="str">
        <f>IF(VLOOKUP(A433,[1]Plan!A$1:P$804,16,FALSE)&lt;&gt;"",VLOOKUP(A433,[1]Plan!A$1:P$804,16,FALSE),"")</f>
        <v/>
      </c>
      <c r="L433" s="55"/>
      <c r="M433" s="55"/>
      <c r="N433" s="55"/>
      <c r="O433" s="57">
        <f t="shared" si="10"/>
        <v>0</v>
      </c>
      <c r="P433" s="57" t="b">
        <f t="shared" si="11"/>
        <v>0</v>
      </c>
      <c r="Q433" s="58">
        <f>IF(P433,O433*'[1]ETC Data'!$H$3*'[1]ETC Data'!$I$3,0)</f>
        <v>0</v>
      </c>
      <c r="R433" s="58">
        <f>Q433-(Q433*((VLOOKUP(A433,[1]Plan!A$1:Z$804,26,FALSE)/100)))</f>
        <v>0</v>
      </c>
      <c r="S433" s="58">
        <f>IF(P433,O433*'[1]ETC Data'!$H$3*'[1]ETC Data'!$J$3,0)</f>
        <v>0</v>
      </c>
      <c r="T433" s="58">
        <f>S433-(S433*((VLOOKUP(A433,[1]Plan!A$1:AA$804,27,FALSE)/100)))</f>
        <v>0</v>
      </c>
      <c r="U433" s="58">
        <f>IF(P433,O433*'[1]ETC Data'!$H$3*'[1]ETC Data'!$K$3,0)</f>
        <v>0</v>
      </c>
      <c r="V433" s="58">
        <f>U433-(U433*((VLOOKUP(A433,[1]Plan!A$1:AB$804,28,FALSE)/100)))</f>
        <v>0</v>
      </c>
      <c r="W433" s="58">
        <f>IF(P433,O433*'[1]ETC Data'!$H$3*'[1]ETC Data'!$L$3,0)</f>
        <v>0</v>
      </c>
      <c r="X433" s="58">
        <f>W433-(W433*((VLOOKUP(A433,[1]Plan!A$1:AC$804,29,FALSE)/100)))</f>
        <v>0</v>
      </c>
      <c r="Y433" s="59"/>
      <c r="Z433" s="60" t="b">
        <f t="shared" si="12"/>
        <v>0</v>
      </c>
      <c r="AA433" s="58">
        <f>IF(Z433,O433*'[1]ETC Data'!$H$4*'[1]ETC Data'!$I$4,0)</f>
        <v>0</v>
      </c>
      <c r="AB433" s="58">
        <f>AA433-(AA433*((VLOOKUP(A433,[1]Plan!A$1:AI$804,35,FALSE)/100)))</f>
        <v>0</v>
      </c>
      <c r="AC433" s="58">
        <f>IF(Z433,O433*'[1]ETC Data'!$H$4*'[1]ETC Data'!$J$4,0)</f>
        <v>0</v>
      </c>
      <c r="AD433" s="58">
        <f>AC433-(AC433*((VLOOKUP(A433,[1]Plan!A$1:AJ$804,36,FALSE)/100)))</f>
        <v>0</v>
      </c>
      <c r="AE433" s="58">
        <f>IF(Z433,O433*'[1]ETC Data'!$H$4*'[1]ETC Data'!$K$4,0)</f>
        <v>0</v>
      </c>
      <c r="AF433" s="58">
        <f>AE433-(AE433*((VLOOKUP(A433,[1]Plan!A$1:AK$804,37,FALSE)/100)))</f>
        <v>0</v>
      </c>
      <c r="AG433" s="58">
        <f>IF(Z433,O433*'[1]ETC Data'!$H$4*'[1]ETC Data'!$L$4,0)</f>
        <v>0</v>
      </c>
      <c r="AH433" s="58">
        <f>AG433-(AG433*((VLOOKUP(A433,[1]Plan!A$1:AP$804,42,FALSE)/100)))</f>
        <v>0</v>
      </c>
      <c r="AI433" s="60"/>
      <c r="AJ433" s="60" t="b">
        <f t="shared" si="13"/>
        <v>0</v>
      </c>
      <c r="AK433" s="61">
        <f>IF(AJ433,O433*'[1]ETC Data'!$H$5*'[1]ETC Data'!$I$5,0)</f>
        <v>0</v>
      </c>
      <c r="AL433" s="58">
        <f>AK433-(AK433*((VLOOKUP(A433,[1]Plan!A$1:AY$804,51,FALSE)/100)))</f>
        <v>0</v>
      </c>
      <c r="AM433" s="58">
        <f>IF(AJ433,O433*'[1]ETC Data'!$H$5*'[1]ETC Data'!$J$5,0)</f>
        <v>0</v>
      </c>
      <c r="AN433" s="58">
        <f>AM433-(AM433*((VLOOKUP(A433,[1]Plan!A$1:BA$804,53,FALSE)/100)))</f>
        <v>0</v>
      </c>
      <c r="AO433" s="61">
        <f>IF(AJ433,O433*'[1]ETC Data'!$H$5*'[1]ETC Data'!$K$5,0)</f>
        <v>0</v>
      </c>
      <c r="AP433" s="58">
        <f>AO433-(AO433*((VLOOKUP(A433,[1]Plan!A$1:BB$804,54,FALSE)/100)))</f>
        <v>0</v>
      </c>
      <c r="AQ433" s="58">
        <f>IF(AJ433,O433*'[1]ETC Data'!$H$5*'[1]ETC Data'!$L$5,0)</f>
        <v>0</v>
      </c>
      <c r="AR433" s="58">
        <f>AQ433-(AQ433*((VLOOKUP(A433,[1]Plan!A$1:BD$804,56,FALSE)/100)))</f>
        <v>0</v>
      </c>
      <c r="AS433" s="20">
        <f>VLOOKUP(A433,'[1]PR Matrix'!A:B,2,FALSE)</f>
        <v>0</v>
      </c>
      <c r="AT433" s="21">
        <f t="shared" si="14"/>
        <v>0</v>
      </c>
      <c r="AU433" s="21">
        <f t="shared" si="15"/>
        <v>0</v>
      </c>
      <c r="AV433" s="21">
        <f t="shared" si="16"/>
        <v>0</v>
      </c>
      <c r="AW433" s="21">
        <f t="shared" si="17"/>
        <v>0</v>
      </c>
      <c r="AX433" s="21">
        <f t="shared" si="18"/>
        <v>0</v>
      </c>
      <c r="AY433" s="21">
        <f t="shared" si="19"/>
        <v>0</v>
      </c>
    </row>
    <row r="434" spans="1:51" hidden="1" x14ac:dyDescent="0.2">
      <c r="A434" s="50" t="s">
        <v>640</v>
      </c>
      <c r="B434" s="51" t="s">
        <v>208</v>
      </c>
      <c r="C434" s="51"/>
      <c r="D434" s="51"/>
      <c r="E434" s="52">
        <f>IF(G434="Y",VLOOKUP(B434&amp;"|"&amp;C434,'[1]ETC Data'!$C$2:$D$16,2,FALSE),0)</f>
        <v>0</v>
      </c>
      <c r="F434" s="52">
        <f>IF(D434="",0,IF(G434="Y",VLOOKUP(B434&amp;"|"&amp;D434,'[1]ETC Data'!$C$2:$D$16,2,FALSE),0))</f>
        <v>0</v>
      </c>
      <c r="G434" s="53" t="str">
        <f>IF(VLOOKUP(A434,[1]Plan!A$1:H$804,8,FALSE)&lt;&gt;"",VLOOKUP(A434,[1]Plan!A$1:H$804,8,FALSE),"")</f>
        <v>N</v>
      </c>
      <c r="H434" s="54" t="str">
        <f>IF(VLOOKUP(A434,[1]Plan!A$1:L$804,12,FALSE)&lt;&gt;"",VLOOKUP(A434,[1]Plan!A$1:L$804,12,FALSE),"")</f>
        <v/>
      </c>
      <c r="I434" s="55" t="str">
        <f>IF(VLOOKUP(A434,[1]Plan!A$1:M$804,13,FALSE)&lt;&gt;"",VLOOKUP(A434,[1]Plan!A$1:M$804,13,FALSE),"")</f>
        <v/>
      </c>
      <c r="J434" s="55" t="str">
        <f>IF(VLOOKUP(A434,[1]Plan!A$1:N$804,14,FALSE)&lt;&gt;"",VLOOKUP(A434,[1]Plan!A$1:N$804,14,FALSE),IF(VLOOKUP(A434,[1]Plan!A$1:O$804,15,FALSE)&lt;&gt;"",VLOOKUP(A434,[1]Plan!A$1:O$804,15,FALSE),""))</f>
        <v/>
      </c>
      <c r="K434" s="56" t="str">
        <f>IF(VLOOKUP(A434,[1]Plan!A$1:P$804,16,FALSE)&lt;&gt;"",VLOOKUP(A434,[1]Plan!A$1:P$804,16,FALSE),"")</f>
        <v/>
      </c>
      <c r="L434" s="55"/>
      <c r="M434" s="55"/>
      <c r="N434" s="55"/>
      <c r="O434" s="57">
        <f t="shared" si="10"/>
        <v>0</v>
      </c>
      <c r="P434" s="57" t="b">
        <f t="shared" si="11"/>
        <v>0</v>
      </c>
      <c r="Q434" s="58">
        <f>IF(P434,O434*'[1]ETC Data'!$H$3*'[1]ETC Data'!$I$3,0)</f>
        <v>0</v>
      </c>
      <c r="R434" s="58">
        <f>Q434-(Q434*((VLOOKUP(A434,[1]Plan!A$1:Z$804,26,FALSE)/100)))</f>
        <v>0</v>
      </c>
      <c r="S434" s="58">
        <f>IF(P434,O434*'[1]ETC Data'!$H$3*'[1]ETC Data'!$J$3,0)</f>
        <v>0</v>
      </c>
      <c r="T434" s="58">
        <f>S434-(S434*((VLOOKUP(A434,[1]Plan!A$1:AA$804,27,FALSE)/100)))</f>
        <v>0</v>
      </c>
      <c r="U434" s="58">
        <f>IF(P434,O434*'[1]ETC Data'!$H$3*'[1]ETC Data'!$K$3,0)</f>
        <v>0</v>
      </c>
      <c r="V434" s="58">
        <f>U434-(U434*((VLOOKUP(A434,[1]Plan!A$1:AB$804,28,FALSE)/100)))</f>
        <v>0</v>
      </c>
      <c r="W434" s="58">
        <f>IF(P434,O434*'[1]ETC Data'!$H$3*'[1]ETC Data'!$L$3,0)</f>
        <v>0</v>
      </c>
      <c r="X434" s="58">
        <f>W434-(W434*((VLOOKUP(A434,[1]Plan!A$1:AC$804,29,FALSE)/100)))</f>
        <v>0</v>
      </c>
      <c r="Y434" s="59"/>
      <c r="Z434" s="60" t="b">
        <f t="shared" si="12"/>
        <v>0</v>
      </c>
      <c r="AA434" s="58">
        <f>IF(Z434,O434*'[1]ETC Data'!$H$4*'[1]ETC Data'!$I$4,0)</f>
        <v>0</v>
      </c>
      <c r="AB434" s="58">
        <f>AA434-(AA434*((VLOOKUP(A434,[1]Plan!A$1:AI$804,35,FALSE)/100)))</f>
        <v>0</v>
      </c>
      <c r="AC434" s="58">
        <f>IF(Z434,O434*'[1]ETC Data'!$H$4*'[1]ETC Data'!$J$4,0)</f>
        <v>0</v>
      </c>
      <c r="AD434" s="58">
        <f>AC434-(AC434*((VLOOKUP(A434,[1]Plan!A$1:AJ$804,36,FALSE)/100)))</f>
        <v>0</v>
      </c>
      <c r="AE434" s="58">
        <f>IF(Z434,O434*'[1]ETC Data'!$H$4*'[1]ETC Data'!$K$4,0)</f>
        <v>0</v>
      </c>
      <c r="AF434" s="58">
        <f>AE434-(AE434*((VLOOKUP(A434,[1]Plan!A$1:AK$804,37,FALSE)/100)))</f>
        <v>0</v>
      </c>
      <c r="AG434" s="58">
        <f>IF(Z434,O434*'[1]ETC Data'!$H$4*'[1]ETC Data'!$L$4,0)</f>
        <v>0</v>
      </c>
      <c r="AH434" s="58">
        <f>AG434-(AG434*((VLOOKUP(A434,[1]Plan!A$1:AP$804,42,FALSE)/100)))</f>
        <v>0</v>
      </c>
      <c r="AI434" s="60"/>
      <c r="AJ434" s="60" t="b">
        <f t="shared" si="13"/>
        <v>0</v>
      </c>
      <c r="AK434" s="61">
        <f>IF(AJ434,O434*'[1]ETC Data'!$H$5*'[1]ETC Data'!$I$5,0)</f>
        <v>0</v>
      </c>
      <c r="AL434" s="58">
        <f>AK434-(AK434*((VLOOKUP(A434,[1]Plan!A$1:AY$804,51,FALSE)/100)))</f>
        <v>0</v>
      </c>
      <c r="AM434" s="58">
        <f>IF(AJ434,O434*'[1]ETC Data'!$H$5*'[1]ETC Data'!$J$5,0)</f>
        <v>0</v>
      </c>
      <c r="AN434" s="58">
        <f>AM434-(AM434*((VLOOKUP(A434,[1]Plan!A$1:BA$804,53,FALSE)/100)))</f>
        <v>0</v>
      </c>
      <c r="AO434" s="61">
        <f>IF(AJ434,O434*'[1]ETC Data'!$H$5*'[1]ETC Data'!$K$5,0)</f>
        <v>0</v>
      </c>
      <c r="AP434" s="58">
        <f>AO434-(AO434*((VLOOKUP(A434,[1]Plan!A$1:BB$804,54,FALSE)/100)))</f>
        <v>0</v>
      </c>
      <c r="AQ434" s="58">
        <f>IF(AJ434,O434*'[1]ETC Data'!$H$5*'[1]ETC Data'!$L$5,0)</f>
        <v>0</v>
      </c>
      <c r="AR434" s="58">
        <f>AQ434-(AQ434*((VLOOKUP(A434,[1]Plan!A$1:BD$804,56,FALSE)/100)))</f>
        <v>0</v>
      </c>
      <c r="AS434" s="20">
        <f>VLOOKUP(A434,'[1]PR Matrix'!A:B,2,FALSE)</f>
        <v>0</v>
      </c>
      <c r="AT434" s="21">
        <f t="shared" si="14"/>
        <v>0</v>
      </c>
      <c r="AU434" s="21">
        <f t="shared" si="15"/>
        <v>0</v>
      </c>
      <c r="AV434" s="21">
        <f t="shared" si="16"/>
        <v>0</v>
      </c>
      <c r="AW434" s="21">
        <f t="shared" si="17"/>
        <v>0</v>
      </c>
      <c r="AX434" s="21">
        <f t="shared" si="18"/>
        <v>0</v>
      </c>
      <c r="AY434" s="21">
        <f t="shared" si="19"/>
        <v>0</v>
      </c>
    </row>
    <row r="435" spans="1:51" hidden="1" x14ac:dyDescent="0.2">
      <c r="A435" s="50" t="s">
        <v>641</v>
      </c>
      <c r="B435" s="51" t="s">
        <v>208</v>
      </c>
      <c r="C435" s="51"/>
      <c r="D435" s="51"/>
      <c r="E435" s="52">
        <f>IF(G435="Y",VLOOKUP(B435&amp;"|"&amp;C435,'[1]ETC Data'!$C$2:$D$16,2,FALSE),0)</f>
        <v>0</v>
      </c>
      <c r="F435" s="52">
        <f>IF(D435="",0,IF(G435="Y",VLOOKUP(B435&amp;"|"&amp;D435,'[1]ETC Data'!$C$2:$D$16,2,FALSE),0))</f>
        <v>0</v>
      </c>
      <c r="G435" s="53" t="str">
        <f>IF(VLOOKUP(A435,[1]Plan!A$1:H$804,8,FALSE)&lt;&gt;"",VLOOKUP(A435,[1]Plan!A$1:H$804,8,FALSE),"")</f>
        <v>N</v>
      </c>
      <c r="H435" s="54" t="str">
        <f>IF(VLOOKUP(A435,[1]Plan!A$1:L$804,12,FALSE)&lt;&gt;"",VLOOKUP(A435,[1]Plan!A$1:L$804,12,FALSE),"")</f>
        <v/>
      </c>
      <c r="I435" s="55" t="str">
        <f>IF(VLOOKUP(A435,[1]Plan!A$1:M$804,13,FALSE)&lt;&gt;"",VLOOKUP(A435,[1]Plan!A$1:M$804,13,FALSE),"")</f>
        <v/>
      </c>
      <c r="J435" s="55" t="str">
        <f>IF(VLOOKUP(A435,[1]Plan!A$1:N$804,14,FALSE)&lt;&gt;"",VLOOKUP(A435,[1]Plan!A$1:N$804,14,FALSE),IF(VLOOKUP(A435,[1]Plan!A$1:O$804,15,FALSE)&lt;&gt;"",VLOOKUP(A435,[1]Plan!A$1:O$804,15,FALSE),""))</f>
        <v/>
      </c>
      <c r="K435" s="56" t="str">
        <f>IF(VLOOKUP(A435,[1]Plan!A$1:P$804,16,FALSE)&lt;&gt;"",VLOOKUP(A435,[1]Plan!A$1:P$804,16,FALSE),"")</f>
        <v/>
      </c>
      <c r="L435" s="55"/>
      <c r="M435" s="55"/>
      <c r="N435" s="55"/>
      <c r="O435" s="57">
        <f t="shared" si="10"/>
        <v>0</v>
      </c>
      <c r="P435" s="57" t="b">
        <f t="shared" si="11"/>
        <v>0</v>
      </c>
      <c r="Q435" s="58">
        <f>IF(P435,O435*'[1]ETC Data'!$H$3*'[1]ETC Data'!$I$3,0)</f>
        <v>0</v>
      </c>
      <c r="R435" s="58">
        <f>Q435-(Q435*((VLOOKUP(A435,[1]Plan!A$1:Z$804,26,FALSE)/100)))</f>
        <v>0</v>
      </c>
      <c r="S435" s="58">
        <f>IF(P435,O435*'[1]ETC Data'!$H$3*'[1]ETC Data'!$J$3,0)</f>
        <v>0</v>
      </c>
      <c r="T435" s="58">
        <f>S435-(S435*((VLOOKUP(A435,[1]Plan!A$1:AA$804,27,FALSE)/100)))</f>
        <v>0</v>
      </c>
      <c r="U435" s="58">
        <f>IF(P435,O435*'[1]ETC Data'!$H$3*'[1]ETC Data'!$K$3,0)</f>
        <v>0</v>
      </c>
      <c r="V435" s="58">
        <f>U435-(U435*((VLOOKUP(A435,[1]Plan!A$1:AB$804,28,FALSE)/100)))</f>
        <v>0</v>
      </c>
      <c r="W435" s="58">
        <f>IF(P435,O435*'[1]ETC Data'!$H$3*'[1]ETC Data'!$L$3,0)</f>
        <v>0</v>
      </c>
      <c r="X435" s="58">
        <f>W435-(W435*((VLOOKUP(A435,[1]Plan!A$1:AC$804,29,FALSE)/100)))</f>
        <v>0</v>
      </c>
      <c r="Y435" s="59"/>
      <c r="Z435" s="60" t="b">
        <f t="shared" si="12"/>
        <v>0</v>
      </c>
      <c r="AA435" s="58">
        <f>IF(Z435,O435*'[1]ETC Data'!$H$4*'[1]ETC Data'!$I$4,0)</f>
        <v>0</v>
      </c>
      <c r="AB435" s="58">
        <f>AA435-(AA435*((VLOOKUP(A435,[1]Plan!A$1:AI$804,35,FALSE)/100)))</f>
        <v>0</v>
      </c>
      <c r="AC435" s="58">
        <f>IF(Z435,O435*'[1]ETC Data'!$H$4*'[1]ETC Data'!$J$4,0)</f>
        <v>0</v>
      </c>
      <c r="AD435" s="58">
        <f>AC435-(AC435*((VLOOKUP(A435,[1]Plan!A$1:AJ$804,36,FALSE)/100)))</f>
        <v>0</v>
      </c>
      <c r="AE435" s="58">
        <f>IF(Z435,O435*'[1]ETC Data'!$H$4*'[1]ETC Data'!$K$4,0)</f>
        <v>0</v>
      </c>
      <c r="AF435" s="58">
        <f>AE435-(AE435*((VLOOKUP(A435,[1]Plan!A$1:AK$804,37,FALSE)/100)))</f>
        <v>0</v>
      </c>
      <c r="AG435" s="58">
        <f>IF(Z435,O435*'[1]ETC Data'!$H$4*'[1]ETC Data'!$L$4,0)</f>
        <v>0</v>
      </c>
      <c r="AH435" s="58">
        <f>AG435-(AG435*((VLOOKUP(A435,[1]Plan!A$1:AP$804,42,FALSE)/100)))</f>
        <v>0</v>
      </c>
      <c r="AI435" s="60"/>
      <c r="AJ435" s="60" t="b">
        <f t="shared" si="13"/>
        <v>0</v>
      </c>
      <c r="AK435" s="61">
        <f>IF(AJ435,O435*'[1]ETC Data'!$H$5*'[1]ETC Data'!$I$5,0)</f>
        <v>0</v>
      </c>
      <c r="AL435" s="58">
        <f>AK435-(AK435*((VLOOKUP(A435,[1]Plan!A$1:AY$804,51,FALSE)/100)))</f>
        <v>0</v>
      </c>
      <c r="AM435" s="58">
        <f>IF(AJ435,O435*'[1]ETC Data'!$H$5*'[1]ETC Data'!$J$5,0)</f>
        <v>0</v>
      </c>
      <c r="AN435" s="58">
        <f>AM435-(AM435*((VLOOKUP(A435,[1]Plan!A$1:BA$804,53,FALSE)/100)))</f>
        <v>0</v>
      </c>
      <c r="AO435" s="61">
        <f>IF(AJ435,O435*'[1]ETC Data'!$H$5*'[1]ETC Data'!$K$5,0)</f>
        <v>0</v>
      </c>
      <c r="AP435" s="58">
        <f>AO435-(AO435*((VLOOKUP(A435,[1]Plan!A$1:BB$804,54,FALSE)/100)))</f>
        <v>0</v>
      </c>
      <c r="AQ435" s="58">
        <f>IF(AJ435,O435*'[1]ETC Data'!$H$5*'[1]ETC Data'!$L$5,0)</f>
        <v>0</v>
      </c>
      <c r="AR435" s="58">
        <f>AQ435-(AQ435*((VLOOKUP(A435,[1]Plan!A$1:BD$804,56,FALSE)/100)))</f>
        <v>0</v>
      </c>
      <c r="AS435" s="20">
        <f>VLOOKUP(A435,'[1]PR Matrix'!A:B,2,FALSE)</f>
        <v>0</v>
      </c>
      <c r="AT435" s="21">
        <f t="shared" si="14"/>
        <v>0</v>
      </c>
      <c r="AU435" s="21">
        <f t="shared" si="15"/>
        <v>0</v>
      </c>
      <c r="AV435" s="21">
        <f t="shared" si="16"/>
        <v>0</v>
      </c>
      <c r="AW435" s="21">
        <f t="shared" si="17"/>
        <v>0</v>
      </c>
      <c r="AX435" s="21">
        <f t="shared" si="18"/>
        <v>0</v>
      </c>
      <c r="AY435" s="21">
        <f t="shared" si="19"/>
        <v>0</v>
      </c>
    </row>
    <row r="436" spans="1:51" hidden="1" x14ac:dyDescent="0.2">
      <c r="A436" s="50" t="s">
        <v>642</v>
      </c>
      <c r="B436" s="51" t="s">
        <v>208</v>
      </c>
      <c r="C436" s="51"/>
      <c r="D436" s="51"/>
      <c r="E436" s="52">
        <f>IF(G436="Y",VLOOKUP(B436&amp;"|"&amp;C436,'[1]ETC Data'!$C$2:$D$16,2,FALSE),0)</f>
        <v>0</v>
      </c>
      <c r="F436" s="52">
        <f>IF(D436="",0,IF(G436="Y",VLOOKUP(B436&amp;"|"&amp;D436,'[1]ETC Data'!$C$2:$D$16,2,FALSE),0))</f>
        <v>0</v>
      </c>
      <c r="G436" s="53" t="str">
        <f>IF(VLOOKUP(A436,[1]Plan!A$1:H$804,8,FALSE)&lt;&gt;"",VLOOKUP(A436,[1]Plan!A$1:H$804,8,FALSE),"")</f>
        <v>N</v>
      </c>
      <c r="H436" s="54" t="str">
        <f>IF(VLOOKUP(A436,[1]Plan!A$1:L$804,12,FALSE)&lt;&gt;"",VLOOKUP(A436,[1]Plan!A$1:L$804,12,FALSE),"")</f>
        <v/>
      </c>
      <c r="I436" s="55" t="str">
        <f>IF(VLOOKUP(A436,[1]Plan!A$1:M$804,13,FALSE)&lt;&gt;"",VLOOKUP(A436,[1]Plan!A$1:M$804,13,FALSE),"")</f>
        <v/>
      </c>
      <c r="J436" s="55" t="str">
        <f>IF(VLOOKUP(A436,[1]Plan!A$1:N$804,14,FALSE)&lt;&gt;"",VLOOKUP(A436,[1]Plan!A$1:N$804,14,FALSE),IF(VLOOKUP(A436,[1]Plan!A$1:O$804,15,FALSE)&lt;&gt;"",VLOOKUP(A436,[1]Plan!A$1:O$804,15,FALSE),""))</f>
        <v/>
      </c>
      <c r="K436" s="56" t="str">
        <f>IF(VLOOKUP(A436,[1]Plan!A$1:P$804,16,FALSE)&lt;&gt;"",VLOOKUP(A436,[1]Plan!A$1:P$804,16,FALSE),"")</f>
        <v/>
      </c>
      <c r="L436" s="55"/>
      <c r="M436" s="55"/>
      <c r="N436" s="55"/>
      <c r="O436" s="57">
        <f t="shared" si="10"/>
        <v>0</v>
      </c>
      <c r="P436" s="57" t="b">
        <f t="shared" si="11"/>
        <v>0</v>
      </c>
      <c r="Q436" s="58">
        <f>IF(P436,O436*'[1]ETC Data'!$H$3*'[1]ETC Data'!$I$3,0)</f>
        <v>0</v>
      </c>
      <c r="R436" s="58">
        <f>Q436-(Q436*((VLOOKUP(A436,[1]Plan!A$1:Z$804,26,FALSE)/100)))</f>
        <v>0</v>
      </c>
      <c r="S436" s="58">
        <f>IF(P436,O436*'[1]ETC Data'!$H$3*'[1]ETC Data'!$J$3,0)</f>
        <v>0</v>
      </c>
      <c r="T436" s="58">
        <f>S436-(S436*((VLOOKUP(A436,[1]Plan!A$1:AA$804,27,FALSE)/100)))</f>
        <v>0</v>
      </c>
      <c r="U436" s="58">
        <f>IF(P436,O436*'[1]ETC Data'!$H$3*'[1]ETC Data'!$K$3,0)</f>
        <v>0</v>
      </c>
      <c r="V436" s="58">
        <f>U436-(U436*((VLOOKUP(A436,[1]Plan!A$1:AB$804,28,FALSE)/100)))</f>
        <v>0</v>
      </c>
      <c r="W436" s="58">
        <f>IF(P436,O436*'[1]ETC Data'!$H$3*'[1]ETC Data'!$L$3,0)</f>
        <v>0</v>
      </c>
      <c r="X436" s="58">
        <f>W436-(W436*((VLOOKUP(A436,[1]Plan!A$1:AC$804,29,FALSE)/100)))</f>
        <v>0</v>
      </c>
      <c r="Y436" s="59"/>
      <c r="Z436" s="60" t="b">
        <f t="shared" si="12"/>
        <v>0</v>
      </c>
      <c r="AA436" s="58">
        <f>IF(Z436,O436*'[1]ETC Data'!$H$4*'[1]ETC Data'!$I$4,0)</f>
        <v>0</v>
      </c>
      <c r="AB436" s="58">
        <f>AA436-(AA436*((VLOOKUP(A436,[1]Plan!A$1:AI$804,35,FALSE)/100)))</f>
        <v>0</v>
      </c>
      <c r="AC436" s="58">
        <f>IF(Z436,O436*'[1]ETC Data'!$H$4*'[1]ETC Data'!$J$4,0)</f>
        <v>0</v>
      </c>
      <c r="AD436" s="58">
        <f>AC436-(AC436*((VLOOKUP(A436,[1]Plan!A$1:AJ$804,36,FALSE)/100)))</f>
        <v>0</v>
      </c>
      <c r="AE436" s="58">
        <f>IF(Z436,O436*'[1]ETC Data'!$H$4*'[1]ETC Data'!$K$4,0)</f>
        <v>0</v>
      </c>
      <c r="AF436" s="58">
        <f>AE436-(AE436*((VLOOKUP(A436,[1]Plan!A$1:AK$804,37,FALSE)/100)))</f>
        <v>0</v>
      </c>
      <c r="AG436" s="58">
        <f>IF(Z436,O436*'[1]ETC Data'!$H$4*'[1]ETC Data'!$L$4,0)</f>
        <v>0</v>
      </c>
      <c r="AH436" s="58">
        <f>AG436-(AG436*((VLOOKUP(A436,[1]Plan!A$1:AP$804,42,FALSE)/100)))</f>
        <v>0</v>
      </c>
      <c r="AI436" s="60"/>
      <c r="AJ436" s="60" t="b">
        <f t="shared" si="13"/>
        <v>0</v>
      </c>
      <c r="AK436" s="61">
        <f>IF(AJ436,O436*'[1]ETC Data'!$H$5*'[1]ETC Data'!$I$5,0)</f>
        <v>0</v>
      </c>
      <c r="AL436" s="58">
        <f>AK436-(AK436*((VLOOKUP(A436,[1]Plan!A$1:AY$804,51,FALSE)/100)))</f>
        <v>0</v>
      </c>
      <c r="AM436" s="58">
        <f>IF(AJ436,O436*'[1]ETC Data'!$H$5*'[1]ETC Data'!$J$5,0)</f>
        <v>0</v>
      </c>
      <c r="AN436" s="58">
        <f>AM436-(AM436*((VLOOKUP(A436,[1]Plan!A$1:BA$804,53,FALSE)/100)))</f>
        <v>0</v>
      </c>
      <c r="AO436" s="61">
        <f>IF(AJ436,O436*'[1]ETC Data'!$H$5*'[1]ETC Data'!$K$5,0)</f>
        <v>0</v>
      </c>
      <c r="AP436" s="58">
        <f>AO436-(AO436*((VLOOKUP(A436,[1]Plan!A$1:BB$804,54,FALSE)/100)))</f>
        <v>0</v>
      </c>
      <c r="AQ436" s="58">
        <f>IF(AJ436,O436*'[1]ETC Data'!$H$5*'[1]ETC Data'!$L$5,0)</f>
        <v>0</v>
      </c>
      <c r="AR436" s="58">
        <f>AQ436-(AQ436*((VLOOKUP(A436,[1]Plan!A$1:BD$804,56,FALSE)/100)))</f>
        <v>0</v>
      </c>
      <c r="AS436" s="20">
        <f>VLOOKUP(A436,'[1]PR Matrix'!A:B,2,FALSE)</f>
        <v>0</v>
      </c>
      <c r="AT436" s="21">
        <f t="shared" si="14"/>
        <v>0</v>
      </c>
      <c r="AU436" s="21">
        <f t="shared" si="15"/>
        <v>0</v>
      </c>
      <c r="AV436" s="21">
        <f t="shared" si="16"/>
        <v>0</v>
      </c>
      <c r="AW436" s="21">
        <f t="shared" si="17"/>
        <v>0</v>
      </c>
      <c r="AX436" s="21">
        <f t="shared" si="18"/>
        <v>0</v>
      </c>
      <c r="AY436" s="21">
        <f t="shared" si="19"/>
        <v>0</v>
      </c>
    </row>
    <row r="437" spans="1:51" hidden="1" x14ac:dyDescent="0.2">
      <c r="A437" s="50" t="s">
        <v>643</v>
      </c>
      <c r="B437" s="51" t="s">
        <v>208</v>
      </c>
      <c r="C437" s="51"/>
      <c r="D437" s="51"/>
      <c r="E437" s="52">
        <f>IF(G437="Y",VLOOKUP(B437&amp;"|"&amp;C437,'[1]ETC Data'!$C$2:$D$16,2,FALSE),0)</f>
        <v>0</v>
      </c>
      <c r="F437" s="52">
        <f>IF(D437="",0,IF(G437="Y",VLOOKUP(B437&amp;"|"&amp;D437,'[1]ETC Data'!$C$2:$D$16,2,FALSE),0))</f>
        <v>0</v>
      </c>
      <c r="G437" s="53" t="str">
        <f>IF(VLOOKUP(A437,[1]Plan!A$1:H$804,8,FALSE)&lt;&gt;"",VLOOKUP(A437,[1]Plan!A$1:H$804,8,FALSE),"")</f>
        <v>N</v>
      </c>
      <c r="H437" s="54" t="str">
        <f>IF(VLOOKUP(A437,[1]Plan!A$1:L$804,12,FALSE)&lt;&gt;"",VLOOKUP(A437,[1]Plan!A$1:L$804,12,FALSE),"")</f>
        <v/>
      </c>
      <c r="I437" s="55" t="str">
        <f>IF(VLOOKUP(A437,[1]Plan!A$1:M$804,13,FALSE)&lt;&gt;"",VLOOKUP(A437,[1]Plan!A$1:M$804,13,FALSE),"")</f>
        <v/>
      </c>
      <c r="J437" s="55" t="str">
        <f>IF(VLOOKUP(A437,[1]Plan!A$1:N$804,14,FALSE)&lt;&gt;"",VLOOKUP(A437,[1]Plan!A$1:N$804,14,FALSE),IF(VLOOKUP(A437,[1]Plan!A$1:O$804,15,FALSE)&lt;&gt;"",VLOOKUP(A437,[1]Plan!A$1:O$804,15,FALSE),""))</f>
        <v/>
      </c>
      <c r="K437" s="56" t="str">
        <f>IF(VLOOKUP(A437,[1]Plan!A$1:P$804,16,FALSE)&lt;&gt;"",VLOOKUP(A437,[1]Plan!A$1:P$804,16,FALSE),"")</f>
        <v/>
      </c>
      <c r="L437" s="55"/>
      <c r="M437" s="55"/>
      <c r="N437" s="55"/>
      <c r="O437" s="57">
        <f t="shared" si="10"/>
        <v>0</v>
      </c>
      <c r="P437" s="57" t="b">
        <f t="shared" si="11"/>
        <v>0</v>
      </c>
      <c r="Q437" s="58">
        <f>IF(P437,O437*'[1]ETC Data'!$H$3*'[1]ETC Data'!$I$3,0)</f>
        <v>0</v>
      </c>
      <c r="R437" s="58">
        <f>Q437-(Q437*((VLOOKUP(A437,[1]Plan!A$1:Z$804,26,FALSE)/100)))</f>
        <v>0</v>
      </c>
      <c r="S437" s="58">
        <f>IF(P437,O437*'[1]ETC Data'!$H$3*'[1]ETC Data'!$J$3,0)</f>
        <v>0</v>
      </c>
      <c r="T437" s="58">
        <f>S437-(S437*((VLOOKUP(A437,[1]Plan!A$1:AA$804,27,FALSE)/100)))</f>
        <v>0</v>
      </c>
      <c r="U437" s="58">
        <f>IF(P437,O437*'[1]ETC Data'!$H$3*'[1]ETC Data'!$K$3,0)</f>
        <v>0</v>
      </c>
      <c r="V437" s="58">
        <f>U437-(U437*((VLOOKUP(A437,[1]Plan!A$1:AB$804,28,FALSE)/100)))</f>
        <v>0</v>
      </c>
      <c r="W437" s="58">
        <f>IF(P437,O437*'[1]ETC Data'!$H$3*'[1]ETC Data'!$L$3,0)</f>
        <v>0</v>
      </c>
      <c r="X437" s="58">
        <f>W437-(W437*((VLOOKUP(A437,[1]Plan!A$1:AC$804,29,FALSE)/100)))</f>
        <v>0</v>
      </c>
      <c r="Y437" s="59"/>
      <c r="Z437" s="60" t="b">
        <f t="shared" si="12"/>
        <v>0</v>
      </c>
      <c r="AA437" s="58">
        <f>IF(Z437,O437*'[1]ETC Data'!$H$4*'[1]ETC Data'!$I$4,0)</f>
        <v>0</v>
      </c>
      <c r="AB437" s="58">
        <f>AA437-(AA437*((VLOOKUP(A437,[1]Plan!A$1:AI$804,35,FALSE)/100)))</f>
        <v>0</v>
      </c>
      <c r="AC437" s="58">
        <f>IF(Z437,O437*'[1]ETC Data'!$H$4*'[1]ETC Data'!$J$4,0)</f>
        <v>0</v>
      </c>
      <c r="AD437" s="58">
        <f>AC437-(AC437*((VLOOKUP(A437,[1]Plan!A$1:AJ$804,36,FALSE)/100)))</f>
        <v>0</v>
      </c>
      <c r="AE437" s="58">
        <f>IF(Z437,O437*'[1]ETC Data'!$H$4*'[1]ETC Data'!$K$4,0)</f>
        <v>0</v>
      </c>
      <c r="AF437" s="58">
        <f>AE437-(AE437*((VLOOKUP(A437,[1]Plan!A$1:AK$804,37,FALSE)/100)))</f>
        <v>0</v>
      </c>
      <c r="AG437" s="58">
        <f>IF(Z437,O437*'[1]ETC Data'!$H$4*'[1]ETC Data'!$L$4,0)</f>
        <v>0</v>
      </c>
      <c r="AH437" s="58">
        <f>AG437-(AG437*((VLOOKUP(A437,[1]Plan!A$1:AP$804,42,FALSE)/100)))</f>
        <v>0</v>
      </c>
      <c r="AI437" s="60"/>
      <c r="AJ437" s="60" t="b">
        <f t="shared" si="13"/>
        <v>0</v>
      </c>
      <c r="AK437" s="61">
        <f>IF(AJ437,O437*'[1]ETC Data'!$H$5*'[1]ETC Data'!$I$5,0)</f>
        <v>0</v>
      </c>
      <c r="AL437" s="58">
        <f>AK437-(AK437*((VLOOKUP(A437,[1]Plan!A$1:AY$804,51,FALSE)/100)))</f>
        <v>0</v>
      </c>
      <c r="AM437" s="58">
        <f>IF(AJ437,O437*'[1]ETC Data'!$H$5*'[1]ETC Data'!$J$5,0)</f>
        <v>0</v>
      </c>
      <c r="AN437" s="58">
        <f>AM437-(AM437*((VLOOKUP(A437,[1]Plan!A$1:BA$804,53,FALSE)/100)))</f>
        <v>0</v>
      </c>
      <c r="AO437" s="61">
        <f>IF(AJ437,O437*'[1]ETC Data'!$H$5*'[1]ETC Data'!$K$5,0)</f>
        <v>0</v>
      </c>
      <c r="AP437" s="58">
        <f>AO437-(AO437*((VLOOKUP(A437,[1]Plan!A$1:BB$804,54,FALSE)/100)))</f>
        <v>0</v>
      </c>
      <c r="AQ437" s="58">
        <f>IF(AJ437,O437*'[1]ETC Data'!$H$5*'[1]ETC Data'!$L$5,0)</f>
        <v>0</v>
      </c>
      <c r="AR437" s="58">
        <f>AQ437-(AQ437*((VLOOKUP(A437,[1]Plan!A$1:BD$804,56,FALSE)/100)))</f>
        <v>0</v>
      </c>
      <c r="AS437" s="20">
        <f>VLOOKUP(A437,'[1]PR Matrix'!A:B,2,FALSE)</f>
        <v>0</v>
      </c>
      <c r="AT437" s="21">
        <f t="shared" si="14"/>
        <v>0</v>
      </c>
      <c r="AU437" s="21">
        <f t="shared" si="15"/>
        <v>0</v>
      </c>
      <c r="AV437" s="21">
        <f t="shared" si="16"/>
        <v>0</v>
      </c>
      <c r="AW437" s="21">
        <f t="shared" si="17"/>
        <v>0</v>
      </c>
      <c r="AX437" s="21">
        <f t="shared" si="18"/>
        <v>0</v>
      </c>
      <c r="AY437" s="21">
        <f t="shared" si="19"/>
        <v>0</v>
      </c>
    </row>
    <row r="438" spans="1:51" hidden="1" x14ac:dyDescent="0.2">
      <c r="A438" s="50" t="s">
        <v>644</v>
      </c>
      <c r="B438" s="51" t="s">
        <v>208</v>
      </c>
      <c r="C438" s="51"/>
      <c r="D438" s="51"/>
      <c r="E438" s="52">
        <f>IF(G438="Y",VLOOKUP(B438&amp;"|"&amp;C438,'[1]ETC Data'!$C$2:$D$16,2,FALSE),0)</f>
        <v>0</v>
      </c>
      <c r="F438" s="52">
        <f>IF(D438="",0,IF(G438="Y",VLOOKUP(B438&amp;"|"&amp;D438,'[1]ETC Data'!$C$2:$D$16,2,FALSE),0))</f>
        <v>0</v>
      </c>
      <c r="G438" s="53" t="str">
        <f>IF(VLOOKUP(A438,[1]Plan!A$1:H$804,8,FALSE)&lt;&gt;"",VLOOKUP(A438,[1]Plan!A$1:H$804,8,FALSE),"")</f>
        <v>N</v>
      </c>
      <c r="H438" s="54" t="str">
        <f>IF(VLOOKUP(A438,[1]Plan!A$1:L$804,12,FALSE)&lt;&gt;"",VLOOKUP(A438,[1]Plan!A$1:L$804,12,FALSE),"")</f>
        <v/>
      </c>
      <c r="I438" s="55" t="str">
        <f>IF(VLOOKUP(A438,[1]Plan!A$1:M$804,13,FALSE)&lt;&gt;"",VLOOKUP(A438,[1]Plan!A$1:M$804,13,FALSE),"")</f>
        <v/>
      </c>
      <c r="J438" s="55" t="str">
        <f>IF(VLOOKUP(A438,[1]Plan!A$1:N$804,14,FALSE)&lt;&gt;"",VLOOKUP(A438,[1]Plan!A$1:N$804,14,FALSE),IF(VLOOKUP(A438,[1]Plan!A$1:O$804,15,FALSE)&lt;&gt;"",VLOOKUP(A438,[1]Plan!A$1:O$804,15,FALSE),""))</f>
        <v/>
      </c>
      <c r="K438" s="56" t="str">
        <f>IF(VLOOKUP(A438,[1]Plan!A$1:P$804,16,FALSE)&lt;&gt;"",VLOOKUP(A438,[1]Plan!A$1:P$804,16,FALSE),"")</f>
        <v/>
      </c>
      <c r="L438" s="55"/>
      <c r="M438" s="55"/>
      <c r="N438" s="55"/>
      <c r="O438" s="57">
        <f t="shared" si="10"/>
        <v>0</v>
      </c>
      <c r="P438" s="57" t="b">
        <f t="shared" si="11"/>
        <v>0</v>
      </c>
      <c r="Q438" s="58">
        <f>IF(P438,O438*'[1]ETC Data'!$H$3*'[1]ETC Data'!$I$3,0)</f>
        <v>0</v>
      </c>
      <c r="R438" s="58">
        <f>Q438-(Q438*((VLOOKUP(A438,[1]Plan!A$1:Z$804,26,FALSE)/100)))</f>
        <v>0</v>
      </c>
      <c r="S438" s="58">
        <f>IF(P438,O438*'[1]ETC Data'!$H$3*'[1]ETC Data'!$J$3,0)</f>
        <v>0</v>
      </c>
      <c r="T438" s="58">
        <f>S438-(S438*((VLOOKUP(A438,[1]Plan!A$1:AA$804,27,FALSE)/100)))</f>
        <v>0</v>
      </c>
      <c r="U438" s="58">
        <f>IF(P438,O438*'[1]ETC Data'!$H$3*'[1]ETC Data'!$K$3,0)</f>
        <v>0</v>
      </c>
      <c r="V438" s="58">
        <f>U438-(U438*((VLOOKUP(A438,[1]Plan!A$1:AB$804,28,FALSE)/100)))</f>
        <v>0</v>
      </c>
      <c r="W438" s="58">
        <f>IF(P438,O438*'[1]ETC Data'!$H$3*'[1]ETC Data'!$L$3,0)</f>
        <v>0</v>
      </c>
      <c r="X438" s="58">
        <f>W438-(W438*((VLOOKUP(A438,[1]Plan!A$1:AC$804,29,FALSE)/100)))</f>
        <v>0</v>
      </c>
      <c r="Y438" s="59"/>
      <c r="Z438" s="60" t="b">
        <f t="shared" si="12"/>
        <v>0</v>
      </c>
      <c r="AA438" s="58">
        <f>IF(Z438,O438*'[1]ETC Data'!$H$4*'[1]ETC Data'!$I$4,0)</f>
        <v>0</v>
      </c>
      <c r="AB438" s="58">
        <f>AA438-(AA438*((VLOOKUP(A438,[1]Plan!A$1:AI$804,35,FALSE)/100)))</f>
        <v>0</v>
      </c>
      <c r="AC438" s="58">
        <f>IF(Z438,O438*'[1]ETC Data'!$H$4*'[1]ETC Data'!$J$4,0)</f>
        <v>0</v>
      </c>
      <c r="AD438" s="58">
        <f>AC438-(AC438*((VLOOKUP(A438,[1]Plan!A$1:AJ$804,36,FALSE)/100)))</f>
        <v>0</v>
      </c>
      <c r="AE438" s="58">
        <f>IF(Z438,O438*'[1]ETC Data'!$H$4*'[1]ETC Data'!$K$4,0)</f>
        <v>0</v>
      </c>
      <c r="AF438" s="58">
        <f>AE438-(AE438*((VLOOKUP(A438,[1]Plan!A$1:AK$804,37,FALSE)/100)))</f>
        <v>0</v>
      </c>
      <c r="AG438" s="58">
        <f>IF(Z438,O438*'[1]ETC Data'!$H$4*'[1]ETC Data'!$L$4,0)</f>
        <v>0</v>
      </c>
      <c r="AH438" s="58">
        <f>AG438-(AG438*((VLOOKUP(A438,[1]Plan!A$1:AP$804,42,FALSE)/100)))</f>
        <v>0</v>
      </c>
      <c r="AI438" s="60"/>
      <c r="AJ438" s="60" t="b">
        <f t="shared" si="13"/>
        <v>0</v>
      </c>
      <c r="AK438" s="61">
        <f>IF(AJ438,O438*'[1]ETC Data'!$H$5*'[1]ETC Data'!$I$5,0)</f>
        <v>0</v>
      </c>
      <c r="AL438" s="58">
        <f>AK438-(AK438*((VLOOKUP(A438,[1]Plan!A$1:AY$804,51,FALSE)/100)))</f>
        <v>0</v>
      </c>
      <c r="AM438" s="58">
        <f>IF(AJ438,O438*'[1]ETC Data'!$H$5*'[1]ETC Data'!$J$5,0)</f>
        <v>0</v>
      </c>
      <c r="AN438" s="58">
        <f>AM438-(AM438*((VLOOKUP(A438,[1]Plan!A$1:BA$804,53,FALSE)/100)))</f>
        <v>0</v>
      </c>
      <c r="AO438" s="61">
        <f>IF(AJ438,O438*'[1]ETC Data'!$H$5*'[1]ETC Data'!$K$5,0)</f>
        <v>0</v>
      </c>
      <c r="AP438" s="58">
        <f>AO438-(AO438*((VLOOKUP(A438,[1]Plan!A$1:BB$804,54,FALSE)/100)))</f>
        <v>0</v>
      </c>
      <c r="AQ438" s="58">
        <f>IF(AJ438,O438*'[1]ETC Data'!$H$5*'[1]ETC Data'!$L$5,0)</f>
        <v>0</v>
      </c>
      <c r="AR438" s="58">
        <f>AQ438-(AQ438*((VLOOKUP(A438,[1]Plan!A$1:BD$804,56,FALSE)/100)))</f>
        <v>0</v>
      </c>
      <c r="AS438" s="20">
        <f>VLOOKUP(A438,'[1]PR Matrix'!A:B,2,FALSE)</f>
        <v>0</v>
      </c>
      <c r="AT438" s="21">
        <f t="shared" si="14"/>
        <v>0</v>
      </c>
      <c r="AU438" s="21">
        <f t="shared" si="15"/>
        <v>0</v>
      </c>
      <c r="AV438" s="21">
        <f t="shared" si="16"/>
        <v>0</v>
      </c>
      <c r="AW438" s="21">
        <f t="shared" si="17"/>
        <v>0</v>
      </c>
      <c r="AX438" s="21">
        <f t="shared" si="18"/>
        <v>0</v>
      </c>
      <c r="AY438" s="21">
        <f t="shared" si="19"/>
        <v>0</v>
      </c>
    </row>
    <row r="439" spans="1:51" hidden="1" x14ac:dyDescent="0.2">
      <c r="A439" s="50" t="s">
        <v>645</v>
      </c>
      <c r="B439" s="51" t="s">
        <v>208</v>
      </c>
      <c r="C439" s="51"/>
      <c r="D439" s="51"/>
      <c r="E439" s="52">
        <f>IF(G439="Y",VLOOKUP(B439&amp;"|"&amp;C439,'[1]ETC Data'!$C$2:$D$16,2,FALSE),0)</f>
        <v>0</v>
      </c>
      <c r="F439" s="52">
        <f>IF(D439="",0,IF(G439="Y",VLOOKUP(B439&amp;"|"&amp;D439,'[1]ETC Data'!$C$2:$D$16,2,FALSE),0))</f>
        <v>0</v>
      </c>
      <c r="G439" s="53" t="str">
        <f>IF(VLOOKUP(A439,[1]Plan!A$1:H$804,8,FALSE)&lt;&gt;"",VLOOKUP(A439,[1]Plan!A$1:H$804,8,FALSE),"")</f>
        <v>N</v>
      </c>
      <c r="H439" s="54" t="str">
        <f>IF(VLOOKUP(A439,[1]Plan!A$1:L$804,12,FALSE)&lt;&gt;"",VLOOKUP(A439,[1]Plan!A$1:L$804,12,FALSE),"")</f>
        <v/>
      </c>
      <c r="I439" s="55" t="str">
        <f>IF(VLOOKUP(A439,[1]Plan!A$1:M$804,13,FALSE)&lt;&gt;"",VLOOKUP(A439,[1]Plan!A$1:M$804,13,FALSE),"")</f>
        <v/>
      </c>
      <c r="J439" s="55" t="str">
        <f>IF(VLOOKUP(A439,[1]Plan!A$1:N$804,14,FALSE)&lt;&gt;"",VLOOKUP(A439,[1]Plan!A$1:N$804,14,FALSE),IF(VLOOKUP(A439,[1]Plan!A$1:O$804,15,FALSE)&lt;&gt;"",VLOOKUP(A439,[1]Plan!A$1:O$804,15,FALSE),""))</f>
        <v/>
      </c>
      <c r="K439" s="56" t="str">
        <f>IF(VLOOKUP(A439,[1]Plan!A$1:P$804,16,FALSE)&lt;&gt;"",VLOOKUP(A439,[1]Plan!A$1:P$804,16,FALSE),"")</f>
        <v/>
      </c>
      <c r="L439" s="55"/>
      <c r="M439" s="55"/>
      <c r="N439" s="55"/>
      <c r="O439" s="57">
        <f t="shared" si="10"/>
        <v>0</v>
      </c>
      <c r="P439" s="57" t="b">
        <f t="shared" si="11"/>
        <v>0</v>
      </c>
      <c r="Q439" s="58">
        <f>IF(P439,O439*'[1]ETC Data'!$H$3*'[1]ETC Data'!$I$3,0)</f>
        <v>0</v>
      </c>
      <c r="R439" s="58">
        <f>Q439-(Q439*((VLOOKUP(A439,[1]Plan!A$1:Z$804,26,FALSE)/100)))</f>
        <v>0</v>
      </c>
      <c r="S439" s="58">
        <f>IF(P439,O439*'[1]ETC Data'!$H$3*'[1]ETC Data'!$J$3,0)</f>
        <v>0</v>
      </c>
      <c r="T439" s="58">
        <f>S439-(S439*((VLOOKUP(A439,[1]Plan!A$1:AA$804,27,FALSE)/100)))</f>
        <v>0</v>
      </c>
      <c r="U439" s="58">
        <f>IF(P439,O439*'[1]ETC Data'!$H$3*'[1]ETC Data'!$K$3,0)</f>
        <v>0</v>
      </c>
      <c r="V439" s="58">
        <f>U439-(U439*((VLOOKUP(A439,[1]Plan!A$1:AB$804,28,FALSE)/100)))</f>
        <v>0</v>
      </c>
      <c r="W439" s="58">
        <f>IF(P439,O439*'[1]ETC Data'!$H$3*'[1]ETC Data'!$L$3,0)</f>
        <v>0</v>
      </c>
      <c r="X439" s="58">
        <f>W439-(W439*((VLOOKUP(A439,[1]Plan!A$1:AC$804,29,FALSE)/100)))</f>
        <v>0</v>
      </c>
      <c r="Y439" s="59"/>
      <c r="Z439" s="60" t="b">
        <f t="shared" si="12"/>
        <v>0</v>
      </c>
      <c r="AA439" s="58">
        <f>IF(Z439,O439*'[1]ETC Data'!$H$4*'[1]ETC Data'!$I$4,0)</f>
        <v>0</v>
      </c>
      <c r="AB439" s="58">
        <f>AA439-(AA439*((VLOOKUP(A439,[1]Plan!A$1:AI$804,35,FALSE)/100)))</f>
        <v>0</v>
      </c>
      <c r="AC439" s="58">
        <f>IF(Z439,O439*'[1]ETC Data'!$H$4*'[1]ETC Data'!$J$4,0)</f>
        <v>0</v>
      </c>
      <c r="AD439" s="58">
        <f>AC439-(AC439*((VLOOKUP(A439,[1]Plan!A$1:AJ$804,36,FALSE)/100)))</f>
        <v>0</v>
      </c>
      <c r="AE439" s="58">
        <f>IF(Z439,O439*'[1]ETC Data'!$H$4*'[1]ETC Data'!$K$4,0)</f>
        <v>0</v>
      </c>
      <c r="AF439" s="58">
        <f>AE439-(AE439*((VLOOKUP(A439,[1]Plan!A$1:AK$804,37,FALSE)/100)))</f>
        <v>0</v>
      </c>
      <c r="AG439" s="58">
        <f>IF(Z439,O439*'[1]ETC Data'!$H$4*'[1]ETC Data'!$L$4,0)</f>
        <v>0</v>
      </c>
      <c r="AH439" s="58">
        <f>AG439-(AG439*((VLOOKUP(A439,[1]Plan!A$1:AP$804,42,FALSE)/100)))</f>
        <v>0</v>
      </c>
      <c r="AI439" s="60"/>
      <c r="AJ439" s="60" t="b">
        <f t="shared" si="13"/>
        <v>0</v>
      </c>
      <c r="AK439" s="61">
        <f>IF(AJ439,O439*'[1]ETC Data'!$H$5*'[1]ETC Data'!$I$5,0)</f>
        <v>0</v>
      </c>
      <c r="AL439" s="58">
        <f>AK439-(AK439*((VLOOKUP(A439,[1]Plan!A$1:AY$804,51,FALSE)/100)))</f>
        <v>0</v>
      </c>
      <c r="AM439" s="58">
        <f>IF(AJ439,O439*'[1]ETC Data'!$H$5*'[1]ETC Data'!$J$5,0)</f>
        <v>0</v>
      </c>
      <c r="AN439" s="58">
        <f>AM439-(AM439*((VLOOKUP(A439,[1]Plan!A$1:BA$804,53,FALSE)/100)))</f>
        <v>0</v>
      </c>
      <c r="AO439" s="61">
        <f>IF(AJ439,O439*'[1]ETC Data'!$H$5*'[1]ETC Data'!$K$5,0)</f>
        <v>0</v>
      </c>
      <c r="AP439" s="58">
        <f>AO439-(AO439*((VLOOKUP(A439,[1]Plan!A$1:BB$804,54,FALSE)/100)))</f>
        <v>0</v>
      </c>
      <c r="AQ439" s="58">
        <f>IF(AJ439,O439*'[1]ETC Data'!$H$5*'[1]ETC Data'!$L$5,0)</f>
        <v>0</v>
      </c>
      <c r="AR439" s="58">
        <f>AQ439-(AQ439*((VLOOKUP(A439,[1]Plan!A$1:BD$804,56,FALSE)/100)))</f>
        <v>0</v>
      </c>
      <c r="AS439" s="20">
        <f>VLOOKUP(A439,'[1]PR Matrix'!A:B,2,FALSE)</f>
        <v>0</v>
      </c>
      <c r="AT439" s="21">
        <f t="shared" si="14"/>
        <v>0</v>
      </c>
      <c r="AU439" s="21">
        <f t="shared" si="15"/>
        <v>0</v>
      </c>
      <c r="AV439" s="21">
        <f t="shared" si="16"/>
        <v>0</v>
      </c>
      <c r="AW439" s="21">
        <f t="shared" si="17"/>
        <v>0</v>
      </c>
      <c r="AX439" s="21">
        <f t="shared" si="18"/>
        <v>0</v>
      </c>
      <c r="AY439" s="21">
        <f t="shared" si="19"/>
        <v>0</v>
      </c>
    </row>
    <row r="440" spans="1:51" hidden="1" x14ac:dyDescent="0.2">
      <c r="A440" s="50" t="s">
        <v>646</v>
      </c>
      <c r="B440" s="51" t="s">
        <v>208</v>
      </c>
      <c r="C440" s="51"/>
      <c r="D440" s="51"/>
      <c r="E440" s="52">
        <f>IF(G440="Y",VLOOKUP(B440&amp;"|"&amp;C440,'[1]ETC Data'!$C$2:$D$16,2,FALSE),0)</f>
        <v>0</v>
      </c>
      <c r="F440" s="52">
        <f>IF(D440="",0,IF(G440="Y",VLOOKUP(B440&amp;"|"&amp;D440,'[1]ETC Data'!$C$2:$D$16,2,FALSE),0))</f>
        <v>0</v>
      </c>
      <c r="G440" s="53" t="str">
        <f>IF(VLOOKUP(A440,[1]Plan!A$1:H$804,8,FALSE)&lt;&gt;"",VLOOKUP(A440,[1]Plan!A$1:H$804,8,FALSE),"")</f>
        <v>N</v>
      </c>
      <c r="H440" s="54" t="str">
        <f>IF(VLOOKUP(A440,[1]Plan!A$1:L$804,12,FALSE)&lt;&gt;"",VLOOKUP(A440,[1]Plan!A$1:L$804,12,FALSE),"")</f>
        <v/>
      </c>
      <c r="I440" s="55" t="str">
        <f>IF(VLOOKUP(A440,[1]Plan!A$1:M$804,13,FALSE)&lt;&gt;"",VLOOKUP(A440,[1]Plan!A$1:M$804,13,FALSE),"")</f>
        <v/>
      </c>
      <c r="J440" s="55" t="str">
        <f>IF(VLOOKUP(A440,[1]Plan!A$1:N$804,14,FALSE)&lt;&gt;"",VLOOKUP(A440,[1]Plan!A$1:N$804,14,FALSE),IF(VLOOKUP(A440,[1]Plan!A$1:O$804,15,FALSE)&lt;&gt;"",VLOOKUP(A440,[1]Plan!A$1:O$804,15,FALSE),""))</f>
        <v/>
      </c>
      <c r="K440" s="56" t="str">
        <f>IF(VLOOKUP(A440,[1]Plan!A$1:P$804,16,FALSE)&lt;&gt;"",VLOOKUP(A440,[1]Plan!A$1:P$804,16,FALSE),"")</f>
        <v/>
      </c>
      <c r="L440" s="55"/>
      <c r="M440" s="55"/>
      <c r="N440" s="55"/>
      <c r="O440" s="57">
        <f t="shared" si="10"/>
        <v>0</v>
      </c>
      <c r="P440" s="57" t="b">
        <f t="shared" si="11"/>
        <v>0</v>
      </c>
      <c r="Q440" s="58">
        <f>IF(P440,O440*'[1]ETC Data'!$H$3*'[1]ETC Data'!$I$3,0)</f>
        <v>0</v>
      </c>
      <c r="R440" s="58">
        <f>Q440-(Q440*((VLOOKUP(A440,[1]Plan!A$1:Z$804,26,FALSE)/100)))</f>
        <v>0</v>
      </c>
      <c r="S440" s="58">
        <f>IF(P440,O440*'[1]ETC Data'!$H$3*'[1]ETC Data'!$J$3,0)</f>
        <v>0</v>
      </c>
      <c r="T440" s="58">
        <f>S440-(S440*((VLOOKUP(A440,[1]Plan!A$1:AA$804,27,FALSE)/100)))</f>
        <v>0</v>
      </c>
      <c r="U440" s="58">
        <f>IF(P440,O440*'[1]ETC Data'!$H$3*'[1]ETC Data'!$K$3,0)</f>
        <v>0</v>
      </c>
      <c r="V440" s="58">
        <f>U440-(U440*((VLOOKUP(A440,[1]Plan!A$1:AB$804,28,FALSE)/100)))</f>
        <v>0</v>
      </c>
      <c r="W440" s="58">
        <f>IF(P440,O440*'[1]ETC Data'!$H$3*'[1]ETC Data'!$L$3,0)</f>
        <v>0</v>
      </c>
      <c r="X440" s="58">
        <f>W440-(W440*((VLOOKUP(A440,[1]Plan!A$1:AC$804,29,FALSE)/100)))</f>
        <v>0</v>
      </c>
      <c r="Y440" s="59"/>
      <c r="Z440" s="60" t="b">
        <f t="shared" si="12"/>
        <v>0</v>
      </c>
      <c r="AA440" s="58">
        <f>IF(Z440,O440*'[1]ETC Data'!$H$4*'[1]ETC Data'!$I$4,0)</f>
        <v>0</v>
      </c>
      <c r="AB440" s="58">
        <f>AA440-(AA440*((VLOOKUP(A440,[1]Plan!A$1:AI$804,35,FALSE)/100)))</f>
        <v>0</v>
      </c>
      <c r="AC440" s="58">
        <f>IF(Z440,O440*'[1]ETC Data'!$H$4*'[1]ETC Data'!$J$4,0)</f>
        <v>0</v>
      </c>
      <c r="AD440" s="58">
        <f>AC440-(AC440*((VLOOKUP(A440,[1]Plan!A$1:AJ$804,36,FALSE)/100)))</f>
        <v>0</v>
      </c>
      <c r="AE440" s="58">
        <f>IF(Z440,O440*'[1]ETC Data'!$H$4*'[1]ETC Data'!$K$4,0)</f>
        <v>0</v>
      </c>
      <c r="AF440" s="58">
        <f>AE440-(AE440*((VLOOKUP(A440,[1]Plan!A$1:AK$804,37,FALSE)/100)))</f>
        <v>0</v>
      </c>
      <c r="AG440" s="58">
        <f>IF(Z440,O440*'[1]ETC Data'!$H$4*'[1]ETC Data'!$L$4,0)</f>
        <v>0</v>
      </c>
      <c r="AH440" s="58">
        <f>AG440-(AG440*((VLOOKUP(A440,[1]Plan!A$1:AP$804,42,FALSE)/100)))</f>
        <v>0</v>
      </c>
      <c r="AI440" s="60"/>
      <c r="AJ440" s="60" t="b">
        <f t="shared" si="13"/>
        <v>0</v>
      </c>
      <c r="AK440" s="61">
        <f>IF(AJ440,O440*'[1]ETC Data'!$H$5*'[1]ETC Data'!$I$5,0)</f>
        <v>0</v>
      </c>
      <c r="AL440" s="58">
        <f>AK440-(AK440*((VLOOKUP(A440,[1]Plan!A$1:AY$804,51,FALSE)/100)))</f>
        <v>0</v>
      </c>
      <c r="AM440" s="58">
        <f>IF(AJ440,O440*'[1]ETC Data'!$H$5*'[1]ETC Data'!$J$5,0)</f>
        <v>0</v>
      </c>
      <c r="AN440" s="58">
        <f>AM440-(AM440*((VLOOKUP(A440,[1]Plan!A$1:BA$804,53,FALSE)/100)))</f>
        <v>0</v>
      </c>
      <c r="AO440" s="61">
        <f>IF(AJ440,O440*'[1]ETC Data'!$H$5*'[1]ETC Data'!$K$5,0)</f>
        <v>0</v>
      </c>
      <c r="AP440" s="58">
        <f>AO440-(AO440*((VLOOKUP(A440,[1]Plan!A$1:BB$804,54,FALSE)/100)))</f>
        <v>0</v>
      </c>
      <c r="AQ440" s="58">
        <f>IF(AJ440,O440*'[1]ETC Data'!$H$5*'[1]ETC Data'!$L$5,0)</f>
        <v>0</v>
      </c>
      <c r="AR440" s="58">
        <f>AQ440-(AQ440*((VLOOKUP(A440,[1]Plan!A$1:BD$804,56,FALSE)/100)))</f>
        <v>0</v>
      </c>
      <c r="AS440" s="20">
        <f>VLOOKUP(A440,'[1]PR Matrix'!A:B,2,FALSE)</f>
        <v>0</v>
      </c>
      <c r="AT440" s="21">
        <f t="shared" si="14"/>
        <v>0</v>
      </c>
      <c r="AU440" s="21">
        <f t="shared" si="15"/>
        <v>0</v>
      </c>
      <c r="AV440" s="21">
        <f t="shared" si="16"/>
        <v>0</v>
      </c>
      <c r="AW440" s="21">
        <f t="shared" si="17"/>
        <v>0</v>
      </c>
      <c r="AX440" s="21">
        <f t="shared" si="18"/>
        <v>0</v>
      </c>
      <c r="AY440" s="21">
        <f t="shared" si="19"/>
        <v>0</v>
      </c>
    </row>
    <row r="441" spans="1:51" hidden="1" x14ac:dyDescent="0.2">
      <c r="A441" s="50" t="s">
        <v>647</v>
      </c>
      <c r="B441" s="51" t="s">
        <v>208</v>
      </c>
      <c r="C441" s="51"/>
      <c r="D441" s="51"/>
      <c r="E441" s="52">
        <f>IF(G441="Y",VLOOKUP(B441&amp;"|"&amp;C441,'[1]ETC Data'!$C$2:$D$16,2,FALSE),0)</f>
        <v>0</v>
      </c>
      <c r="F441" s="52">
        <f>IF(D441="",0,IF(G441="Y",VLOOKUP(B441&amp;"|"&amp;D441,'[1]ETC Data'!$C$2:$D$16,2,FALSE),0))</f>
        <v>0</v>
      </c>
      <c r="G441" s="53" t="str">
        <f>IF(VLOOKUP(A441,[1]Plan!A$1:H$804,8,FALSE)&lt;&gt;"",VLOOKUP(A441,[1]Plan!A$1:H$804,8,FALSE),"")</f>
        <v>N</v>
      </c>
      <c r="H441" s="54" t="str">
        <f>IF(VLOOKUP(A441,[1]Plan!A$1:L$804,12,FALSE)&lt;&gt;"",VLOOKUP(A441,[1]Plan!A$1:L$804,12,FALSE),"")</f>
        <v/>
      </c>
      <c r="I441" s="55" t="str">
        <f>IF(VLOOKUP(A441,[1]Plan!A$1:M$804,13,FALSE)&lt;&gt;"",VLOOKUP(A441,[1]Plan!A$1:M$804,13,FALSE),"")</f>
        <v/>
      </c>
      <c r="J441" s="55" t="str">
        <f>IF(VLOOKUP(A441,[1]Plan!A$1:N$804,14,FALSE)&lt;&gt;"",VLOOKUP(A441,[1]Plan!A$1:N$804,14,FALSE),IF(VLOOKUP(A441,[1]Plan!A$1:O$804,15,FALSE)&lt;&gt;"",VLOOKUP(A441,[1]Plan!A$1:O$804,15,FALSE),""))</f>
        <v/>
      </c>
      <c r="K441" s="56" t="str">
        <f>IF(VLOOKUP(A441,[1]Plan!A$1:P$804,16,FALSE)&lt;&gt;"",VLOOKUP(A441,[1]Plan!A$1:P$804,16,FALSE),"")</f>
        <v/>
      </c>
      <c r="L441" s="55"/>
      <c r="M441" s="55"/>
      <c r="N441" s="55"/>
      <c r="O441" s="57">
        <f t="shared" si="10"/>
        <v>0</v>
      </c>
      <c r="P441" s="57" t="b">
        <f t="shared" si="11"/>
        <v>0</v>
      </c>
      <c r="Q441" s="58">
        <f>IF(P441,O441*'[1]ETC Data'!$H$3*'[1]ETC Data'!$I$3,0)</f>
        <v>0</v>
      </c>
      <c r="R441" s="58">
        <f>Q441-(Q441*((VLOOKUP(A441,[1]Plan!A$1:Z$804,26,FALSE)/100)))</f>
        <v>0</v>
      </c>
      <c r="S441" s="58">
        <f>IF(P441,O441*'[1]ETC Data'!$H$3*'[1]ETC Data'!$J$3,0)</f>
        <v>0</v>
      </c>
      <c r="T441" s="58">
        <f>S441-(S441*((VLOOKUP(A441,[1]Plan!A$1:AA$804,27,FALSE)/100)))</f>
        <v>0</v>
      </c>
      <c r="U441" s="58">
        <f>IF(P441,O441*'[1]ETC Data'!$H$3*'[1]ETC Data'!$K$3,0)</f>
        <v>0</v>
      </c>
      <c r="V441" s="58">
        <f>U441-(U441*((VLOOKUP(A441,[1]Plan!A$1:AB$804,28,FALSE)/100)))</f>
        <v>0</v>
      </c>
      <c r="W441" s="58">
        <f>IF(P441,O441*'[1]ETC Data'!$H$3*'[1]ETC Data'!$L$3,0)</f>
        <v>0</v>
      </c>
      <c r="X441" s="58">
        <f>W441-(W441*((VLOOKUP(A441,[1]Plan!A$1:AC$804,29,FALSE)/100)))</f>
        <v>0</v>
      </c>
      <c r="Y441" s="59"/>
      <c r="Z441" s="60" t="b">
        <f t="shared" si="12"/>
        <v>0</v>
      </c>
      <c r="AA441" s="58">
        <f>IF(Z441,O441*'[1]ETC Data'!$H$4*'[1]ETC Data'!$I$4,0)</f>
        <v>0</v>
      </c>
      <c r="AB441" s="58">
        <f>AA441-(AA441*((VLOOKUP(A441,[1]Plan!A$1:AI$804,35,FALSE)/100)))</f>
        <v>0</v>
      </c>
      <c r="AC441" s="58">
        <f>IF(Z441,O441*'[1]ETC Data'!$H$4*'[1]ETC Data'!$J$4,0)</f>
        <v>0</v>
      </c>
      <c r="AD441" s="58">
        <f>AC441-(AC441*((VLOOKUP(A441,[1]Plan!A$1:AJ$804,36,FALSE)/100)))</f>
        <v>0</v>
      </c>
      <c r="AE441" s="58">
        <f>IF(Z441,O441*'[1]ETC Data'!$H$4*'[1]ETC Data'!$K$4,0)</f>
        <v>0</v>
      </c>
      <c r="AF441" s="58">
        <f>AE441-(AE441*((VLOOKUP(A441,[1]Plan!A$1:AK$804,37,FALSE)/100)))</f>
        <v>0</v>
      </c>
      <c r="AG441" s="58">
        <f>IF(Z441,O441*'[1]ETC Data'!$H$4*'[1]ETC Data'!$L$4,0)</f>
        <v>0</v>
      </c>
      <c r="AH441" s="58">
        <f>AG441-(AG441*((VLOOKUP(A441,[1]Plan!A$1:AP$804,42,FALSE)/100)))</f>
        <v>0</v>
      </c>
      <c r="AI441" s="60"/>
      <c r="AJ441" s="60" t="b">
        <f t="shared" si="13"/>
        <v>0</v>
      </c>
      <c r="AK441" s="61">
        <f>IF(AJ441,O441*'[1]ETC Data'!$H$5*'[1]ETC Data'!$I$5,0)</f>
        <v>0</v>
      </c>
      <c r="AL441" s="58">
        <f>AK441-(AK441*((VLOOKUP(A441,[1]Plan!A$1:AY$804,51,FALSE)/100)))</f>
        <v>0</v>
      </c>
      <c r="AM441" s="58">
        <f>IF(AJ441,O441*'[1]ETC Data'!$H$5*'[1]ETC Data'!$J$5,0)</f>
        <v>0</v>
      </c>
      <c r="AN441" s="58">
        <f>AM441-(AM441*((VLOOKUP(A441,[1]Plan!A$1:BA$804,53,FALSE)/100)))</f>
        <v>0</v>
      </c>
      <c r="AO441" s="61">
        <f>IF(AJ441,O441*'[1]ETC Data'!$H$5*'[1]ETC Data'!$K$5,0)</f>
        <v>0</v>
      </c>
      <c r="AP441" s="58">
        <f>AO441-(AO441*((VLOOKUP(A441,[1]Plan!A$1:BB$804,54,FALSE)/100)))</f>
        <v>0</v>
      </c>
      <c r="AQ441" s="58">
        <f>IF(AJ441,O441*'[1]ETC Data'!$H$5*'[1]ETC Data'!$L$5,0)</f>
        <v>0</v>
      </c>
      <c r="AR441" s="58">
        <f>AQ441-(AQ441*((VLOOKUP(A441,[1]Plan!A$1:BD$804,56,FALSE)/100)))</f>
        <v>0</v>
      </c>
      <c r="AS441" s="20">
        <f>VLOOKUP(A441,'[1]PR Matrix'!A:B,2,FALSE)</f>
        <v>0</v>
      </c>
      <c r="AT441" s="21">
        <f t="shared" si="14"/>
        <v>0</v>
      </c>
      <c r="AU441" s="21">
        <f t="shared" si="15"/>
        <v>0</v>
      </c>
      <c r="AV441" s="21">
        <f t="shared" si="16"/>
        <v>0</v>
      </c>
      <c r="AW441" s="21">
        <f t="shared" si="17"/>
        <v>0</v>
      </c>
      <c r="AX441" s="21">
        <f t="shared" si="18"/>
        <v>0</v>
      </c>
      <c r="AY441" s="21">
        <f t="shared" si="19"/>
        <v>0</v>
      </c>
    </row>
    <row r="442" spans="1:51" hidden="1" x14ac:dyDescent="0.2">
      <c r="A442" s="50" t="s">
        <v>648</v>
      </c>
      <c r="B442" s="51" t="s">
        <v>208</v>
      </c>
      <c r="C442" s="51"/>
      <c r="D442" s="51"/>
      <c r="E442" s="52">
        <f>IF(G442="Y",VLOOKUP(B442&amp;"|"&amp;C442,'[1]ETC Data'!$C$2:$D$16,2,FALSE),0)</f>
        <v>0</v>
      </c>
      <c r="F442" s="52">
        <f>IF(D442="",0,IF(G442="Y",VLOOKUP(B442&amp;"|"&amp;D442,'[1]ETC Data'!$C$2:$D$16,2,FALSE),0))</f>
        <v>0</v>
      </c>
      <c r="G442" s="53" t="str">
        <f>IF(VLOOKUP(A442,[1]Plan!A$1:H$804,8,FALSE)&lt;&gt;"",VLOOKUP(A442,[1]Plan!A$1:H$804,8,FALSE),"")</f>
        <v>N</v>
      </c>
      <c r="H442" s="54" t="str">
        <f>IF(VLOOKUP(A442,[1]Plan!A$1:L$804,12,FALSE)&lt;&gt;"",VLOOKUP(A442,[1]Plan!A$1:L$804,12,FALSE),"")</f>
        <v/>
      </c>
      <c r="I442" s="55" t="str">
        <f>IF(VLOOKUP(A442,[1]Plan!A$1:M$804,13,FALSE)&lt;&gt;"",VLOOKUP(A442,[1]Plan!A$1:M$804,13,FALSE),"")</f>
        <v/>
      </c>
      <c r="J442" s="55" t="str">
        <f>IF(VLOOKUP(A442,[1]Plan!A$1:N$804,14,FALSE)&lt;&gt;"",VLOOKUP(A442,[1]Plan!A$1:N$804,14,FALSE),IF(VLOOKUP(A442,[1]Plan!A$1:O$804,15,FALSE)&lt;&gt;"",VLOOKUP(A442,[1]Plan!A$1:O$804,15,FALSE),""))</f>
        <v/>
      </c>
      <c r="K442" s="56" t="str">
        <f>IF(VLOOKUP(A442,[1]Plan!A$1:P$804,16,FALSE)&lt;&gt;"",VLOOKUP(A442,[1]Plan!A$1:P$804,16,FALSE),"")</f>
        <v/>
      </c>
      <c r="L442" s="55"/>
      <c r="M442" s="55"/>
      <c r="N442" s="55"/>
      <c r="O442" s="57">
        <f t="shared" si="10"/>
        <v>0</v>
      </c>
      <c r="P442" s="57" t="b">
        <f t="shared" si="11"/>
        <v>0</v>
      </c>
      <c r="Q442" s="58">
        <f>IF(P442,O442*'[1]ETC Data'!$H$3*'[1]ETC Data'!$I$3,0)</f>
        <v>0</v>
      </c>
      <c r="R442" s="58">
        <f>Q442-(Q442*((VLOOKUP(A442,[1]Plan!A$1:Z$804,26,FALSE)/100)))</f>
        <v>0</v>
      </c>
      <c r="S442" s="58">
        <f>IF(P442,O442*'[1]ETC Data'!$H$3*'[1]ETC Data'!$J$3,0)</f>
        <v>0</v>
      </c>
      <c r="T442" s="58">
        <f>S442-(S442*((VLOOKUP(A442,[1]Plan!A$1:AA$804,27,FALSE)/100)))</f>
        <v>0</v>
      </c>
      <c r="U442" s="58">
        <f>IF(P442,O442*'[1]ETC Data'!$H$3*'[1]ETC Data'!$K$3,0)</f>
        <v>0</v>
      </c>
      <c r="V442" s="58">
        <f>U442-(U442*((VLOOKUP(A442,[1]Plan!A$1:AB$804,28,FALSE)/100)))</f>
        <v>0</v>
      </c>
      <c r="W442" s="58">
        <f>IF(P442,O442*'[1]ETC Data'!$H$3*'[1]ETC Data'!$L$3,0)</f>
        <v>0</v>
      </c>
      <c r="X442" s="58">
        <f>W442-(W442*((VLOOKUP(A442,[1]Plan!A$1:AC$804,29,FALSE)/100)))</f>
        <v>0</v>
      </c>
      <c r="Y442" s="59"/>
      <c r="Z442" s="60" t="b">
        <f t="shared" si="12"/>
        <v>0</v>
      </c>
      <c r="AA442" s="58">
        <f>IF(Z442,O442*'[1]ETC Data'!$H$4*'[1]ETC Data'!$I$4,0)</f>
        <v>0</v>
      </c>
      <c r="AB442" s="58">
        <f>AA442-(AA442*((VLOOKUP(A442,[1]Plan!A$1:AI$804,35,FALSE)/100)))</f>
        <v>0</v>
      </c>
      <c r="AC442" s="58">
        <f>IF(Z442,O442*'[1]ETC Data'!$H$4*'[1]ETC Data'!$J$4,0)</f>
        <v>0</v>
      </c>
      <c r="AD442" s="58">
        <f>AC442-(AC442*((VLOOKUP(A442,[1]Plan!A$1:AJ$804,36,FALSE)/100)))</f>
        <v>0</v>
      </c>
      <c r="AE442" s="58">
        <f>IF(Z442,O442*'[1]ETC Data'!$H$4*'[1]ETC Data'!$K$4,0)</f>
        <v>0</v>
      </c>
      <c r="AF442" s="58">
        <f>AE442-(AE442*((VLOOKUP(A442,[1]Plan!A$1:AK$804,37,FALSE)/100)))</f>
        <v>0</v>
      </c>
      <c r="AG442" s="58">
        <f>IF(Z442,O442*'[1]ETC Data'!$H$4*'[1]ETC Data'!$L$4,0)</f>
        <v>0</v>
      </c>
      <c r="AH442" s="58">
        <f>AG442-(AG442*((VLOOKUP(A442,[1]Plan!A$1:AP$804,42,FALSE)/100)))</f>
        <v>0</v>
      </c>
      <c r="AI442" s="60"/>
      <c r="AJ442" s="60" t="b">
        <f t="shared" si="13"/>
        <v>0</v>
      </c>
      <c r="AK442" s="61">
        <f>IF(AJ442,O442*'[1]ETC Data'!$H$5*'[1]ETC Data'!$I$5,0)</f>
        <v>0</v>
      </c>
      <c r="AL442" s="58">
        <f>AK442-(AK442*((VLOOKUP(A442,[1]Plan!A$1:AY$804,51,FALSE)/100)))</f>
        <v>0</v>
      </c>
      <c r="AM442" s="58">
        <f>IF(AJ442,O442*'[1]ETC Data'!$H$5*'[1]ETC Data'!$J$5,0)</f>
        <v>0</v>
      </c>
      <c r="AN442" s="58">
        <f>AM442-(AM442*((VLOOKUP(A442,[1]Plan!A$1:BA$804,53,FALSE)/100)))</f>
        <v>0</v>
      </c>
      <c r="AO442" s="61">
        <f>IF(AJ442,O442*'[1]ETC Data'!$H$5*'[1]ETC Data'!$K$5,0)</f>
        <v>0</v>
      </c>
      <c r="AP442" s="58">
        <f>AO442-(AO442*((VLOOKUP(A442,[1]Plan!A$1:BB$804,54,FALSE)/100)))</f>
        <v>0</v>
      </c>
      <c r="AQ442" s="58">
        <f>IF(AJ442,O442*'[1]ETC Data'!$H$5*'[1]ETC Data'!$L$5,0)</f>
        <v>0</v>
      </c>
      <c r="AR442" s="58">
        <f>AQ442-(AQ442*((VLOOKUP(A442,[1]Plan!A$1:BD$804,56,FALSE)/100)))</f>
        <v>0</v>
      </c>
      <c r="AS442" s="20">
        <f>VLOOKUP(A442,'[1]PR Matrix'!A:B,2,FALSE)</f>
        <v>0</v>
      </c>
      <c r="AT442" s="21">
        <f t="shared" si="14"/>
        <v>0</v>
      </c>
      <c r="AU442" s="21">
        <f t="shared" si="15"/>
        <v>0</v>
      </c>
      <c r="AV442" s="21">
        <f t="shared" si="16"/>
        <v>0</v>
      </c>
      <c r="AW442" s="21">
        <f t="shared" si="17"/>
        <v>0</v>
      </c>
      <c r="AX442" s="21">
        <f t="shared" si="18"/>
        <v>0</v>
      </c>
      <c r="AY442" s="21">
        <f t="shared" si="19"/>
        <v>0</v>
      </c>
    </row>
    <row r="443" spans="1:51" hidden="1" x14ac:dyDescent="0.2">
      <c r="A443" s="50" t="s">
        <v>649</v>
      </c>
      <c r="B443" s="51" t="s">
        <v>208</v>
      </c>
      <c r="C443" s="51"/>
      <c r="D443" s="51"/>
      <c r="E443" s="52">
        <f>IF(G443="Y",VLOOKUP(B443&amp;"|"&amp;C443,'[1]ETC Data'!$C$2:$D$16,2,FALSE),0)</f>
        <v>0</v>
      </c>
      <c r="F443" s="52">
        <f>IF(D443="",0,IF(G443="Y",VLOOKUP(B443&amp;"|"&amp;D443,'[1]ETC Data'!$C$2:$D$16,2,FALSE),0))</f>
        <v>0</v>
      </c>
      <c r="G443" s="53" t="str">
        <f>IF(VLOOKUP(A443,[1]Plan!A$1:H$804,8,FALSE)&lt;&gt;"",VLOOKUP(A443,[1]Plan!A$1:H$804,8,FALSE),"")</f>
        <v>N</v>
      </c>
      <c r="H443" s="54" t="str">
        <f>IF(VLOOKUP(A443,[1]Plan!A$1:L$804,12,FALSE)&lt;&gt;"",VLOOKUP(A443,[1]Plan!A$1:L$804,12,FALSE),"")</f>
        <v/>
      </c>
      <c r="I443" s="55" t="str">
        <f>IF(VLOOKUP(A443,[1]Plan!A$1:M$804,13,FALSE)&lt;&gt;"",VLOOKUP(A443,[1]Plan!A$1:M$804,13,FALSE),"")</f>
        <v/>
      </c>
      <c r="J443" s="55" t="str">
        <f>IF(VLOOKUP(A443,[1]Plan!A$1:N$804,14,FALSE)&lt;&gt;"",VLOOKUP(A443,[1]Plan!A$1:N$804,14,FALSE),IF(VLOOKUP(A443,[1]Plan!A$1:O$804,15,FALSE)&lt;&gt;"",VLOOKUP(A443,[1]Plan!A$1:O$804,15,FALSE),""))</f>
        <v/>
      </c>
      <c r="K443" s="56" t="str">
        <f>IF(VLOOKUP(A443,[1]Plan!A$1:P$804,16,FALSE)&lt;&gt;"",VLOOKUP(A443,[1]Plan!A$1:P$804,16,FALSE),"")</f>
        <v/>
      </c>
      <c r="L443" s="55"/>
      <c r="M443" s="55"/>
      <c r="N443" s="55"/>
      <c r="O443" s="57">
        <f t="shared" si="10"/>
        <v>0</v>
      </c>
      <c r="P443" s="57" t="b">
        <f t="shared" si="11"/>
        <v>0</v>
      </c>
      <c r="Q443" s="58">
        <f>IF(P443,O443*'[1]ETC Data'!$H$3*'[1]ETC Data'!$I$3,0)</f>
        <v>0</v>
      </c>
      <c r="R443" s="58">
        <f>Q443-(Q443*((VLOOKUP(A443,[1]Plan!A$1:Z$804,26,FALSE)/100)))</f>
        <v>0</v>
      </c>
      <c r="S443" s="58">
        <f>IF(P443,O443*'[1]ETC Data'!$H$3*'[1]ETC Data'!$J$3,0)</f>
        <v>0</v>
      </c>
      <c r="T443" s="58">
        <f>S443-(S443*((VLOOKUP(A443,[1]Plan!A$1:AA$804,27,FALSE)/100)))</f>
        <v>0</v>
      </c>
      <c r="U443" s="58">
        <f>IF(P443,O443*'[1]ETC Data'!$H$3*'[1]ETC Data'!$K$3,0)</f>
        <v>0</v>
      </c>
      <c r="V443" s="58">
        <f>U443-(U443*((VLOOKUP(A443,[1]Plan!A$1:AB$804,28,FALSE)/100)))</f>
        <v>0</v>
      </c>
      <c r="W443" s="58">
        <f>IF(P443,O443*'[1]ETC Data'!$H$3*'[1]ETC Data'!$L$3,0)</f>
        <v>0</v>
      </c>
      <c r="X443" s="58">
        <f>W443-(W443*((VLOOKUP(A443,[1]Plan!A$1:AC$804,29,FALSE)/100)))</f>
        <v>0</v>
      </c>
      <c r="Y443" s="59"/>
      <c r="Z443" s="60" t="b">
        <f t="shared" si="12"/>
        <v>0</v>
      </c>
      <c r="AA443" s="58">
        <f>IF(Z443,O443*'[1]ETC Data'!$H$4*'[1]ETC Data'!$I$4,0)</f>
        <v>0</v>
      </c>
      <c r="AB443" s="58">
        <f>AA443-(AA443*((VLOOKUP(A443,[1]Plan!A$1:AI$804,35,FALSE)/100)))</f>
        <v>0</v>
      </c>
      <c r="AC443" s="58">
        <f>IF(Z443,O443*'[1]ETC Data'!$H$4*'[1]ETC Data'!$J$4,0)</f>
        <v>0</v>
      </c>
      <c r="AD443" s="58">
        <f>AC443-(AC443*((VLOOKUP(A443,[1]Plan!A$1:AJ$804,36,FALSE)/100)))</f>
        <v>0</v>
      </c>
      <c r="AE443" s="58">
        <f>IF(Z443,O443*'[1]ETC Data'!$H$4*'[1]ETC Data'!$K$4,0)</f>
        <v>0</v>
      </c>
      <c r="AF443" s="58">
        <f>AE443-(AE443*((VLOOKUP(A443,[1]Plan!A$1:AK$804,37,FALSE)/100)))</f>
        <v>0</v>
      </c>
      <c r="AG443" s="58">
        <f>IF(Z443,O443*'[1]ETC Data'!$H$4*'[1]ETC Data'!$L$4,0)</f>
        <v>0</v>
      </c>
      <c r="AH443" s="58">
        <f>AG443-(AG443*((VLOOKUP(A443,[1]Plan!A$1:AP$804,42,FALSE)/100)))</f>
        <v>0</v>
      </c>
      <c r="AI443" s="60"/>
      <c r="AJ443" s="60" t="b">
        <f t="shared" si="13"/>
        <v>0</v>
      </c>
      <c r="AK443" s="61">
        <f>IF(AJ443,O443*'[1]ETC Data'!$H$5*'[1]ETC Data'!$I$5,0)</f>
        <v>0</v>
      </c>
      <c r="AL443" s="58">
        <f>AK443-(AK443*((VLOOKUP(A443,[1]Plan!A$1:AY$804,51,FALSE)/100)))</f>
        <v>0</v>
      </c>
      <c r="AM443" s="58">
        <f>IF(AJ443,O443*'[1]ETC Data'!$H$5*'[1]ETC Data'!$J$5,0)</f>
        <v>0</v>
      </c>
      <c r="AN443" s="58">
        <f>AM443-(AM443*((VLOOKUP(A443,[1]Plan!A$1:BA$804,53,FALSE)/100)))</f>
        <v>0</v>
      </c>
      <c r="AO443" s="61">
        <f>IF(AJ443,O443*'[1]ETC Data'!$H$5*'[1]ETC Data'!$K$5,0)</f>
        <v>0</v>
      </c>
      <c r="AP443" s="58">
        <f>AO443-(AO443*((VLOOKUP(A443,[1]Plan!A$1:BB$804,54,FALSE)/100)))</f>
        <v>0</v>
      </c>
      <c r="AQ443" s="58">
        <f>IF(AJ443,O443*'[1]ETC Data'!$H$5*'[1]ETC Data'!$L$5,0)</f>
        <v>0</v>
      </c>
      <c r="AR443" s="58">
        <f>AQ443-(AQ443*((VLOOKUP(A443,[1]Plan!A$1:BD$804,56,FALSE)/100)))</f>
        <v>0</v>
      </c>
      <c r="AS443" s="20">
        <f>VLOOKUP(A443,'[1]PR Matrix'!A:B,2,FALSE)</f>
        <v>0</v>
      </c>
      <c r="AT443" s="21">
        <f t="shared" si="14"/>
        <v>0</v>
      </c>
      <c r="AU443" s="21">
        <f t="shared" si="15"/>
        <v>0</v>
      </c>
      <c r="AV443" s="21">
        <f t="shared" si="16"/>
        <v>0</v>
      </c>
      <c r="AW443" s="21">
        <f t="shared" si="17"/>
        <v>0</v>
      </c>
      <c r="AX443" s="21">
        <f t="shared" si="18"/>
        <v>0</v>
      </c>
      <c r="AY443" s="21">
        <f t="shared" si="19"/>
        <v>0</v>
      </c>
    </row>
    <row r="444" spans="1:51" hidden="1" x14ac:dyDescent="0.2">
      <c r="A444" s="50" t="s">
        <v>650</v>
      </c>
      <c r="B444" s="51" t="s">
        <v>208</v>
      </c>
      <c r="C444" s="51"/>
      <c r="D444" s="51"/>
      <c r="E444" s="52">
        <f>IF(G444="Y",VLOOKUP(B444&amp;"|"&amp;C444,'[1]ETC Data'!$C$2:$D$16,2,FALSE),0)</f>
        <v>0</v>
      </c>
      <c r="F444" s="52">
        <f>IF(D444="",0,IF(G444="Y",VLOOKUP(B444&amp;"|"&amp;D444,'[1]ETC Data'!$C$2:$D$16,2,FALSE),0))</f>
        <v>0</v>
      </c>
      <c r="G444" s="53" t="str">
        <f>IF(VLOOKUP(A444,[1]Plan!A$1:H$804,8,FALSE)&lt;&gt;"",VLOOKUP(A444,[1]Plan!A$1:H$804,8,FALSE),"")</f>
        <v>N</v>
      </c>
      <c r="H444" s="54" t="str">
        <f>IF(VLOOKUP(A444,[1]Plan!A$1:L$804,12,FALSE)&lt;&gt;"",VLOOKUP(A444,[1]Plan!A$1:L$804,12,FALSE),"")</f>
        <v/>
      </c>
      <c r="I444" s="55" t="str">
        <f>IF(VLOOKUP(A444,[1]Plan!A$1:M$804,13,FALSE)&lt;&gt;"",VLOOKUP(A444,[1]Plan!A$1:M$804,13,FALSE),"")</f>
        <v/>
      </c>
      <c r="J444" s="55" t="str">
        <f>IF(VLOOKUP(A444,[1]Plan!A$1:N$804,14,FALSE)&lt;&gt;"",VLOOKUP(A444,[1]Plan!A$1:N$804,14,FALSE),IF(VLOOKUP(A444,[1]Plan!A$1:O$804,15,FALSE)&lt;&gt;"",VLOOKUP(A444,[1]Plan!A$1:O$804,15,FALSE),""))</f>
        <v/>
      </c>
      <c r="K444" s="56" t="str">
        <f>IF(VLOOKUP(A444,[1]Plan!A$1:P$804,16,FALSE)&lt;&gt;"",VLOOKUP(A444,[1]Plan!A$1:P$804,16,FALSE),"")</f>
        <v/>
      </c>
      <c r="L444" s="55"/>
      <c r="M444" s="55"/>
      <c r="N444" s="55"/>
      <c r="O444" s="57">
        <f t="shared" si="10"/>
        <v>0</v>
      </c>
      <c r="P444" s="57" t="b">
        <f t="shared" si="11"/>
        <v>0</v>
      </c>
      <c r="Q444" s="58">
        <f>IF(P444,O444*'[1]ETC Data'!$H$3*'[1]ETC Data'!$I$3,0)</f>
        <v>0</v>
      </c>
      <c r="R444" s="58">
        <f>Q444-(Q444*((VLOOKUP(A444,[1]Plan!A$1:Z$804,26,FALSE)/100)))</f>
        <v>0</v>
      </c>
      <c r="S444" s="58">
        <f>IF(P444,O444*'[1]ETC Data'!$H$3*'[1]ETC Data'!$J$3,0)</f>
        <v>0</v>
      </c>
      <c r="T444" s="58">
        <f>S444-(S444*((VLOOKUP(A444,[1]Plan!A$1:AA$804,27,FALSE)/100)))</f>
        <v>0</v>
      </c>
      <c r="U444" s="58">
        <f>IF(P444,O444*'[1]ETC Data'!$H$3*'[1]ETC Data'!$K$3,0)</f>
        <v>0</v>
      </c>
      <c r="V444" s="58">
        <f>U444-(U444*((VLOOKUP(A444,[1]Plan!A$1:AB$804,28,FALSE)/100)))</f>
        <v>0</v>
      </c>
      <c r="W444" s="58">
        <f>IF(P444,O444*'[1]ETC Data'!$H$3*'[1]ETC Data'!$L$3,0)</f>
        <v>0</v>
      </c>
      <c r="X444" s="58">
        <f>W444-(W444*((VLOOKUP(A444,[1]Plan!A$1:AC$804,29,FALSE)/100)))</f>
        <v>0</v>
      </c>
      <c r="Y444" s="59"/>
      <c r="Z444" s="60" t="b">
        <f t="shared" si="12"/>
        <v>0</v>
      </c>
      <c r="AA444" s="58">
        <f>IF(Z444,O444*'[1]ETC Data'!$H$4*'[1]ETC Data'!$I$4,0)</f>
        <v>0</v>
      </c>
      <c r="AB444" s="58">
        <f>AA444-(AA444*((VLOOKUP(A444,[1]Plan!A$1:AI$804,35,FALSE)/100)))</f>
        <v>0</v>
      </c>
      <c r="AC444" s="58">
        <f>IF(Z444,O444*'[1]ETC Data'!$H$4*'[1]ETC Data'!$J$4,0)</f>
        <v>0</v>
      </c>
      <c r="AD444" s="58">
        <f>AC444-(AC444*((VLOOKUP(A444,[1]Plan!A$1:AJ$804,36,FALSE)/100)))</f>
        <v>0</v>
      </c>
      <c r="AE444" s="58">
        <f>IF(Z444,O444*'[1]ETC Data'!$H$4*'[1]ETC Data'!$K$4,0)</f>
        <v>0</v>
      </c>
      <c r="AF444" s="58">
        <f>AE444-(AE444*((VLOOKUP(A444,[1]Plan!A$1:AK$804,37,FALSE)/100)))</f>
        <v>0</v>
      </c>
      <c r="AG444" s="58">
        <f>IF(Z444,O444*'[1]ETC Data'!$H$4*'[1]ETC Data'!$L$4,0)</f>
        <v>0</v>
      </c>
      <c r="AH444" s="58">
        <f>AG444-(AG444*((VLOOKUP(A444,[1]Plan!A$1:AP$804,42,FALSE)/100)))</f>
        <v>0</v>
      </c>
      <c r="AI444" s="60"/>
      <c r="AJ444" s="60" t="b">
        <f t="shared" si="13"/>
        <v>0</v>
      </c>
      <c r="AK444" s="61">
        <f>IF(AJ444,O444*'[1]ETC Data'!$H$5*'[1]ETC Data'!$I$5,0)</f>
        <v>0</v>
      </c>
      <c r="AL444" s="58">
        <f>AK444-(AK444*((VLOOKUP(A444,[1]Plan!A$1:AY$804,51,FALSE)/100)))</f>
        <v>0</v>
      </c>
      <c r="AM444" s="58">
        <f>IF(AJ444,O444*'[1]ETC Data'!$H$5*'[1]ETC Data'!$J$5,0)</f>
        <v>0</v>
      </c>
      <c r="AN444" s="58">
        <f>AM444-(AM444*((VLOOKUP(A444,[1]Plan!A$1:BA$804,53,FALSE)/100)))</f>
        <v>0</v>
      </c>
      <c r="AO444" s="61">
        <f>IF(AJ444,O444*'[1]ETC Data'!$H$5*'[1]ETC Data'!$K$5,0)</f>
        <v>0</v>
      </c>
      <c r="AP444" s="58">
        <f>AO444-(AO444*((VLOOKUP(A444,[1]Plan!A$1:BB$804,54,FALSE)/100)))</f>
        <v>0</v>
      </c>
      <c r="AQ444" s="58">
        <f>IF(AJ444,O444*'[1]ETC Data'!$H$5*'[1]ETC Data'!$L$5,0)</f>
        <v>0</v>
      </c>
      <c r="AR444" s="58">
        <f>AQ444-(AQ444*((VLOOKUP(A444,[1]Plan!A$1:BD$804,56,FALSE)/100)))</f>
        <v>0</v>
      </c>
      <c r="AS444" s="20">
        <f>VLOOKUP(A444,'[1]PR Matrix'!A:B,2,FALSE)</f>
        <v>0</v>
      </c>
      <c r="AT444" s="21">
        <f t="shared" si="14"/>
        <v>0</v>
      </c>
      <c r="AU444" s="21">
        <f t="shared" si="15"/>
        <v>0</v>
      </c>
      <c r="AV444" s="21">
        <f t="shared" si="16"/>
        <v>0</v>
      </c>
      <c r="AW444" s="21">
        <f t="shared" si="17"/>
        <v>0</v>
      </c>
      <c r="AX444" s="21">
        <f t="shared" si="18"/>
        <v>0</v>
      </c>
      <c r="AY444" s="21">
        <f t="shared" si="19"/>
        <v>0</v>
      </c>
    </row>
    <row r="445" spans="1:51" hidden="1" x14ac:dyDescent="0.2">
      <c r="A445" s="50" t="s">
        <v>651</v>
      </c>
      <c r="B445" s="51" t="s">
        <v>208</v>
      </c>
      <c r="C445" s="51"/>
      <c r="D445" s="51"/>
      <c r="E445" s="52">
        <f>IF(G445="Y",VLOOKUP(B445&amp;"|"&amp;C445,'[1]ETC Data'!$C$2:$D$16,2,FALSE),0)</f>
        <v>0</v>
      </c>
      <c r="F445" s="52">
        <f>IF(D445="",0,IF(G445="Y",VLOOKUP(B445&amp;"|"&amp;D445,'[1]ETC Data'!$C$2:$D$16,2,FALSE),0))</f>
        <v>0</v>
      </c>
      <c r="G445" s="53" t="str">
        <f>IF(VLOOKUP(A445,[1]Plan!A$1:H$804,8,FALSE)&lt;&gt;"",VLOOKUP(A445,[1]Plan!A$1:H$804,8,FALSE),"")</f>
        <v>N</v>
      </c>
      <c r="H445" s="54" t="str">
        <f>IF(VLOOKUP(A445,[1]Plan!A$1:L$804,12,FALSE)&lt;&gt;"",VLOOKUP(A445,[1]Plan!A$1:L$804,12,FALSE),"")</f>
        <v/>
      </c>
      <c r="I445" s="55" t="str">
        <f>IF(VLOOKUP(A445,[1]Plan!A$1:M$804,13,FALSE)&lt;&gt;"",VLOOKUP(A445,[1]Plan!A$1:M$804,13,FALSE),"")</f>
        <v/>
      </c>
      <c r="J445" s="55" t="str">
        <f>IF(VLOOKUP(A445,[1]Plan!A$1:N$804,14,FALSE)&lt;&gt;"",VLOOKUP(A445,[1]Plan!A$1:N$804,14,FALSE),IF(VLOOKUP(A445,[1]Plan!A$1:O$804,15,FALSE)&lt;&gt;"",VLOOKUP(A445,[1]Plan!A$1:O$804,15,FALSE),""))</f>
        <v/>
      </c>
      <c r="K445" s="56" t="str">
        <f>IF(VLOOKUP(A445,[1]Plan!A$1:P$804,16,FALSE)&lt;&gt;"",VLOOKUP(A445,[1]Plan!A$1:P$804,16,FALSE),"")</f>
        <v/>
      </c>
      <c r="L445" s="55"/>
      <c r="M445" s="55"/>
      <c r="N445" s="55"/>
      <c r="O445" s="57">
        <f t="shared" si="10"/>
        <v>0</v>
      </c>
      <c r="P445" s="57" t="b">
        <f t="shared" si="11"/>
        <v>0</v>
      </c>
      <c r="Q445" s="58">
        <f>IF(P445,O445*'[1]ETC Data'!$H$3*'[1]ETC Data'!$I$3,0)</f>
        <v>0</v>
      </c>
      <c r="R445" s="58">
        <f>Q445-(Q445*((VLOOKUP(A445,[1]Plan!A$1:Z$804,26,FALSE)/100)))</f>
        <v>0</v>
      </c>
      <c r="S445" s="58">
        <f>IF(P445,O445*'[1]ETC Data'!$H$3*'[1]ETC Data'!$J$3,0)</f>
        <v>0</v>
      </c>
      <c r="T445" s="58">
        <f>S445-(S445*((VLOOKUP(A445,[1]Plan!A$1:AA$804,27,FALSE)/100)))</f>
        <v>0</v>
      </c>
      <c r="U445" s="58">
        <f>IF(P445,O445*'[1]ETC Data'!$H$3*'[1]ETC Data'!$K$3,0)</f>
        <v>0</v>
      </c>
      <c r="V445" s="58">
        <f>U445-(U445*((VLOOKUP(A445,[1]Plan!A$1:AB$804,28,FALSE)/100)))</f>
        <v>0</v>
      </c>
      <c r="W445" s="58">
        <f>IF(P445,O445*'[1]ETC Data'!$H$3*'[1]ETC Data'!$L$3,0)</f>
        <v>0</v>
      </c>
      <c r="X445" s="58">
        <f>W445-(W445*((VLOOKUP(A445,[1]Plan!A$1:AC$804,29,FALSE)/100)))</f>
        <v>0</v>
      </c>
      <c r="Y445" s="59"/>
      <c r="Z445" s="60" t="b">
        <f t="shared" si="12"/>
        <v>0</v>
      </c>
      <c r="AA445" s="58">
        <f>IF(Z445,O445*'[1]ETC Data'!$H$4*'[1]ETC Data'!$I$4,0)</f>
        <v>0</v>
      </c>
      <c r="AB445" s="58">
        <f>AA445-(AA445*((VLOOKUP(A445,[1]Plan!A$1:AI$804,35,FALSE)/100)))</f>
        <v>0</v>
      </c>
      <c r="AC445" s="58">
        <f>IF(Z445,O445*'[1]ETC Data'!$H$4*'[1]ETC Data'!$J$4,0)</f>
        <v>0</v>
      </c>
      <c r="AD445" s="58">
        <f>AC445-(AC445*((VLOOKUP(A445,[1]Plan!A$1:AJ$804,36,FALSE)/100)))</f>
        <v>0</v>
      </c>
      <c r="AE445" s="58">
        <f>IF(Z445,O445*'[1]ETC Data'!$H$4*'[1]ETC Data'!$K$4,0)</f>
        <v>0</v>
      </c>
      <c r="AF445" s="58">
        <f>AE445-(AE445*((VLOOKUP(A445,[1]Plan!A$1:AK$804,37,FALSE)/100)))</f>
        <v>0</v>
      </c>
      <c r="AG445" s="58">
        <f>IF(Z445,O445*'[1]ETC Data'!$H$4*'[1]ETC Data'!$L$4,0)</f>
        <v>0</v>
      </c>
      <c r="AH445" s="58">
        <f>AG445-(AG445*((VLOOKUP(A445,[1]Plan!A$1:AP$804,42,FALSE)/100)))</f>
        <v>0</v>
      </c>
      <c r="AI445" s="60"/>
      <c r="AJ445" s="60" t="b">
        <f t="shared" si="13"/>
        <v>0</v>
      </c>
      <c r="AK445" s="61">
        <f>IF(AJ445,O445*'[1]ETC Data'!$H$5*'[1]ETC Data'!$I$5,0)</f>
        <v>0</v>
      </c>
      <c r="AL445" s="58">
        <f>AK445-(AK445*((VLOOKUP(A445,[1]Plan!A$1:AY$804,51,FALSE)/100)))</f>
        <v>0</v>
      </c>
      <c r="AM445" s="58">
        <f>IF(AJ445,O445*'[1]ETC Data'!$H$5*'[1]ETC Data'!$J$5,0)</f>
        <v>0</v>
      </c>
      <c r="AN445" s="58">
        <f>AM445-(AM445*((VLOOKUP(A445,[1]Plan!A$1:BA$804,53,FALSE)/100)))</f>
        <v>0</v>
      </c>
      <c r="AO445" s="61">
        <f>IF(AJ445,O445*'[1]ETC Data'!$H$5*'[1]ETC Data'!$K$5,0)</f>
        <v>0</v>
      </c>
      <c r="AP445" s="58">
        <f>AO445-(AO445*((VLOOKUP(A445,[1]Plan!A$1:BB$804,54,FALSE)/100)))</f>
        <v>0</v>
      </c>
      <c r="AQ445" s="58">
        <f>IF(AJ445,O445*'[1]ETC Data'!$H$5*'[1]ETC Data'!$L$5,0)</f>
        <v>0</v>
      </c>
      <c r="AR445" s="58">
        <f>AQ445-(AQ445*((VLOOKUP(A445,[1]Plan!A$1:BD$804,56,FALSE)/100)))</f>
        <v>0</v>
      </c>
      <c r="AS445" s="20">
        <f>VLOOKUP(A445,'[1]PR Matrix'!A:B,2,FALSE)</f>
        <v>0</v>
      </c>
      <c r="AT445" s="21">
        <f t="shared" si="14"/>
        <v>0</v>
      </c>
      <c r="AU445" s="21">
        <f t="shared" si="15"/>
        <v>0</v>
      </c>
      <c r="AV445" s="21">
        <f t="shared" si="16"/>
        <v>0</v>
      </c>
      <c r="AW445" s="21">
        <f t="shared" si="17"/>
        <v>0</v>
      </c>
      <c r="AX445" s="21">
        <f t="shared" si="18"/>
        <v>0</v>
      </c>
      <c r="AY445" s="21">
        <f t="shared" si="19"/>
        <v>0</v>
      </c>
    </row>
    <row r="446" spans="1:51" hidden="1" x14ac:dyDescent="0.2">
      <c r="A446" s="50" t="s">
        <v>652</v>
      </c>
      <c r="B446" s="51" t="s">
        <v>208</v>
      </c>
      <c r="C446" s="51"/>
      <c r="D446" s="51"/>
      <c r="E446" s="52">
        <f>IF(G446="Y",VLOOKUP(B446&amp;"|"&amp;C446,'[1]ETC Data'!$C$2:$D$16,2,FALSE),0)</f>
        <v>0</v>
      </c>
      <c r="F446" s="52">
        <f>IF(D446="",0,IF(G446="Y",VLOOKUP(B446&amp;"|"&amp;D446,'[1]ETC Data'!$C$2:$D$16,2,FALSE),0))</f>
        <v>0</v>
      </c>
      <c r="G446" s="53" t="str">
        <f>IF(VLOOKUP(A446,[1]Plan!A$1:H$804,8,FALSE)&lt;&gt;"",VLOOKUP(A446,[1]Plan!A$1:H$804,8,FALSE),"")</f>
        <v>N</v>
      </c>
      <c r="H446" s="54" t="str">
        <f>IF(VLOOKUP(A446,[1]Plan!A$1:L$804,12,FALSE)&lt;&gt;"",VLOOKUP(A446,[1]Plan!A$1:L$804,12,FALSE),"")</f>
        <v/>
      </c>
      <c r="I446" s="55" t="str">
        <f>IF(VLOOKUP(A446,[1]Plan!A$1:M$804,13,FALSE)&lt;&gt;"",VLOOKUP(A446,[1]Plan!A$1:M$804,13,FALSE),"")</f>
        <v/>
      </c>
      <c r="J446" s="55" t="str">
        <f>IF(VLOOKUP(A446,[1]Plan!A$1:N$804,14,FALSE)&lt;&gt;"",VLOOKUP(A446,[1]Plan!A$1:N$804,14,FALSE),IF(VLOOKUP(A446,[1]Plan!A$1:O$804,15,FALSE)&lt;&gt;"",VLOOKUP(A446,[1]Plan!A$1:O$804,15,FALSE),""))</f>
        <v/>
      </c>
      <c r="K446" s="56" t="str">
        <f>IF(VLOOKUP(A446,[1]Plan!A$1:P$804,16,FALSE)&lt;&gt;"",VLOOKUP(A446,[1]Plan!A$1:P$804,16,FALSE),"")</f>
        <v/>
      </c>
      <c r="L446" s="55"/>
      <c r="M446" s="55"/>
      <c r="N446" s="55"/>
      <c r="O446" s="57">
        <f t="shared" si="10"/>
        <v>0</v>
      </c>
      <c r="P446" s="57" t="b">
        <f t="shared" si="11"/>
        <v>0</v>
      </c>
      <c r="Q446" s="58">
        <f>IF(P446,O446*'[1]ETC Data'!$H$3*'[1]ETC Data'!$I$3,0)</f>
        <v>0</v>
      </c>
      <c r="R446" s="58">
        <f>Q446-(Q446*((VLOOKUP(A446,[1]Plan!A$1:Z$804,26,FALSE)/100)))</f>
        <v>0</v>
      </c>
      <c r="S446" s="58">
        <f>IF(P446,O446*'[1]ETC Data'!$H$3*'[1]ETC Data'!$J$3,0)</f>
        <v>0</v>
      </c>
      <c r="T446" s="58">
        <f>S446-(S446*((VLOOKUP(A446,[1]Plan!A$1:AA$804,27,FALSE)/100)))</f>
        <v>0</v>
      </c>
      <c r="U446" s="58">
        <f>IF(P446,O446*'[1]ETC Data'!$H$3*'[1]ETC Data'!$K$3,0)</f>
        <v>0</v>
      </c>
      <c r="V446" s="58">
        <f>U446-(U446*((VLOOKUP(A446,[1]Plan!A$1:AB$804,28,FALSE)/100)))</f>
        <v>0</v>
      </c>
      <c r="W446" s="58">
        <f>IF(P446,O446*'[1]ETC Data'!$H$3*'[1]ETC Data'!$L$3,0)</f>
        <v>0</v>
      </c>
      <c r="X446" s="58">
        <f>W446-(W446*((VLOOKUP(A446,[1]Plan!A$1:AC$804,29,FALSE)/100)))</f>
        <v>0</v>
      </c>
      <c r="Y446" s="59"/>
      <c r="Z446" s="60" t="b">
        <f t="shared" si="12"/>
        <v>0</v>
      </c>
      <c r="AA446" s="58">
        <f>IF(Z446,O446*'[1]ETC Data'!$H$4*'[1]ETC Data'!$I$4,0)</f>
        <v>0</v>
      </c>
      <c r="AB446" s="58">
        <f>AA446-(AA446*((VLOOKUP(A446,[1]Plan!A$1:AI$804,35,FALSE)/100)))</f>
        <v>0</v>
      </c>
      <c r="AC446" s="58">
        <f>IF(Z446,O446*'[1]ETC Data'!$H$4*'[1]ETC Data'!$J$4,0)</f>
        <v>0</v>
      </c>
      <c r="AD446" s="58">
        <f>AC446-(AC446*((VLOOKUP(A446,[1]Plan!A$1:AJ$804,36,FALSE)/100)))</f>
        <v>0</v>
      </c>
      <c r="AE446" s="58">
        <f>IF(Z446,O446*'[1]ETC Data'!$H$4*'[1]ETC Data'!$K$4,0)</f>
        <v>0</v>
      </c>
      <c r="AF446" s="58">
        <f>AE446-(AE446*((VLOOKUP(A446,[1]Plan!A$1:AK$804,37,FALSE)/100)))</f>
        <v>0</v>
      </c>
      <c r="AG446" s="58">
        <f>IF(Z446,O446*'[1]ETC Data'!$H$4*'[1]ETC Data'!$L$4,0)</f>
        <v>0</v>
      </c>
      <c r="AH446" s="58">
        <f>AG446-(AG446*((VLOOKUP(A446,[1]Plan!A$1:AP$804,42,FALSE)/100)))</f>
        <v>0</v>
      </c>
      <c r="AI446" s="60"/>
      <c r="AJ446" s="60" t="b">
        <f t="shared" si="13"/>
        <v>0</v>
      </c>
      <c r="AK446" s="61">
        <f>IF(AJ446,O446*'[1]ETC Data'!$H$5*'[1]ETC Data'!$I$5,0)</f>
        <v>0</v>
      </c>
      <c r="AL446" s="58">
        <f>AK446-(AK446*((VLOOKUP(A446,[1]Plan!A$1:AY$804,51,FALSE)/100)))</f>
        <v>0</v>
      </c>
      <c r="AM446" s="58">
        <f>IF(AJ446,O446*'[1]ETC Data'!$H$5*'[1]ETC Data'!$J$5,0)</f>
        <v>0</v>
      </c>
      <c r="AN446" s="58">
        <f>AM446-(AM446*((VLOOKUP(A446,[1]Plan!A$1:BA$804,53,FALSE)/100)))</f>
        <v>0</v>
      </c>
      <c r="AO446" s="61">
        <f>IF(AJ446,O446*'[1]ETC Data'!$H$5*'[1]ETC Data'!$K$5,0)</f>
        <v>0</v>
      </c>
      <c r="AP446" s="58">
        <f>AO446-(AO446*((VLOOKUP(A446,[1]Plan!A$1:BB$804,54,FALSE)/100)))</f>
        <v>0</v>
      </c>
      <c r="AQ446" s="58">
        <f>IF(AJ446,O446*'[1]ETC Data'!$H$5*'[1]ETC Data'!$L$5,0)</f>
        <v>0</v>
      </c>
      <c r="AR446" s="58">
        <f>AQ446-(AQ446*((VLOOKUP(A446,[1]Plan!A$1:BD$804,56,FALSE)/100)))</f>
        <v>0</v>
      </c>
      <c r="AS446" s="20">
        <f>VLOOKUP(A446,'[1]PR Matrix'!A:B,2,FALSE)</f>
        <v>0</v>
      </c>
      <c r="AT446" s="21">
        <f t="shared" si="14"/>
        <v>0</v>
      </c>
      <c r="AU446" s="21">
        <f t="shared" si="15"/>
        <v>0</v>
      </c>
      <c r="AV446" s="21">
        <f t="shared" si="16"/>
        <v>0</v>
      </c>
      <c r="AW446" s="21">
        <f t="shared" si="17"/>
        <v>0</v>
      </c>
      <c r="AX446" s="21">
        <f t="shared" si="18"/>
        <v>0</v>
      </c>
      <c r="AY446" s="21">
        <f t="shared" si="19"/>
        <v>0</v>
      </c>
    </row>
    <row r="447" spans="1:51" hidden="1" x14ac:dyDescent="0.2">
      <c r="A447" s="50" t="s">
        <v>653</v>
      </c>
      <c r="B447" s="51" t="s">
        <v>208</v>
      </c>
      <c r="C447" s="51"/>
      <c r="D447" s="51"/>
      <c r="E447" s="52">
        <f>IF(G447="Y",VLOOKUP(B447&amp;"|"&amp;C447,'[1]ETC Data'!$C$2:$D$16,2,FALSE),0)</f>
        <v>0</v>
      </c>
      <c r="F447" s="52">
        <f>IF(D447="",0,IF(G447="Y",VLOOKUP(B447&amp;"|"&amp;D447,'[1]ETC Data'!$C$2:$D$16,2,FALSE),0))</f>
        <v>0</v>
      </c>
      <c r="G447" s="53" t="str">
        <f>IF(VLOOKUP(A447,[1]Plan!A$1:H$804,8,FALSE)&lt;&gt;"",VLOOKUP(A447,[1]Plan!A$1:H$804,8,FALSE),"")</f>
        <v>N</v>
      </c>
      <c r="H447" s="54" t="str">
        <f>IF(VLOOKUP(A447,[1]Plan!A$1:L$804,12,FALSE)&lt;&gt;"",VLOOKUP(A447,[1]Plan!A$1:L$804,12,FALSE),"")</f>
        <v/>
      </c>
      <c r="I447" s="55" t="str">
        <f>IF(VLOOKUP(A447,[1]Plan!A$1:M$804,13,FALSE)&lt;&gt;"",VLOOKUP(A447,[1]Plan!A$1:M$804,13,FALSE),"")</f>
        <v/>
      </c>
      <c r="J447" s="55" t="str">
        <f>IF(VLOOKUP(A447,[1]Plan!A$1:N$804,14,FALSE)&lt;&gt;"",VLOOKUP(A447,[1]Plan!A$1:N$804,14,FALSE),IF(VLOOKUP(A447,[1]Plan!A$1:O$804,15,FALSE)&lt;&gt;"",VLOOKUP(A447,[1]Plan!A$1:O$804,15,FALSE),""))</f>
        <v/>
      </c>
      <c r="K447" s="56" t="str">
        <f>IF(VLOOKUP(A447,[1]Plan!A$1:P$804,16,FALSE)&lt;&gt;"",VLOOKUP(A447,[1]Plan!A$1:P$804,16,FALSE),"")</f>
        <v/>
      </c>
      <c r="L447" s="55"/>
      <c r="M447" s="55"/>
      <c r="N447" s="55"/>
      <c r="O447" s="57">
        <f t="shared" si="10"/>
        <v>0</v>
      </c>
      <c r="P447" s="57" t="b">
        <f t="shared" si="11"/>
        <v>0</v>
      </c>
      <c r="Q447" s="58">
        <f>IF(P447,O447*'[1]ETC Data'!$H$3*'[1]ETC Data'!$I$3,0)</f>
        <v>0</v>
      </c>
      <c r="R447" s="58">
        <f>Q447-(Q447*((VLOOKUP(A447,[1]Plan!A$1:Z$804,26,FALSE)/100)))</f>
        <v>0</v>
      </c>
      <c r="S447" s="58">
        <f>IF(P447,O447*'[1]ETC Data'!$H$3*'[1]ETC Data'!$J$3,0)</f>
        <v>0</v>
      </c>
      <c r="T447" s="58">
        <f>S447-(S447*((VLOOKUP(A447,[1]Plan!A$1:AA$804,27,FALSE)/100)))</f>
        <v>0</v>
      </c>
      <c r="U447" s="58">
        <f>IF(P447,O447*'[1]ETC Data'!$H$3*'[1]ETC Data'!$K$3,0)</f>
        <v>0</v>
      </c>
      <c r="V447" s="58">
        <f>U447-(U447*((VLOOKUP(A447,[1]Plan!A$1:AB$804,28,FALSE)/100)))</f>
        <v>0</v>
      </c>
      <c r="W447" s="58">
        <f>IF(P447,O447*'[1]ETC Data'!$H$3*'[1]ETC Data'!$L$3,0)</f>
        <v>0</v>
      </c>
      <c r="X447" s="58">
        <f>W447-(W447*((VLOOKUP(A447,[1]Plan!A$1:AC$804,29,FALSE)/100)))</f>
        <v>0</v>
      </c>
      <c r="Y447" s="59"/>
      <c r="Z447" s="60" t="b">
        <f t="shared" si="12"/>
        <v>0</v>
      </c>
      <c r="AA447" s="58">
        <f>IF(Z447,O447*'[1]ETC Data'!$H$4*'[1]ETC Data'!$I$4,0)</f>
        <v>0</v>
      </c>
      <c r="AB447" s="58">
        <f>AA447-(AA447*((VLOOKUP(A447,[1]Plan!A$1:AI$804,35,FALSE)/100)))</f>
        <v>0</v>
      </c>
      <c r="AC447" s="58">
        <f>IF(Z447,O447*'[1]ETC Data'!$H$4*'[1]ETC Data'!$J$4,0)</f>
        <v>0</v>
      </c>
      <c r="AD447" s="58">
        <f>AC447-(AC447*((VLOOKUP(A447,[1]Plan!A$1:AJ$804,36,FALSE)/100)))</f>
        <v>0</v>
      </c>
      <c r="AE447" s="58">
        <f>IF(Z447,O447*'[1]ETC Data'!$H$4*'[1]ETC Data'!$K$4,0)</f>
        <v>0</v>
      </c>
      <c r="AF447" s="58">
        <f>AE447-(AE447*((VLOOKUP(A447,[1]Plan!A$1:AK$804,37,FALSE)/100)))</f>
        <v>0</v>
      </c>
      <c r="AG447" s="58">
        <f>IF(Z447,O447*'[1]ETC Data'!$H$4*'[1]ETC Data'!$L$4,0)</f>
        <v>0</v>
      </c>
      <c r="AH447" s="58">
        <f>AG447-(AG447*((VLOOKUP(A447,[1]Plan!A$1:AP$804,42,FALSE)/100)))</f>
        <v>0</v>
      </c>
      <c r="AI447" s="60"/>
      <c r="AJ447" s="60" t="b">
        <f t="shared" si="13"/>
        <v>0</v>
      </c>
      <c r="AK447" s="61">
        <f>IF(AJ447,O447*'[1]ETC Data'!$H$5*'[1]ETC Data'!$I$5,0)</f>
        <v>0</v>
      </c>
      <c r="AL447" s="58">
        <f>AK447-(AK447*((VLOOKUP(A447,[1]Plan!A$1:AY$804,51,FALSE)/100)))</f>
        <v>0</v>
      </c>
      <c r="AM447" s="58">
        <f>IF(AJ447,O447*'[1]ETC Data'!$H$5*'[1]ETC Data'!$J$5,0)</f>
        <v>0</v>
      </c>
      <c r="AN447" s="58">
        <f>AM447-(AM447*((VLOOKUP(A447,[1]Plan!A$1:BA$804,53,FALSE)/100)))</f>
        <v>0</v>
      </c>
      <c r="AO447" s="61">
        <f>IF(AJ447,O447*'[1]ETC Data'!$H$5*'[1]ETC Data'!$K$5,0)</f>
        <v>0</v>
      </c>
      <c r="AP447" s="58">
        <f>AO447-(AO447*((VLOOKUP(A447,[1]Plan!A$1:BB$804,54,FALSE)/100)))</f>
        <v>0</v>
      </c>
      <c r="AQ447" s="58">
        <f>IF(AJ447,O447*'[1]ETC Data'!$H$5*'[1]ETC Data'!$L$5,0)</f>
        <v>0</v>
      </c>
      <c r="AR447" s="58">
        <f>AQ447-(AQ447*((VLOOKUP(A447,[1]Plan!A$1:BD$804,56,FALSE)/100)))</f>
        <v>0</v>
      </c>
      <c r="AS447" s="20">
        <f>VLOOKUP(A447,'[1]PR Matrix'!A:B,2,FALSE)</f>
        <v>0</v>
      </c>
      <c r="AT447" s="21">
        <f t="shared" si="14"/>
        <v>0</v>
      </c>
      <c r="AU447" s="21">
        <f t="shared" si="15"/>
        <v>0</v>
      </c>
      <c r="AV447" s="21">
        <f t="shared" si="16"/>
        <v>0</v>
      </c>
      <c r="AW447" s="21">
        <f t="shared" si="17"/>
        <v>0</v>
      </c>
      <c r="AX447" s="21">
        <f t="shared" si="18"/>
        <v>0</v>
      </c>
      <c r="AY447" s="21">
        <f t="shared" si="19"/>
        <v>0</v>
      </c>
    </row>
    <row r="448" spans="1:51" hidden="1" x14ac:dyDescent="0.2">
      <c r="A448" s="50" t="s">
        <v>654</v>
      </c>
      <c r="B448" s="51" t="s">
        <v>208</v>
      </c>
      <c r="C448" s="51"/>
      <c r="D448" s="51"/>
      <c r="E448" s="52">
        <f>IF(G448="Y",VLOOKUP(B448&amp;"|"&amp;C448,'[1]ETC Data'!$C$2:$D$16,2,FALSE),0)</f>
        <v>0</v>
      </c>
      <c r="F448" s="52">
        <f>IF(D448="",0,IF(G448="Y",VLOOKUP(B448&amp;"|"&amp;D448,'[1]ETC Data'!$C$2:$D$16,2,FALSE),0))</f>
        <v>0</v>
      </c>
      <c r="G448" s="53" t="str">
        <f>IF(VLOOKUP(A448,[1]Plan!A$1:H$804,8,FALSE)&lt;&gt;"",VLOOKUP(A448,[1]Plan!A$1:H$804,8,FALSE),"")</f>
        <v>N</v>
      </c>
      <c r="H448" s="54" t="str">
        <f>IF(VLOOKUP(A448,[1]Plan!A$1:L$804,12,FALSE)&lt;&gt;"",VLOOKUP(A448,[1]Plan!A$1:L$804,12,FALSE),"")</f>
        <v/>
      </c>
      <c r="I448" s="55" t="str">
        <f>IF(VLOOKUP(A448,[1]Plan!A$1:M$804,13,FALSE)&lt;&gt;"",VLOOKUP(A448,[1]Plan!A$1:M$804,13,FALSE),"")</f>
        <v/>
      </c>
      <c r="J448" s="55" t="str">
        <f>IF(VLOOKUP(A448,[1]Plan!A$1:N$804,14,FALSE)&lt;&gt;"",VLOOKUP(A448,[1]Plan!A$1:N$804,14,FALSE),IF(VLOOKUP(A448,[1]Plan!A$1:O$804,15,FALSE)&lt;&gt;"",VLOOKUP(A448,[1]Plan!A$1:O$804,15,FALSE),""))</f>
        <v/>
      </c>
      <c r="K448" s="56" t="str">
        <f>IF(VLOOKUP(A448,[1]Plan!A$1:P$804,16,FALSE)&lt;&gt;"",VLOOKUP(A448,[1]Plan!A$1:P$804,16,FALSE),"")</f>
        <v/>
      </c>
      <c r="L448" s="55"/>
      <c r="M448" s="55"/>
      <c r="N448" s="55"/>
      <c r="O448" s="57">
        <f t="shared" si="10"/>
        <v>0</v>
      </c>
      <c r="P448" s="57" t="b">
        <f t="shared" si="11"/>
        <v>0</v>
      </c>
      <c r="Q448" s="58">
        <f>IF(P448,O448*'[1]ETC Data'!$H$3*'[1]ETC Data'!$I$3,0)</f>
        <v>0</v>
      </c>
      <c r="R448" s="58">
        <f>Q448-(Q448*((VLOOKUP(A448,[1]Plan!A$1:Z$804,26,FALSE)/100)))</f>
        <v>0</v>
      </c>
      <c r="S448" s="58">
        <f>IF(P448,O448*'[1]ETC Data'!$H$3*'[1]ETC Data'!$J$3,0)</f>
        <v>0</v>
      </c>
      <c r="T448" s="58">
        <f>S448-(S448*((VLOOKUP(A448,[1]Plan!A$1:AA$804,27,FALSE)/100)))</f>
        <v>0</v>
      </c>
      <c r="U448" s="58">
        <f>IF(P448,O448*'[1]ETC Data'!$H$3*'[1]ETC Data'!$K$3,0)</f>
        <v>0</v>
      </c>
      <c r="V448" s="58">
        <f>U448-(U448*((VLOOKUP(A448,[1]Plan!A$1:AB$804,28,FALSE)/100)))</f>
        <v>0</v>
      </c>
      <c r="W448" s="58">
        <f>IF(P448,O448*'[1]ETC Data'!$H$3*'[1]ETC Data'!$L$3,0)</f>
        <v>0</v>
      </c>
      <c r="X448" s="58">
        <f>W448-(W448*((VLOOKUP(A448,[1]Plan!A$1:AC$804,29,FALSE)/100)))</f>
        <v>0</v>
      </c>
      <c r="Y448" s="59"/>
      <c r="Z448" s="60" t="b">
        <f t="shared" si="12"/>
        <v>0</v>
      </c>
      <c r="AA448" s="58">
        <f>IF(Z448,O448*'[1]ETC Data'!$H$4*'[1]ETC Data'!$I$4,0)</f>
        <v>0</v>
      </c>
      <c r="AB448" s="58">
        <f>AA448-(AA448*((VLOOKUP(A448,[1]Plan!A$1:AI$804,35,FALSE)/100)))</f>
        <v>0</v>
      </c>
      <c r="AC448" s="58">
        <f>IF(Z448,O448*'[1]ETC Data'!$H$4*'[1]ETC Data'!$J$4,0)</f>
        <v>0</v>
      </c>
      <c r="AD448" s="58">
        <f>AC448-(AC448*((VLOOKUP(A448,[1]Plan!A$1:AJ$804,36,FALSE)/100)))</f>
        <v>0</v>
      </c>
      <c r="AE448" s="58">
        <f>IF(Z448,O448*'[1]ETC Data'!$H$4*'[1]ETC Data'!$K$4,0)</f>
        <v>0</v>
      </c>
      <c r="AF448" s="58">
        <f>AE448-(AE448*((VLOOKUP(A448,[1]Plan!A$1:AK$804,37,FALSE)/100)))</f>
        <v>0</v>
      </c>
      <c r="AG448" s="58">
        <f>IF(Z448,O448*'[1]ETC Data'!$H$4*'[1]ETC Data'!$L$4,0)</f>
        <v>0</v>
      </c>
      <c r="AH448" s="58">
        <f>AG448-(AG448*((VLOOKUP(A448,[1]Plan!A$1:AP$804,42,FALSE)/100)))</f>
        <v>0</v>
      </c>
      <c r="AI448" s="60"/>
      <c r="AJ448" s="60" t="b">
        <f t="shared" si="13"/>
        <v>0</v>
      </c>
      <c r="AK448" s="61">
        <f>IF(AJ448,O448*'[1]ETC Data'!$H$5*'[1]ETC Data'!$I$5,0)</f>
        <v>0</v>
      </c>
      <c r="AL448" s="58">
        <f>AK448-(AK448*((VLOOKUP(A448,[1]Plan!A$1:AY$804,51,FALSE)/100)))</f>
        <v>0</v>
      </c>
      <c r="AM448" s="58">
        <f>IF(AJ448,O448*'[1]ETC Data'!$H$5*'[1]ETC Data'!$J$5,0)</f>
        <v>0</v>
      </c>
      <c r="AN448" s="58">
        <f>AM448-(AM448*((VLOOKUP(A448,[1]Plan!A$1:BA$804,53,FALSE)/100)))</f>
        <v>0</v>
      </c>
      <c r="AO448" s="61">
        <f>IF(AJ448,O448*'[1]ETC Data'!$H$5*'[1]ETC Data'!$K$5,0)</f>
        <v>0</v>
      </c>
      <c r="AP448" s="58">
        <f>AO448-(AO448*((VLOOKUP(A448,[1]Plan!A$1:BB$804,54,FALSE)/100)))</f>
        <v>0</v>
      </c>
      <c r="AQ448" s="58">
        <f>IF(AJ448,O448*'[1]ETC Data'!$H$5*'[1]ETC Data'!$L$5,0)</f>
        <v>0</v>
      </c>
      <c r="AR448" s="58">
        <f>AQ448-(AQ448*((VLOOKUP(A448,[1]Plan!A$1:BD$804,56,FALSE)/100)))</f>
        <v>0</v>
      </c>
      <c r="AS448" s="20">
        <f>VLOOKUP(A448,'[1]PR Matrix'!A:B,2,FALSE)</f>
        <v>0</v>
      </c>
      <c r="AT448" s="21">
        <f t="shared" si="14"/>
        <v>0</v>
      </c>
      <c r="AU448" s="21">
        <f t="shared" si="15"/>
        <v>0</v>
      </c>
      <c r="AV448" s="21">
        <f t="shared" si="16"/>
        <v>0</v>
      </c>
      <c r="AW448" s="21">
        <f t="shared" si="17"/>
        <v>0</v>
      </c>
      <c r="AX448" s="21">
        <f t="shared" si="18"/>
        <v>0</v>
      </c>
      <c r="AY448" s="21">
        <f t="shared" si="19"/>
        <v>0</v>
      </c>
    </row>
    <row r="449" spans="1:51" hidden="1" x14ac:dyDescent="0.2">
      <c r="A449" s="50" t="s">
        <v>655</v>
      </c>
      <c r="B449" s="51" t="s">
        <v>208</v>
      </c>
      <c r="C449" s="51"/>
      <c r="D449" s="51"/>
      <c r="E449" s="52">
        <f>IF(G449="Y",VLOOKUP(B449&amp;"|"&amp;C449,'[1]ETC Data'!$C$2:$D$16,2,FALSE),0)</f>
        <v>0</v>
      </c>
      <c r="F449" s="52">
        <f>IF(D449="",0,IF(G449="Y",VLOOKUP(B449&amp;"|"&amp;D449,'[1]ETC Data'!$C$2:$D$16,2,FALSE),0))</f>
        <v>0</v>
      </c>
      <c r="G449" s="53" t="str">
        <f>IF(VLOOKUP(A449,[1]Plan!A$1:H$804,8,FALSE)&lt;&gt;"",VLOOKUP(A449,[1]Plan!A$1:H$804,8,FALSE),"")</f>
        <v>N</v>
      </c>
      <c r="H449" s="54" t="str">
        <f>IF(VLOOKUP(A449,[1]Plan!A$1:L$804,12,FALSE)&lt;&gt;"",VLOOKUP(A449,[1]Plan!A$1:L$804,12,FALSE),"")</f>
        <v/>
      </c>
      <c r="I449" s="55" t="str">
        <f>IF(VLOOKUP(A449,[1]Plan!A$1:M$804,13,FALSE)&lt;&gt;"",VLOOKUP(A449,[1]Plan!A$1:M$804,13,FALSE),"")</f>
        <v/>
      </c>
      <c r="J449" s="55" t="str">
        <f>IF(VLOOKUP(A449,[1]Plan!A$1:N$804,14,FALSE)&lt;&gt;"",VLOOKUP(A449,[1]Plan!A$1:N$804,14,FALSE),IF(VLOOKUP(A449,[1]Plan!A$1:O$804,15,FALSE)&lt;&gt;"",VLOOKUP(A449,[1]Plan!A$1:O$804,15,FALSE),""))</f>
        <v/>
      </c>
      <c r="K449" s="56" t="str">
        <f>IF(VLOOKUP(A449,[1]Plan!A$1:P$804,16,FALSE)&lt;&gt;"",VLOOKUP(A449,[1]Plan!A$1:P$804,16,FALSE),"")</f>
        <v/>
      </c>
      <c r="L449" s="55"/>
      <c r="M449" s="55"/>
      <c r="N449" s="55"/>
      <c r="O449" s="57">
        <f t="shared" si="10"/>
        <v>0</v>
      </c>
      <c r="P449" s="57" t="b">
        <f t="shared" si="11"/>
        <v>0</v>
      </c>
      <c r="Q449" s="58">
        <f>IF(P449,O449*'[1]ETC Data'!$H$3*'[1]ETC Data'!$I$3,0)</f>
        <v>0</v>
      </c>
      <c r="R449" s="58">
        <f>Q449-(Q449*((VLOOKUP(A449,[1]Plan!A$1:Z$804,26,FALSE)/100)))</f>
        <v>0</v>
      </c>
      <c r="S449" s="58">
        <f>IF(P449,O449*'[1]ETC Data'!$H$3*'[1]ETC Data'!$J$3,0)</f>
        <v>0</v>
      </c>
      <c r="T449" s="58">
        <f>S449-(S449*((VLOOKUP(A449,[1]Plan!A$1:AA$804,27,FALSE)/100)))</f>
        <v>0</v>
      </c>
      <c r="U449" s="58">
        <f>IF(P449,O449*'[1]ETC Data'!$H$3*'[1]ETC Data'!$K$3,0)</f>
        <v>0</v>
      </c>
      <c r="V449" s="58">
        <f>U449-(U449*((VLOOKUP(A449,[1]Plan!A$1:AB$804,28,FALSE)/100)))</f>
        <v>0</v>
      </c>
      <c r="W449" s="58">
        <f>IF(P449,O449*'[1]ETC Data'!$H$3*'[1]ETC Data'!$L$3,0)</f>
        <v>0</v>
      </c>
      <c r="X449" s="58">
        <f>W449-(W449*((VLOOKUP(A449,[1]Plan!A$1:AC$804,29,FALSE)/100)))</f>
        <v>0</v>
      </c>
      <c r="Y449" s="59"/>
      <c r="Z449" s="60" t="b">
        <f t="shared" si="12"/>
        <v>0</v>
      </c>
      <c r="AA449" s="58">
        <f>IF(Z449,O449*'[1]ETC Data'!$H$4*'[1]ETC Data'!$I$4,0)</f>
        <v>0</v>
      </c>
      <c r="AB449" s="58">
        <f>AA449-(AA449*((VLOOKUP(A449,[1]Plan!A$1:AI$804,35,FALSE)/100)))</f>
        <v>0</v>
      </c>
      <c r="AC449" s="58">
        <f>IF(Z449,O449*'[1]ETC Data'!$H$4*'[1]ETC Data'!$J$4,0)</f>
        <v>0</v>
      </c>
      <c r="AD449" s="58">
        <f>AC449-(AC449*((VLOOKUP(A449,[1]Plan!A$1:AJ$804,36,FALSE)/100)))</f>
        <v>0</v>
      </c>
      <c r="AE449" s="58">
        <f>IF(Z449,O449*'[1]ETC Data'!$H$4*'[1]ETC Data'!$K$4,0)</f>
        <v>0</v>
      </c>
      <c r="AF449" s="58">
        <f>AE449-(AE449*((VLOOKUP(A449,[1]Plan!A$1:AK$804,37,FALSE)/100)))</f>
        <v>0</v>
      </c>
      <c r="AG449" s="58">
        <f>IF(Z449,O449*'[1]ETC Data'!$H$4*'[1]ETC Data'!$L$4,0)</f>
        <v>0</v>
      </c>
      <c r="AH449" s="58">
        <f>AG449-(AG449*((VLOOKUP(A449,[1]Plan!A$1:AP$804,42,FALSE)/100)))</f>
        <v>0</v>
      </c>
      <c r="AI449" s="60"/>
      <c r="AJ449" s="60" t="b">
        <f t="shared" si="13"/>
        <v>0</v>
      </c>
      <c r="AK449" s="61">
        <f>IF(AJ449,O449*'[1]ETC Data'!$H$5*'[1]ETC Data'!$I$5,0)</f>
        <v>0</v>
      </c>
      <c r="AL449" s="58">
        <f>AK449-(AK449*((VLOOKUP(A449,[1]Plan!A$1:AY$804,51,FALSE)/100)))</f>
        <v>0</v>
      </c>
      <c r="AM449" s="58">
        <f>IF(AJ449,O449*'[1]ETC Data'!$H$5*'[1]ETC Data'!$J$5,0)</f>
        <v>0</v>
      </c>
      <c r="AN449" s="58">
        <f>AM449-(AM449*((VLOOKUP(A449,[1]Plan!A$1:BA$804,53,FALSE)/100)))</f>
        <v>0</v>
      </c>
      <c r="AO449" s="61">
        <f>IF(AJ449,O449*'[1]ETC Data'!$H$5*'[1]ETC Data'!$K$5,0)</f>
        <v>0</v>
      </c>
      <c r="AP449" s="58">
        <f>AO449-(AO449*((VLOOKUP(A449,[1]Plan!A$1:BB$804,54,FALSE)/100)))</f>
        <v>0</v>
      </c>
      <c r="AQ449" s="58">
        <f>IF(AJ449,O449*'[1]ETC Data'!$H$5*'[1]ETC Data'!$L$5,0)</f>
        <v>0</v>
      </c>
      <c r="AR449" s="58">
        <f>AQ449-(AQ449*((VLOOKUP(A449,[1]Plan!A$1:BD$804,56,FALSE)/100)))</f>
        <v>0</v>
      </c>
      <c r="AS449" s="20">
        <f>VLOOKUP(A449,'[1]PR Matrix'!A:B,2,FALSE)</f>
        <v>0</v>
      </c>
      <c r="AT449" s="21">
        <f t="shared" si="14"/>
        <v>0</v>
      </c>
      <c r="AU449" s="21">
        <f t="shared" si="15"/>
        <v>0</v>
      </c>
      <c r="AV449" s="21">
        <f t="shared" si="16"/>
        <v>0</v>
      </c>
      <c r="AW449" s="21">
        <f t="shared" si="17"/>
        <v>0</v>
      </c>
      <c r="AX449" s="21">
        <f t="shared" si="18"/>
        <v>0</v>
      </c>
      <c r="AY449" s="21">
        <f t="shared" si="19"/>
        <v>0</v>
      </c>
    </row>
    <row r="450" spans="1:51" hidden="1" x14ac:dyDescent="0.2">
      <c r="A450" s="50" t="s">
        <v>656</v>
      </c>
      <c r="B450" s="51" t="s">
        <v>208</v>
      </c>
      <c r="C450" s="51"/>
      <c r="D450" s="51"/>
      <c r="E450" s="52">
        <f>IF(G450="Y",VLOOKUP(B450&amp;"|"&amp;C450,'[1]ETC Data'!$C$2:$D$16,2,FALSE),0)</f>
        <v>0</v>
      </c>
      <c r="F450" s="52">
        <f>IF(D450="",0,IF(G450="Y",VLOOKUP(B450&amp;"|"&amp;D450,'[1]ETC Data'!$C$2:$D$16,2,FALSE),0))</f>
        <v>0</v>
      </c>
      <c r="G450" s="53" t="str">
        <f>IF(VLOOKUP(A450,[1]Plan!A$1:H$804,8,FALSE)&lt;&gt;"",VLOOKUP(A450,[1]Plan!A$1:H$804,8,FALSE),"")</f>
        <v>N</v>
      </c>
      <c r="H450" s="54" t="str">
        <f>IF(VLOOKUP(A450,[1]Plan!A$1:L$804,12,FALSE)&lt;&gt;"",VLOOKUP(A450,[1]Plan!A$1:L$804,12,FALSE),"")</f>
        <v/>
      </c>
      <c r="I450" s="55" t="str">
        <f>IF(VLOOKUP(A450,[1]Plan!A$1:M$804,13,FALSE)&lt;&gt;"",VLOOKUP(A450,[1]Plan!A$1:M$804,13,FALSE),"")</f>
        <v/>
      </c>
      <c r="J450" s="55" t="str">
        <f>IF(VLOOKUP(A450,[1]Plan!A$1:N$804,14,FALSE)&lt;&gt;"",VLOOKUP(A450,[1]Plan!A$1:N$804,14,FALSE),IF(VLOOKUP(A450,[1]Plan!A$1:O$804,15,FALSE)&lt;&gt;"",VLOOKUP(A450,[1]Plan!A$1:O$804,15,FALSE),""))</f>
        <v/>
      </c>
      <c r="K450" s="56" t="str">
        <f>IF(VLOOKUP(A450,[1]Plan!A$1:P$804,16,FALSE)&lt;&gt;"",VLOOKUP(A450,[1]Plan!A$1:P$804,16,FALSE),"")</f>
        <v/>
      </c>
      <c r="L450" s="55"/>
      <c r="M450" s="55"/>
      <c r="N450" s="55"/>
      <c r="O450" s="57">
        <f t="shared" si="10"/>
        <v>0</v>
      </c>
      <c r="P450" s="57" t="b">
        <f t="shared" si="11"/>
        <v>0</v>
      </c>
      <c r="Q450" s="58">
        <f>IF(P450,O450*'[1]ETC Data'!$H$3*'[1]ETC Data'!$I$3,0)</f>
        <v>0</v>
      </c>
      <c r="R450" s="58">
        <f>Q450-(Q450*((VLOOKUP(A450,[1]Plan!A$1:Z$804,26,FALSE)/100)))</f>
        <v>0</v>
      </c>
      <c r="S450" s="58">
        <f>IF(P450,O450*'[1]ETC Data'!$H$3*'[1]ETC Data'!$J$3,0)</f>
        <v>0</v>
      </c>
      <c r="T450" s="58">
        <f>S450-(S450*((VLOOKUP(A450,[1]Plan!A$1:AA$804,27,FALSE)/100)))</f>
        <v>0</v>
      </c>
      <c r="U450" s="58">
        <f>IF(P450,O450*'[1]ETC Data'!$H$3*'[1]ETC Data'!$K$3,0)</f>
        <v>0</v>
      </c>
      <c r="V450" s="58">
        <f>U450-(U450*((VLOOKUP(A450,[1]Plan!A$1:AB$804,28,FALSE)/100)))</f>
        <v>0</v>
      </c>
      <c r="W450" s="58">
        <f>IF(P450,O450*'[1]ETC Data'!$H$3*'[1]ETC Data'!$L$3,0)</f>
        <v>0</v>
      </c>
      <c r="X450" s="58">
        <f>W450-(W450*((VLOOKUP(A450,[1]Plan!A$1:AC$804,29,FALSE)/100)))</f>
        <v>0</v>
      </c>
      <c r="Y450" s="59"/>
      <c r="Z450" s="60" t="b">
        <f t="shared" si="12"/>
        <v>0</v>
      </c>
      <c r="AA450" s="58">
        <f>IF(Z450,O450*'[1]ETC Data'!$H$4*'[1]ETC Data'!$I$4,0)</f>
        <v>0</v>
      </c>
      <c r="AB450" s="58">
        <f>AA450-(AA450*((VLOOKUP(A450,[1]Plan!A$1:AI$804,35,FALSE)/100)))</f>
        <v>0</v>
      </c>
      <c r="AC450" s="58">
        <f>IF(Z450,O450*'[1]ETC Data'!$H$4*'[1]ETC Data'!$J$4,0)</f>
        <v>0</v>
      </c>
      <c r="AD450" s="58">
        <f>AC450-(AC450*((VLOOKUP(A450,[1]Plan!A$1:AJ$804,36,FALSE)/100)))</f>
        <v>0</v>
      </c>
      <c r="AE450" s="58">
        <f>IF(Z450,O450*'[1]ETC Data'!$H$4*'[1]ETC Data'!$K$4,0)</f>
        <v>0</v>
      </c>
      <c r="AF450" s="58">
        <f>AE450-(AE450*((VLOOKUP(A450,[1]Plan!A$1:AK$804,37,FALSE)/100)))</f>
        <v>0</v>
      </c>
      <c r="AG450" s="58">
        <f>IF(Z450,O450*'[1]ETC Data'!$H$4*'[1]ETC Data'!$L$4,0)</f>
        <v>0</v>
      </c>
      <c r="AH450" s="58">
        <f>AG450-(AG450*((VLOOKUP(A450,[1]Plan!A$1:AP$804,42,FALSE)/100)))</f>
        <v>0</v>
      </c>
      <c r="AI450" s="60"/>
      <c r="AJ450" s="60" t="b">
        <f t="shared" si="13"/>
        <v>0</v>
      </c>
      <c r="AK450" s="61">
        <f>IF(AJ450,O450*'[1]ETC Data'!$H$5*'[1]ETC Data'!$I$5,0)</f>
        <v>0</v>
      </c>
      <c r="AL450" s="58">
        <f>AK450-(AK450*((VLOOKUP(A450,[1]Plan!A$1:AY$804,51,FALSE)/100)))</f>
        <v>0</v>
      </c>
      <c r="AM450" s="58">
        <f>IF(AJ450,O450*'[1]ETC Data'!$H$5*'[1]ETC Data'!$J$5,0)</f>
        <v>0</v>
      </c>
      <c r="AN450" s="58">
        <f>AM450-(AM450*((VLOOKUP(A450,[1]Plan!A$1:BA$804,53,FALSE)/100)))</f>
        <v>0</v>
      </c>
      <c r="AO450" s="61">
        <f>IF(AJ450,O450*'[1]ETC Data'!$H$5*'[1]ETC Data'!$K$5,0)</f>
        <v>0</v>
      </c>
      <c r="AP450" s="58">
        <f>AO450-(AO450*((VLOOKUP(A450,[1]Plan!A$1:BB$804,54,FALSE)/100)))</f>
        <v>0</v>
      </c>
      <c r="AQ450" s="58">
        <f>IF(AJ450,O450*'[1]ETC Data'!$H$5*'[1]ETC Data'!$L$5,0)</f>
        <v>0</v>
      </c>
      <c r="AR450" s="58">
        <f>AQ450-(AQ450*((VLOOKUP(A450,[1]Plan!A$1:BD$804,56,FALSE)/100)))</f>
        <v>0</v>
      </c>
      <c r="AS450" s="20">
        <f>VLOOKUP(A450,'[1]PR Matrix'!A:B,2,FALSE)</f>
        <v>0</v>
      </c>
      <c r="AT450" s="21">
        <f t="shared" si="14"/>
        <v>0</v>
      </c>
      <c r="AU450" s="21">
        <f t="shared" si="15"/>
        <v>0</v>
      </c>
      <c r="AV450" s="21">
        <f t="shared" si="16"/>
        <v>0</v>
      </c>
      <c r="AW450" s="21">
        <f t="shared" si="17"/>
        <v>0</v>
      </c>
      <c r="AX450" s="21">
        <f t="shared" si="18"/>
        <v>0</v>
      </c>
      <c r="AY450" s="21">
        <f t="shared" si="19"/>
        <v>0</v>
      </c>
    </row>
    <row r="451" spans="1:51" hidden="1" x14ac:dyDescent="0.2">
      <c r="A451" s="50" t="s">
        <v>657</v>
      </c>
      <c r="B451" s="51" t="s">
        <v>208</v>
      </c>
      <c r="C451" s="51"/>
      <c r="D451" s="51"/>
      <c r="E451" s="52">
        <f>IF(G451="Y",VLOOKUP(B451&amp;"|"&amp;C451,'[1]ETC Data'!$C$2:$D$16,2,FALSE),0)</f>
        <v>0</v>
      </c>
      <c r="F451" s="52">
        <f>IF(D451="",0,IF(G451="Y",VLOOKUP(B451&amp;"|"&amp;D451,'[1]ETC Data'!$C$2:$D$16,2,FALSE),0))</f>
        <v>0</v>
      </c>
      <c r="G451" s="53" t="str">
        <f>IF(VLOOKUP(A451,[1]Plan!A$1:H$804,8,FALSE)&lt;&gt;"",VLOOKUP(A451,[1]Plan!A$1:H$804,8,FALSE),"")</f>
        <v>N</v>
      </c>
      <c r="H451" s="54" t="str">
        <f>IF(VLOOKUP(A451,[1]Plan!A$1:L$804,12,FALSE)&lt;&gt;"",VLOOKUP(A451,[1]Plan!A$1:L$804,12,FALSE),"")</f>
        <v/>
      </c>
      <c r="I451" s="55" t="str">
        <f>IF(VLOOKUP(A451,[1]Plan!A$1:M$804,13,FALSE)&lt;&gt;"",VLOOKUP(A451,[1]Plan!A$1:M$804,13,FALSE),"")</f>
        <v/>
      </c>
      <c r="J451" s="55" t="str">
        <f>IF(VLOOKUP(A451,[1]Plan!A$1:N$804,14,FALSE)&lt;&gt;"",VLOOKUP(A451,[1]Plan!A$1:N$804,14,FALSE),IF(VLOOKUP(A451,[1]Plan!A$1:O$804,15,FALSE)&lt;&gt;"",VLOOKUP(A451,[1]Plan!A$1:O$804,15,FALSE),""))</f>
        <v/>
      </c>
      <c r="K451" s="56" t="str">
        <f>IF(VLOOKUP(A451,[1]Plan!A$1:P$804,16,FALSE)&lt;&gt;"",VLOOKUP(A451,[1]Plan!A$1:P$804,16,FALSE),"")</f>
        <v/>
      </c>
      <c r="L451" s="55"/>
      <c r="M451" s="55"/>
      <c r="N451" s="55"/>
      <c r="O451" s="57">
        <f t="shared" ref="O451:O514" si="20">IF(F451=0,E451,F451)</f>
        <v>0</v>
      </c>
      <c r="P451" s="57" t="b">
        <f t="shared" si="11"/>
        <v>0</v>
      </c>
      <c r="Q451" s="58">
        <f>IF(P451,O451*'[1]ETC Data'!$H$3*'[1]ETC Data'!$I$3,0)</f>
        <v>0</v>
      </c>
      <c r="R451" s="58">
        <f>Q451-(Q451*((VLOOKUP(A451,[1]Plan!A$1:Z$804,26,FALSE)/100)))</f>
        <v>0</v>
      </c>
      <c r="S451" s="58">
        <f>IF(P451,O451*'[1]ETC Data'!$H$3*'[1]ETC Data'!$J$3,0)</f>
        <v>0</v>
      </c>
      <c r="T451" s="58">
        <f>S451-(S451*((VLOOKUP(A451,[1]Plan!A$1:AA$804,27,FALSE)/100)))</f>
        <v>0</v>
      </c>
      <c r="U451" s="58">
        <f>IF(P451,O451*'[1]ETC Data'!$H$3*'[1]ETC Data'!$K$3,0)</f>
        <v>0</v>
      </c>
      <c r="V451" s="58">
        <f>U451-(U451*((VLOOKUP(A451,[1]Plan!A$1:AB$804,28,FALSE)/100)))</f>
        <v>0</v>
      </c>
      <c r="W451" s="58">
        <f>IF(P451,O451*'[1]ETC Data'!$H$3*'[1]ETC Data'!$L$3,0)</f>
        <v>0</v>
      </c>
      <c r="X451" s="58">
        <f>W451-(W451*((VLOOKUP(A451,[1]Plan!A$1:AC$804,29,FALSE)/100)))</f>
        <v>0</v>
      </c>
      <c r="Y451" s="59"/>
      <c r="Z451" s="60" t="b">
        <f t="shared" ref="Z451:Z483" si="21">OR(H451="Y",J451="Y")</f>
        <v>0</v>
      </c>
      <c r="AA451" s="58">
        <f>IF(Z451,O451*'[1]ETC Data'!$H$4*'[1]ETC Data'!$I$4,0)</f>
        <v>0</v>
      </c>
      <c r="AB451" s="58">
        <f>AA451-(AA451*((VLOOKUP(A451,[1]Plan!A$1:AI$804,35,FALSE)/100)))</f>
        <v>0</v>
      </c>
      <c r="AC451" s="58">
        <f>IF(Z451,O451*'[1]ETC Data'!$H$4*'[1]ETC Data'!$J$4,0)</f>
        <v>0</v>
      </c>
      <c r="AD451" s="58">
        <f>AC451-(AC451*((VLOOKUP(A451,[1]Plan!A$1:AJ$804,36,FALSE)/100)))</f>
        <v>0</v>
      </c>
      <c r="AE451" s="58">
        <f>IF(Z451,O451*'[1]ETC Data'!$H$4*'[1]ETC Data'!$K$4,0)</f>
        <v>0</v>
      </c>
      <c r="AF451" s="58">
        <f>AE451-(AE451*((VLOOKUP(A451,[1]Plan!A$1:AK$804,37,FALSE)/100)))</f>
        <v>0</v>
      </c>
      <c r="AG451" s="58">
        <f>IF(Z451,O451*'[1]ETC Data'!$H$4*'[1]ETC Data'!$L$4,0)</f>
        <v>0</v>
      </c>
      <c r="AH451" s="58">
        <f>AG451-(AG451*((VLOOKUP(A451,[1]Plan!A$1:AP$804,42,FALSE)/100)))</f>
        <v>0</v>
      </c>
      <c r="AI451" s="60"/>
      <c r="AJ451" s="60" t="b">
        <f t="shared" ref="AJ451:AJ483" si="22">OR(H451="Y",K451="Y")</f>
        <v>0</v>
      </c>
      <c r="AK451" s="61">
        <f>IF(AJ451,O451*'[1]ETC Data'!$H$5*'[1]ETC Data'!$I$5,0)</f>
        <v>0</v>
      </c>
      <c r="AL451" s="58">
        <f>AK451-(AK451*((VLOOKUP(A451,[1]Plan!A$1:AY$804,51,FALSE)/100)))</f>
        <v>0</v>
      </c>
      <c r="AM451" s="58">
        <f>IF(AJ451,O451*'[1]ETC Data'!$H$5*'[1]ETC Data'!$J$5,0)</f>
        <v>0</v>
      </c>
      <c r="AN451" s="58">
        <f>AM451-(AM451*((VLOOKUP(A451,[1]Plan!A$1:BA$804,53,FALSE)/100)))</f>
        <v>0</v>
      </c>
      <c r="AO451" s="61">
        <f>IF(AJ451,O451*'[1]ETC Data'!$H$5*'[1]ETC Data'!$K$5,0)</f>
        <v>0</v>
      </c>
      <c r="AP451" s="58">
        <f>AO451-(AO451*((VLOOKUP(A451,[1]Plan!A$1:BB$804,54,FALSE)/100)))</f>
        <v>0</v>
      </c>
      <c r="AQ451" s="58">
        <f>IF(AJ451,O451*'[1]ETC Data'!$H$5*'[1]ETC Data'!$L$5,0)</f>
        <v>0</v>
      </c>
      <c r="AR451" s="58">
        <f>AQ451-(AQ451*((VLOOKUP(A451,[1]Plan!A$1:BD$804,56,FALSE)/100)))</f>
        <v>0</v>
      </c>
      <c r="AS451" s="20">
        <f>VLOOKUP(A451,'[1]PR Matrix'!A:B,2,FALSE)</f>
        <v>0</v>
      </c>
      <c r="AT451" s="21">
        <f t="shared" ref="AT451:AT514" si="23">R451+T451+V451+X451+AB451+AD451+AF451+AH451+AL451+AN451+AP451+AR451</f>
        <v>0</v>
      </c>
      <c r="AU451" s="21">
        <f t="shared" si="15"/>
        <v>0</v>
      </c>
      <c r="AV451" s="21">
        <f t="shared" si="16"/>
        <v>0</v>
      </c>
      <c r="AW451" s="21">
        <f t="shared" si="17"/>
        <v>0</v>
      </c>
      <c r="AX451" s="21">
        <f t="shared" si="18"/>
        <v>0</v>
      </c>
      <c r="AY451" s="21">
        <f t="shared" si="19"/>
        <v>0</v>
      </c>
    </row>
    <row r="452" spans="1:51" hidden="1" x14ac:dyDescent="0.2">
      <c r="A452" s="50" t="s">
        <v>658</v>
      </c>
      <c r="B452" s="51" t="s">
        <v>208</v>
      </c>
      <c r="C452" s="51"/>
      <c r="D452" s="51"/>
      <c r="E452" s="52">
        <f>IF(G452="Y",VLOOKUP(B452&amp;"|"&amp;C452,'[1]ETC Data'!$C$2:$D$16,2,FALSE),0)</f>
        <v>0</v>
      </c>
      <c r="F452" s="52">
        <f>IF(D452="",0,IF(G452="Y",VLOOKUP(B452&amp;"|"&amp;D452,'[1]ETC Data'!$C$2:$D$16,2,FALSE),0))</f>
        <v>0</v>
      </c>
      <c r="G452" s="53" t="str">
        <f>IF(VLOOKUP(A452,[1]Plan!A$1:H$804,8,FALSE)&lt;&gt;"",VLOOKUP(A452,[1]Plan!A$1:H$804,8,FALSE),"")</f>
        <v>N</v>
      </c>
      <c r="H452" s="54" t="str">
        <f>IF(VLOOKUP(A452,[1]Plan!A$1:L$804,12,FALSE)&lt;&gt;"",VLOOKUP(A452,[1]Plan!A$1:L$804,12,FALSE),"")</f>
        <v/>
      </c>
      <c r="I452" s="55" t="str">
        <f>IF(VLOOKUP(A452,[1]Plan!A$1:M$804,13,FALSE)&lt;&gt;"",VLOOKUP(A452,[1]Plan!A$1:M$804,13,FALSE),"")</f>
        <v/>
      </c>
      <c r="J452" s="55" t="str">
        <f>IF(VLOOKUP(A452,[1]Plan!A$1:N$804,14,FALSE)&lt;&gt;"",VLOOKUP(A452,[1]Plan!A$1:N$804,14,FALSE),IF(VLOOKUP(A452,[1]Plan!A$1:O$804,15,FALSE)&lt;&gt;"",VLOOKUP(A452,[1]Plan!A$1:O$804,15,FALSE),""))</f>
        <v/>
      </c>
      <c r="K452" s="56" t="str">
        <f>IF(VLOOKUP(A452,[1]Plan!A$1:P$804,16,FALSE)&lt;&gt;"",VLOOKUP(A452,[1]Plan!A$1:P$804,16,FALSE),"")</f>
        <v/>
      </c>
      <c r="L452" s="55"/>
      <c r="M452" s="55"/>
      <c r="N452" s="55"/>
      <c r="O452" s="57">
        <f t="shared" si="20"/>
        <v>0</v>
      </c>
      <c r="P452" s="57" t="b">
        <f t="shared" ref="P452:P460" si="24">OR(H452="Y",I452="Y")</f>
        <v>0</v>
      </c>
      <c r="Q452" s="58">
        <f>IF(P452,O452*'[1]ETC Data'!$H$3*'[1]ETC Data'!$I$3,0)</f>
        <v>0</v>
      </c>
      <c r="R452" s="58">
        <f>Q452-(Q452*((VLOOKUP(A452,[1]Plan!A$1:Z$804,26,FALSE)/100)))</f>
        <v>0</v>
      </c>
      <c r="S452" s="58">
        <f>IF(P452,O452*'[1]ETC Data'!$H$3*'[1]ETC Data'!$J$3,0)</f>
        <v>0</v>
      </c>
      <c r="T452" s="58">
        <f>S452-(S452*((VLOOKUP(A452,[1]Plan!A$1:AA$804,27,FALSE)/100)))</f>
        <v>0</v>
      </c>
      <c r="U452" s="58">
        <f>IF(P452,O452*'[1]ETC Data'!$H$3*'[1]ETC Data'!$K$3,0)</f>
        <v>0</v>
      </c>
      <c r="V452" s="58">
        <f>U452-(U452*((VLOOKUP(A452,[1]Plan!A$1:AB$804,28,FALSE)/100)))</f>
        <v>0</v>
      </c>
      <c r="W452" s="58">
        <f>IF(P452,O452*'[1]ETC Data'!$H$3*'[1]ETC Data'!$L$3,0)</f>
        <v>0</v>
      </c>
      <c r="X452" s="58">
        <f>W452-(W452*((VLOOKUP(A452,[1]Plan!A$1:AC$804,29,FALSE)/100)))</f>
        <v>0</v>
      </c>
      <c r="Y452" s="59"/>
      <c r="Z452" s="60" t="b">
        <f t="shared" si="21"/>
        <v>0</v>
      </c>
      <c r="AA452" s="58">
        <f>IF(Z452,O452*'[1]ETC Data'!$H$4*'[1]ETC Data'!$I$4,0)</f>
        <v>0</v>
      </c>
      <c r="AB452" s="58">
        <f>AA452-(AA452*((VLOOKUP(A452,[1]Plan!A$1:AI$804,35,FALSE)/100)))</f>
        <v>0</v>
      </c>
      <c r="AC452" s="58">
        <f>IF(Z452,O452*'[1]ETC Data'!$H$4*'[1]ETC Data'!$J$4,0)</f>
        <v>0</v>
      </c>
      <c r="AD452" s="58">
        <f>AC452-(AC452*((VLOOKUP(A452,[1]Plan!A$1:AJ$804,36,FALSE)/100)))</f>
        <v>0</v>
      </c>
      <c r="AE452" s="58">
        <f>IF(Z452,O452*'[1]ETC Data'!$H$4*'[1]ETC Data'!$K$4,0)</f>
        <v>0</v>
      </c>
      <c r="AF452" s="58">
        <f>AE452-(AE452*((VLOOKUP(A452,[1]Plan!A$1:AK$804,37,FALSE)/100)))</f>
        <v>0</v>
      </c>
      <c r="AG452" s="58">
        <f>IF(Z452,O452*'[1]ETC Data'!$H$4*'[1]ETC Data'!$L$4,0)</f>
        <v>0</v>
      </c>
      <c r="AH452" s="58">
        <f>AG452-(AG452*((VLOOKUP(A452,[1]Plan!A$1:AP$804,42,FALSE)/100)))</f>
        <v>0</v>
      </c>
      <c r="AI452" s="60"/>
      <c r="AJ452" s="60" t="b">
        <f t="shared" si="22"/>
        <v>0</v>
      </c>
      <c r="AK452" s="61">
        <f>IF(AJ452,O452*'[1]ETC Data'!$H$5*'[1]ETC Data'!$I$5,0)</f>
        <v>0</v>
      </c>
      <c r="AL452" s="58">
        <f>AK452-(AK452*((VLOOKUP(A452,[1]Plan!A$1:AY$804,51,FALSE)/100)))</f>
        <v>0</v>
      </c>
      <c r="AM452" s="58">
        <f>IF(AJ452,O452*'[1]ETC Data'!$H$5*'[1]ETC Data'!$J$5,0)</f>
        <v>0</v>
      </c>
      <c r="AN452" s="58">
        <f>AM452-(AM452*((VLOOKUP(A452,[1]Plan!A$1:BA$804,53,FALSE)/100)))</f>
        <v>0</v>
      </c>
      <c r="AO452" s="61">
        <f>IF(AJ452,O452*'[1]ETC Data'!$H$5*'[1]ETC Data'!$K$5,0)</f>
        <v>0</v>
      </c>
      <c r="AP452" s="58">
        <f>AO452-(AO452*((VLOOKUP(A452,[1]Plan!A$1:BB$804,54,FALSE)/100)))</f>
        <v>0</v>
      </c>
      <c r="AQ452" s="58">
        <f>IF(AJ452,O452*'[1]ETC Data'!$H$5*'[1]ETC Data'!$L$5,0)</f>
        <v>0</v>
      </c>
      <c r="AR452" s="58">
        <f>AQ452-(AQ452*((VLOOKUP(A452,[1]Plan!A$1:BD$804,56,FALSE)/100)))</f>
        <v>0</v>
      </c>
      <c r="AS452" s="20">
        <f>VLOOKUP(A452,'[1]PR Matrix'!A:B,2,FALSE)</f>
        <v>0</v>
      </c>
      <c r="AT452" s="21">
        <f t="shared" si="23"/>
        <v>0</v>
      </c>
      <c r="AU452" s="21">
        <f t="shared" ref="AU452:AU460" si="25">Q452+S452+U452+W452+AA452+AC452+AE452+AG452+AK452+AM452+AO452+AQ452</f>
        <v>0</v>
      </c>
      <c r="AV452" s="21">
        <f t="shared" ref="AV452:AV460" si="26">R452+AB452+AL452</f>
        <v>0</v>
      </c>
      <c r="AW452" s="21">
        <f t="shared" ref="AW452:AW460" si="27">T452+AD452+AN452</f>
        <v>0</v>
      </c>
      <c r="AX452" s="21">
        <f t="shared" ref="AX452:AX460" si="28">V452+AF452+AP452</f>
        <v>0</v>
      </c>
      <c r="AY452" s="21">
        <f t="shared" ref="AY452:AY460" si="29">X452+AH452+AR452</f>
        <v>0</v>
      </c>
    </row>
    <row r="453" spans="1:51" hidden="1" x14ac:dyDescent="0.2">
      <c r="A453" s="50" t="s">
        <v>659</v>
      </c>
      <c r="B453" s="51" t="s">
        <v>208</v>
      </c>
      <c r="C453" s="51"/>
      <c r="D453" s="51"/>
      <c r="E453" s="52">
        <f>IF(G453="Y",VLOOKUP(B453&amp;"|"&amp;C453,'[1]ETC Data'!$C$2:$D$16,2,FALSE),0)</f>
        <v>0</v>
      </c>
      <c r="F453" s="52">
        <f>IF(D453="",0,IF(G453="Y",VLOOKUP(B453&amp;"|"&amp;D453,'[1]ETC Data'!$C$2:$D$16,2,FALSE),0))</f>
        <v>0</v>
      </c>
      <c r="G453" s="53" t="str">
        <f>IF(VLOOKUP(A453,[1]Plan!A$1:H$804,8,FALSE)&lt;&gt;"",VLOOKUP(A453,[1]Plan!A$1:H$804,8,FALSE),"")</f>
        <v>N</v>
      </c>
      <c r="H453" s="54" t="str">
        <f>IF(VLOOKUP(A453,[1]Plan!A$1:L$804,12,FALSE)&lt;&gt;"",VLOOKUP(A453,[1]Plan!A$1:L$804,12,FALSE),"")</f>
        <v/>
      </c>
      <c r="I453" s="55" t="str">
        <f>IF(VLOOKUP(A453,[1]Plan!A$1:M$804,13,FALSE)&lt;&gt;"",VLOOKUP(A453,[1]Plan!A$1:M$804,13,FALSE),"")</f>
        <v/>
      </c>
      <c r="J453" s="55" t="str">
        <f>IF(VLOOKUP(A453,[1]Plan!A$1:N$804,14,FALSE)&lt;&gt;"",VLOOKUP(A453,[1]Plan!A$1:N$804,14,FALSE),IF(VLOOKUP(A453,[1]Plan!A$1:O$804,15,FALSE)&lt;&gt;"",VLOOKUP(A453,[1]Plan!A$1:O$804,15,FALSE),""))</f>
        <v/>
      </c>
      <c r="K453" s="56" t="str">
        <f>IF(VLOOKUP(A453,[1]Plan!A$1:P$804,16,FALSE)&lt;&gt;"",VLOOKUP(A453,[1]Plan!A$1:P$804,16,FALSE),"")</f>
        <v/>
      </c>
      <c r="L453" s="55"/>
      <c r="M453" s="55"/>
      <c r="N453" s="55"/>
      <c r="O453" s="57">
        <f t="shared" si="20"/>
        <v>0</v>
      </c>
      <c r="P453" s="57" t="b">
        <f t="shared" si="24"/>
        <v>0</v>
      </c>
      <c r="Q453" s="58">
        <f>IF(P453,O453*'[1]ETC Data'!$H$3*'[1]ETC Data'!$I$3,0)</f>
        <v>0</v>
      </c>
      <c r="R453" s="58">
        <f>Q453-(Q453*((VLOOKUP(A453,[1]Plan!A$1:Z$804,26,FALSE)/100)))</f>
        <v>0</v>
      </c>
      <c r="S453" s="58">
        <f>IF(P453,O453*'[1]ETC Data'!$H$3*'[1]ETC Data'!$J$3,0)</f>
        <v>0</v>
      </c>
      <c r="T453" s="58">
        <f>S453-(S453*((VLOOKUP(A453,[1]Plan!A$1:AA$804,27,FALSE)/100)))</f>
        <v>0</v>
      </c>
      <c r="U453" s="58">
        <f>IF(P453,O453*'[1]ETC Data'!$H$3*'[1]ETC Data'!$K$3,0)</f>
        <v>0</v>
      </c>
      <c r="V453" s="58">
        <f>U453-(U453*((VLOOKUP(A453,[1]Plan!A$1:AB$804,28,FALSE)/100)))</f>
        <v>0</v>
      </c>
      <c r="W453" s="58">
        <f>IF(P453,O453*'[1]ETC Data'!$H$3*'[1]ETC Data'!$L$3,0)</f>
        <v>0</v>
      </c>
      <c r="X453" s="58">
        <f>W453-(W453*((VLOOKUP(A453,[1]Plan!A$1:AC$804,29,FALSE)/100)))</f>
        <v>0</v>
      </c>
      <c r="Y453" s="59"/>
      <c r="Z453" s="60" t="b">
        <f t="shared" si="21"/>
        <v>0</v>
      </c>
      <c r="AA453" s="58">
        <f>IF(Z453,O453*'[1]ETC Data'!$H$4*'[1]ETC Data'!$I$4,0)</f>
        <v>0</v>
      </c>
      <c r="AB453" s="58">
        <f>AA453-(AA453*((VLOOKUP(A453,[1]Plan!A$1:AI$804,35,FALSE)/100)))</f>
        <v>0</v>
      </c>
      <c r="AC453" s="58">
        <f>IF(Z453,O453*'[1]ETC Data'!$H$4*'[1]ETC Data'!$J$4,0)</f>
        <v>0</v>
      </c>
      <c r="AD453" s="58">
        <f>AC453-(AC453*((VLOOKUP(A453,[1]Plan!A$1:AJ$804,36,FALSE)/100)))</f>
        <v>0</v>
      </c>
      <c r="AE453" s="58">
        <f>IF(Z453,O453*'[1]ETC Data'!$H$4*'[1]ETC Data'!$K$4,0)</f>
        <v>0</v>
      </c>
      <c r="AF453" s="58">
        <f>AE453-(AE453*((VLOOKUP(A453,[1]Plan!A$1:AK$804,37,FALSE)/100)))</f>
        <v>0</v>
      </c>
      <c r="AG453" s="58">
        <f>IF(Z453,O453*'[1]ETC Data'!$H$4*'[1]ETC Data'!$L$4,0)</f>
        <v>0</v>
      </c>
      <c r="AH453" s="58">
        <f>AG453-(AG453*((VLOOKUP(A453,[1]Plan!A$1:AP$804,42,FALSE)/100)))</f>
        <v>0</v>
      </c>
      <c r="AI453" s="60"/>
      <c r="AJ453" s="60" t="b">
        <f t="shared" si="22"/>
        <v>0</v>
      </c>
      <c r="AK453" s="61">
        <f>IF(AJ453,O453*'[1]ETC Data'!$H$5*'[1]ETC Data'!$I$5,0)</f>
        <v>0</v>
      </c>
      <c r="AL453" s="58">
        <f>AK453-(AK453*((VLOOKUP(A453,[1]Plan!A$1:AY$804,51,FALSE)/100)))</f>
        <v>0</v>
      </c>
      <c r="AM453" s="58">
        <f>IF(AJ453,O453*'[1]ETC Data'!$H$5*'[1]ETC Data'!$J$5,0)</f>
        <v>0</v>
      </c>
      <c r="AN453" s="58">
        <f>AM453-(AM453*((VLOOKUP(A453,[1]Plan!A$1:BA$804,53,FALSE)/100)))</f>
        <v>0</v>
      </c>
      <c r="AO453" s="61">
        <f>IF(AJ453,O453*'[1]ETC Data'!$H$5*'[1]ETC Data'!$K$5,0)</f>
        <v>0</v>
      </c>
      <c r="AP453" s="58">
        <f>AO453-(AO453*((VLOOKUP(A453,[1]Plan!A$1:BB$804,54,FALSE)/100)))</f>
        <v>0</v>
      </c>
      <c r="AQ453" s="58">
        <f>IF(AJ453,O453*'[1]ETC Data'!$H$5*'[1]ETC Data'!$L$5,0)</f>
        <v>0</v>
      </c>
      <c r="AR453" s="58">
        <f>AQ453-(AQ453*((VLOOKUP(A453,[1]Plan!A$1:BD$804,56,FALSE)/100)))</f>
        <v>0</v>
      </c>
      <c r="AS453" s="20">
        <f>VLOOKUP(A453,'[1]PR Matrix'!A:B,2,FALSE)</f>
        <v>0</v>
      </c>
      <c r="AT453" s="21">
        <f t="shared" si="23"/>
        <v>0</v>
      </c>
      <c r="AU453" s="21">
        <f t="shared" si="25"/>
        <v>0</v>
      </c>
      <c r="AV453" s="21">
        <f t="shared" si="26"/>
        <v>0</v>
      </c>
      <c r="AW453" s="21">
        <f t="shared" si="27"/>
        <v>0</v>
      </c>
      <c r="AX453" s="21">
        <f t="shared" si="28"/>
        <v>0</v>
      </c>
      <c r="AY453" s="21">
        <f t="shared" si="29"/>
        <v>0</v>
      </c>
    </row>
    <row r="454" spans="1:51" hidden="1" x14ac:dyDescent="0.2">
      <c r="A454" s="50" t="s">
        <v>660</v>
      </c>
      <c r="B454" s="51" t="s">
        <v>208</v>
      </c>
      <c r="C454" s="51"/>
      <c r="D454" s="51"/>
      <c r="E454" s="52">
        <f>IF(G454="Y",VLOOKUP(B454&amp;"|"&amp;C454,'[1]ETC Data'!$C$2:$D$16,2,FALSE),0)</f>
        <v>0</v>
      </c>
      <c r="F454" s="52">
        <f>IF(D454="",0,IF(G454="Y",VLOOKUP(B454&amp;"|"&amp;D454,'[1]ETC Data'!$C$2:$D$16,2,FALSE),0))</f>
        <v>0</v>
      </c>
      <c r="G454" s="53" t="str">
        <f>IF(VLOOKUP(A454,[1]Plan!A$1:H$804,8,FALSE)&lt;&gt;"",VLOOKUP(A454,[1]Plan!A$1:H$804,8,FALSE),"")</f>
        <v>N</v>
      </c>
      <c r="H454" s="54" t="str">
        <f>IF(VLOOKUP(A454,[1]Plan!A$1:L$804,12,FALSE)&lt;&gt;"",VLOOKUP(A454,[1]Plan!A$1:L$804,12,FALSE),"")</f>
        <v/>
      </c>
      <c r="I454" s="55" t="str">
        <f>IF(VLOOKUP(A454,[1]Plan!A$1:M$804,13,FALSE)&lt;&gt;"",VLOOKUP(A454,[1]Plan!A$1:M$804,13,FALSE),"")</f>
        <v/>
      </c>
      <c r="J454" s="55" t="str">
        <f>IF(VLOOKUP(A454,[1]Plan!A$1:N$804,14,FALSE)&lt;&gt;"",VLOOKUP(A454,[1]Plan!A$1:N$804,14,FALSE),IF(VLOOKUP(A454,[1]Plan!A$1:O$804,15,FALSE)&lt;&gt;"",VLOOKUP(A454,[1]Plan!A$1:O$804,15,FALSE),""))</f>
        <v/>
      </c>
      <c r="K454" s="56" t="str">
        <f>IF(VLOOKUP(A454,[1]Plan!A$1:P$804,16,FALSE)&lt;&gt;"",VLOOKUP(A454,[1]Plan!A$1:P$804,16,FALSE),"")</f>
        <v/>
      </c>
      <c r="L454" s="55"/>
      <c r="M454" s="55"/>
      <c r="N454" s="55"/>
      <c r="O454" s="57">
        <f t="shared" si="20"/>
        <v>0</v>
      </c>
      <c r="P454" s="57" t="b">
        <f t="shared" si="24"/>
        <v>0</v>
      </c>
      <c r="Q454" s="58">
        <f>IF(P454,O454*'[1]ETC Data'!$H$3*'[1]ETC Data'!$I$3,0)</f>
        <v>0</v>
      </c>
      <c r="R454" s="58">
        <f>Q454-(Q454*((VLOOKUP(A454,[1]Plan!A$1:Z$804,26,FALSE)/100)))</f>
        <v>0</v>
      </c>
      <c r="S454" s="58">
        <f>IF(P454,O454*'[1]ETC Data'!$H$3*'[1]ETC Data'!$J$3,0)</f>
        <v>0</v>
      </c>
      <c r="T454" s="58">
        <f>S454-(S454*((VLOOKUP(A454,[1]Plan!A$1:AA$804,27,FALSE)/100)))</f>
        <v>0</v>
      </c>
      <c r="U454" s="58">
        <f>IF(P454,O454*'[1]ETC Data'!$H$3*'[1]ETC Data'!$K$3,0)</f>
        <v>0</v>
      </c>
      <c r="V454" s="58">
        <f>U454-(U454*((VLOOKUP(A454,[1]Plan!A$1:AB$804,28,FALSE)/100)))</f>
        <v>0</v>
      </c>
      <c r="W454" s="58">
        <f>IF(P454,O454*'[1]ETC Data'!$H$3*'[1]ETC Data'!$L$3,0)</f>
        <v>0</v>
      </c>
      <c r="X454" s="58">
        <f>W454-(W454*((VLOOKUP(A454,[1]Plan!A$1:AC$804,29,FALSE)/100)))</f>
        <v>0</v>
      </c>
      <c r="Y454" s="59"/>
      <c r="Z454" s="60" t="b">
        <f t="shared" si="21"/>
        <v>0</v>
      </c>
      <c r="AA454" s="58">
        <f>IF(Z454,O454*'[1]ETC Data'!$H$4*'[1]ETC Data'!$I$4,0)</f>
        <v>0</v>
      </c>
      <c r="AB454" s="58">
        <f>AA454-(AA454*((VLOOKUP(A454,[1]Plan!A$1:AI$804,35,FALSE)/100)))</f>
        <v>0</v>
      </c>
      <c r="AC454" s="58">
        <f>IF(Z454,O454*'[1]ETC Data'!$H$4*'[1]ETC Data'!$J$4,0)</f>
        <v>0</v>
      </c>
      <c r="AD454" s="58">
        <f>AC454-(AC454*((VLOOKUP(A454,[1]Plan!A$1:AJ$804,36,FALSE)/100)))</f>
        <v>0</v>
      </c>
      <c r="AE454" s="58">
        <f>IF(Z454,O454*'[1]ETC Data'!$H$4*'[1]ETC Data'!$K$4,0)</f>
        <v>0</v>
      </c>
      <c r="AF454" s="58">
        <f>AE454-(AE454*((VLOOKUP(A454,[1]Plan!A$1:AK$804,37,FALSE)/100)))</f>
        <v>0</v>
      </c>
      <c r="AG454" s="58">
        <f>IF(Z454,O454*'[1]ETC Data'!$H$4*'[1]ETC Data'!$L$4,0)</f>
        <v>0</v>
      </c>
      <c r="AH454" s="58">
        <f>AG454-(AG454*((VLOOKUP(A454,[1]Plan!A$1:AP$804,42,FALSE)/100)))</f>
        <v>0</v>
      </c>
      <c r="AI454" s="60"/>
      <c r="AJ454" s="60" t="b">
        <f t="shared" si="22"/>
        <v>0</v>
      </c>
      <c r="AK454" s="61">
        <f>IF(AJ454,O454*'[1]ETC Data'!$H$5*'[1]ETC Data'!$I$5,0)</f>
        <v>0</v>
      </c>
      <c r="AL454" s="58">
        <f>AK454-(AK454*((VLOOKUP(A454,[1]Plan!A$1:AY$804,51,FALSE)/100)))</f>
        <v>0</v>
      </c>
      <c r="AM454" s="58">
        <f>IF(AJ454,O454*'[1]ETC Data'!$H$5*'[1]ETC Data'!$J$5,0)</f>
        <v>0</v>
      </c>
      <c r="AN454" s="58">
        <f>AM454-(AM454*((VLOOKUP(A454,[1]Plan!A$1:BA$804,53,FALSE)/100)))</f>
        <v>0</v>
      </c>
      <c r="AO454" s="61">
        <f>IF(AJ454,O454*'[1]ETC Data'!$H$5*'[1]ETC Data'!$K$5,0)</f>
        <v>0</v>
      </c>
      <c r="AP454" s="58">
        <f>AO454-(AO454*((VLOOKUP(A454,[1]Plan!A$1:BB$804,54,FALSE)/100)))</f>
        <v>0</v>
      </c>
      <c r="AQ454" s="58">
        <f>IF(AJ454,O454*'[1]ETC Data'!$H$5*'[1]ETC Data'!$L$5,0)</f>
        <v>0</v>
      </c>
      <c r="AR454" s="58">
        <f>AQ454-(AQ454*((VLOOKUP(A454,[1]Plan!A$1:BD$804,56,FALSE)/100)))</f>
        <v>0</v>
      </c>
      <c r="AS454" s="20">
        <f>VLOOKUP(A454,'[1]PR Matrix'!A:B,2,FALSE)</f>
        <v>0</v>
      </c>
      <c r="AT454" s="21">
        <f t="shared" si="23"/>
        <v>0</v>
      </c>
      <c r="AU454" s="21">
        <f t="shared" si="25"/>
        <v>0</v>
      </c>
      <c r="AV454" s="21">
        <f t="shared" si="26"/>
        <v>0</v>
      </c>
      <c r="AW454" s="21">
        <f t="shared" si="27"/>
        <v>0</v>
      </c>
      <c r="AX454" s="21">
        <f t="shared" si="28"/>
        <v>0</v>
      </c>
      <c r="AY454" s="21">
        <f t="shared" si="29"/>
        <v>0</v>
      </c>
    </row>
    <row r="455" spans="1:51" hidden="1" x14ac:dyDescent="0.2">
      <c r="A455" s="50" t="s">
        <v>661</v>
      </c>
      <c r="B455" s="51" t="s">
        <v>208</v>
      </c>
      <c r="C455" s="51"/>
      <c r="D455" s="51"/>
      <c r="E455" s="52">
        <f>IF(G455="Y",VLOOKUP(B455&amp;"|"&amp;C455,'[1]ETC Data'!$C$2:$D$16,2,FALSE),0)</f>
        <v>0</v>
      </c>
      <c r="F455" s="52">
        <f>IF(D455="",0,IF(G455="Y",VLOOKUP(B455&amp;"|"&amp;D455,'[1]ETC Data'!$C$2:$D$16,2,FALSE),0))</f>
        <v>0</v>
      </c>
      <c r="G455" s="53" t="str">
        <f>IF(VLOOKUP(A455,[1]Plan!A$1:H$804,8,FALSE)&lt;&gt;"",VLOOKUP(A455,[1]Plan!A$1:H$804,8,FALSE),"")</f>
        <v>N</v>
      </c>
      <c r="H455" s="54" t="str">
        <f>IF(VLOOKUP(A455,[1]Plan!A$1:L$804,12,FALSE)&lt;&gt;"",VLOOKUP(A455,[1]Plan!A$1:L$804,12,FALSE),"")</f>
        <v/>
      </c>
      <c r="I455" s="55" t="str">
        <f>IF(VLOOKUP(A455,[1]Plan!A$1:M$804,13,FALSE)&lt;&gt;"",VLOOKUP(A455,[1]Plan!A$1:M$804,13,FALSE),"")</f>
        <v/>
      </c>
      <c r="J455" s="55" t="str">
        <f>IF(VLOOKUP(A455,[1]Plan!A$1:N$804,14,FALSE)&lt;&gt;"",VLOOKUP(A455,[1]Plan!A$1:N$804,14,FALSE),IF(VLOOKUP(A455,[1]Plan!A$1:O$804,15,FALSE)&lt;&gt;"",VLOOKUP(A455,[1]Plan!A$1:O$804,15,FALSE),""))</f>
        <v/>
      </c>
      <c r="K455" s="56" t="str">
        <f>IF(VLOOKUP(A455,[1]Plan!A$1:P$804,16,FALSE)&lt;&gt;"",VLOOKUP(A455,[1]Plan!A$1:P$804,16,FALSE),"")</f>
        <v/>
      </c>
      <c r="L455" s="55"/>
      <c r="M455" s="55"/>
      <c r="N455" s="55"/>
      <c r="O455" s="57">
        <f t="shared" si="20"/>
        <v>0</v>
      </c>
      <c r="P455" s="57" t="b">
        <f t="shared" si="24"/>
        <v>0</v>
      </c>
      <c r="Q455" s="58">
        <f>IF(P455,O455*'[1]ETC Data'!$H$3*'[1]ETC Data'!$I$3,0)</f>
        <v>0</v>
      </c>
      <c r="R455" s="58">
        <f>Q455-(Q455*((VLOOKUP(A455,[1]Plan!A$1:Z$804,26,FALSE)/100)))</f>
        <v>0</v>
      </c>
      <c r="S455" s="58">
        <f>IF(P455,O455*'[1]ETC Data'!$H$3*'[1]ETC Data'!$J$3,0)</f>
        <v>0</v>
      </c>
      <c r="T455" s="58">
        <f>S455-(S455*((VLOOKUP(A455,[1]Plan!A$1:AA$804,27,FALSE)/100)))</f>
        <v>0</v>
      </c>
      <c r="U455" s="58">
        <f>IF(P455,O455*'[1]ETC Data'!$H$3*'[1]ETC Data'!$K$3,0)</f>
        <v>0</v>
      </c>
      <c r="V455" s="58">
        <f>U455-(U455*((VLOOKUP(A455,[1]Plan!A$1:AB$804,28,FALSE)/100)))</f>
        <v>0</v>
      </c>
      <c r="W455" s="58">
        <f>IF(P455,O455*'[1]ETC Data'!$H$3*'[1]ETC Data'!$L$3,0)</f>
        <v>0</v>
      </c>
      <c r="X455" s="58">
        <f>W455-(W455*((VLOOKUP(A455,[1]Plan!A$1:AC$804,29,FALSE)/100)))</f>
        <v>0</v>
      </c>
      <c r="Y455" s="59"/>
      <c r="Z455" s="60" t="b">
        <f t="shared" si="21"/>
        <v>0</v>
      </c>
      <c r="AA455" s="58">
        <f>IF(Z455,O455*'[1]ETC Data'!$H$4*'[1]ETC Data'!$I$4,0)</f>
        <v>0</v>
      </c>
      <c r="AB455" s="58">
        <f>AA455-(AA455*((VLOOKUP(A455,[1]Plan!A$1:AI$804,35,FALSE)/100)))</f>
        <v>0</v>
      </c>
      <c r="AC455" s="58">
        <f>IF(Z455,O455*'[1]ETC Data'!$H$4*'[1]ETC Data'!$J$4,0)</f>
        <v>0</v>
      </c>
      <c r="AD455" s="58">
        <f>AC455-(AC455*((VLOOKUP(A455,[1]Plan!A$1:AJ$804,36,FALSE)/100)))</f>
        <v>0</v>
      </c>
      <c r="AE455" s="58">
        <f>IF(Z455,O455*'[1]ETC Data'!$H$4*'[1]ETC Data'!$K$4,0)</f>
        <v>0</v>
      </c>
      <c r="AF455" s="58">
        <f>AE455-(AE455*((VLOOKUP(A455,[1]Plan!A$1:AK$804,37,FALSE)/100)))</f>
        <v>0</v>
      </c>
      <c r="AG455" s="58">
        <f>IF(Z455,O455*'[1]ETC Data'!$H$4*'[1]ETC Data'!$L$4,0)</f>
        <v>0</v>
      </c>
      <c r="AH455" s="58">
        <f>AG455-(AG455*((VLOOKUP(A455,[1]Plan!A$1:AP$804,42,FALSE)/100)))</f>
        <v>0</v>
      </c>
      <c r="AI455" s="60"/>
      <c r="AJ455" s="60" t="b">
        <f t="shared" si="22"/>
        <v>0</v>
      </c>
      <c r="AK455" s="61">
        <f>IF(AJ455,O455*'[1]ETC Data'!$H$5*'[1]ETC Data'!$I$5,0)</f>
        <v>0</v>
      </c>
      <c r="AL455" s="58">
        <f>AK455-(AK455*((VLOOKUP(A455,[1]Plan!A$1:AY$804,51,FALSE)/100)))</f>
        <v>0</v>
      </c>
      <c r="AM455" s="58">
        <f>IF(AJ455,O455*'[1]ETC Data'!$H$5*'[1]ETC Data'!$J$5,0)</f>
        <v>0</v>
      </c>
      <c r="AN455" s="58">
        <f>AM455-(AM455*((VLOOKUP(A455,[1]Plan!A$1:BA$804,53,FALSE)/100)))</f>
        <v>0</v>
      </c>
      <c r="AO455" s="61">
        <f>IF(AJ455,O455*'[1]ETC Data'!$H$5*'[1]ETC Data'!$K$5,0)</f>
        <v>0</v>
      </c>
      <c r="AP455" s="58">
        <f>AO455-(AO455*((VLOOKUP(A455,[1]Plan!A$1:BB$804,54,FALSE)/100)))</f>
        <v>0</v>
      </c>
      <c r="AQ455" s="58">
        <f>IF(AJ455,O455*'[1]ETC Data'!$H$5*'[1]ETC Data'!$L$5,0)</f>
        <v>0</v>
      </c>
      <c r="AR455" s="58">
        <f>AQ455-(AQ455*((VLOOKUP(A455,[1]Plan!A$1:BD$804,56,FALSE)/100)))</f>
        <v>0</v>
      </c>
      <c r="AS455" s="20">
        <f>VLOOKUP(A455,'[1]PR Matrix'!A:B,2,FALSE)</f>
        <v>0</v>
      </c>
      <c r="AT455" s="21">
        <f t="shared" si="23"/>
        <v>0</v>
      </c>
      <c r="AU455" s="21">
        <f t="shared" si="25"/>
        <v>0</v>
      </c>
      <c r="AV455" s="21">
        <f t="shared" si="26"/>
        <v>0</v>
      </c>
      <c r="AW455" s="21">
        <f t="shared" si="27"/>
        <v>0</v>
      </c>
      <c r="AX455" s="21">
        <f t="shared" si="28"/>
        <v>0</v>
      </c>
      <c r="AY455" s="21">
        <f t="shared" si="29"/>
        <v>0</v>
      </c>
    </row>
    <row r="456" spans="1:51" hidden="1" x14ac:dyDescent="0.2">
      <c r="A456" s="50" t="s">
        <v>662</v>
      </c>
      <c r="B456" s="51" t="s">
        <v>209</v>
      </c>
      <c r="C456" s="51"/>
      <c r="D456" s="51"/>
      <c r="E456" s="52">
        <f>IF(G456="Y",VLOOKUP(B456&amp;"|"&amp;C456,'[1]ETC Data'!$C$2:$D$16,2,FALSE),0)</f>
        <v>0</v>
      </c>
      <c r="F456" s="52">
        <f>IF(D456="",0,IF(G456="Y",VLOOKUP(B456&amp;"|"&amp;D456,'[1]ETC Data'!$C$2:$D$16,2,FALSE),0))</f>
        <v>0</v>
      </c>
      <c r="G456" s="53" t="str">
        <f>IF(VLOOKUP(A456,[1]Plan!A$1:H$804,8,FALSE)&lt;&gt;"",VLOOKUP(A456,[1]Plan!A$1:H$804,8,FALSE),"")</f>
        <v>N</v>
      </c>
      <c r="H456" s="54" t="str">
        <f>IF(VLOOKUP(A456,[1]Plan!A$1:L$804,12,FALSE)&lt;&gt;"",VLOOKUP(A456,[1]Plan!A$1:L$804,12,FALSE),"")</f>
        <v/>
      </c>
      <c r="I456" s="55" t="str">
        <f>IF(VLOOKUP(A456,[1]Plan!A$1:M$804,13,FALSE)&lt;&gt;"",VLOOKUP(A456,[1]Plan!A$1:M$804,13,FALSE),"")</f>
        <v/>
      </c>
      <c r="J456" s="55" t="str">
        <f>IF(VLOOKUP(A456,[1]Plan!A$1:N$804,14,FALSE)&lt;&gt;"",VLOOKUP(A456,[1]Plan!A$1:N$804,14,FALSE),IF(VLOOKUP(A456,[1]Plan!A$1:O$804,15,FALSE)&lt;&gt;"",VLOOKUP(A456,[1]Plan!A$1:O$804,15,FALSE),""))</f>
        <v/>
      </c>
      <c r="K456" s="56" t="str">
        <f>IF(VLOOKUP(A456,[1]Plan!A$1:P$804,16,FALSE)&lt;&gt;"",VLOOKUP(A456,[1]Plan!A$1:P$804,16,FALSE),"")</f>
        <v/>
      </c>
      <c r="L456" s="55"/>
      <c r="M456" s="55"/>
      <c r="N456" s="55"/>
      <c r="O456" s="57">
        <f t="shared" si="20"/>
        <v>0</v>
      </c>
      <c r="P456" s="57" t="b">
        <f t="shared" si="24"/>
        <v>0</v>
      </c>
      <c r="Q456" s="58">
        <f>IF(P456,O456*'[1]ETC Data'!$H$3*'[1]ETC Data'!$I$3,0)</f>
        <v>0</v>
      </c>
      <c r="R456" s="58">
        <f>Q456-(Q456*((VLOOKUP(A456,[1]Plan!A$1:Z$804,26,FALSE)/100)))</f>
        <v>0</v>
      </c>
      <c r="S456" s="58">
        <f>IF(P456,O456*'[1]ETC Data'!$H$3*'[1]ETC Data'!$J$3,0)</f>
        <v>0</v>
      </c>
      <c r="T456" s="58">
        <f>S456-(S456*((VLOOKUP(A456,[1]Plan!A$1:AA$804,27,FALSE)/100)))</f>
        <v>0</v>
      </c>
      <c r="U456" s="58">
        <f>IF(P456,O456*'[1]ETC Data'!$H$3*'[1]ETC Data'!$K$3,0)</f>
        <v>0</v>
      </c>
      <c r="V456" s="58">
        <f>U456-(U456*((VLOOKUP(A456,[1]Plan!A$1:AB$804,28,FALSE)/100)))</f>
        <v>0</v>
      </c>
      <c r="W456" s="58">
        <f>IF(P456,O456*'[1]ETC Data'!$H$3*'[1]ETC Data'!$L$3,0)</f>
        <v>0</v>
      </c>
      <c r="X456" s="58">
        <f>W456-(W456*((VLOOKUP(A456,[1]Plan!A$1:AC$804,29,FALSE)/100)))</f>
        <v>0</v>
      </c>
      <c r="Y456" s="59"/>
      <c r="Z456" s="60" t="b">
        <f t="shared" si="21"/>
        <v>0</v>
      </c>
      <c r="AA456" s="58">
        <f>IF(Z456,O456*'[1]ETC Data'!$H$4*'[1]ETC Data'!$I$4,0)</f>
        <v>0</v>
      </c>
      <c r="AB456" s="58">
        <f>AA456-(AA456*((VLOOKUP(A456,[1]Plan!A$1:AI$804,35,FALSE)/100)))</f>
        <v>0</v>
      </c>
      <c r="AC456" s="58">
        <f>IF(Z456,O456*'[1]ETC Data'!$H$4*'[1]ETC Data'!$J$4,0)</f>
        <v>0</v>
      </c>
      <c r="AD456" s="58">
        <f>AC456-(AC456*((VLOOKUP(A456,[1]Plan!A$1:AJ$804,36,FALSE)/100)))</f>
        <v>0</v>
      </c>
      <c r="AE456" s="58">
        <f>IF(Z456,O456*'[1]ETC Data'!$H$4*'[1]ETC Data'!$K$4,0)</f>
        <v>0</v>
      </c>
      <c r="AF456" s="58">
        <f>AE456-(AE456*((VLOOKUP(A456,[1]Plan!A$1:AK$804,37,FALSE)/100)))</f>
        <v>0</v>
      </c>
      <c r="AG456" s="58">
        <f>IF(Z456,O456*'[1]ETC Data'!$H$4*'[1]ETC Data'!$L$4,0)</f>
        <v>0</v>
      </c>
      <c r="AH456" s="58">
        <f>AG456-(AG456*((VLOOKUP(A456,[1]Plan!A$1:AP$804,42,FALSE)/100)))</f>
        <v>0</v>
      </c>
      <c r="AI456" s="60"/>
      <c r="AJ456" s="60" t="b">
        <f t="shared" si="22"/>
        <v>0</v>
      </c>
      <c r="AK456" s="61">
        <f>IF(AJ456,O456*'[1]ETC Data'!$H$5*'[1]ETC Data'!$I$5,0)</f>
        <v>0</v>
      </c>
      <c r="AL456" s="58">
        <f>AK456-(AK456*((VLOOKUP(A456,[1]Plan!A$1:AY$804,51,FALSE)/100)))</f>
        <v>0</v>
      </c>
      <c r="AM456" s="58">
        <f>IF(AJ456,O456*'[1]ETC Data'!$H$5*'[1]ETC Data'!$J$5,0)</f>
        <v>0</v>
      </c>
      <c r="AN456" s="58">
        <f>AM456-(AM456*((VLOOKUP(A456,[1]Plan!A$1:BA$804,53,FALSE)/100)))</f>
        <v>0</v>
      </c>
      <c r="AO456" s="61">
        <f>IF(AJ456,O456*'[1]ETC Data'!$H$5*'[1]ETC Data'!$K$5,0)</f>
        <v>0</v>
      </c>
      <c r="AP456" s="58">
        <f>AO456-(AO456*((VLOOKUP(A456,[1]Plan!A$1:BB$804,54,FALSE)/100)))</f>
        <v>0</v>
      </c>
      <c r="AQ456" s="58">
        <f>IF(AJ456,O456*'[1]ETC Data'!$H$5*'[1]ETC Data'!$L$5,0)</f>
        <v>0</v>
      </c>
      <c r="AR456" s="58">
        <f>AQ456-(AQ456*((VLOOKUP(A456,[1]Plan!A$1:BD$804,56,FALSE)/100)))</f>
        <v>0</v>
      </c>
      <c r="AS456" s="20">
        <f>VLOOKUP(A456,'[1]PR Matrix'!A:B,2,FALSE)</f>
        <v>0</v>
      </c>
      <c r="AT456" s="21">
        <f t="shared" si="23"/>
        <v>0</v>
      </c>
      <c r="AU456" s="21">
        <f t="shared" si="25"/>
        <v>0</v>
      </c>
      <c r="AV456" s="21">
        <f t="shared" si="26"/>
        <v>0</v>
      </c>
      <c r="AW456" s="21">
        <f t="shared" si="27"/>
        <v>0</v>
      </c>
      <c r="AX456" s="21">
        <f t="shared" si="28"/>
        <v>0</v>
      </c>
      <c r="AY456" s="21">
        <f t="shared" si="29"/>
        <v>0</v>
      </c>
    </row>
    <row r="457" spans="1:51" hidden="1" x14ac:dyDescent="0.2">
      <c r="A457" s="50" t="s">
        <v>663</v>
      </c>
      <c r="B457" s="51" t="s">
        <v>208</v>
      </c>
      <c r="C457" s="51"/>
      <c r="D457" s="51"/>
      <c r="E457" s="52">
        <f>IF(G457="Y",VLOOKUP(B457&amp;"|"&amp;C457,'[1]ETC Data'!$C$2:$D$16,2,FALSE),0)</f>
        <v>0</v>
      </c>
      <c r="F457" s="52">
        <f>IF(D457="",0,IF(G457="Y",VLOOKUP(B457&amp;"|"&amp;D457,'[1]ETC Data'!$C$2:$D$16,2,FALSE),0))</f>
        <v>0</v>
      </c>
      <c r="G457" s="53" t="str">
        <f>IF(VLOOKUP(A457,[1]Plan!A$1:H$804,8,FALSE)&lt;&gt;"",VLOOKUP(A457,[1]Plan!A$1:H$804,8,FALSE),"")</f>
        <v>N</v>
      </c>
      <c r="H457" s="54" t="str">
        <f>IF(VLOOKUP(A457,[1]Plan!A$1:L$804,12,FALSE)&lt;&gt;"",VLOOKUP(A457,[1]Plan!A$1:L$804,12,FALSE),"")</f>
        <v/>
      </c>
      <c r="I457" s="55" t="str">
        <f>IF(VLOOKUP(A457,[1]Plan!A$1:M$804,13,FALSE)&lt;&gt;"",VLOOKUP(A457,[1]Plan!A$1:M$804,13,FALSE),"")</f>
        <v/>
      </c>
      <c r="J457" s="55" t="str">
        <f>IF(VLOOKUP(A457,[1]Plan!A$1:N$804,14,FALSE)&lt;&gt;"",VLOOKUP(A457,[1]Plan!A$1:N$804,14,FALSE),IF(VLOOKUP(A457,[1]Plan!A$1:O$804,15,FALSE)&lt;&gt;"",VLOOKUP(A457,[1]Plan!A$1:O$804,15,FALSE),""))</f>
        <v/>
      </c>
      <c r="K457" s="56" t="str">
        <f>IF(VLOOKUP(A457,[1]Plan!A$1:P$804,16,FALSE)&lt;&gt;"",VLOOKUP(A457,[1]Plan!A$1:P$804,16,FALSE),"")</f>
        <v/>
      </c>
      <c r="L457" s="55"/>
      <c r="M457" s="55"/>
      <c r="N457" s="55"/>
      <c r="O457" s="57">
        <f t="shared" si="20"/>
        <v>0</v>
      </c>
      <c r="P457" s="57" t="b">
        <f t="shared" si="24"/>
        <v>0</v>
      </c>
      <c r="Q457" s="58">
        <f>IF(P457,O457*'[1]ETC Data'!$H$3*'[1]ETC Data'!$I$3,0)</f>
        <v>0</v>
      </c>
      <c r="R457" s="58">
        <f>Q457-(Q457*((VLOOKUP(A457,[1]Plan!A$1:Z$804,26,FALSE)/100)))</f>
        <v>0</v>
      </c>
      <c r="S457" s="58">
        <f>IF(P457,O457*'[1]ETC Data'!$H$3*'[1]ETC Data'!$J$3,0)</f>
        <v>0</v>
      </c>
      <c r="T457" s="58">
        <f>S457-(S457*((VLOOKUP(A457,[1]Plan!A$1:AA$804,27,FALSE)/100)))</f>
        <v>0</v>
      </c>
      <c r="U457" s="58">
        <f>IF(P457,O457*'[1]ETC Data'!$H$3*'[1]ETC Data'!$K$3,0)</f>
        <v>0</v>
      </c>
      <c r="V457" s="58">
        <f>U457-(U457*((VLOOKUP(A457,[1]Plan!A$1:AB$804,28,FALSE)/100)))</f>
        <v>0</v>
      </c>
      <c r="W457" s="58">
        <f>IF(P457,O457*'[1]ETC Data'!$H$3*'[1]ETC Data'!$L$3,0)</f>
        <v>0</v>
      </c>
      <c r="X457" s="58">
        <f>W457-(W457*((VLOOKUP(A457,[1]Plan!A$1:AC$804,29,FALSE)/100)))</f>
        <v>0</v>
      </c>
      <c r="Y457" s="59"/>
      <c r="Z457" s="60" t="b">
        <f t="shared" si="21"/>
        <v>0</v>
      </c>
      <c r="AA457" s="58">
        <f>IF(Z457,O457*'[1]ETC Data'!$H$4*'[1]ETC Data'!$I$4,0)</f>
        <v>0</v>
      </c>
      <c r="AB457" s="58">
        <f>AA457-(AA457*((VLOOKUP(A457,[1]Plan!A$1:AI$804,35,FALSE)/100)))</f>
        <v>0</v>
      </c>
      <c r="AC457" s="58">
        <f>IF(Z457,O457*'[1]ETC Data'!$H$4*'[1]ETC Data'!$J$4,0)</f>
        <v>0</v>
      </c>
      <c r="AD457" s="58">
        <f>AC457-(AC457*((VLOOKUP(A457,[1]Plan!A$1:AJ$804,36,FALSE)/100)))</f>
        <v>0</v>
      </c>
      <c r="AE457" s="58">
        <f>IF(Z457,O457*'[1]ETC Data'!$H$4*'[1]ETC Data'!$K$4,0)</f>
        <v>0</v>
      </c>
      <c r="AF457" s="58">
        <f>AE457-(AE457*((VLOOKUP(A457,[1]Plan!A$1:AK$804,37,FALSE)/100)))</f>
        <v>0</v>
      </c>
      <c r="AG457" s="58">
        <f>IF(Z457,O457*'[1]ETC Data'!$H$4*'[1]ETC Data'!$L$4,0)</f>
        <v>0</v>
      </c>
      <c r="AH457" s="58">
        <f>AG457-(AG457*((VLOOKUP(A457,[1]Plan!A$1:AP$804,42,FALSE)/100)))</f>
        <v>0</v>
      </c>
      <c r="AI457" s="60"/>
      <c r="AJ457" s="60" t="b">
        <f t="shared" si="22"/>
        <v>0</v>
      </c>
      <c r="AK457" s="61">
        <f>IF(AJ457,O457*'[1]ETC Data'!$H$5*'[1]ETC Data'!$I$5,0)</f>
        <v>0</v>
      </c>
      <c r="AL457" s="58">
        <f>AK457-(AK457*((VLOOKUP(A457,[1]Plan!A$1:AY$804,51,FALSE)/100)))</f>
        <v>0</v>
      </c>
      <c r="AM457" s="58">
        <f>IF(AJ457,O457*'[1]ETC Data'!$H$5*'[1]ETC Data'!$J$5,0)</f>
        <v>0</v>
      </c>
      <c r="AN457" s="58">
        <f>AM457-(AM457*((VLOOKUP(A457,[1]Plan!A$1:BA$804,53,FALSE)/100)))</f>
        <v>0</v>
      </c>
      <c r="AO457" s="61">
        <f>IF(AJ457,O457*'[1]ETC Data'!$H$5*'[1]ETC Data'!$K$5,0)</f>
        <v>0</v>
      </c>
      <c r="AP457" s="58">
        <f>AO457-(AO457*((VLOOKUP(A457,[1]Plan!A$1:BB$804,54,FALSE)/100)))</f>
        <v>0</v>
      </c>
      <c r="AQ457" s="58">
        <f>IF(AJ457,O457*'[1]ETC Data'!$H$5*'[1]ETC Data'!$L$5,0)</f>
        <v>0</v>
      </c>
      <c r="AR457" s="58">
        <f>AQ457-(AQ457*((VLOOKUP(A457,[1]Plan!A$1:BD$804,56,FALSE)/100)))</f>
        <v>0</v>
      </c>
      <c r="AS457" s="20">
        <f>VLOOKUP(A457,'[1]PR Matrix'!A:B,2,FALSE)</f>
        <v>0</v>
      </c>
      <c r="AT457" s="21">
        <f t="shared" si="23"/>
        <v>0</v>
      </c>
      <c r="AU457" s="21">
        <f t="shared" si="25"/>
        <v>0</v>
      </c>
      <c r="AV457" s="21">
        <f t="shared" si="26"/>
        <v>0</v>
      </c>
      <c r="AW457" s="21">
        <f t="shared" si="27"/>
        <v>0</v>
      </c>
      <c r="AX457" s="21">
        <f t="shared" si="28"/>
        <v>0</v>
      </c>
      <c r="AY457" s="21">
        <f t="shared" si="29"/>
        <v>0</v>
      </c>
    </row>
    <row r="458" spans="1:51" hidden="1" x14ac:dyDescent="0.2">
      <c r="A458" s="50" t="s">
        <v>664</v>
      </c>
      <c r="B458" s="51" t="s">
        <v>208</v>
      </c>
      <c r="C458" s="51"/>
      <c r="D458" s="51"/>
      <c r="E458" s="52">
        <f>IF(G458="Y",VLOOKUP(B458&amp;"|"&amp;C458,'[1]ETC Data'!$C$2:$D$16,2,FALSE),0)</f>
        <v>0</v>
      </c>
      <c r="F458" s="52">
        <f>IF(D458="",0,IF(G458="Y",VLOOKUP(B458&amp;"|"&amp;D458,'[1]ETC Data'!$C$2:$D$16,2,FALSE),0))</f>
        <v>0</v>
      </c>
      <c r="G458" s="53" t="str">
        <f>IF(VLOOKUP(A458,[1]Plan!A$1:H$804,8,FALSE)&lt;&gt;"",VLOOKUP(A458,[1]Plan!A$1:H$804,8,FALSE),"")</f>
        <v>N</v>
      </c>
      <c r="H458" s="54" t="str">
        <f>IF(VLOOKUP(A458,[1]Plan!A$1:L$804,12,FALSE)&lt;&gt;"",VLOOKUP(A458,[1]Plan!A$1:L$804,12,FALSE),"")</f>
        <v/>
      </c>
      <c r="I458" s="55" t="str">
        <f>IF(VLOOKUP(A458,[1]Plan!A$1:M$804,13,FALSE)&lt;&gt;"",VLOOKUP(A458,[1]Plan!A$1:M$804,13,FALSE),"")</f>
        <v/>
      </c>
      <c r="J458" s="55" t="str">
        <f>IF(VLOOKUP(A458,[1]Plan!A$1:N$804,14,FALSE)&lt;&gt;"",VLOOKUP(A458,[1]Plan!A$1:N$804,14,FALSE),IF(VLOOKUP(A458,[1]Plan!A$1:O$804,15,FALSE)&lt;&gt;"",VLOOKUP(A458,[1]Plan!A$1:O$804,15,FALSE),""))</f>
        <v/>
      </c>
      <c r="K458" s="56" t="str">
        <f>IF(VLOOKUP(A458,[1]Plan!A$1:P$804,16,FALSE)&lt;&gt;"",VLOOKUP(A458,[1]Plan!A$1:P$804,16,FALSE),"")</f>
        <v/>
      </c>
      <c r="L458" s="55"/>
      <c r="M458" s="55"/>
      <c r="N458" s="55"/>
      <c r="O458" s="57">
        <f t="shared" si="20"/>
        <v>0</v>
      </c>
      <c r="P458" s="57" t="b">
        <f t="shared" si="24"/>
        <v>0</v>
      </c>
      <c r="Q458" s="58">
        <f>IF(P458,O458*'[1]ETC Data'!$H$3*'[1]ETC Data'!$I$3,0)</f>
        <v>0</v>
      </c>
      <c r="R458" s="58">
        <f>Q458-(Q458*((VLOOKUP(A458,[1]Plan!A$1:Z$804,26,FALSE)/100)))</f>
        <v>0</v>
      </c>
      <c r="S458" s="58">
        <f>IF(P458,O458*'[1]ETC Data'!$H$3*'[1]ETC Data'!$J$3,0)</f>
        <v>0</v>
      </c>
      <c r="T458" s="58">
        <f>S458-(S458*((VLOOKUP(A458,[1]Plan!A$1:AA$804,27,FALSE)/100)))</f>
        <v>0</v>
      </c>
      <c r="U458" s="58">
        <f>IF(P458,O458*'[1]ETC Data'!$H$3*'[1]ETC Data'!$K$3,0)</f>
        <v>0</v>
      </c>
      <c r="V458" s="58">
        <f>U458-(U458*((VLOOKUP(A458,[1]Plan!A$1:AB$804,28,FALSE)/100)))</f>
        <v>0</v>
      </c>
      <c r="W458" s="58">
        <f>IF(P458,O458*'[1]ETC Data'!$H$3*'[1]ETC Data'!$L$3,0)</f>
        <v>0</v>
      </c>
      <c r="X458" s="58">
        <f>W458-(W458*((VLOOKUP(A458,[1]Plan!A$1:AC$804,29,FALSE)/100)))</f>
        <v>0</v>
      </c>
      <c r="Y458" s="59"/>
      <c r="Z458" s="60" t="b">
        <f t="shared" si="21"/>
        <v>0</v>
      </c>
      <c r="AA458" s="58">
        <f>IF(Z458,O458*'[1]ETC Data'!$H$4*'[1]ETC Data'!$I$4,0)</f>
        <v>0</v>
      </c>
      <c r="AB458" s="58">
        <f>AA458-(AA458*((VLOOKUP(A458,[1]Plan!A$1:AI$804,35,FALSE)/100)))</f>
        <v>0</v>
      </c>
      <c r="AC458" s="58">
        <f>IF(Z458,O458*'[1]ETC Data'!$H$4*'[1]ETC Data'!$J$4,0)</f>
        <v>0</v>
      </c>
      <c r="AD458" s="58">
        <f>AC458-(AC458*((VLOOKUP(A458,[1]Plan!A$1:AJ$804,36,FALSE)/100)))</f>
        <v>0</v>
      </c>
      <c r="AE458" s="58">
        <f>IF(Z458,O458*'[1]ETC Data'!$H$4*'[1]ETC Data'!$K$4,0)</f>
        <v>0</v>
      </c>
      <c r="AF458" s="58">
        <f>AE458-(AE458*((VLOOKUP(A458,[1]Plan!A$1:AK$804,37,FALSE)/100)))</f>
        <v>0</v>
      </c>
      <c r="AG458" s="58">
        <f>IF(Z458,O458*'[1]ETC Data'!$H$4*'[1]ETC Data'!$L$4,0)</f>
        <v>0</v>
      </c>
      <c r="AH458" s="58">
        <f>AG458-(AG458*((VLOOKUP(A458,[1]Plan!A$1:AP$804,42,FALSE)/100)))</f>
        <v>0</v>
      </c>
      <c r="AI458" s="60"/>
      <c r="AJ458" s="60" t="b">
        <f t="shared" si="22"/>
        <v>0</v>
      </c>
      <c r="AK458" s="61">
        <f>IF(AJ458,O458*'[1]ETC Data'!$H$5*'[1]ETC Data'!$I$5,0)</f>
        <v>0</v>
      </c>
      <c r="AL458" s="58">
        <f>AK458-(AK458*((VLOOKUP(A458,[1]Plan!A$1:AY$804,51,FALSE)/100)))</f>
        <v>0</v>
      </c>
      <c r="AM458" s="58">
        <f>IF(AJ458,O458*'[1]ETC Data'!$H$5*'[1]ETC Data'!$J$5,0)</f>
        <v>0</v>
      </c>
      <c r="AN458" s="58">
        <f>AM458-(AM458*((VLOOKUP(A458,[1]Plan!A$1:BA$804,53,FALSE)/100)))</f>
        <v>0</v>
      </c>
      <c r="AO458" s="61">
        <f>IF(AJ458,O458*'[1]ETC Data'!$H$5*'[1]ETC Data'!$K$5,0)</f>
        <v>0</v>
      </c>
      <c r="AP458" s="58">
        <f>AO458-(AO458*((VLOOKUP(A458,[1]Plan!A$1:BB$804,54,FALSE)/100)))</f>
        <v>0</v>
      </c>
      <c r="AQ458" s="58">
        <f>IF(AJ458,O458*'[1]ETC Data'!$H$5*'[1]ETC Data'!$L$5,0)</f>
        <v>0</v>
      </c>
      <c r="AR458" s="58">
        <f>AQ458-(AQ458*((VLOOKUP(A458,[1]Plan!A$1:BD$804,56,FALSE)/100)))</f>
        <v>0</v>
      </c>
      <c r="AS458" s="20">
        <f>VLOOKUP(A458,'[1]PR Matrix'!A:B,2,FALSE)</f>
        <v>0</v>
      </c>
      <c r="AT458" s="21">
        <f t="shared" si="23"/>
        <v>0</v>
      </c>
      <c r="AU458" s="21">
        <f t="shared" si="25"/>
        <v>0</v>
      </c>
      <c r="AV458" s="21">
        <f t="shared" si="26"/>
        <v>0</v>
      </c>
      <c r="AW458" s="21">
        <f t="shared" si="27"/>
        <v>0</v>
      </c>
      <c r="AX458" s="21">
        <f t="shared" si="28"/>
        <v>0</v>
      </c>
      <c r="AY458" s="21">
        <f t="shared" si="29"/>
        <v>0</v>
      </c>
    </row>
    <row r="459" spans="1:51" hidden="1" x14ac:dyDescent="0.2">
      <c r="A459" s="50" t="s">
        <v>665</v>
      </c>
      <c r="B459" s="51" t="s">
        <v>208</v>
      </c>
      <c r="C459" s="51"/>
      <c r="D459" s="51"/>
      <c r="E459" s="52">
        <f>IF(G459="Y",VLOOKUP(B459&amp;"|"&amp;C459,'[1]ETC Data'!$C$2:$D$16,2,FALSE),0)</f>
        <v>0</v>
      </c>
      <c r="F459" s="52">
        <f>IF(D459="",0,IF(G459="Y",VLOOKUP(B459&amp;"|"&amp;D459,'[1]ETC Data'!$C$2:$D$16,2,FALSE),0))</f>
        <v>0</v>
      </c>
      <c r="G459" s="53" t="str">
        <f>IF(VLOOKUP(A459,[1]Plan!A$1:H$804,8,FALSE)&lt;&gt;"",VLOOKUP(A459,[1]Plan!A$1:H$804,8,FALSE),"")</f>
        <v>N</v>
      </c>
      <c r="H459" s="54" t="str">
        <f>IF(VLOOKUP(A459,[1]Plan!A$1:L$804,12,FALSE)&lt;&gt;"",VLOOKUP(A459,[1]Plan!A$1:L$804,12,FALSE),"")</f>
        <v/>
      </c>
      <c r="I459" s="55" t="str">
        <f>IF(VLOOKUP(A459,[1]Plan!A$1:M$804,13,FALSE)&lt;&gt;"",VLOOKUP(A459,[1]Plan!A$1:M$804,13,FALSE),"")</f>
        <v/>
      </c>
      <c r="J459" s="55" t="str">
        <f>IF(VLOOKUP(A459,[1]Plan!A$1:N$804,14,FALSE)&lt;&gt;"",VLOOKUP(A459,[1]Plan!A$1:N$804,14,FALSE),IF(VLOOKUP(A459,[1]Plan!A$1:O$804,15,FALSE)&lt;&gt;"",VLOOKUP(A459,[1]Plan!A$1:O$804,15,FALSE),""))</f>
        <v/>
      </c>
      <c r="K459" s="56" t="str">
        <f>IF(VLOOKUP(A459,[1]Plan!A$1:P$804,16,FALSE)&lt;&gt;"",VLOOKUP(A459,[1]Plan!A$1:P$804,16,FALSE),"")</f>
        <v/>
      </c>
      <c r="L459" s="55"/>
      <c r="M459" s="55"/>
      <c r="N459" s="55"/>
      <c r="O459" s="57">
        <f t="shared" si="20"/>
        <v>0</v>
      </c>
      <c r="P459" s="57" t="b">
        <f t="shared" si="24"/>
        <v>0</v>
      </c>
      <c r="Q459" s="58">
        <f>IF(P459,O459*'[1]ETC Data'!$H$3*'[1]ETC Data'!$I$3,0)</f>
        <v>0</v>
      </c>
      <c r="R459" s="58">
        <f>Q459-(Q459*((VLOOKUP(A459,[1]Plan!A$1:Z$804,26,FALSE)/100)))</f>
        <v>0</v>
      </c>
      <c r="S459" s="58">
        <f>IF(P459,O459*'[1]ETC Data'!$H$3*'[1]ETC Data'!$J$3,0)</f>
        <v>0</v>
      </c>
      <c r="T459" s="58">
        <f>S459-(S459*((VLOOKUP(A459,[1]Plan!A$1:AA$804,27,FALSE)/100)))</f>
        <v>0</v>
      </c>
      <c r="U459" s="58">
        <f>IF(P459,O459*'[1]ETC Data'!$H$3*'[1]ETC Data'!$K$3,0)</f>
        <v>0</v>
      </c>
      <c r="V459" s="58">
        <f>U459-(U459*((VLOOKUP(A459,[1]Plan!A$1:AB$804,28,FALSE)/100)))</f>
        <v>0</v>
      </c>
      <c r="W459" s="58">
        <f>IF(P459,O459*'[1]ETC Data'!$H$3*'[1]ETC Data'!$L$3,0)</f>
        <v>0</v>
      </c>
      <c r="X459" s="58">
        <f>W459-(W459*((VLOOKUP(A459,[1]Plan!A$1:AC$804,29,FALSE)/100)))</f>
        <v>0</v>
      </c>
      <c r="Y459" s="59"/>
      <c r="Z459" s="60" t="b">
        <f t="shared" si="21"/>
        <v>0</v>
      </c>
      <c r="AA459" s="58">
        <f>IF(Z459,O459*'[1]ETC Data'!$H$4*'[1]ETC Data'!$I$4,0)</f>
        <v>0</v>
      </c>
      <c r="AB459" s="58">
        <f>AA459-(AA459*((VLOOKUP(A459,[1]Plan!A$1:AI$804,35,FALSE)/100)))</f>
        <v>0</v>
      </c>
      <c r="AC459" s="58">
        <f>IF(Z459,O459*'[1]ETC Data'!$H$4*'[1]ETC Data'!$J$4,0)</f>
        <v>0</v>
      </c>
      <c r="AD459" s="58">
        <f>AC459-(AC459*((VLOOKUP(A459,[1]Plan!A$1:AJ$804,36,FALSE)/100)))</f>
        <v>0</v>
      </c>
      <c r="AE459" s="58">
        <f>IF(Z459,O459*'[1]ETC Data'!$H$4*'[1]ETC Data'!$K$4,0)</f>
        <v>0</v>
      </c>
      <c r="AF459" s="58">
        <f>AE459-(AE459*((VLOOKUP(A459,[1]Plan!A$1:AK$804,37,FALSE)/100)))</f>
        <v>0</v>
      </c>
      <c r="AG459" s="58">
        <f>IF(Z459,O459*'[1]ETC Data'!$H$4*'[1]ETC Data'!$L$4,0)</f>
        <v>0</v>
      </c>
      <c r="AH459" s="58">
        <f>AG459-(AG459*((VLOOKUP(A459,[1]Plan!A$1:AP$804,42,FALSE)/100)))</f>
        <v>0</v>
      </c>
      <c r="AI459" s="60"/>
      <c r="AJ459" s="60" t="b">
        <f t="shared" si="22"/>
        <v>0</v>
      </c>
      <c r="AK459" s="61">
        <f>IF(AJ459,O459*'[1]ETC Data'!$H$5*'[1]ETC Data'!$I$5,0)</f>
        <v>0</v>
      </c>
      <c r="AL459" s="58">
        <f>AK459-(AK459*((VLOOKUP(A459,[1]Plan!A$1:AY$804,51,FALSE)/100)))</f>
        <v>0</v>
      </c>
      <c r="AM459" s="58">
        <f>IF(AJ459,O459*'[1]ETC Data'!$H$5*'[1]ETC Data'!$J$5,0)</f>
        <v>0</v>
      </c>
      <c r="AN459" s="58">
        <f>AM459-(AM459*((VLOOKUP(A459,[1]Plan!A$1:BA$804,53,FALSE)/100)))</f>
        <v>0</v>
      </c>
      <c r="AO459" s="61">
        <f>IF(AJ459,O459*'[1]ETC Data'!$H$5*'[1]ETC Data'!$K$5,0)</f>
        <v>0</v>
      </c>
      <c r="AP459" s="58">
        <f>AO459-(AO459*((VLOOKUP(A459,[1]Plan!A$1:BB$804,54,FALSE)/100)))</f>
        <v>0</v>
      </c>
      <c r="AQ459" s="58">
        <f>IF(AJ459,O459*'[1]ETC Data'!$H$5*'[1]ETC Data'!$L$5,0)</f>
        <v>0</v>
      </c>
      <c r="AR459" s="58">
        <f>AQ459-(AQ459*((VLOOKUP(A459,[1]Plan!A$1:BD$804,56,FALSE)/100)))</f>
        <v>0</v>
      </c>
      <c r="AS459" s="20">
        <f>VLOOKUP(A459,'[1]PR Matrix'!A:B,2,FALSE)</f>
        <v>0</v>
      </c>
      <c r="AT459" s="21">
        <f t="shared" si="23"/>
        <v>0</v>
      </c>
      <c r="AU459" s="21">
        <f t="shared" si="25"/>
        <v>0</v>
      </c>
      <c r="AV459" s="21">
        <f t="shared" si="26"/>
        <v>0</v>
      </c>
      <c r="AW459" s="21">
        <f t="shared" si="27"/>
        <v>0</v>
      </c>
      <c r="AX459" s="21">
        <f t="shared" si="28"/>
        <v>0</v>
      </c>
      <c r="AY459" s="21">
        <f t="shared" si="29"/>
        <v>0</v>
      </c>
    </row>
    <row r="460" spans="1:51" hidden="1" x14ac:dyDescent="0.2">
      <c r="A460" s="50" t="s">
        <v>666</v>
      </c>
      <c r="B460" s="51" t="s">
        <v>258</v>
      </c>
      <c r="C460" s="51"/>
      <c r="D460" s="51"/>
      <c r="E460" s="52">
        <f>IF(G460="Y",VLOOKUP(B460&amp;"|"&amp;C460,'[1]ETC Data'!$C$2:$D$16,2,FALSE),0)</f>
        <v>0</v>
      </c>
      <c r="F460" s="52">
        <f>IF(D460="",0,IF(G460="Y",VLOOKUP(B460&amp;"|"&amp;D460,'[1]ETC Data'!$C$2:$D$16,2,FALSE),0))</f>
        <v>0</v>
      </c>
      <c r="G460" s="53" t="str">
        <f>IF(VLOOKUP(A460,[1]Plan!A$1:H$804,8,FALSE)&lt;&gt;"",VLOOKUP(A460,[1]Plan!A$1:H$804,8,FALSE),"")</f>
        <v>N</v>
      </c>
      <c r="H460" s="54" t="str">
        <f>IF(VLOOKUP(A460,[1]Plan!A$1:L$804,12,FALSE)&lt;&gt;"",VLOOKUP(A460,[1]Plan!A$1:L$804,12,FALSE),"")</f>
        <v/>
      </c>
      <c r="I460" s="55" t="str">
        <f>IF(VLOOKUP(A460,[1]Plan!A$1:M$804,13,FALSE)&lt;&gt;"",VLOOKUP(A460,[1]Plan!A$1:M$804,13,FALSE),"")</f>
        <v/>
      </c>
      <c r="J460" s="55" t="str">
        <f>IF(VLOOKUP(A460,[1]Plan!A$1:N$804,14,FALSE)&lt;&gt;"",VLOOKUP(A460,[1]Plan!A$1:N$804,14,FALSE),IF(VLOOKUP(A460,[1]Plan!A$1:O$804,15,FALSE)&lt;&gt;"",VLOOKUP(A460,[1]Plan!A$1:O$804,15,FALSE),""))</f>
        <v/>
      </c>
      <c r="K460" s="56" t="str">
        <f>IF(VLOOKUP(A460,[1]Plan!A$1:P$804,16,FALSE)&lt;&gt;"",VLOOKUP(A460,[1]Plan!A$1:P$804,16,FALSE),"")</f>
        <v/>
      </c>
      <c r="L460" s="55"/>
      <c r="M460" s="55"/>
      <c r="N460" s="55"/>
      <c r="O460" s="57">
        <f t="shared" si="20"/>
        <v>0</v>
      </c>
      <c r="P460" s="57" t="b">
        <f t="shared" si="24"/>
        <v>0</v>
      </c>
      <c r="Q460" s="58">
        <f>IF(P460,O460*'[1]ETC Data'!$H$3*'[1]ETC Data'!$I$3,0)</f>
        <v>0</v>
      </c>
      <c r="R460" s="58">
        <f>Q460-(Q460*((VLOOKUP(A460,[1]Plan!A$1:Z$804,26,FALSE)/100)))</f>
        <v>0</v>
      </c>
      <c r="S460" s="58">
        <f>IF(P460,O460*'[1]ETC Data'!$H$3*'[1]ETC Data'!$J$3,0)</f>
        <v>0</v>
      </c>
      <c r="T460" s="58">
        <f>S460-(S460*((VLOOKUP(A460,[1]Plan!A$1:AA$804,27,FALSE)/100)))</f>
        <v>0</v>
      </c>
      <c r="U460" s="58">
        <f>IF(P460,O460*'[1]ETC Data'!$H$3*'[1]ETC Data'!$K$3,0)</f>
        <v>0</v>
      </c>
      <c r="V460" s="58">
        <f>U460-(U460*((VLOOKUP(A460,[1]Plan!A$1:AB$804,28,FALSE)/100)))</f>
        <v>0</v>
      </c>
      <c r="W460" s="58">
        <f>IF(P460,O460*'[1]ETC Data'!$H$3*'[1]ETC Data'!$L$3,0)</f>
        <v>0</v>
      </c>
      <c r="X460" s="58">
        <f>W460-(W460*((VLOOKUP(A460,[1]Plan!A$1:AC$804,29,FALSE)/100)))</f>
        <v>0</v>
      </c>
      <c r="Y460" s="59"/>
      <c r="Z460" s="60" t="b">
        <f t="shared" si="21"/>
        <v>0</v>
      </c>
      <c r="AA460" s="58">
        <f>IF(Z460,O460*'[1]ETC Data'!$H$4*'[1]ETC Data'!$I$4,0)</f>
        <v>0</v>
      </c>
      <c r="AB460" s="58">
        <f>AA460-(AA460*((VLOOKUP(A460,[1]Plan!A$1:AI$804,35,FALSE)/100)))</f>
        <v>0</v>
      </c>
      <c r="AC460" s="58">
        <f>IF(Z460,O460*'[1]ETC Data'!$H$4*'[1]ETC Data'!$J$4,0)</f>
        <v>0</v>
      </c>
      <c r="AD460" s="58">
        <f>AC460-(AC460*((VLOOKUP(A460,[1]Plan!A$1:AJ$804,36,FALSE)/100)))</f>
        <v>0</v>
      </c>
      <c r="AE460" s="58">
        <f>IF(Z460,O460*'[1]ETC Data'!$H$4*'[1]ETC Data'!$K$4,0)</f>
        <v>0</v>
      </c>
      <c r="AF460" s="58">
        <f>AE460-(AE460*((VLOOKUP(A460,[1]Plan!A$1:AK$804,37,FALSE)/100)))</f>
        <v>0</v>
      </c>
      <c r="AG460" s="58">
        <f>IF(Z460,O460*'[1]ETC Data'!$H$4*'[1]ETC Data'!$L$4,0)</f>
        <v>0</v>
      </c>
      <c r="AH460" s="58">
        <f>AG460-(AG460*((VLOOKUP(A460,[1]Plan!A$1:AP$804,42,FALSE)/100)))</f>
        <v>0</v>
      </c>
      <c r="AI460" s="60"/>
      <c r="AJ460" s="60" t="b">
        <f t="shared" si="22"/>
        <v>0</v>
      </c>
      <c r="AK460" s="61">
        <f>IF(AJ460,O460*'[1]ETC Data'!$H$5*'[1]ETC Data'!$I$5,0)</f>
        <v>0</v>
      </c>
      <c r="AL460" s="58">
        <f>AK460-(AK460*((VLOOKUP(A460,[1]Plan!A$1:AY$804,51,FALSE)/100)))</f>
        <v>0</v>
      </c>
      <c r="AM460" s="58">
        <f>IF(AJ460,O460*'[1]ETC Data'!$H$5*'[1]ETC Data'!$J$5,0)</f>
        <v>0</v>
      </c>
      <c r="AN460" s="58">
        <f>AM460-(AM460*((VLOOKUP(A460,[1]Plan!A$1:BA$804,53,FALSE)/100)))</f>
        <v>0</v>
      </c>
      <c r="AO460" s="61">
        <f>IF(AJ460,O460*'[1]ETC Data'!$H$5*'[1]ETC Data'!$K$5,0)</f>
        <v>0</v>
      </c>
      <c r="AP460" s="58">
        <f>AO460-(AO460*((VLOOKUP(A460,[1]Plan!A$1:BB$804,54,FALSE)/100)))</f>
        <v>0</v>
      </c>
      <c r="AQ460" s="58">
        <f>IF(AJ460,O460*'[1]ETC Data'!$H$5*'[1]ETC Data'!$L$5,0)</f>
        <v>0</v>
      </c>
      <c r="AR460" s="58">
        <f>AQ460-(AQ460*((VLOOKUP(A460,[1]Plan!A$1:BD$804,56,FALSE)/100)))</f>
        <v>0</v>
      </c>
      <c r="AS460" s="20">
        <f>VLOOKUP(A460,'[1]PR Matrix'!A:B,2,FALSE)</f>
        <v>0</v>
      </c>
      <c r="AT460" s="21">
        <f t="shared" si="23"/>
        <v>0</v>
      </c>
      <c r="AU460" s="21">
        <f t="shared" si="25"/>
        <v>0</v>
      </c>
      <c r="AV460" s="21">
        <f t="shared" si="26"/>
        <v>0</v>
      </c>
      <c r="AW460" s="21">
        <f t="shared" si="27"/>
        <v>0</v>
      </c>
      <c r="AX460" s="21">
        <f t="shared" si="28"/>
        <v>0</v>
      </c>
      <c r="AY460" s="21">
        <f t="shared" si="29"/>
        <v>0</v>
      </c>
    </row>
    <row r="461" spans="1:51" x14ac:dyDescent="0.2">
      <c r="C461" s="51"/>
      <c r="D461" s="51"/>
      <c r="G461" s="73"/>
      <c r="H461" s="4"/>
      <c r="I461" s="4"/>
      <c r="J461" s="4"/>
      <c r="K461" s="4"/>
      <c r="L461" s="4"/>
      <c r="M461" s="4"/>
      <c r="N461" s="4"/>
      <c r="O461" s="4"/>
      <c r="P461" s="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5"/>
      <c r="AB461" s="76"/>
      <c r="AC461" s="76"/>
      <c r="AD461" s="76"/>
      <c r="AE461" s="76"/>
      <c r="AF461" s="76"/>
      <c r="AG461" s="76"/>
      <c r="AH461" s="76"/>
      <c r="AI461" s="76"/>
      <c r="AJ461" s="76"/>
      <c r="AK461" s="75"/>
      <c r="AL461" s="76"/>
      <c r="AM461" s="76"/>
      <c r="AN461" s="76"/>
      <c r="AO461" s="75"/>
      <c r="AP461" s="76"/>
      <c r="AQ461" s="76"/>
      <c r="AR461" s="76"/>
    </row>
    <row r="462" spans="1:51" x14ac:dyDescent="0.2">
      <c r="A462" s="2" t="s">
        <v>41</v>
      </c>
      <c r="C462" s="51"/>
      <c r="D462" s="51"/>
      <c r="E462" s="4" t="e">
        <f>SUM(E4:E460)</f>
        <v>#N/A</v>
      </c>
      <c r="G462" s="73"/>
      <c r="H462" s="4"/>
      <c r="I462" s="4"/>
      <c r="J462" s="4"/>
      <c r="K462" s="4"/>
      <c r="L462" s="4"/>
      <c r="M462" s="4"/>
      <c r="N462" s="4"/>
      <c r="O462" s="74"/>
      <c r="P462" s="4"/>
      <c r="Q462" s="74" t="s">
        <v>667</v>
      </c>
      <c r="R462" s="74">
        <f>SUMIF($G4:$G460,"=Y",Q4:Q460)</f>
        <v>125.98160667827031</v>
      </c>
      <c r="S462" s="74"/>
      <c r="T462" s="74">
        <f>SUMIF($G4:$G460,"=Y",S4:S460)</f>
        <v>30.235585602784873</v>
      </c>
      <c r="U462" s="74"/>
      <c r="V462" s="74">
        <f>SUMIF($G4:$G460,"=Y",U4:U460)</f>
        <v>8.3987737785513534</v>
      </c>
      <c r="W462" s="74"/>
      <c r="X462" s="74">
        <f>SUMIF($G4:$G460,"=Y",W4:W460)</f>
        <v>3.3595095114205415</v>
      </c>
      <c r="Y462" s="75"/>
      <c r="Z462" s="76"/>
      <c r="AA462" s="75"/>
      <c r="AB462" s="74" t="e">
        <f>SUMIF($G4:$G460,"=Y",AA4:AA460)</f>
        <v>#N/A</v>
      </c>
      <c r="AC462" s="76"/>
      <c r="AD462" s="74" t="e">
        <f>SUMIF($G4:$G460,"=Y",AC4:AC460)</f>
        <v>#N/A</v>
      </c>
      <c r="AE462" s="76"/>
      <c r="AF462" s="74" t="e">
        <f>SUMIF($G4:$G460,"=Y",AE4:AE460)</f>
        <v>#N/A</v>
      </c>
      <c r="AG462" s="76"/>
      <c r="AH462" s="74" t="e">
        <f>SUMIF($G4:$G460,"=Y",AG4:AG460)</f>
        <v>#N/A</v>
      </c>
      <c r="AI462" s="75"/>
      <c r="AJ462" s="76"/>
      <c r="AK462" s="76"/>
      <c r="AL462" s="74">
        <f>SUMIF($G4:$G460,"=Y",AK4:AK460)</f>
        <v>154.9419015695363</v>
      </c>
      <c r="AM462" s="76"/>
      <c r="AN462" s="74">
        <f>SUMIF($G4:$G460,"=Y",AM4:AM460)</f>
        <v>77.470950784768149</v>
      </c>
      <c r="AO462" s="76"/>
      <c r="AP462" s="74">
        <f>SUMIF($G4:$G460,"=Y",AO4:AO460)</f>
        <v>55.779084565033045</v>
      </c>
      <c r="AQ462" s="76"/>
      <c r="AR462" s="74">
        <f>SUMIF($G4:$G460,"=Y",AQ4:AQ460)</f>
        <v>21.691866219735083</v>
      </c>
      <c r="AS462" s="77" t="s">
        <v>198</v>
      </c>
      <c r="AT462" s="78" t="e">
        <f>SUM(R462:AR462)</f>
        <v>#N/A</v>
      </c>
    </row>
    <row r="463" spans="1:51" x14ac:dyDescent="0.2">
      <c r="A463" s="79"/>
      <c r="C463" s="51"/>
      <c r="D463" s="51"/>
      <c r="G463" s="73"/>
      <c r="H463" s="4"/>
      <c r="I463" s="4"/>
      <c r="J463" s="4"/>
      <c r="K463" s="4"/>
      <c r="L463" s="4"/>
      <c r="M463" s="4"/>
      <c r="N463" s="4"/>
      <c r="O463" s="4"/>
      <c r="P463" s="4"/>
      <c r="Q463" s="74" t="s">
        <v>668</v>
      </c>
      <c r="R463" s="74">
        <f>SUMIF($G4:$G460,"=Y",R4:R460)</f>
        <v>15</v>
      </c>
      <c r="S463" s="74"/>
      <c r="T463" s="74">
        <f>SUMIF($G4:$G460,"=Y",T4:T460)</f>
        <v>30</v>
      </c>
      <c r="U463" s="74"/>
      <c r="V463" s="74">
        <f>SUMIF($G4:$G460,"=Y",V4:V460)</f>
        <v>0</v>
      </c>
      <c r="W463" s="74"/>
      <c r="X463" s="74">
        <f>SUMIF($G4:$G460,"=Y",X4:X460)</f>
        <v>0</v>
      </c>
      <c r="Y463" s="74"/>
      <c r="Z463" s="74"/>
      <c r="AA463" s="75"/>
      <c r="AB463" s="74" t="e">
        <f>SUMIF($G4:$G460,"=Y",AB4:AB460)</f>
        <v>#N/A</v>
      </c>
      <c r="AC463" s="76"/>
      <c r="AD463" s="74" t="e">
        <f>SUMIF($G4:$G460,"=Y",AD4:AD460)</f>
        <v>#N/A</v>
      </c>
      <c r="AE463" s="76"/>
      <c r="AF463" s="74" t="e">
        <f>SUMIF($G4:$G460,"=Y",AF4:AF460)</f>
        <v>#N/A</v>
      </c>
      <c r="AG463" s="76"/>
      <c r="AH463" s="74" t="e">
        <f>SUMIF($G4:$G460,"=Y",AH4:AH460)</f>
        <v>#N/A</v>
      </c>
      <c r="AI463" s="76"/>
      <c r="AJ463" s="76"/>
      <c r="AK463" s="75"/>
      <c r="AL463" s="74">
        <f>SUMIF($G4:$G460,"=Y",AL4:AL460)</f>
        <v>30</v>
      </c>
      <c r="AM463" s="76"/>
      <c r="AN463" s="74">
        <f>SUMIF($G4:$G460,"=Y",AN4:AN460)</f>
        <v>48</v>
      </c>
      <c r="AO463" s="75"/>
      <c r="AP463" s="74">
        <f>SUMIF($G4:$G460,"=Y",AP4:AP460)</f>
        <v>0</v>
      </c>
      <c r="AQ463" s="76"/>
      <c r="AR463" s="74">
        <f>SUMIF($G4:$G460,"=Y",AR4:AR460)</f>
        <v>0</v>
      </c>
      <c r="AS463" s="77" t="s">
        <v>669</v>
      </c>
      <c r="AT463" s="78" t="e">
        <f>SUM(R463:AR463)</f>
        <v>#N/A</v>
      </c>
    </row>
    <row r="464" spans="1:51" x14ac:dyDescent="0.2">
      <c r="C464" s="51"/>
      <c r="D464" s="51"/>
      <c r="G464" s="73"/>
      <c r="H464" s="4"/>
      <c r="I464" s="4"/>
      <c r="J464" s="4"/>
      <c r="K464" s="4"/>
      <c r="L464" s="4"/>
      <c r="M464" s="4"/>
      <c r="N464" s="4"/>
      <c r="O464" s="4"/>
      <c r="P464" s="4"/>
      <c r="Y464" s="74"/>
      <c r="Z464" s="74"/>
      <c r="AA464" s="75"/>
      <c r="AB464" s="76"/>
      <c r="AC464" s="76"/>
      <c r="AD464" s="76"/>
      <c r="AE464" s="76"/>
      <c r="AF464" s="76"/>
      <c r="AG464" s="76"/>
      <c r="AH464" s="76"/>
      <c r="AI464" s="76"/>
      <c r="AJ464" s="76"/>
      <c r="AK464" s="75"/>
      <c r="AL464" s="76"/>
      <c r="AM464" s="76"/>
      <c r="AN464" s="76"/>
      <c r="AO464" s="75"/>
      <c r="AP464" s="76"/>
      <c r="AQ464" s="76"/>
      <c r="AR464" s="76"/>
    </row>
    <row r="465" spans="1:46" ht="25.5" x14ac:dyDescent="0.2">
      <c r="C465" s="51"/>
      <c r="D465" s="51"/>
      <c r="G465" s="73"/>
      <c r="H465" s="4"/>
      <c r="I465" s="4"/>
      <c r="J465" s="4"/>
      <c r="K465" s="4"/>
      <c r="L465" s="4"/>
      <c r="M465" s="4"/>
      <c r="N465" s="4"/>
      <c r="O465" s="4"/>
      <c r="P465" s="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5"/>
      <c r="AB465" s="76"/>
      <c r="AC465" s="76"/>
      <c r="AD465" s="76"/>
      <c r="AE465" s="76"/>
      <c r="AF465" s="76"/>
      <c r="AG465" s="76"/>
      <c r="AH465" s="76"/>
      <c r="AI465" s="76"/>
      <c r="AJ465" s="76"/>
      <c r="AK465" s="75"/>
      <c r="AL465" s="76"/>
      <c r="AM465" s="76"/>
      <c r="AN465" s="76"/>
      <c r="AO465" s="75"/>
      <c r="AP465" s="76"/>
      <c r="AQ465" s="76"/>
      <c r="AR465" s="76"/>
      <c r="AS465" s="81" t="s">
        <v>670</v>
      </c>
      <c r="AT465" s="78">
        <f>SUMIF($AZ4:$AZ460,"=Y",AU4:AU460)</f>
        <v>0</v>
      </c>
    </row>
    <row r="466" spans="1:46" ht="25.5" x14ac:dyDescent="0.2">
      <c r="C466" s="51"/>
      <c r="D466" s="51"/>
      <c r="G466" s="73"/>
      <c r="H466" s="4"/>
      <c r="I466" s="4"/>
      <c r="J466" s="4"/>
      <c r="K466" s="4"/>
      <c r="L466" s="4"/>
      <c r="M466" s="4"/>
      <c r="N466" s="4"/>
      <c r="O466" s="4"/>
      <c r="P466" s="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5"/>
      <c r="AB466" s="76"/>
      <c r="AC466" s="76"/>
      <c r="AD466" s="76"/>
      <c r="AE466" s="76"/>
      <c r="AF466" s="76"/>
      <c r="AG466" s="76"/>
      <c r="AH466" s="76"/>
      <c r="AI466" s="76"/>
      <c r="AJ466" s="76"/>
      <c r="AK466" s="75"/>
      <c r="AL466" s="76"/>
      <c r="AM466" s="76"/>
      <c r="AN466" s="76"/>
      <c r="AO466" s="75"/>
      <c r="AP466" s="76"/>
      <c r="AQ466" s="76"/>
      <c r="AR466" s="76"/>
      <c r="AS466" s="81" t="s">
        <v>671</v>
      </c>
      <c r="AT466" s="78">
        <f>SUMIF($AZ4:$AZ460,"=Y",AV4:AV460) + SUMIF($BA4:$BA460,"=Y",AW4:AW460) + SUMIF($BB4:$BB460,"=Y",AX4:AX460) + SUMIF($BC4:$BC460,"=Y",AY4:AY460)</f>
        <v>0</v>
      </c>
    </row>
    <row r="467" spans="1:46" x14ac:dyDescent="0.2">
      <c r="A467" s="82" t="s">
        <v>672</v>
      </c>
      <c r="G467" s="73"/>
      <c r="H467" s="4"/>
      <c r="I467" s="4"/>
      <c r="J467" s="4"/>
      <c r="K467" s="4"/>
      <c r="L467" s="4"/>
      <c r="M467" s="4"/>
      <c r="N467" s="4"/>
      <c r="O467" s="4"/>
      <c r="P467" s="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5"/>
      <c r="AB467" s="76"/>
      <c r="AC467" s="76"/>
      <c r="AD467" s="76"/>
      <c r="AE467" s="76"/>
      <c r="AF467" s="76"/>
      <c r="AG467" s="76"/>
      <c r="AH467" s="76"/>
      <c r="AI467" s="76"/>
      <c r="AJ467" s="76"/>
      <c r="AK467" s="75"/>
      <c r="AL467" s="76"/>
      <c r="AM467" s="76"/>
      <c r="AN467" s="76"/>
      <c r="AO467" s="75"/>
      <c r="AP467" s="76"/>
      <c r="AQ467" s="76"/>
      <c r="AR467" s="76"/>
    </row>
    <row r="468" spans="1:46" x14ac:dyDescent="0.2">
      <c r="A468" s="82" t="s">
        <v>258</v>
      </c>
      <c r="G468" s="73"/>
      <c r="H468" s="4"/>
      <c r="I468" s="4"/>
      <c r="J468" s="4"/>
      <c r="K468" s="4"/>
      <c r="L468" s="4"/>
      <c r="M468" s="4"/>
      <c r="N468" s="4"/>
      <c r="O468" s="4"/>
      <c r="P468" s="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5"/>
      <c r="AB468" s="76"/>
      <c r="AC468" s="76"/>
      <c r="AD468" s="76"/>
      <c r="AE468" s="76"/>
      <c r="AF468" s="76"/>
      <c r="AG468" s="76"/>
      <c r="AH468" s="76"/>
      <c r="AI468" s="76"/>
      <c r="AJ468" s="76"/>
      <c r="AK468" s="75"/>
      <c r="AL468" s="76"/>
      <c r="AM468" s="76"/>
      <c r="AN468" s="76"/>
      <c r="AO468" s="75"/>
      <c r="AP468" s="76"/>
      <c r="AQ468" s="76"/>
      <c r="AR468" s="76"/>
    </row>
    <row r="469" spans="1:46" x14ac:dyDescent="0.2">
      <c r="A469" s="82" t="s">
        <v>208</v>
      </c>
      <c r="G469" s="73"/>
      <c r="H469" s="4"/>
      <c r="I469" s="4"/>
      <c r="J469" s="4"/>
      <c r="K469" s="4"/>
      <c r="L469" s="4"/>
      <c r="M469" s="4"/>
      <c r="N469" s="4"/>
      <c r="O469" s="4"/>
      <c r="P469" s="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5"/>
      <c r="AB469" s="76"/>
      <c r="AC469" s="76"/>
      <c r="AD469" s="76"/>
      <c r="AE469" s="76"/>
      <c r="AF469" s="76"/>
      <c r="AG469" s="76"/>
      <c r="AH469" s="76"/>
      <c r="AI469" s="76"/>
      <c r="AJ469" s="76"/>
      <c r="AK469" s="75"/>
      <c r="AL469" s="76"/>
      <c r="AM469" s="76"/>
      <c r="AN469" s="76"/>
      <c r="AO469" s="75"/>
      <c r="AP469" s="76"/>
      <c r="AQ469" s="76"/>
      <c r="AR469" s="76"/>
    </row>
    <row r="470" spans="1:46" x14ac:dyDescent="0.2">
      <c r="A470" s="82" t="s">
        <v>209</v>
      </c>
      <c r="G470" s="73"/>
      <c r="H470" s="4"/>
      <c r="I470" s="4"/>
      <c r="J470" s="4"/>
      <c r="K470" s="4"/>
      <c r="L470" s="4"/>
      <c r="M470" s="4"/>
      <c r="N470" s="4"/>
      <c r="O470" s="4"/>
      <c r="P470" s="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5"/>
      <c r="AB470" s="76"/>
      <c r="AC470" s="76"/>
      <c r="AD470" s="76"/>
      <c r="AE470" s="76"/>
      <c r="AF470" s="76"/>
      <c r="AG470" s="76"/>
      <c r="AH470" s="76"/>
      <c r="AI470" s="76"/>
      <c r="AJ470" s="76"/>
      <c r="AK470" s="75"/>
      <c r="AL470" s="76"/>
      <c r="AM470" s="76"/>
      <c r="AN470" s="76"/>
      <c r="AO470" s="75"/>
      <c r="AP470" s="76"/>
      <c r="AQ470" s="76"/>
      <c r="AR470" s="76"/>
    </row>
    <row r="471" spans="1:46" x14ac:dyDescent="0.2">
      <c r="A471" s="82" t="s">
        <v>673</v>
      </c>
      <c r="G471" s="73"/>
      <c r="H471" s="4"/>
      <c r="I471" s="4"/>
      <c r="J471" s="4"/>
      <c r="K471" s="4"/>
      <c r="L471" s="4"/>
      <c r="M471" s="4"/>
      <c r="N471" s="4"/>
      <c r="O471" s="4"/>
      <c r="P471" s="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5"/>
      <c r="AB471" s="76"/>
      <c r="AC471" s="76"/>
      <c r="AD471" s="76"/>
      <c r="AE471" s="76"/>
      <c r="AF471" s="76"/>
      <c r="AG471" s="76"/>
      <c r="AH471" s="76"/>
      <c r="AI471" s="76"/>
      <c r="AJ471" s="76"/>
      <c r="AK471" s="75"/>
      <c r="AL471" s="76"/>
      <c r="AM471" s="76"/>
      <c r="AN471" s="76"/>
      <c r="AO471" s="75"/>
      <c r="AP471" s="76"/>
      <c r="AQ471" s="76"/>
      <c r="AR471" s="76"/>
    </row>
  </sheetData>
  <sheetProtection autoFilter="0"/>
  <autoFilter ref="A2:BC460">
    <filterColumn colId="6">
      <filters>
        <filter val="Y"/>
      </filters>
    </filterColumn>
    <sortState ref="A10:BC419">
      <sortCondition ref="A3:A471"/>
    </sortState>
  </autoFilter>
  <conditionalFormatting sqref="X3:X461 R3:R461 V3:V461 T3:T461">
    <cfRule type="expression" dxfId="9" priority="5" stopIfTrue="1">
      <formula>OR($H3="Y",$I3="Y")</formula>
    </cfRule>
  </conditionalFormatting>
  <conditionalFormatting sqref="AB3:AB461 AD3:AD461 AF3:AF461 AH3:AH461">
    <cfRule type="expression" dxfId="8" priority="3" stopIfTrue="1">
      <formula>#REF!+AB3&gt;AA3</formula>
    </cfRule>
    <cfRule type="expression" dxfId="7" priority="4" stopIfTrue="1">
      <formula>OR($H3="Y",$J3="Y")</formula>
    </cfRule>
  </conditionalFormatting>
  <conditionalFormatting sqref="AL3:AL461 AN3:AN461 AP3:AP461 AR3:AR461">
    <cfRule type="expression" dxfId="6" priority="1" stopIfTrue="1">
      <formula>#REF!+AL3&gt;AK3</formula>
    </cfRule>
    <cfRule type="expression" dxfId="5" priority="2" stopIfTrue="1">
      <formula>OR($H3="Y",$K3="Y")</formula>
    </cfRule>
  </conditionalFormatting>
  <dataValidations count="1">
    <dataValidation type="list" allowBlank="1" showInputMessage="1" showErrorMessage="1" sqref="C3:D460">
      <formula1>"Vhigh,High,Medium,Low,Vlow"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W654"/>
  <sheetViews>
    <sheetView workbookViewId="0">
      <selection activeCell="A29" sqref="A29:W561"/>
    </sheetView>
  </sheetViews>
  <sheetFormatPr defaultRowHeight="15" x14ac:dyDescent="0.25"/>
  <cols>
    <col min="1" max="1" width="34" bestFit="1" customWidth="1"/>
    <col min="7" max="7" width="44.42578125" bestFit="1" customWidth="1"/>
    <col min="8" max="8" width="90.7109375" bestFit="1" customWidth="1"/>
    <col min="9" max="9" width="49.5703125" bestFit="1" customWidth="1"/>
  </cols>
  <sheetData>
    <row r="1" spans="1:23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</row>
    <row r="2" spans="1:23" hidden="1" x14ac:dyDescent="0.25">
      <c r="A2" t="s">
        <v>48</v>
      </c>
      <c r="B2">
        <v>2018</v>
      </c>
      <c r="C2">
        <v>7</v>
      </c>
      <c r="D2">
        <v>2</v>
      </c>
      <c r="E2" t="s">
        <v>49</v>
      </c>
      <c r="G2" t="s">
        <v>50</v>
      </c>
      <c r="J2">
        <v>0</v>
      </c>
      <c r="K2">
        <v>0</v>
      </c>
      <c r="L2">
        <v>0</v>
      </c>
      <c r="M2">
        <v>1</v>
      </c>
      <c r="N2">
        <v>0</v>
      </c>
      <c r="O2">
        <v>0</v>
      </c>
      <c r="P2">
        <v>0</v>
      </c>
      <c r="Q2">
        <v>1</v>
      </c>
      <c r="S2" t="b">
        <v>0</v>
      </c>
      <c r="W2" t="s">
        <v>51</v>
      </c>
    </row>
    <row r="3" spans="1:23" hidden="1" x14ac:dyDescent="0.25">
      <c r="A3" t="s">
        <v>48</v>
      </c>
      <c r="B3">
        <v>2018</v>
      </c>
      <c r="C3">
        <v>7</v>
      </c>
      <c r="D3">
        <v>2</v>
      </c>
      <c r="E3" t="s">
        <v>49</v>
      </c>
      <c r="F3" t="s">
        <v>52</v>
      </c>
      <c r="G3" t="s">
        <v>53</v>
      </c>
      <c r="H3" t="s">
        <v>54</v>
      </c>
      <c r="I3" t="s">
        <v>55</v>
      </c>
      <c r="J3">
        <v>0</v>
      </c>
      <c r="K3">
        <v>0</v>
      </c>
      <c r="L3">
        <v>2</v>
      </c>
      <c r="M3">
        <v>7</v>
      </c>
      <c r="N3">
        <v>0</v>
      </c>
      <c r="O3">
        <v>0</v>
      </c>
      <c r="P3">
        <v>0</v>
      </c>
      <c r="Q3">
        <v>9</v>
      </c>
      <c r="R3" t="s">
        <v>56</v>
      </c>
      <c r="S3" t="b">
        <v>0</v>
      </c>
      <c r="W3" t="s">
        <v>51</v>
      </c>
    </row>
    <row r="4" spans="1:23" hidden="1" x14ac:dyDescent="0.25">
      <c r="A4" t="s">
        <v>48</v>
      </c>
      <c r="B4">
        <v>2018</v>
      </c>
      <c r="C4">
        <v>7</v>
      </c>
      <c r="D4">
        <v>2</v>
      </c>
      <c r="E4" t="s">
        <v>49</v>
      </c>
      <c r="F4" t="s">
        <v>52</v>
      </c>
      <c r="G4" t="s">
        <v>53</v>
      </c>
      <c r="H4" t="s">
        <v>57</v>
      </c>
      <c r="I4" t="s">
        <v>58</v>
      </c>
      <c r="J4">
        <v>0</v>
      </c>
      <c r="K4">
        <v>4</v>
      </c>
      <c r="L4">
        <v>3</v>
      </c>
      <c r="M4">
        <v>0</v>
      </c>
      <c r="N4">
        <v>0</v>
      </c>
      <c r="O4">
        <v>0</v>
      </c>
      <c r="P4">
        <v>0</v>
      </c>
      <c r="Q4">
        <v>7</v>
      </c>
      <c r="R4" t="s">
        <v>56</v>
      </c>
      <c r="S4" t="b">
        <v>0</v>
      </c>
      <c r="W4" t="s">
        <v>51</v>
      </c>
    </row>
    <row r="5" spans="1:23" hidden="1" x14ac:dyDescent="0.25">
      <c r="A5" t="s">
        <v>48</v>
      </c>
      <c r="B5">
        <v>2018</v>
      </c>
      <c r="C5">
        <v>7</v>
      </c>
      <c r="D5">
        <v>2</v>
      </c>
      <c r="E5" t="s">
        <v>49</v>
      </c>
      <c r="F5" t="s">
        <v>52</v>
      </c>
      <c r="G5" t="s">
        <v>53</v>
      </c>
      <c r="H5" t="s">
        <v>57</v>
      </c>
      <c r="I5" t="s">
        <v>55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 t="s">
        <v>56</v>
      </c>
      <c r="S5" t="b">
        <v>0</v>
      </c>
      <c r="W5" t="s">
        <v>51</v>
      </c>
    </row>
    <row r="6" spans="1:23" hidden="1" x14ac:dyDescent="0.25">
      <c r="A6" t="s">
        <v>48</v>
      </c>
      <c r="B6">
        <v>2018</v>
      </c>
      <c r="C6">
        <v>7</v>
      </c>
      <c r="D6">
        <v>2</v>
      </c>
      <c r="E6" t="s">
        <v>49</v>
      </c>
      <c r="F6" t="s">
        <v>52</v>
      </c>
      <c r="G6" t="s">
        <v>53</v>
      </c>
      <c r="H6" t="s">
        <v>57</v>
      </c>
      <c r="I6" t="s">
        <v>59</v>
      </c>
      <c r="J6">
        <v>0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6</v>
      </c>
      <c r="R6" t="s">
        <v>56</v>
      </c>
      <c r="S6" t="b">
        <v>0</v>
      </c>
      <c r="W6" t="s">
        <v>51</v>
      </c>
    </row>
    <row r="7" spans="1:23" hidden="1" x14ac:dyDescent="0.25">
      <c r="A7" t="s">
        <v>60</v>
      </c>
      <c r="B7">
        <v>2018</v>
      </c>
      <c r="C7">
        <v>7</v>
      </c>
      <c r="D7">
        <v>2</v>
      </c>
      <c r="E7" t="s">
        <v>49</v>
      </c>
      <c r="F7" t="s">
        <v>52</v>
      </c>
      <c r="G7" t="s">
        <v>53</v>
      </c>
      <c r="H7" t="s">
        <v>57</v>
      </c>
      <c r="I7" t="s">
        <v>61</v>
      </c>
      <c r="J7">
        <v>0</v>
      </c>
      <c r="K7">
        <v>8</v>
      </c>
      <c r="L7">
        <v>8</v>
      </c>
      <c r="M7">
        <v>0</v>
      </c>
      <c r="N7">
        <v>0</v>
      </c>
      <c r="O7">
        <v>0</v>
      </c>
      <c r="P7">
        <v>0</v>
      </c>
      <c r="Q7">
        <v>16</v>
      </c>
      <c r="R7" t="s">
        <v>56</v>
      </c>
      <c r="S7" t="b">
        <v>0</v>
      </c>
      <c r="W7" t="s">
        <v>51</v>
      </c>
    </row>
    <row r="8" spans="1:23" hidden="1" x14ac:dyDescent="0.25">
      <c r="A8" t="s">
        <v>60</v>
      </c>
      <c r="B8">
        <v>2018</v>
      </c>
      <c r="C8">
        <v>7</v>
      </c>
      <c r="D8">
        <v>2</v>
      </c>
      <c r="E8" t="s">
        <v>49</v>
      </c>
      <c r="G8" t="s">
        <v>62</v>
      </c>
      <c r="J8">
        <v>0</v>
      </c>
      <c r="K8">
        <v>0</v>
      </c>
      <c r="L8">
        <v>0</v>
      </c>
      <c r="M8">
        <v>8</v>
      </c>
      <c r="N8">
        <v>8</v>
      </c>
      <c r="O8">
        <v>8</v>
      </c>
      <c r="P8">
        <v>0</v>
      </c>
      <c r="Q8">
        <v>24</v>
      </c>
      <c r="S8" t="b">
        <v>0</v>
      </c>
      <c r="W8" t="s">
        <v>51</v>
      </c>
    </row>
    <row r="9" spans="1:23" hidden="1" x14ac:dyDescent="0.25">
      <c r="A9" t="s">
        <v>63</v>
      </c>
      <c r="B9">
        <v>2018</v>
      </c>
      <c r="C9">
        <v>7</v>
      </c>
      <c r="D9">
        <v>1</v>
      </c>
      <c r="E9" t="s">
        <v>49</v>
      </c>
      <c r="F9" t="s">
        <v>64</v>
      </c>
      <c r="G9" t="s">
        <v>53</v>
      </c>
      <c r="H9" t="s">
        <v>57</v>
      </c>
      <c r="I9" t="s">
        <v>65</v>
      </c>
      <c r="J9">
        <v>0</v>
      </c>
      <c r="K9">
        <v>6</v>
      </c>
      <c r="L9">
        <v>2</v>
      </c>
      <c r="M9">
        <v>5</v>
      </c>
      <c r="N9">
        <v>8</v>
      </c>
      <c r="O9">
        <v>0</v>
      </c>
      <c r="P9">
        <v>0</v>
      </c>
      <c r="Q9">
        <v>21</v>
      </c>
      <c r="R9" t="s">
        <v>56</v>
      </c>
      <c r="S9" t="b">
        <v>0</v>
      </c>
      <c r="W9" t="s">
        <v>51</v>
      </c>
    </row>
    <row r="10" spans="1:23" hidden="1" x14ac:dyDescent="0.25">
      <c r="A10" t="s">
        <v>63</v>
      </c>
      <c r="B10">
        <v>2018</v>
      </c>
      <c r="C10">
        <v>7</v>
      </c>
      <c r="D10">
        <v>1</v>
      </c>
      <c r="E10" t="s">
        <v>49</v>
      </c>
      <c r="G10" t="s">
        <v>66</v>
      </c>
      <c r="J10">
        <v>0</v>
      </c>
      <c r="K10">
        <v>0</v>
      </c>
      <c r="L10">
        <v>0.5</v>
      </c>
      <c r="M10">
        <v>0</v>
      </c>
      <c r="N10">
        <v>2</v>
      </c>
      <c r="O10">
        <v>2.5</v>
      </c>
      <c r="P10">
        <v>0</v>
      </c>
      <c r="Q10">
        <v>5</v>
      </c>
      <c r="S10" t="b">
        <v>0</v>
      </c>
      <c r="W10" t="s">
        <v>51</v>
      </c>
    </row>
    <row r="11" spans="1:23" hidden="1" x14ac:dyDescent="0.25">
      <c r="A11" t="s">
        <v>63</v>
      </c>
      <c r="B11">
        <v>2018</v>
      </c>
      <c r="C11">
        <v>7</v>
      </c>
      <c r="D11">
        <v>1</v>
      </c>
      <c r="E11" t="s">
        <v>49</v>
      </c>
      <c r="F11" t="s">
        <v>67</v>
      </c>
      <c r="G11" t="s">
        <v>53</v>
      </c>
      <c r="H11" t="s">
        <v>57</v>
      </c>
      <c r="I11" t="s">
        <v>68</v>
      </c>
      <c r="J11">
        <v>0</v>
      </c>
      <c r="K11">
        <v>1</v>
      </c>
      <c r="L11">
        <v>2.5</v>
      </c>
      <c r="M11">
        <v>1</v>
      </c>
      <c r="N11">
        <v>0</v>
      </c>
      <c r="O11">
        <v>0</v>
      </c>
      <c r="P11">
        <v>0</v>
      </c>
      <c r="Q11">
        <v>4.5</v>
      </c>
      <c r="R11" t="s">
        <v>56</v>
      </c>
      <c r="S11" t="b">
        <v>0</v>
      </c>
      <c r="W11" t="s">
        <v>51</v>
      </c>
    </row>
    <row r="12" spans="1:23" hidden="1" x14ac:dyDescent="0.25">
      <c r="A12" t="s">
        <v>69</v>
      </c>
      <c r="B12">
        <v>2018</v>
      </c>
      <c r="C12">
        <v>7</v>
      </c>
      <c r="D12">
        <v>1</v>
      </c>
      <c r="E12" t="s">
        <v>49</v>
      </c>
      <c r="F12" t="s">
        <v>52</v>
      </c>
      <c r="G12" t="s">
        <v>70</v>
      </c>
      <c r="H12" t="s">
        <v>57</v>
      </c>
      <c r="I12" t="s">
        <v>68</v>
      </c>
      <c r="J12">
        <v>0</v>
      </c>
      <c r="K12">
        <v>1</v>
      </c>
      <c r="L12">
        <v>5</v>
      </c>
      <c r="M12">
        <v>3</v>
      </c>
      <c r="N12">
        <v>2</v>
      </c>
      <c r="O12">
        <v>2.5</v>
      </c>
      <c r="P12">
        <v>0</v>
      </c>
      <c r="Q12">
        <v>13.5</v>
      </c>
      <c r="R12" t="s">
        <v>56</v>
      </c>
      <c r="S12" t="b">
        <v>0</v>
      </c>
      <c r="W12" t="s">
        <v>51</v>
      </c>
    </row>
    <row r="13" spans="1:23" hidden="1" x14ac:dyDescent="0.25">
      <c r="A13" t="s">
        <v>69</v>
      </c>
      <c r="B13">
        <v>2018</v>
      </c>
      <c r="C13">
        <v>7</v>
      </c>
      <c r="D13">
        <v>1</v>
      </c>
      <c r="E13" t="s">
        <v>49</v>
      </c>
      <c r="F13" t="s">
        <v>64</v>
      </c>
      <c r="G13" t="s">
        <v>53</v>
      </c>
      <c r="H13" t="s">
        <v>57</v>
      </c>
      <c r="I13" t="s">
        <v>58</v>
      </c>
      <c r="J13">
        <v>0</v>
      </c>
      <c r="K13">
        <v>5.5</v>
      </c>
      <c r="L13">
        <v>1.5</v>
      </c>
      <c r="M13">
        <v>2</v>
      </c>
      <c r="N13">
        <v>4.5</v>
      </c>
      <c r="O13">
        <v>5</v>
      </c>
      <c r="P13">
        <v>0</v>
      </c>
      <c r="Q13">
        <v>18.5</v>
      </c>
      <c r="R13" t="s">
        <v>56</v>
      </c>
      <c r="S13" t="b">
        <v>0</v>
      </c>
      <c r="W13" t="s">
        <v>51</v>
      </c>
    </row>
    <row r="14" spans="1:23" hidden="1" x14ac:dyDescent="0.25">
      <c r="A14" t="s">
        <v>69</v>
      </c>
      <c r="B14">
        <v>2018</v>
      </c>
      <c r="C14">
        <v>7</v>
      </c>
      <c r="D14">
        <v>1</v>
      </c>
      <c r="E14" t="s">
        <v>49</v>
      </c>
      <c r="F14" t="s">
        <v>64</v>
      </c>
      <c r="G14" t="s">
        <v>53</v>
      </c>
      <c r="H14" t="s">
        <v>57</v>
      </c>
      <c r="I14" t="s">
        <v>68</v>
      </c>
      <c r="J14">
        <v>0</v>
      </c>
      <c r="K14">
        <v>0.5</v>
      </c>
      <c r="L14">
        <v>1</v>
      </c>
      <c r="M14">
        <v>3.5</v>
      </c>
      <c r="N14">
        <v>2.5</v>
      </c>
      <c r="O14">
        <v>0.2</v>
      </c>
      <c r="P14">
        <v>0</v>
      </c>
      <c r="Q14">
        <v>7.7</v>
      </c>
      <c r="R14" t="s">
        <v>56</v>
      </c>
      <c r="S14" t="b">
        <v>0</v>
      </c>
      <c r="W14" t="s">
        <v>51</v>
      </c>
    </row>
    <row r="15" spans="1:23" hidden="1" x14ac:dyDescent="0.25">
      <c r="A15" t="s">
        <v>69</v>
      </c>
      <c r="B15">
        <v>2018</v>
      </c>
      <c r="C15">
        <v>7</v>
      </c>
      <c r="D15">
        <v>1</v>
      </c>
      <c r="E15" t="s">
        <v>49</v>
      </c>
      <c r="F15" t="s">
        <v>71</v>
      </c>
      <c r="G15" t="s">
        <v>53</v>
      </c>
      <c r="H15" t="s">
        <v>17</v>
      </c>
      <c r="I15" t="s">
        <v>72</v>
      </c>
      <c r="J15">
        <v>0</v>
      </c>
      <c r="K15">
        <v>0</v>
      </c>
      <c r="L15">
        <v>1.2</v>
      </c>
      <c r="M15">
        <v>0</v>
      </c>
      <c r="N15">
        <v>0</v>
      </c>
      <c r="O15">
        <v>0</v>
      </c>
      <c r="P15">
        <v>0</v>
      </c>
      <c r="Q15">
        <v>1.2</v>
      </c>
      <c r="R15" t="s">
        <v>56</v>
      </c>
      <c r="S15" t="b">
        <v>0</v>
      </c>
      <c r="W15" t="s">
        <v>51</v>
      </c>
    </row>
    <row r="16" spans="1:23" hidden="1" x14ac:dyDescent="0.25">
      <c r="A16" t="s">
        <v>69</v>
      </c>
      <c r="B16">
        <v>2018</v>
      </c>
      <c r="C16">
        <v>7</v>
      </c>
      <c r="D16">
        <v>1</v>
      </c>
      <c r="E16" t="s">
        <v>49</v>
      </c>
      <c r="F16" t="s">
        <v>71</v>
      </c>
      <c r="G16" t="s">
        <v>53</v>
      </c>
      <c r="H16" t="s">
        <v>16</v>
      </c>
      <c r="I16" t="s">
        <v>72</v>
      </c>
      <c r="J16">
        <v>0</v>
      </c>
      <c r="K16">
        <v>0</v>
      </c>
      <c r="L16">
        <v>1.2</v>
      </c>
      <c r="M16">
        <v>0</v>
      </c>
      <c r="N16">
        <v>0</v>
      </c>
      <c r="O16">
        <v>0</v>
      </c>
      <c r="P16">
        <v>0</v>
      </c>
      <c r="Q16">
        <v>1.2</v>
      </c>
      <c r="R16" t="s">
        <v>56</v>
      </c>
      <c r="S16" t="b">
        <v>0</v>
      </c>
      <c r="W16" t="s">
        <v>51</v>
      </c>
    </row>
    <row r="17" spans="1:23" hidden="1" x14ac:dyDescent="0.25">
      <c r="A17" t="s">
        <v>69</v>
      </c>
      <c r="B17">
        <v>2018</v>
      </c>
      <c r="C17">
        <v>7</v>
      </c>
      <c r="D17">
        <v>1</v>
      </c>
      <c r="E17" t="s">
        <v>49</v>
      </c>
      <c r="G17" t="s">
        <v>73</v>
      </c>
      <c r="J17">
        <v>0</v>
      </c>
      <c r="K17">
        <v>0.2</v>
      </c>
      <c r="L17">
        <v>0</v>
      </c>
      <c r="M17">
        <v>0</v>
      </c>
      <c r="N17">
        <v>0</v>
      </c>
      <c r="O17">
        <v>0</v>
      </c>
      <c r="P17">
        <v>0</v>
      </c>
      <c r="Q17">
        <v>0.2</v>
      </c>
      <c r="S17" t="b">
        <v>0</v>
      </c>
      <c r="W17" t="s">
        <v>51</v>
      </c>
    </row>
    <row r="18" spans="1:23" hidden="1" x14ac:dyDescent="0.25">
      <c r="A18" t="s">
        <v>74</v>
      </c>
      <c r="B18">
        <v>2018</v>
      </c>
      <c r="C18">
        <v>7</v>
      </c>
      <c r="D18">
        <v>1</v>
      </c>
      <c r="E18" t="s">
        <v>49</v>
      </c>
      <c r="F18" t="s">
        <v>52</v>
      </c>
      <c r="G18" t="s">
        <v>53</v>
      </c>
      <c r="H18" t="s">
        <v>75</v>
      </c>
      <c r="I18" t="s">
        <v>76</v>
      </c>
      <c r="J18">
        <v>0</v>
      </c>
      <c r="K18">
        <v>0</v>
      </c>
      <c r="L18">
        <v>0</v>
      </c>
      <c r="M18">
        <v>3</v>
      </c>
      <c r="N18">
        <v>4</v>
      </c>
      <c r="O18">
        <v>3</v>
      </c>
      <c r="P18">
        <v>0</v>
      </c>
      <c r="Q18">
        <v>10</v>
      </c>
      <c r="R18" t="s">
        <v>56</v>
      </c>
      <c r="S18" t="b">
        <v>0</v>
      </c>
      <c r="W18" t="s">
        <v>51</v>
      </c>
    </row>
    <row r="19" spans="1:23" hidden="1" x14ac:dyDescent="0.25">
      <c r="A19" t="s">
        <v>74</v>
      </c>
      <c r="B19">
        <v>2018</v>
      </c>
      <c r="C19">
        <v>7</v>
      </c>
      <c r="D19">
        <v>1</v>
      </c>
      <c r="E19" t="s">
        <v>49</v>
      </c>
      <c r="F19" t="s">
        <v>52</v>
      </c>
      <c r="G19" t="s">
        <v>53</v>
      </c>
      <c r="H19" t="s">
        <v>75</v>
      </c>
      <c r="I19" t="s">
        <v>72</v>
      </c>
      <c r="J19">
        <v>0</v>
      </c>
      <c r="K19">
        <v>0</v>
      </c>
      <c r="L19">
        <v>2.5</v>
      </c>
      <c r="M19">
        <v>0</v>
      </c>
      <c r="N19">
        <v>0</v>
      </c>
      <c r="O19">
        <v>0</v>
      </c>
      <c r="P19">
        <v>0</v>
      </c>
      <c r="Q19">
        <v>2.5</v>
      </c>
      <c r="R19" t="s">
        <v>56</v>
      </c>
      <c r="S19" t="b">
        <v>0</v>
      </c>
      <c r="W19" t="s">
        <v>51</v>
      </c>
    </row>
    <row r="20" spans="1:23" hidden="1" x14ac:dyDescent="0.25">
      <c r="A20" t="s">
        <v>74</v>
      </c>
      <c r="B20">
        <v>2018</v>
      </c>
      <c r="C20">
        <v>7</v>
      </c>
      <c r="D20">
        <v>1</v>
      </c>
      <c r="E20" t="s">
        <v>49</v>
      </c>
      <c r="F20" t="s">
        <v>52</v>
      </c>
      <c r="G20" t="s">
        <v>53</v>
      </c>
      <c r="H20" t="s">
        <v>75</v>
      </c>
      <c r="I20" t="s">
        <v>77</v>
      </c>
      <c r="J20">
        <v>0</v>
      </c>
      <c r="K20">
        <v>0</v>
      </c>
      <c r="L20">
        <v>4</v>
      </c>
      <c r="M20">
        <v>3</v>
      </c>
      <c r="N20">
        <v>3</v>
      </c>
      <c r="O20">
        <v>3</v>
      </c>
      <c r="P20">
        <v>0</v>
      </c>
      <c r="Q20">
        <v>13</v>
      </c>
      <c r="R20" t="s">
        <v>56</v>
      </c>
      <c r="S20" t="b">
        <v>0</v>
      </c>
      <c r="W20" t="s">
        <v>51</v>
      </c>
    </row>
    <row r="21" spans="1:23" hidden="1" x14ac:dyDescent="0.25">
      <c r="A21" t="s">
        <v>74</v>
      </c>
      <c r="B21">
        <v>2018</v>
      </c>
      <c r="C21">
        <v>7</v>
      </c>
      <c r="D21">
        <v>1</v>
      </c>
      <c r="E21" t="s">
        <v>49</v>
      </c>
      <c r="G21" t="s">
        <v>73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1</v>
      </c>
      <c r="S21" t="b">
        <v>0</v>
      </c>
      <c r="W21" t="s">
        <v>51</v>
      </c>
    </row>
    <row r="22" spans="1:23" hidden="1" x14ac:dyDescent="0.25">
      <c r="A22" t="s">
        <v>74</v>
      </c>
      <c r="B22">
        <v>2018</v>
      </c>
      <c r="C22">
        <v>7</v>
      </c>
      <c r="D22">
        <v>1</v>
      </c>
      <c r="E22" t="s">
        <v>49</v>
      </c>
      <c r="F22" t="s">
        <v>67</v>
      </c>
      <c r="G22" t="s">
        <v>70</v>
      </c>
      <c r="H22" t="s">
        <v>57</v>
      </c>
      <c r="I22" t="s">
        <v>68</v>
      </c>
      <c r="J22">
        <v>0</v>
      </c>
      <c r="K22">
        <v>0</v>
      </c>
      <c r="L22">
        <v>2.5</v>
      </c>
      <c r="M22">
        <v>2</v>
      </c>
      <c r="N22">
        <v>2</v>
      </c>
      <c r="O22">
        <v>2</v>
      </c>
      <c r="P22">
        <v>0</v>
      </c>
      <c r="Q22">
        <v>8.5</v>
      </c>
      <c r="R22" t="s">
        <v>56</v>
      </c>
      <c r="S22" t="b">
        <v>0</v>
      </c>
      <c r="W22" t="s">
        <v>51</v>
      </c>
    </row>
    <row r="23" spans="1:23" hidden="1" x14ac:dyDescent="0.25">
      <c r="A23" t="s">
        <v>74</v>
      </c>
      <c r="B23">
        <v>2018</v>
      </c>
      <c r="C23">
        <v>7</v>
      </c>
      <c r="D23">
        <v>1</v>
      </c>
      <c r="E23" t="s">
        <v>49</v>
      </c>
      <c r="G23" t="s">
        <v>62</v>
      </c>
      <c r="J23">
        <v>0</v>
      </c>
      <c r="K23">
        <v>8</v>
      </c>
      <c r="L23">
        <v>0</v>
      </c>
      <c r="M23">
        <v>0</v>
      </c>
      <c r="N23">
        <v>0</v>
      </c>
      <c r="O23">
        <v>0</v>
      </c>
      <c r="P23">
        <v>0</v>
      </c>
      <c r="Q23">
        <v>8</v>
      </c>
      <c r="S23" t="b">
        <v>0</v>
      </c>
      <c r="W23" t="s">
        <v>51</v>
      </c>
    </row>
    <row r="24" spans="1:23" hidden="1" x14ac:dyDescent="0.25">
      <c r="A24" t="s">
        <v>48</v>
      </c>
      <c r="B24">
        <v>2018</v>
      </c>
      <c r="C24">
        <v>7</v>
      </c>
      <c r="D24">
        <v>1</v>
      </c>
      <c r="E24" t="s">
        <v>49</v>
      </c>
      <c r="F24" t="s">
        <v>52</v>
      </c>
      <c r="G24" t="s">
        <v>53</v>
      </c>
      <c r="H24" t="s">
        <v>57</v>
      </c>
      <c r="I24" t="s">
        <v>55</v>
      </c>
      <c r="J24">
        <v>0</v>
      </c>
      <c r="K24">
        <v>0</v>
      </c>
      <c r="L24">
        <v>0</v>
      </c>
      <c r="M24">
        <v>0</v>
      </c>
      <c r="N24">
        <v>0</v>
      </c>
      <c r="O24">
        <v>3</v>
      </c>
      <c r="P24">
        <v>0</v>
      </c>
      <c r="Q24">
        <v>3</v>
      </c>
      <c r="R24" t="s">
        <v>56</v>
      </c>
      <c r="S24" t="b">
        <v>0</v>
      </c>
      <c r="W24" t="s">
        <v>51</v>
      </c>
    </row>
    <row r="25" spans="1:23" hidden="1" x14ac:dyDescent="0.25">
      <c r="A25" t="s">
        <v>48</v>
      </c>
      <c r="B25">
        <v>2018</v>
      </c>
      <c r="C25">
        <v>7</v>
      </c>
      <c r="D25">
        <v>1</v>
      </c>
      <c r="E25" t="s">
        <v>49</v>
      </c>
      <c r="F25" t="s">
        <v>52</v>
      </c>
      <c r="G25" t="s">
        <v>53</v>
      </c>
      <c r="H25" t="s">
        <v>57</v>
      </c>
      <c r="I25" t="s">
        <v>65</v>
      </c>
      <c r="J25">
        <v>0</v>
      </c>
      <c r="K25">
        <v>8</v>
      </c>
      <c r="L25">
        <v>5</v>
      </c>
      <c r="M25">
        <v>6</v>
      </c>
      <c r="N25">
        <v>8</v>
      </c>
      <c r="O25">
        <v>2</v>
      </c>
      <c r="P25">
        <v>0</v>
      </c>
      <c r="Q25">
        <v>29</v>
      </c>
      <c r="R25" t="s">
        <v>56</v>
      </c>
      <c r="S25" t="b">
        <v>0</v>
      </c>
      <c r="W25" t="s">
        <v>51</v>
      </c>
    </row>
    <row r="26" spans="1:23" hidden="1" x14ac:dyDescent="0.25">
      <c r="A26" t="s">
        <v>48</v>
      </c>
      <c r="B26">
        <v>2018</v>
      </c>
      <c r="C26">
        <v>7</v>
      </c>
      <c r="D26">
        <v>1</v>
      </c>
      <c r="E26" t="s">
        <v>49</v>
      </c>
      <c r="G26" t="s">
        <v>50</v>
      </c>
      <c r="J26">
        <v>0</v>
      </c>
      <c r="K26">
        <v>0</v>
      </c>
      <c r="L26">
        <v>3</v>
      </c>
      <c r="M26">
        <v>2</v>
      </c>
      <c r="N26">
        <v>0</v>
      </c>
      <c r="O26">
        <v>0</v>
      </c>
      <c r="P26">
        <v>0</v>
      </c>
      <c r="Q26">
        <v>5</v>
      </c>
      <c r="S26" t="b">
        <v>0</v>
      </c>
      <c r="W26" t="s">
        <v>51</v>
      </c>
    </row>
    <row r="27" spans="1:23" hidden="1" x14ac:dyDescent="0.25">
      <c r="A27" t="s">
        <v>48</v>
      </c>
      <c r="B27">
        <v>2018</v>
      </c>
      <c r="C27">
        <v>7</v>
      </c>
      <c r="D27">
        <v>1</v>
      </c>
      <c r="E27" t="s">
        <v>49</v>
      </c>
      <c r="F27" t="s">
        <v>52</v>
      </c>
      <c r="G27" t="s">
        <v>53</v>
      </c>
      <c r="H27" t="s">
        <v>57</v>
      </c>
      <c r="I27" t="s">
        <v>59</v>
      </c>
      <c r="J27">
        <v>0</v>
      </c>
      <c r="K27">
        <v>0</v>
      </c>
      <c r="L27">
        <v>0</v>
      </c>
      <c r="M27">
        <v>0</v>
      </c>
      <c r="N27">
        <v>0</v>
      </c>
      <c r="O27">
        <v>3</v>
      </c>
      <c r="P27">
        <v>0</v>
      </c>
      <c r="Q27">
        <v>3</v>
      </c>
      <c r="R27" t="s">
        <v>56</v>
      </c>
      <c r="S27" t="b">
        <v>0</v>
      </c>
      <c r="W27" t="s">
        <v>51</v>
      </c>
    </row>
    <row r="28" spans="1:23" hidden="1" x14ac:dyDescent="0.25">
      <c r="A28" t="s">
        <v>60</v>
      </c>
      <c r="B28">
        <v>2018</v>
      </c>
      <c r="C28">
        <v>7</v>
      </c>
      <c r="D28">
        <v>1</v>
      </c>
      <c r="E28" t="s">
        <v>49</v>
      </c>
      <c r="F28" t="s">
        <v>52</v>
      </c>
      <c r="G28" t="s">
        <v>53</v>
      </c>
      <c r="H28" t="s">
        <v>57</v>
      </c>
      <c r="I28" t="s">
        <v>61</v>
      </c>
      <c r="J28">
        <v>0</v>
      </c>
      <c r="K28">
        <v>0</v>
      </c>
      <c r="L28">
        <v>0</v>
      </c>
      <c r="M28">
        <v>8</v>
      </c>
      <c r="N28">
        <v>8</v>
      </c>
      <c r="O28">
        <v>8</v>
      </c>
      <c r="P28">
        <v>0</v>
      </c>
      <c r="Q28">
        <v>24</v>
      </c>
      <c r="R28" t="s">
        <v>56</v>
      </c>
      <c r="S28" t="b">
        <v>0</v>
      </c>
      <c r="W28" t="s">
        <v>51</v>
      </c>
    </row>
    <row r="29" spans="1:23" x14ac:dyDescent="0.25">
      <c r="A29" t="s">
        <v>74</v>
      </c>
      <c r="B29">
        <v>2018</v>
      </c>
      <c r="C29">
        <v>5</v>
      </c>
      <c r="D29">
        <v>2</v>
      </c>
      <c r="E29" t="s">
        <v>49</v>
      </c>
      <c r="F29" t="s">
        <v>52</v>
      </c>
      <c r="G29" t="s">
        <v>78</v>
      </c>
      <c r="H29" t="s">
        <v>111</v>
      </c>
      <c r="I29" t="s">
        <v>112</v>
      </c>
      <c r="J29">
        <v>0</v>
      </c>
      <c r="K29">
        <v>0</v>
      </c>
      <c r="L29">
        <v>0</v>
      </c>
      <c r="M29">
        <v>2</v>
      </c>
      <c r="N29">
        <v>0</v>
      </c>
      <c r="O29">
        <v>0</v>
      </c>
      <c r="P29">
        <v>0</v>
      </c>
      <c r="Q29">
        <v>2</v>
      </c>
      <c r="R29" t="s">
        <v>56</v>
      </c>
      <c r="S29" t="b">
        <v>0</v>
      </c>
      <c r="W29" t="s">
        <v>51</v>
      </c>
    </row>
    <row r="30" spans="1:23" hidden="1" x14ac:dyDescent="0.25">
      <c r="A30" t="s">
        <v>79</v>
      </c>
      <c r="B30">
        <v>2018</v>
      </c>
      <c r="C30">
        <v>7</v>
      </c>
      <c r="D30">
        <v>1</v>
      </c>
      <c r="E30" t="s">
        <v>49</v>
      </c>
      <c r="G30" t="s">
        <v>66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1</v>
      </c>
      <c r="S30" t="b">
        <v>0</v>
      </c>
      <c r="W30" t="s">
        <v>51</v>
      </c>
    </row>
    <row r="31" spans="1:23" hidden="1" x14ac:dyDescent="0.25">
      <c r="A31" t="s">
        <v>79</v>
      </c>
      <c r="B31">
        <v>2018</v>
      </c>
      <c r="C31">
        <v>7</v>
      </c>
      <c r="D31">
        <v>1</v>
      </c>
      <c r="E31" t="s">
        <v>49</v>
      </c>
      <c r="G31" t="s">
        <v>73</v>
      </c>
      <c r="J31">
        <v>0</v>
      </c>
      <c r="K31">
        <v>0</v>
      </c>
      <c r="L31">
        <v>0</v>
      </c>
      <c r="M31">
        <v>2</v>
      </c>
      <c r="N31">
        <v>3</v>
      </c>
      <c r="O31">
        <v>0</v>
      </c>
      <c r="P31">
        <v>0</v>
      </c>
      <c r="Q31">
        <v>5</v>
      </c>
      <c r="S31" t="b">
        <v>0</v>
      </c>
      <c r="W31" t="s">
        <v>51</v>
      </c>
    </row>
    <row r="32" spans="1:23" hidden="1" x14ac:dyDescent="0.25">
      <c r="A32" t="s">
        <v>79</v>
      </c>
      <c r="B32">
        <v>2018</v>
      </c>
      <c r="C32">
        <v>7</v>
      </c>
      <c r="D32">
        <v>1</v>
      </c>
      <c r="E32" t="s">
        <v>49</v>
      </c>
      <c r="G32" t="s">
        <v>62</v>
      </c>
      <c r="J32">
        <v>0</v>
      </c>
      <c r="K32">
        <v>8</v>
      </c>
      <c r="L32">
        <v>0</v>
      </c>
      <c r="M32">
        <v>0</v>
      </c>
      <c r="N32">
        <v>0</v>
      </c>
      <c r="O32">
        <v>0</v>
      </c>
      <c r="P32">
        <v>0</v>
      </c>
      <c r="Q32">
        <v>8</v>
      </c>
      <c r="S32" t="b">
        <v>0</v>
      </c>
      <c r="W32" t="s">
        <v>51</v>
      </c>
    </row>
    <row r="33" spans="1:23" hidden="1" x14ac:dyDescent="0.25">
      <c r="A33" t="s">
        <v>79</v>
      </c>
      <c r="B33">
        <v>2018</v>
      </c>
      <c r="C33">
        <v>7</v>
      </c>
      <c r="D33">
        <v>1</v>
      </c>
      <c r="E33" t="s">
        <v>49</v>
      </c>
      <c r="F33" t="s">
        <v>52</v>
      </c>
      <c r="G33" t="s">
        <v>53</v>
      </c>
      <c r="H33" t="s">
        <v>14</v>
      </c>
      <c r="I33" t="s">
        <v>77</v>
      </c>
      <c r="J33">
        <v>0</v>
      </c>
      <c r="K33">
        <v>0</v>
      </c>
      <c r="L33">
        <v>0</v>
      </c>
      <c r="M33">
        <v>0</v>
      </c>
      <c r="N33">
        <v>0</v>
      </c>
      <c r="O33">
        <v>4</v>
      </c>
      <c r="P33">
        <v>0</v>
      </c>
      <c r="Q33">
        <v>4</v>
      </c>
      <c r="R33" t="s">
        <v>56</v>
      </c>
      <c r="S33" t="b">
        <v>0</v>
      </c>
      <c r="W33" t="s">
        <v>51</v>
      </c>
    </row>
    <row r="34" spans="1:23" hidden="1" x14ac:dyDescent="0.25">
      <c r="A34" t="s">
        <v>79</v>
      </c>
      <c r="B34">
        <v>2018</v>
      </c>
      <c r="C34">
        <v>7</v>
      </c>
      <c r="D34">
        <v>1</v>
      </c>
      <c r="E34" t="s">
        <v>49</v>
      </c>
      <c r="F34" t="s">
        <v>52</v>
      </c>
      <c r="G34" t="s">
        <v>53</v>
      </c>
      <c r="H34" t="s">
        <v>80</v>
      </c>
      <c r="I34" t="s">
        <v>76</v>
      </c>
      <c r="J34">
        <v>0</v>
      </c>
      <c r="K34">
        <v>0</v>
      </c>
      <c r="L34">
        <v>0</v>
      </c>
      <c r="M34">
        <v>0</v>
      </c>
      <c r="N34">
        <v>0</v>
      </c>
      <c r="O34">
        <v>0.5</v>
      </c>
      <c r="P34">
        <v>0</v>
      </c>
      <c r="Q34">
        <v>0.5</v>
      </c>
      <c r="R34" t="s">
        <v>56</v>
      </c>
      <c r="S34" t="b">
        <v>0</v>
      </c>
      <c r="W34" t="s">
        <v>51</v>
      </c>
    </row>
    <row r="35" spans="1:23" hidden="1" x14ac:dyDescent="0.25">
      <c r="A35" t="s">
        <v>79</v>
      </c>
      <c r="B35">
        <v>2018</v>
      </c>
      <c r="C35">
        <v>7</v>
      </c>
      <c r="D35">
        <v>1</v>
      </c>
      <c r="E35" t="s">
        <v>49</v>
      </c>
      <c r="F35" t="s">
        <v>71</v>
      </c>
      <c r="G35" t="s">
        <v>53</v>
      </c>
      <c r="H35" t="s">
        <v>14</v>
      </c>
      <c r="I35" t="s">
        <v>77</v>
      </c>
      <c r="J35">
        <v>0</v>
      </c>
      <c r="K35">
        <v>0</v>
      </c>
      <c r="L35">
        <v>3</v>
      </c>
      <c r="M35">
        <v>0</v>
      </c>
      <c r="N35">
        <v>0</v>
      </c>
      <c r="O35">
        <v>0</v>
      </c>
      <c r="P35">
        <v>0</v>
      </c>
      <c r="Q35">
        <v>3</v>
      </c>
      <c r="R35" t="s">
        <v>56</v>
      </c>
      <c r="S35" t="b">
        <v>0</v>
      </c>
      <c r="W35" t="s">
        <v>51</v>
      </c>
    </row>
    <row r="36" spans="1:23" hidden="1" x14ac:dyDescent="0.25">
      <c r="A36" t="s">
        <v>79</v>
      </c>
      <c r="B36">
        <v>2018</v>
      </c>
      <c r="C36">
        <v>7</v>
      </c>
      <c r="D36">
        <v>1</v>
      </c>
      <c r="E36" t="s">
        <v>49</v>
      </c>
      <c r="F36" t="s">
        <v>52</v>
      </c>
      <c r="G36" t="s">
        <v>53</v>
      </c>
      <c r="H36" t="s">
        <v>57</v>
      </c>
      <c r="I36" t="s">
        <v>55</v>
      </c>
      <c r="J36">
        <v>0</v>
      </c>
      <c r="K36">
        <v>0</v>
      </c>
      <c r="L36">
        <v>2</v>
      </c>
      <c r="M36">
        <v>3</v>
      </c>
      <c r="N36">
        <v>3</v>
      </c>
      <c r="O36">
        <v>0</v>
      </c>
      <c r="P36">
        <v>0</v>
      </c>
      <c r="Q36">
        <v>8</v>
      </c>
      <c r="R36" t="s">
        <v>56</v>
      </c>
      <c r="S36" t="b">
        <v>0</v>
      </c>
      <c r="W36" t="s">
        <v>51</v>
      </c>
    </row>
    <row r="37" spans="1:23" hidden="1" x14ac:dyDescent="0.25">
      <c r="A37" t="s">
        <v>79</v>
      </c>
      <c r="B37">
        <v>2018</v>
      </c>
      <c r="C37">
        <v>7</v>
      </c>
      <c r="D37">
        <v>1</v>
      </c>
      <c r="E37" t="s">
        <v>49</v>
      </c>
      <c r="F37" t="s">
        <v>52</v>
      </c>
      <c r="G37" t="s">
        <v>53</v>
      </c>
      <c r="H37" t="s">
        <v>57</v>
      </c>
      <c r="I37" t="s">
        <v>81</v>
      </c>
      <c r="J37">
        <v>0</v>
      </c>
      <c r="K37">
        <v>0</v>
      </c>
      <c r="L37">
        <v>0</v>
      </c>
      <c r="M37">
        <v>0</v>
      </c>
      <c r="N37">
        <v>0</v>
      </c>
      <c r="O37">
        <v>2</v>
      </c>
      <c r="P37">
        <v>0</v>
      </c>
      <c r="Q37">
        <v>2</v>
      </c>
      <c r="R37" t="s">
        <v>56</v>
      </c>
      <c r="S37" t="b">
        <v>0</v>
      </c>
      <c r="W37" t="s">
        <v>51</v>
      </c>
    </row>
    <row r="38" spans="1:23" hidden="1" x14ac:dyDescent="0.25">
      <c r="A38" t="s">
        <v>79</v>
      </c>
      <c r="B38">
        <v>2018</v>
      </c>
      <c r="C38">
        <v>7</v>
      </c>
      <c r="D38">
        <v>1</v>
      </c>
      <c r="E38" t="s">
        <v>49</v>
      </c>
      <c r="G38" t="s">
        <v>50</v>
      </c>
      <c r="J38">
        <v>0</v>
      </c>
      <c r="K38">
        <v>0</v>
      </c>
      <c r="L38">
        <v>3</v>
      </c>
      <c r="M38">
        <v>3</v>
      </c>
      <c r="N38">
        <v>2</v>
      </c>
      <c r="O38">
        <v>0.5</v>
      </c>
      <c r="P38">
        <v>0</v>
      </c>
      <c r="Q38">
        <v>8.5</v>
      </c>
      <c r="S38" t="b">
        <v>0</v>
      </c>
      <c r="W38" t="s">
        <v>51</v>
      </c>
    </row>
    <row r="39" spans="1:23" hidden="1" x14ac:dyDescent="0.25">
      <c r="A39" t="s">
        <v>63</v>
      </c>
      <c r="B39">
        <v>2018</v>
      </c>
      <c r="C39">
        <v>6</v>
      </c>
      <c r="D39">
        <v>4</v>
      </c>
      <c r="E39" t="s">
        <v>49</v>
      </c>
      <c r="G39" t="s">
        <v>66</v>
      </c>
      <c r="J39">
        <v>0</v>
      </c>
      <c r="K39">
        <v>0</v>
      </c>
      <c r="L39">
        <v>0.5</v>
      </c>
      <c r="M39">
        <v>0</v>
      </c>
      <c r="N39">
        <v>4.5</v>
      </c>
      <c r="O39">
        <v>2</v>
      </c>
      <c r="P39">
        <v>0</v>
      </c>
      <c r="Q39">
        <v>7</v>
      </c>
      <c r="S39" t="b">
        <v>0</v>
      </c>
      <c r="W39" t="s">
        <v>51</v>
      </c>
    </row>
    <row r="40" spans="1:23" hidden="1" x14ac:dyDescent="0.25">
      <c r="A40" t="s">
        <v>63</v>
      </c>
      <c r="B40">
        <v>2018</v>
      </c>
      <c r="C40">
        <v>6</v>
      </c>
      <c r="D40">
        <v>4</v>
      </c>
      <c r="E40" t="s">
        <v>49</v>
      </c>
      <c r="F40" t="s">
        <v>82</v>
      </c>
      <c r="G40" t="s">
        <v>70</v>
      </c>
      <c r="H40" t="s">
        <v>83</v>
      </c>
      <c r="I40" t="s">
        <v>77</v>
      </c>
      <c r="J40">
        <v>0</v>
      </c>
      <c r="K40">
        <v>0</v>
      </c>
      <c r="L40">
        <v>2</v>
      </c>
      <c r="M40">
        <v>0</v>
      </c>
      <c r="N40">
        <v>0</v>
      </c>
      <c r="O40">
        <v>0</v>
      </c>
      <c r="P40">
        <v>0</v>
      </c>
      <c r="Q40">
        <v>2</v>
      </c>
      <c r="R40" t="s">
        <v>56</v>
      </c>
      <c r="S40" t="b">
        <v>0</v>
      </c>
      <c r="W40" t="s">
        <v>51</v>
      </c>
    </row>
    <row r="41" spans="1:23" hidden="1" x14ac:dyDescent="0.25">
      <c r="A41" t="s">
        <v>63</v>
      </c>
      <c r="B41">
        <v>2018</v>
      </c>
      <c r="C41">
        <v>6</v>
      </c>
      <c r="D41">
        <v>4</v>
      </c>
      <c r="E41" t="s">
        <v>49</v>
      </c>
      <c r="F41" t="s">
        <v>82</v>
      </c>
      <c r="G41" t="s">
        <v>70</v>
      </c>
      <c r="H41" t="s">
        <v>84</v>
      </c>
      <c r="I41" t="s">
        <v>77</v>
      </c>
      <c r="J41">
        <v>0</v>
      </c>
      <c r="K41">
        <v>0</v>
      </c>
      <c r="L41">
        <v>2</v>
      </c>
      <c r="M41">
        <v>0</v>
      </c>
      <c r="N41">
        <v>0</v>
      </c>
      <c r="O41">
        <v>0</v>
      </c>
      <c r="P41">
        <v>0</v>
      </c>
      <c r="Q41">
        <v>2</v>
      </c>
      <c r="R41" t="s">
        <v>56</v>
      </c>
      <c r="S41" t="b">
        <v>0</v>
      </c>
      <c r="W41" t="s">
        <v>51</v>
      </c>
    </row>
    <row r="42" spans="1:23" hidden="1" x14ac:dyDescent="0.25">
      <c r="A42" t="s">
        <v>63</v>
      </c>
      <c r="B42">
        <v>2018</v>
      </c>
      <c r="C42">
        <v>6</v>
      </c>
      <c r="D42">
        <v>4</v>
      </c>
      <c r="E42" t="s">
        <v>49</v>
      </c>
      <c r="F42" t="s">
        <v>82</v>
      </c>
      <c r="G42" t="s">
        <v>70</v>
      </c>
      <c r="H42" t="s">
        <v>57</v>
      </c>
      <c r="I42" t="s">
        <v>85</v>
      </c>
      <c r="J42">
        <v>0</v>
      </c>
      <c r="K42">
        <v>0</v>
      </c>
      <c r="L42">
        <v>0</v>
      </c>
      <c r="M42">
        <v>6.5</v>
      </c>
      <c r="N42">
        <v>2</v>
      </c>
      <c r="O42">
        <v>1.5</v>
      </c>
      <c r="P42">
        <v>0</v>
      </c>
      <c r="Q42">
        <v>10</v>
      </c>
      <c r="R42" t="s">
        <v>56</v>
      </c>
      <c r="S42" t="b">
        <v>0</v>
      </c>
      <c r="W42" t="s">
        <v>51</v>
      </c>
    </row>
    <row r="43" spans="1:23" hidden="1" x14ac:dyDescent="0.25">
      <c r="A43" t="s">
        <v>63</v>
      </c>
      <c r="B43">
        <v>2018</v>
      </c>
      <c r="C43">
        <v>6</v>
      </c>
      <c r="D43">
        <v>4</v>
      </c>
      <c r="E43" t="s">
        <v>49</v>
      </c>
      <c r="F43" t="s">
        <v>67</v>
      </c>
      <c r="G43" t="s">
        <v>53</v>
      </c>
      <c r="H43" t="s">
        <v>57</v>
      </c>
      <c r="I43" t="s">
        <v>68</v>
      </c>
      <c r="J43">
        <v>0</v>
      </c>
      <c r="K43">
        <v>0</v>
      </c>
      <c r="L43">
        <v>0.5</v>
      </c>
      <c r="M43">
        <v>1</v>
      </c>
      <c r="N43">
        <v>0</v>
      </c>
      <c r="O43">
        <v>0</v>
      </c>
      <c r="P43">
        <v>0</v>
      </c>
      <c r="Q43">
        <v>1.5</v>
      </c>
      <c r="R43" t="s">
        <v>56</v>
      </c>
      <c r="S43" t="b">
        <v>0</v>
      </c>
      <c r="W43" t="s">
        <v>51</v>
      </c>
    </row>
    <row r="44" spans="1:23" hidden="1" x14ac:dyDescent="0.25">
      <c r="A44" t="s">
        <v>69</v>
      </c>
      <c r="B44">
        <v>2018</v>
      </c>
      <c r="C44">
        <v>6</v>
      </c>
      <c r="D44">
        <v>4</v>
      </c>
      <c r="E44" t="s">
        <v>49</v>
      </c>
      <c r="G44" t="s">
        <v>73</v>
      </c>
      <c r="J44">
        <v>0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</v>
      </c>
      <c r="S44" t="b">
        <v>0</v>
      </c>
      <c r="W44" t="s">
        <v>51</v>
      </c>
    </row>
    <row r="45" spans="1:23" hidden="1" x14ac:dyDescent="0.25">
      <c r="A45" t="s">
        <v>69</v>
      </c>
      <c r="B45">
        <v>2018</v>
      </c>
      <c r="C45">
        <v>6</v>
      </c>
      <c r="D45">
        <v>4</v>
      </c>
      <c r="E45" t="s">
        <v>49</v>
      </c>
      <c r="G45" t="s">
        <v>86</v>
      </c>
      <c r="J45">
        <v>0</v>
      </c>
      <c r="K45">
        <v>0</v>
      </c>
      <c r="L45">
        <v>4.5</v>
      </c>
      <c r="M45">
        <v>6</v>
      </c>
      <c r="N45">
        <v>5.0999999999999996</v>
      </c>
      <c r="O45">
        <v>6.5</v>
      </c>
      <c r="P45">
        <v>0</v>
      </c>
      <c r="Q45">
        <v>22.1</v>
      </c>
      <c r="S45" t="b">
        <v>0</v>
      </c>
      <c r="W45" t="s">
        <v>51</v>
      </c>
    </row>
    <row r="46" spans="1:23" hidden="1" x14ac:dyDescent="0.25">
      <c r="A46" t="s">
        <v>69</v>
      </c>
      <c r="B46">
        <v>2018</v>
      </c>
      <c r="C46">
        <v>6</v>
      </c>
      <c r="D46">
        <v>4</v>
      </c>
      <c r="E46" t="s">
        <v>49</v>
      </c>
      <c r="F46" t="s">
        <v>64</v>
      </c>
      <c r="G46" t="s">
        <v>53</v>
      </c>
      <c r="H46" t="s">
        <v>12</v>
      </c>
      <c r="I46" t="s">
        <v>77</v>
      </c>
      <c r="J46">
        <v>0</v>
      </c>
      <c r="K46">
        <v>6.5</v>
      </c>
      <c r="L46">
        <v>2.2000000000000002</v>
      </c>
      <c r="M46">
        <v>0</v>
      </c>
      <c r="N46">
        <v>2.5</v>
      </c>
      <c r="O46">
        <v>0</v>
      </c>
      <c r="P46">
        <v>0</v>
      </c>
      <c r="Q46">
        <v>11.2</v>
      </c>
      <c r="R46" t="s">
        <v>56</v>
      </c>
      <c r="S46" t="b">
        <v>0</v>
      </c>
      <c r="W46" t="s">
        <v>51</v>
      </c>
    </row>
    <row r="47" spans="1:23" hidden="1" x14ac:dyDescent="0.25">
      <c r="A47" t="s">
        <v>69</v>
      </c>
      <c r="B47">
        <v>2018</v>
      </c>
      <c r="C47">
        <v>6</v>
      </c>
      <c r="D47">
        <v>4</v>
      </c>
      <c r="E47" t="s">
        <v>49</v>
      </c>
      <c r="F47" t="s">
        <v>64</v>
      </c>
      <c r="G47" t="s">
        <v>53</v>
      </c>
      <c r="H47" t="s">
        <v>57</v>
      </c>
      <c r="I47" t="s">
        <v>68</v>
      </c>
      <c r="J47">
        <v>0</v>
      </c>
      <c r="K47">
        <v>1</v>
      </c>
      <c r="L47">
        <v>1.9</v>
      </c>
      <c r="M47">
        <v>2.4</v>
      </c>
      <c r="N47">
        <v>1.4</v>
      </c>
      <c r="O47">
        <v>1.5</v>
      </c>
      <c r="P47">
        <v>0</v>
      </c>
      <c r="Q47">
        <v>8.1999999999999993</v>
      </c>
      <c r="R47" t="s">
        <v>56</v>
      </c>
      <c r="S47" t="b">
        <v>0</v>
      </c>
      <c r="W47" t="s">
        <v>51</v>
      </c>
    </row>
    <row r="48" spans="1:23" hidden="1" x14ac:dyDescent="0.25">
      <c r="A48" t="s">
        <v>74</v>
      </c>
      <c r="B48">
        <v>2018</v>
      </c>
      <c r="C48">
        <v>6</v>
      </c>
      <c r="D48">
        <v>4</v>
      </c>
      <c r="E48" t="s">
        <v>49</v>
      </c>
      <c r="F48" t="s">
        <v>67</v>
      </c>
      <c r="G48" t="s">
        <v>53</v>
      </c>
      <c r="H48" t="s">
        <v>57</v>
      </c>
      <c r="I48" t="s">
        <v>68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>
        <v>0</v>
      </c>
      <c r="Q48">
        <v>1</v>
      </c>
      <c r="R48" t="s">
        <v>56</v>
      </c>
      <c r="S48" t="b">
        <v>0</v>
      </c>
      <c r="W48" t="s">
        <v>51</v>
      </c>
    </row>
    <row r="49" spans="1:23" hidden="1" x14ac:dyDescent="0.25">
      <c r="A49" t="s">
        <v>74</v>
      </c>
      <c r="B49">
        <v>2018</v>
      </c>
      <c r="C49">
        <v>6</v>
      </c>
      <c r="D49">
        <v>4</v>
      </c>
      <c r="E49" t="s">
        <v>49</v>
      </c>
      <c r="F49" t="s">
        <v>64</v>
      </c>
      <c r="G49" t="s">
        <v>53</v>
      </c>
      <c r="H49" t="s">
        <v>57</v>
      </c>
      <c r="I49" t="s">
        <v>87</v>
      </c>
      <c r="J49">
        <v>0</v>
      </c>
      <c r="K49">
        <v>0</v>
      </c>
      <c r="L49">
        <v>0</v>
      </c>
      <c r="M49">
        <v>0</v>
      </c>
      <c r="N49">
        <v>0</v>
      </c>
      <c r="O49">
        <v>0.7</v>
      </c>
      <c r="P49">
        <v>0</v>
      </c>
      <c r="Q49">
        <v>0.7</v>
      </c>
      <c r="R49" t="s">
        <v>56</v>
      </c>
      <c r="S49" t="b">
        <v>0</v>
      </c>
      <c r="W49" t="s">
        <v>51</v>
      </c>
    </row>
    <row r="50" spans="1:23" hidden="1" x14ac:dyDescent="0.25">
      <c r="A50" t="s">
        <v>74</v>
      </c>
      <c r="B50">
        <v>2018</v>
      </c>
      <c r="C50">
        <v>6</v>
      </c>
      <c r="D50">
        <v>4</v>
      </c>
      <c r="E50" t="s">
        <v>49</v>
      </c>
      <c r="F50" t="s">
        <v>82</v>
      </c>
      <c r="G50" t="s">
        <v>53</v>
      </c>
      <c r="H50" t="s">
        <v>57</v>
      </c>
      <c r="I50" t="s">
        <v>88</v>
      </c>
      <c r="J50">
        <v>0</v>
      </c>
      <c r="K50">
        <v>0</v>
      </c>
      <c r="L50">
        <v>0</v>
      </c>
      <c r="M50">
        <v>0</v>
      </c>
      <c r="N50">
        <v>0</v>
      </c>
      <c r="O50">
        <v>0.8</v>
      </c>
      <c r="P50">
        <v>0</v>
      </c>
      <c r="Q50">
        <v>0.8</v>
      </c>
      <c r="R50" t="s">
        <v>56</v>
      </c>
      <c r="S50" t="b">
        <v>0</v>
      </c>
      <c r="W50" t="s">
        <v>51</v>
      </c>
    </row>
    <row r="51" spans="1:23" hidden="1" x14ac:dyDescent="0.25">
      <c r="A51" t="s">
        <v>74</v>
      </c>
      <c r="B51">
        <v>2018</v>
      </c>
      <c r="C51">
        <v>6</v>
      </c>
      <c r="D51">
        <v>4</v>
      </c>
      <c r="E51" t="s">
        <v>49</v>
      </c>
      <c r="F51" t="s">
        <v>52</v>
      </c>
      <c r="G51" t="s">
        <v>53</v>
      </c>
      <c r="H51" t="s">
        <v>75</v>
      </c>
      <c r="I51" t="s">
        <v>76</v>
      </c>
      <c r="J51">
        <v>0</v>
      </c>
      <c r="K51">
        <v>0</v>
      </c>
      <c r="L51">
        <v>0</v>
      </c>
      <c r="M51">
        <v>0</v>
      </c>
      <c r="N51">
        <v>0</v>
      </c>
      <c r="O51">
        <v>3</v>
      </c>
      <c r="P51">
        <v>0</v>
      </c>
      <c r="Q51">
        <v>3</v>
      </c>
      <c r="R51" t="s">
        <v>56</v>
      </c>
      <c r="S51" t="b">
        <v>0</v>
      </c>
      <c r="W51" t="s">
        <v>51</v>
      </c>
    </row>
    <row r="52" spans="1:23" hidden="1" x14ac:dyDescent="0.25">
      <c r="A52" t="s">
        <v>74</v>
      </c>
      <c r="B52">
        <v>2018</v>
      </c>
      <c r="C52">
        <v>6</v>
      </c>
      <c r="D52">
        <v>4</v>
      </c>
      <c r="E52" t="s">
        <v>49</v>
      </c>
      <c r="F52" t="s">
        <v>52</v>
      </c>
      <c r="G52" t="s">
        <v>53</v>
      </c>
      <c r="H52" t="s">
        <v>75</v>
      </c>
      <c r="I52" t="s">
        <v>77</v>
      </c>
      <c r="J52">
        <v>0</v>
      </c>
      <c r="K52">
        <v>0</v>
      </c>
      <c r="L52">
        <v>0</v>
      </c>
      <c r="M52">
        <v>0</v>
      </c>
      <c r="N52">
        <v>0</v>
      </c>
      <c r="O52">
        <v>2.5</v>
      </c>
      <c r="P52">
        <v>0</v>
      </c>
      <c r="Q52">
        <v>2.5</v>
      </c>
      <c r="R52" t="s">
        <v>56</v>
      </c>
      <c r="S52" t="b">
        <v>0</v>
      </c>
      <c r="W52" t="s">
        <v>51</v>
      </c>
    </row>
    <row r="53" spans="1:23" hidden="1" x14ac:dyDescent="0.25">
      <c r="A53" t="s">
        <v>74</v>
      </c>
      <c r="B53">
        <v>2018</v>
      </c>
      <c r="C53">
        <v>6</v>
      </c>
      <c r="D53">
        <v>4</v>
      </c>
      <c r="E53" t="s">
        <v>49</v>
      </c>
      <c r="F53" t="s">
        <v>52</v>
      </c>
      <c r="G53" t="s">
        <v>53</v>
      </c>
      <c r="H53" t="s">
        <v>89</v>
      </c>
      <c r="I53" t="s">
        <v>76</v>
      </c>
      <c r="J53">
        <v>0</v>
      </c>
      <c r="K53">
        <v>0</v>
      </c>
      <c r="L53">
        <v>0</v>
      </c>
      <c r="M53">
        <v>0</v>
      </c>
      <c r="N53">
        <v>2.5</v>
      </c>
      <c r="O53">
        <v>0</v>
      </c>
      <c r="P53">
        <v>0</v>
      </c>
      <c r="Q53">
        <v>2.5</v>
      </c>
      <c r="R53" t="s">
        <v>56</v>
      </c>
      <c r="S53" t="b">
        <v>0</v>
      </c>
      <c r="W53" t="s">
        <v>51</v>
      </c>
    </row>
    <row r="54" spans="1:23" hidden="1" x14ac:dyDescent="0.25">
      <c r="A54" t="s">
        <v>74</v>
      </c>
      <c r="B54">
        <v>2018</v>
      </c>
      <c r="C54">
        <v>6</v>
      </c>
      <c r="D54">
        <v>4</v>
      </c>
      <c r="E54" t="s">
        <v>49</v>
      </c>
      <c r="F54" t="s">
        <v>52</v>
      </c>
      <c r="G54" t="s">
        <v>53</v>
      </c>
      <c r="H54" t="s">
        <v>90</v>
      </c>
      <c r="I54" t="s">
        <v>76</v>
      </c>
      <c r="J54">
        <v>0</v>
      </c>
      <c r="K54">
        <v>0</v>
      </c>
      <c r="L54">
        <v>0</v>
      </c>
      <c r="M54">
        <v>0</v>
      </c>
      <c r="N54">
        <v>2.5</v>
      </c>
      <c r="O54">
        <v>0</v>
      </c>
      <c r="P54">
        <v>0</v>
      </c>
      <c r="Q54">
        <v>2.5</v>
      </c>
      <c r="R54" t="s">
        <v>56</v>
      </c>
      <c r="S54" t="b">
        <v>0</v>
      </c>
      <c r="W54" t="s">
        <v>51</v>
      </c>
    </row>
    <row r="55" spans="1:23" hidden="1" x14ac:dyDescent="0.25">
      <c r="A55" t="s">
        <v>74</v>
      </c>
      <c r="B55">
        <v>2018</v>
      </c>
      <c r="C55">
        <v>6</v>
      </c>
      <c r="D55">
        <v>4</v>
      </c>
      <c r="E55" t="s">
        <v>49</v>
      </c>
      <c r="F55" t="s">
        <v>52</v>
      </c>
      <c r="G55" t="s">
        <v>53</v>
      </c>
      <c r="H55" t="s">
        <v>89</v>
      </c>
      <c r="I55" t="s">
        <v>77</v>
      </c>
      <c r="J55">
        <v>0</v>
      </c>
      <c r="K55">
        <v>0</v>
      </c>
      <c r="L55">
        <v>0</v>
      </c>
      <c r="M55">
        <v>0</v>
      </c>
      <c r="N55">
        <v>2.5</v>
      </c>
      <c r="O55">
        <v>0</v>
      </c>
      <c r="P55">
        <v>0</v>
      </c>
      <c r="Q55">
        <v>2.5</v>
      </c>
      <c r="R55" t="s">
        <v>56</v>
      </c>
      <c r="S55" t="b">
        <v>0</v>
      </c>
      <c r="W55" t="s">
        <v>51</v>
      </c>
    </row>
    <row r="56" spans="1:23" hidden="1" x14ac:dyDescent="0.25">
      <c r="A56" t="s">
        <v>74</v>
      </c>
      <c r="B56">
        <v>2018</v>
      </c>
      <c r="C56">
        <v>6</v>
      </c>
      <c r="D56">
        <v>4</v>
      </c>
      <c r="E56" t="s">
        <v>49</v>
      </c>
      <c r="F56" t="s">
        <v>52</v>
      </c>
      <c r="G56" t="s">
        <v>53</v>
      </c>
      <c r="H56" t="s">
        <v>90</v>
      </c>
      <c r="I56" t="s">
        <v>77</v>
      </c>
      <c r="J56">
        <v>0</v>
      </c>
      <c r="K56">
        <v>0</v>
      </c>
      <c r="L56">
        <v>0</v>
      </c>
      <c r="M56">
        <v>0</v>
      </c>
      <c r="N56">
        <v>2.5</v>
      </c>
      <c r="O56">
        <v>0</v>
      </c>
      <c r="P56">
        <v>0</v>
      </c>
      <c r="Q56">
        <v>2.5</v>
      </c>
      <c r="R56" t="s">
        <v>56</v>
      </c>
      <c r="S56" t="b">
        <v>0</v>
      </c>
      <c r="W56" t="s">
        <v>51</v>
      </c>
    </row>
    <row r="57" spans="1:23" hidden="1" x14ac:dyDescent="0.25">
      <c r="A57" t="s">
        <v>74</v>
      </c>
      <c r="B57">
        <v>2018</v>
      </c>
      <c r="C57">
        <v>6</v>
      </c>
      <c r="D57">
        <v>4</v>
      </c>
      <c r="E57" t="s">
        <v>49</v>
      </c>
      <c r="F57" t="s">
        <v>52</v>
      </c>
      <c r="G57" t="s">
        <v>53</v>
      </c>
      <c r="H57" t="s">
        <v>91</v>
      </c>
      <c r="I57" t="s">
        <v>76</v>
      </c>
      <c r="J57">
        <v>0</v>
      </c>
      <c r="K57">
        <v>0</v>
      </c>
      <c r="L57">
        <v>1</v>
      </c>
      <c r="M57">
        <v>8</v>
      </c>
      <c r="N57">
        <v>0</v>
      </c>
      <c r="O57">
        <v>0</v>
      </c>
      <c r="P57">
        <v>0</v>
      </c>
      <c r="Q57">
        <v>9</v>
      </c>
      <c r="R57" t="s">
        <v>56</v>
      </c>
      <c r="S57" t="b">
        <v>0</v>
      </c>
      <c r="W57" t="s">
        <v>51</v>
      </c>
    </row>
    <row r="58" spans="1:23" hidden="1" x14ac:dyDescent="0.25">
      <c r="A58" t="s">
        <v>74</v>
      </c>
      <c r="B58">
        <v>2018</v>
      </c>
      <c r="C58">
        <v>6</v>
      </c>
      <c r="D58">
        <v>4</v>
      </c>
      <c r="E58" t="s">
        <v>49</v>
      </c>
      <c r="F58" t="s">
        <v>52</v>
      </c>
      <c r="G58" t="s">
        <v>53</v>
      </c>
      <c r="H58" t="s">
        <v>91</v>
      </c>
      <c r="I58" t="s">
        <v>77</v>
      </c>
      <c r="J58">
        <v>0</v>
      </c>
      <c r="K58">
        <v>2</v>
      </c>
      <c r="L58">
        <v>6</v>
      </c>
      <c r="M58">
        <v>2</v>
      </c>
      <c r="N58">
        <v>0</v>
      </c>
      <c r="O58">
        <v>0</v>
      </c>
      <c r="P58">
        <v>0</v>
      </c>
      <c r="Q58">
        <v>10</v>
      </c>
      <c r="R58" t="s">
        <v>56</v>
      </c>
      <c r="S58" t="b">
        <v>0</v>
      </c>
      <c r="W58" t="s">
        <v>51</v>
      </c>
    </row>
    <row r="59" spans="1:23" hidden="1" x14ac:dyDescent="0.25">
      <c r="A59" t="s">
        <v>74</v>
      </c>
      <c r="B59">
        <v>2018</v>
      </c>
      <c r="C59">
        <v>6</v>
      </c>
      <c r="D59">
        <v>4</v>
      </c>
      <c r="E59" t="s">
        <v>49</v>
      </c>
      <c r="F59" t="s">
        <v>52</v>
      </c>
      <c r="G59" t="s">
        <v>53</v>
      </c>
      <c r="H59" t="s">
        <v>91</v>
      </c>
      <c r="I59" t="s">
        <v>72</v>
      </c>
      <c r="J59">
        <v>0</v>
      </c>
      <c r="K59">
        <v>8</v>
      </c>
      <c r="L59">
        <v>1</v>
      </c>
      <c r="M59">
        <v>0</v>
      </c>
      <c r="N59">
        <v>0</v>
      </c>
      <c r="O59">
        <v>0</v>
      </c>
      <c r="P59">
        <v>0</v>
      </c>
      <c r="Q59">
        <v>9</v>
      </c>
      <c r="R59" t="s">
        <v>56</v>
      </c>
      <c r="S59" t="b">
        <v>0</v>
      </c>
      <c r="W59" t="s">
        <v>51</v>
      </c>
    </row>
    <row r="60" spans="1:23" hidden="1" x14ac:dyDescent="0.25">
      <c r="A60" t="s">
        <v>48</v>
      </c>
      <c r="B60">
        <v>2018</v>
      </c>
      <c r="C60">
        <v>6</v>
      </c>
      <c r="D60">
        <v>4</v>
      </c>
      <c r="E60" t="s">
        <v>49</v>
      </c>
      <c r="F60" t="s">
        <v>67</v>
      </c>
      <c r="G60" t="s">
        <v>70</v>
      </c>
      <c r="H60" t="s">
        <v>57</v>
      </c>
      <c r="I60" t="s">
        <v>58</v>
      </c>
      <c r="J60">
        <v>0</v>
      </c>
      <c r="K60">
        <v>0</v>
      </c>
      <c r="L60">
        <v>0</v>
      </c>
      <c r="M60">
        <v>2</v>
      </c>
      <c r="N60">
        <v>8</v>
      </c>
      <c r="O60">
        <v>0</v>
      </c>
      <c r="P60">
        <v>0</v>
      </c>
      <c r="Q60">
        <v>10</v>
      </c>
      <c r="R60" t="s">
        <v>56</v>
      </c>
      <c r="S60" t="b">
        <v>0</v>
      </c>
      <c r="W60" t="s">
        <v>51</v>
      </c>
    </row>
    <row r="61" spans="1:23" hidden="1" x14ac:dyDescent="0.25">
      <c r="A61" t="s">
        <v>48</v>
      </c>
      <c r="B61">
        <v>2018</v>
      </c>
      <c r="C61">
        <v>6</v>
      </c>
      <c r="D61">
        <v>4</v>
      </c>
      <c r="E61" t="s">
        <v>49</v>
      </c>
      <c r="G61" t="s">
        <v>62</v>
      </c>
      <c r="J61">
        <v>0</v>
      </c>
      <c r="K61">
        <v>8</v>
      </c>
      <c r="L61">
        <v>4</v>
      </c>
      <c r="M61">
        <v>0</v>
      </c>
      <c r="N61">
        <v>0</v>
      </c>
      <c r="O61">
        <v>0</v>
      </c>
      <c r="P61">
        <v>0</v>
      </c>
      <c r="Q61">
        <v>12</v>
      </c>
      <c r="S61" t="b">
        <v>0</v>
      </c>
      <c r="W61" t="s">
        <v>51</v>
      </c>
    </row>
    <row r="62" spans="1:23" hidden="1" x14ac:dyDescent="0.25">
      <c r="A62" t="s">
        <v>48</v>
      </c>
      <c r="B62">
        <v>2018</v>
      </c>
      <c r="C62">
        <v>6</v>
      </c>
      <c r="D62">
        <v>4</v>
      </c>
      <c r="E62" t="s">
        <v>49</v>
      </c>
      <c r="G62" t="s">
        <v>50</v>
      </c>
      <c r="J62">
        <v>0</v>
      </c>
      <c r="K62">
        <v>0</v>
      </c>
      <c r="L62">
        <v>0</v>
      </c>
      <c r="M62">
        <v>2</v>
      </c>
      <c r="N62">
        <v>0</v>
      </c>
      <c r="O62">
        <v>0</v>
      </c>
      <c r="P62">
        <v>0</v>
      </c>
      <c r="Q62">
        <v>2</v>
      </c>
      <c r="S62" t="b">
        <v>0</v>
      </c>
      <c r="W62" t="s">
        <v>51</v>
      </c>
    </row>
    <row r="63" spans="1:23" hidden="1" x14ac:dyDescent="0.25">
      <c r="A63" t="s">
        <v>48</v>
      </c>
      <c r="B63">
        <v>2018</v>
      </c>
      <c r="C63">
        <v>6</v>
      </c>
      <c r="D63">
        <v>4</v>
      </c>
      <c r="E63" t="s">
        <v>49</v>
      </c>
      <c r="F63" t="s">
        <v>52</v>
      </c>
      <c r="G63" t="s">
        <v>53</v>
      </c>
      <c r="H63" t="s">
        <v>57</v>
      </c>
      <c r="I63" t="s">
        <v>55</v>
      </c>
      <c r="J63">
        <v>0</v>
      </c>
      <c r="K63">
        <v>0</v>
      </c>
      <c r="L63">
        <v>4</v>
      </c>
      <c r="M63">
        <v>4</v>
      </c>
      <c r="N63">
        <v>0</v>
      </c>
      <c r="O63">
        <v>0</v>
      </c>
      <c r="P63">
        <v>0</v>
      </c>
      <c r="Q63">
        <v>8</v>
      </c>
      <c r="R63" t="s">
        <v>56</v>
      </c>
      <c r="S63" t="b">
        <v>0</v>
      </c>
      <c r="W63" t="s">
        <v>51</v>
      </c>
    </row>
    <row r="64" spans="1:23" hidden="1" x14ac:dyDescent="0.25">
      <c r="A64" t="s">
        <v>48</v>
      </c>
      <c r="B64">
        <v>2018</v>
      </c>
      <c r="C64">
        <v>6</v>
      </c>
      <c r="D64">
        <v>4</v>
      </c>
      <c r="E64" t="s">
        <v>49</v>
      </c>
      <c r="F64" t="s">
        <v>67</v>
      </c>
      <c r="G64" t="s">
        <v>53</v>
      </c>
      <c r="H64" t="s">
        <v>57</v>
      </c>
      <c r="I64" t="s">
        <v>92</v>
      </c>
      <c r="J64">
        <v>0</v>
      </c>
      <c r="K64">
        <v>0</v>
      </c>
      <c r="L64">
        <v>0</v>
      </c>
      <c r="M64">
        <v>0</v>
      </c>
      <c r="N64">
        <v>0</v>
      </c>
      <c r="O64">
        <v>8</v>
      </c>
      <c r="P64">
        <v>0</v>
      </c>
      <c r="Q64">
        <v>8</v>
      </c>
      <c r="R64" t="s">
        <v>56</v>
      </c>
      <c r="S64" t="b">
        <v>0</v>
      </c>
      <c r="W64" t="s">
        <v>51</v>
      </c>
    </row>
    <row r="65" spans="1:23" x14ac:dyDescent="0.25">
      <c r="A65" t="s">
        <v>79</v>
      </c>
      <c r="B65">
        <v>2018</v>
      </c>
      <c r="C65">
        <v>3</v>
      </c>
      <c r="D65">
        <v>4</v>
      </c>
      <c r="E65" t="s">
        <v>49</v>
      </c>
      <c r="F65" t="s">
        <v>64</v>
      </c>
      <c r="G65" t="s">
        <v>78</v>
      </c>
      <c r="H65" t="s">
        <v>135</v>
      </c>
      <c r="I65" t="s">
        <v>119</v>
      </c>
      <c r="J65">
        <v>0</v>
      </c>
      <c r="K65">
        <v>0</v>
      </c>
      <c r="L65">
        <v>0</v>
      </c>
      <c r="M65">
        <v>0</v>
      </c>
      <c r="N65">
        <v>5</v>
      </c>
      <c r="O65">
        <v>0</v>
      </c>
      <c r="P65">
        <v>0</v>
      </c>
      <c r="Q65">
        <v>5</v>
      </c>
      <c r="R65" t="s">
        <v>56</v>
      </c>
      <c r="S65" t="b">
        <v>0</v>
      </c>
      <c r="W65" t="s">
        <v>51</v>
      </c>
    </row>
    <row r="66" spans="1:23" hidden="1" x14ac:dyDescent="0.25">
      <c r="A66" t="s">
        <v>79</v>
      </c>
      <c r="B66">
        <v>2018</v>
      </c>
      <c r="C66">
        <v>6</v>
      </c>
      <c r="D66">
        <v>4</v>
      </c>
      <c r="E66" t="s">
        <v>49</v>
      </c>
      <c r="F66" t="s">
        <v>52</v>
      </c>
      <c r="G66" t="s">
        <v>53</v>
      </c>
      <c r="H66" t="s">
        <v>57</v>
      </c>
      <c r="I66" t="s">
        <v>55</v>
      </c>
      <c r="J66">
        <v>0</v>
      </c>
      <c r="K66">
        <v>0</v>
      </c>
      <c r="L66">
        <v>0</v>
      </c>
      <c r="M66">
        <v>0</v>
      </c>
      <c r="N66">
        <v>0.5</v>
      </c>
      <c r="O66">
        <v>0</v>
      </c>
      <c r="P66">
        <v>0</v>
      </c>
      <c r="Q66">
        <v>0.5</v>
      </c>
      <c r="R66" t="s">
        <v>56</v>
      </c>
      <c r="S66" t="b">
        <v>0</v>
      </c>
      <c r="W66" t="s">
        <v>51</v>
      </c>
    </row>
    <row r="67" spans="1:23" hidden="1" x14ac:dyDescent="0.25">
      <c r="A67" t="s">
        <v>79</v>
      </c>
      <c r="B67">
        <v>2018</v>
      </c>
      <c r="C67">
        <v>6</v>
      </c>
      <c r="D67">
        <v>4</v>
      </c>
      <c r="E67" t="s">
        <v>49</v>
      </c>
      <c r="F67" t="s">
        <v>52</v>
      </c>
      <c r="G67" t="s">
        <v>53</v>
      </c>
      <c r="H67" t="s">
        <v>57</v>
      </c>
      <c r="I67" t="s">
        <v>58</v>
      </c>
      <c r="J67">
        <v>0</v>
      </c>
      <c r="K67">
        <v>0</v>
      </c>
      <c r="L67">
        <v>0</v>
      </c>
      <c r="M67">
        <v>3</v>
      </c>
      <c r="N67">
        <v>1</v>
      </c>
      <c r="O67">
        <v>0</v>
      </c>
      <c r="P67">
        <v>0</v>
      </c>
      <c r="Q67">
        <v>4</v>
      </c>
      <c r="R67" t="s">
        <v>56</v>
      </c>
      <c r="S67" t="b">
        <v>0</v>
      </c>
      <c r="W67" t="s">
        <v>51</v>
      </c>
    </row>
    <row r="68" spans="1:23" hidden="1" x14ac:dyDescent="0.25">
      <c r="A68" t="s">
        <v>79</v>
      </c>
      <c r="B68">
        <v>2018</v>
      </c>
      <c r="C68">
        <v>6</v>
      </c>
      <c r="D68">
        <v>4</v>
      </c>
      <c r="E68" t="s">
        <v>49</v>
      </c>
      <c r="G68" t="s">
        <v>50</v>
      </c>
      <c r="J68">
        <v>0</v>
      </c>
      <c r="K68">
        <v>1</v>
      </c>
      <c r="L68">
        <v>0</v>
      </c>
      <c r="M68">
        <v>1</v>
      </c>
      <c r="N68">
        <v>1</v>
      </c>
      <c r="O68">
        <v>0</v>
      </c>
      <c r="P68">
        <v>0</v>
      </c>
      <c r="Q68">
        <v>3</v>
      </c>
      <c r="S68" t="b">
        <v>0</v>
      </c>
      <c r="W68" t="s">
        <v>51</v>
      </c>
    </row>
    <row r="69" spans="1:23" hidden="1" x14ac:dyDescent="0.25">
      <c r="A69" t="s">
        <v>79</v>
      </c>
      <c r="B69">
        <v>2018</v>
      </c>
      <c r="C69">
        <v>6</v>
      </c>
      <c r="D69">
        <v>4</v>
      </c>
      <c r="E69" t="s">
        <v>49</v>
      </c>
      <c r="F69" t="s">
        <v>52</v>
      </c>
      <c r="G69" t="s">
        <v>53</v>
      </c>
      <c r="H69" t="s">
        <v>12</v>
      </c>
      <c r="I69" t="s">
        <v>77</v>
      </c>
      <c r="J69">
        <v>0</v>
      </c>
      <c r="K69">
        <v>8</v>
      </c>
      <c r="L69">
        <v>8</v>
      </c>
      <c r="M69">
        <v>8</v>
      </c>
      <c r="N69">
        <v>8</v>
      </c>
      <c r="O69">
        <v>0</v>
      </c>
      <c r="P69">
        <v>0</v>
      </c>
      <c r="Q69">
        <v>32</v>
      </c>
      <c r="R69" t="s">
        <v>56</v>
      </c>
      <c r="S69" t="b">
        <v>0</v>
      </c>
      <c r="W69" t="s">
        <v>51</v>
      </c>
    </row>
    <row r="70" spans="1:23" hidden="1" x14ac:dyDescent="0.25">
      <c r="A70" t="s">
        <v>79</v>
      </c>
      <c r="B70">
        <v>2018</v>
      </c>
      <c r="C70">
        <v>6</v>
      </c>
      <c r="D70">
        <v>4</v>
      </c>
      <c r="E70" t="s">
        <v>49</v>
      </c>
      <c r="G70" t="s">
        <v>62</v>
      </c>
      <c r="J70">
        <v>0</v>
      </c>
      <c r="K70">
        <v>0</v>
      </c>
      <c r="L70">
        <v>0</v>
      </c>
      <c r="M70">
        <v>0</v>
      </c>
      <c r="N70">
        <v>0</v>
      </c>
      <c r="O70">
        <v>8</v>
      </c>
      <c r="P70">
        <v>0</v>
      </c>
      <c r="Q70">
        <v>8</v>
      </c>
      <c r="S70" t="b">
        <v>0</v>
      </c>
      <c r="W70" t="s">
        <v>51</v>
      </c>
    </row>
    <row r="71" spans="1:23" hidden="1" x14ac:dyDescent="0.25">
      <c r="A71" t="s">
        <v>63</v>
      </c>
      <c r="B71">
        <v>2018</v>
      </c>
      <c r="C71">
        <v>6</v>
      </c>
      <c r="D71">
        <v>3</v>
      </c>
      <c r="E71" t="s">
        <v>49</v>
      </c>
      <c r="G71" t="s">
        <v>73</v>
      </c>
      <c r="J71">
        <v>0</v>
      </c>
      <c r="K71">
        <v>0.5</v>
      </c>
      <c r="L71">
        <v>0</v>
      </c>
      <c r="M71">
        <v>0.5</v>
      </c>
      <c r="N71">
        <v>0.5</v>
      </c>
      <c r="O71">
        <v>0</v>
      </c>
      <c r="P71">
        <v>0</v>
      </c>
      <c r="Q71">
        <v>1.5</v>
      </c>
      <c r="S71" t="b">
        <v>0</v>
      </c>
      <c r="W71" t="s">
        <v>51</v>
      </c>
    </row>
    <row r="72" spans="1:23" x14ac:dyDescent="0.25">
      <c r="A72" t="s">
        <v>74</v>
      </c>
      <c r="B72">
        <v>2018</v>
      </c>
      <c r="C72">
        <v>5</v>
      </c>
      <c r="D72">
        <v>3</v>
      </c>
      <c r="E72" t="s">
        <v>49</v>
      </c>
      <c r="F72" t="s">
        <v>64</v>
      </c>
      <c r="G72" t="s">
        <v>78</v>
      </c>
      <c r="H72" t="s">
        <v>109</v>
      </c>
      <c r="I72" t="s">
        <v>108</v>
      </c>
      <c r="J72">
        <v>0</v>
      </c>
      <c r="K72">
        <v>6</v>
      </c>
      <c r="L72">
        <v>4</v>
      </c>
      <c r="M72">
        <v>4</v>
      </c>
      <c r="N72">
        <v>2</v>
      </c>
      <c r="O72">
        <v>0</v>
      </c>
      <c r="P72">
        <v>0</v>
      </c>
      <c r="Q72">
        <v>16</v>
      </c>
      <c r="R72" t="s">
        <v>56</v>
      </c>
      <c r="S72" t="b">
        <v>0</v>
      </c>
      <c r="W72" t="s">
        <v>51</v>
      </c>
    </row>
    <row r="73" spans="1:23" hidden="1" x14ac:dyDescent="0.25">
      <c r="A73" t="s">
        <v>69</v>
      </c>
      <c r="B73">
        <v>2018</v>
      </c>
      <c r="C73">
        <v>6</v>
      </c>
      <c r="D73">
        <v>3</v>
      </c>
      <c r="E73" t="s">
        <v>49</v>
      </c>
      <c r="G73" t="s">
        <v>73</v>
      </c>
      <c r="J73">
        <v>0</v>
      </c>
      <c r="K73">
        <v>0</v>
      </c>
      <c r="L73">
        <v>0</v>
      </c>
      <c r="M73">
        <v>0</v>
      </c>
      <c r="N73">
        <v>2.2000000000000002</v>
      </c>
      <c r="O73">
        <v>0</v>
      </c>
      <c r="P73">
        <v>0</v>
      </c>
      <c r="Q73">
        <v>2.2000000000000002</v>
      </c>
      <c r="S73" t="b">
        <v>0</v>
      </c>
      <c r="W73" t="s">
        <v>51</v>
      </c>
    </row>
    <row r="74" spans="1:23" x14ac:dyDescent="0.25">
      <c r="A74" t="s">
        <v>69</v>
      </c>
      <c r="B74">
        <v>2018</v>
      </c>
      <c r="C74">
        <v>5</v>
      </c>
      <c r="D74">
        <v>1</v>
      </c>
      <c r="E74" t="s">
        <v>49</v>
      </c>
      <c r="F74" t="s">
        <v>82</v>
      </c>
      <c r="G74" t="s">
        <v>78</v>
      </c>
      <c r="H74" t="s">
        <v>109</v>
      </c>
      <c r="I74" t="s">
        <v>87</v>
      </c>
      <c r="J74">
        <v>0</v>
      </c>
      <c r="K74">
        <v>0</v>
      </c>
      <c r="L74">
        <v>3.5</v>
      </c>
      <c r="M74">
        <v>2</v>
      </c>
      <c r="N74">
        <v>0</v>
      </c>
      <c r="O74">
        <v>0</v>
      </c>
      <c r="P74">
        <v>0</v>
      </c>
      <c r="Q74">
        <v>5.5</v>
      </c>
      <c r="R74" t="s">
        <v>56</v>
      </c>
      <c r="S74" t="b">
        <v>0</v>
      </c>
      <c r="W74" t="s">
        <v>51</v>
      </c>
    </row>
    <row r="75" spans="1:23" hidden="1" x14ac:dyDescent="0.25">
      <c r="A75" t="s">
        <v>69</v>
      </c>
      <c r="B75">
        <v>2018</v>
      </c>
      <c r="C75">
        <v>6</v>
      </c>
      <c r="D75">
        <v>3</v>
      </c>
      <c r="E75" t="s">
        <v>49</v>
      </c>
      <c r="F75" t="s">
        <v>71</v>
      </c>
      <c r="G75" t="s">
        <v>53</v>
      </c>
      <c r="H75" t="s">
        <v>93</v>
      </c>
      <c r="I75" t="s">
        <v>76</v>
      </c>
      <c r="J75">
        <v>0</v>
      </c>
      <c r="K75">
        <v>0</v>
      </c>
      <c r="L75">
        <v>0</v>
      </c>
      <c r="M75">
        <v>0.1</v>
      </c>
      <c r="N75">
        <v>0</v>
      </c>
      <c r="O75">
        <v>0</v>
      </c>
      <c r="P75">
        <v>0</v>
      </c>
      <c r="Q75">
        <v>0.1</v>
      </c>
      <c r="R75" t="s">
        <v>56</v>
      </c>
      <c r="S75" t="b">
        <v>0</v>
      </c>
      <c r="W75" t="s">
        <v>51</v>
      </c>
    </row>
    <row r="76" spans="1:23" hidden="1" x14ac:dyDescent="0.25">
      <c r="A76" t="s">
        <v>69</v>
      </c>
      <c r="B76">
        <v>2018</v>
      </c>
      <c r="C76">
        <v>6</v>
      </c>
      <c r="D76">
        <v>3</v>
      </c>
      <c r="E76" t="s">
        <v>49</v>
      </c>
      <c r="F76" t="s">
        <v>71</v>
      </c>
      <c r="G76" t="s">
        <v>53</v>
      </c>
      <c r="H76" t="s">
        <v>93</v>
      </c>
      <c r="I76" t="s">
        <v>77</v>
      </c>
      <c r="J76">
        <v>0</v>
      </c>
      <c r="K76">
        <v>0</v>
      </c>
      <c r="L76">
        <v>0.5</v>
      </c>
      <c r="M76">
        <v>0</v>
      </c>
      <c r="N76">
        <v>0</v>
      </c>
      <c r="O76">
        <v>0</v>
      </c>
      <c r="P76">
        <v>0</v>
      </c>
      <c r="Q76">
        <v>0.5</v>
      </c>
      <c r="R76" t="s">
        <v>56</v>
      </c>
      <c r="S76" t="b">
        <v>0</v>
      </c>
      <c r="W76" t="s">
        <v>51</v>
      </c>
    </row>
    <row r="77" spans="1:23" hidden="1" x14ac:dyDescent="0.25">
      <c r="A77" t="s">
        <v>69</v>
      </c>
      <c r="B77">
        <v>2018</v>
      </c>
      <c r="C77">
        <v>6</v>
      </c>
      <c r="D77">
        <v>3</v>
      </c>
      <c r="E77" t="s">
        <v>49</v>
      </c>
      <c r="F77" t="s">
        <v>71</v>
      </c>
      <c r="G77" t="s">
        <v>53</v>
      </c>
      <c r="H77" t="s">
        <v>93</v>
      </c>
      <c r="I77" t="s">
        <v>72</v>
      </c>
      <c r="J77">
        <v>0</v>
      </c>
      <c r="K77">
        <v>0.5</v>
      </c>
      <c r="L77">
        <v>0</v>
      </c>
      <c r="M77">
        <v>0</v>
      </c>
      <c r="N77">
        <v>0</v>
      </c>
      <c r="O77">
        <v>0</v>
      </c>
      <c r="P77">
        <v>0</v>
      </c>
      <c r="Q77">
        <v>0.5</v>
      </c>
      <c r="R77" t="s">
        <v>56</v>
      </c>
      <c r="S77" t="b">
        <v>0</v>
      </c>
      <c r="W77" t="s">
        <v>51</v>
      </c>
    </row>
    <row r="78" spans="1:23" hidden="1" x14ac:dyDescent="0.25">
      <c r="A78" t="s">
        <v>69</v>
      </c>
      <c r="B78">
        <v>2018</v>
      </c>
      <c r="C78">
        <v>6</v>
      </c>
      <c r="D78">
        <v>3</v>
      </c>
      <c r="E78" t="s">
        <v>49</v>
      </c>
      <c r="F78" t="s">
        <v>64</v>
      </c>
      <c r="G78" t="s">
        <v>53</v>
      </c>
      <c r="H78" t="s">
        <v>12</v>
      </c>
      <c r="I78" t="s">
        <v>72</v>
      </c>
      <c r="J78">
        <v>0</v>
      </c>
      <c r="K78">
        <v>3</v>
      </c>
      <c r="L78">
        <v>3</v>
      </c>
      <c r="M78">
        <v>2.4</v>
      </c>
      <c r="N78">
        <v>1</v>
      </c>
      <c r="O78">
        <v>2</v>
      </c>
      <c r="P78">
        <v>0</v>
      </c>
      <c r="Q78">
        <v>11.4</v>
      </c>
      <c r="R78" t="s">
        <v>56</v>
      </c>
      <c r="S78" t="b">
        <v>0</v>
      </c>
      <c r="W78" t="s">
        <v>51</v>
      </c>
    </row>
    <row r="79" spans="1:23" hidden="1" x14ac:dyDescent="0.25">
      <c r="A79" t="s">
        <v>69</v>
      </c>
      <c r="B79">
        <v>2018</v>
      </c>
      <c r="C79">
        <v>6</v>
      </c>
      <c r="D79">
        <v>3</v>
      </c>
      <c r="E79" t="s">
        <v>49</v>
      </c>
      <c r="F79" t="s">
        <v>64</v>
      </c>
      <c r="G79" t="s">
        <v>53</v>
      </c>
      <c r="H79" t="s">
        <v>12</v>
      </c>
      <c r="I79" t="s">
        <v>77</v>
      </c>
      <c r="J79">
        <v>0</v>
      </c>
      <c r="K79">
        <v>2</v>
      </c>
      <c r="L79">
        <v>2</v>
      </c>
      <c r="M79">
        <v>0</v>
      </c>
      <c r="N79">
        <v>0</v>
      </c>
      <c r="O79">
        <v>2</v>
      </c>
      <c r="P79">
        <v>0</v>
      </c>
      <c r="Q79">
        <v>6</v>
      </c>
      <c r="R79" t="s">
        <v>56</v>
      </c>
      <c r="S79" t="b">
        <v>0</v>
      </c>
      <c r="W79" t="s">
        <v>51</v>
      </c>
    </row>
    <row r="80" spans="1:23" hidden="1" x14ac:dyDescent="0.25">
      <c r="A80" t="s">
        <v>69</v>
      </c>
      <c r="B80">
        <v>2018</v>
      </c>
      <c r="C80">
        <v>6</v>
      </c>
      <c r="D80">
        <v>3</v>
      </c>
      <c r="E80" t="s">
        <v>49</v>
      </c>
      <c r="F80" t="s">
        <v>64</v>
      </c>
      <c r="G80" t="s">
        <v>53</v>
      </c>
      <c r="H80" t="s">
        <v>57</v>
      </c>
      <c r="I80" t="s">
        <v>68</v>
      </c>
      <c r="J80">
        <v>0</v>
      </c>
      <c r="K80">
        <v>3</v>
      </c>
      <c r="L80">
        <v>3</v>
      </c>
      <c r="M80">
        <v>2</v>
      </c>
      <c r="N80">
        <v>2.2000000000000002</v>
      </c>
      <c r="O80">
        <v>1.2</v>
      </c>
      <c r="P80">
        <v>0</v>
      </c>
      <c r="Q80">
        <v>11.4</v>
      </c>
      <c r="R80" t="s">
        <v>56</v>
      </c>
      <c r="S80" t="b">
        <v>0</v>
      </c>
      <c r="W80" t="s">
        <v>51</v>
      </c>
    </row>
    <row r="81" spans="1:23" hidden="1" x14ac:dyDescent="0.25">
      <c r="A81" t="s">
        <v>74</v>
      </c>
      <c r="B81">
        <v>2018</v>
      </c>
      <c r="C81">
        <v>6</v>
      </c>
      <c r="D81">
        <v>3</v>
      </c>
      <c r="E81" t="s">
        <v>49</v>
      </c>
      <c r="G81" t="s">
        <v>62</v>
      </c>
      <c r="J81">
        <v>0</v>
      </c>
      <c r="K81">
        <v>0</v>
      </c>
      <c r="L81">
        <v>0</v>
      </c>
      <c r="M81">
        <v>8</v>
      </c>
      <c r="N81">
        <v>0</v>
      </c>
      <c r="O81">
        <v>0</v>
      </c>
      <c r="P81">
        <v>0</v>
      </c>
      <c r="Q81">
        <v>8</v>
      </c>
      <c r="S81" t="b">
        <v>0</v>
      </c>
      <c r="W81" t="s">
        <v>51</v>
      </c>
    </row>
    <row r="82" spans="1:23" hidden="1" x14ac:dyDescent="0.25">
      <c r="A82" t="s">
        <v>74</v>
      </c>
      <c r="B82">
        <v>2018</v>
      </c>
      <c r="C82">
        <v>6</v>
      </c>
      <c r="D82">
        <v>3</v>
      </c>
      <c r="E82" t="s">
        <v>49</v>
      </c>
      <c r="F82" t="s">
        <v>64</v>
      </c>
      <c r="G82" t="s">
        <v>70</v>
      </c>
      <c r="H82" t="s">
        <v>57</v>
      </c>
      <c r="I82" t="s">
        <v>94</v>
      </c>
      <c r="J82">
        <v>0</v>
      </c>
      <c r="K82">
        <v>2</v>
      </c>
      <c r="L82">
        <v>1.5</v>
      </c>
      <c r="M82">
        <v>0</v>
      </c>
      <c r="N82">
        <v>1</v>
      </c>
      <c r="O82">
        <v>1</v>
      </c>
      <c r="P82">
        <v>0</v>
      </c>
      <c r="Q82">
        <v>5.5</v>
      </c>
      <c r="R82" t="s">
        <v>56</v>
      </c>
      <c r="S82" t="b">
        <v>0</v>
      </c>
      <c r="W82" t="s">
        <v>51</v>
      </c>
    </row>
    <row r="83" spans="1:23" hidden="1" x14ac:dyDescent="0.25">
      <c r="A83" t="s">
        <v>74</v>
      </c>
      <c r="B83">
        <v>2018</v>
      </c>
      <c r="C83">
        <v>6</v>
      </c>
      <c r="D83">
        <v>3</v>
      </c>
      <c r="E83" t="s">
        <v>49</v>
      </c>
      <c r="F83" t="s">
        <v>52</v>
      </c>
      <c r="G83" t="s">
        <v>53</v>
      </c>
      <c r="H83" t="s">
        <v>91</v>
      </c>
      <c r="I83" t="s">
        <v>72</v>
      </c>
      <c r="J83">
        <v>0</v>
      </c>
      <c r="K83">
        <v>6</v>
      </c>
      <c r="L83">
        <v>6.5</v>
      </c>
      <c r="M83">
        <v>0</v>
      </c>
      <c r="N83">
        <v>7</v>
      </c>
      <c r="O83">
        <v>7</v>
      </c>
      <c r="P83">
        <v>0</v>
      </c>
      <c r="Q83">
        <v>26.5</v>
      </c>
      <c r="R83" t="s">
        <v>56</v>
      </c>
      <c r="S83" t="b">
        <v>0</v>
      </c>
      <c r="W83" t="s">
        <v>51</v>
      </c>
    </row>
    <row r="84" spans="1:23" hidden="1" x14ac:dyDescent="0.25">
      <c r="A84" t="s">
        <v>48</v>
      </c>
      <c r="B84">
        <v>2018</v>
      </c>
      <c r="C84">
        <v>6</v>
      </c>
      <c r="D84">
        <v>3</v>
      </c>
      <c r="E84" t="s">
        <v>49</v>
      </c>
      <c r="F84" t="s">
        <v>67</v>
      </c>
      <c r="G84" t="s">
        <v>53</v>
      </c>
      <c r="H84" t="s">
        <v>57</v>
      </c>
      <c r="I84" t="s">
        <v>92</v>
      </c>
      <c r="J84">
        <v>0</v>
      </c>
      <c r="K84">
        <v>0</v>
      </c>
      <c r="L84">
        <v>0</v>
      </c>
      <c r="M84">
        <v>4</v>
      </c>
      <c r="N84">
        <v>2</v>
      </c>
      <c r="O84">
        <v>0</v>
      </c>
      <c r="P84">
        <v>0</v>
      </c>
      <c r="Q84">
        <v>6</v>
      </c>
      <c r="R84" t="s">
        <v>56</v>
      </c>
      <c r="S84" t="b">
        <v>0</v>
      </c>
      <c r="W84" t="s">
        <v>51</v>
      </c>
    </row>
    <row r="85" spans="1:23" hidden="1" x14ac:dyDescent="0.25">
      <c r="A85" t="s">
        <v>48</v>
      </c>
      <c r="B85">
        <v>2018</v>
      </c>
      <c r="C85">
        <v>6</v>
      </c>
      <c r="D85">
        <v>3</v>
      </c>
      <c r="E85" t="s">
        <v>49</v>
      </c>
      <c r="G85" t="s">
        <v>86</v>
      </c>
      <c r="J85">
        <v>0</v>
      </c>
      <c r="K85">
        <v>0</v>
      </c>
      <c r="L85">
        <v>0</v>
      </c>
      <c r="M85">
        <v>0</v>
      </c>
      <c r="N85">
        <v>0</v>
      </c>
      <c r="O85">
        <v>8</v>
      </c>
      <c r="P85">
        <v>0</v>
      </c>
      <c r="Q85">
        <v>8</v>
      </c>
      <c r="S85" t="b">
        <v>0</v>
      </c>
      <c r="W85" t="s">
        <v>51</v>
      </c>
    </row>
    <row r="86" spans="1:23" hidden="1" x14ac:dyDescent="0.25">
      <c r="A86" t="s">
        <v>48</v>
      </c>
      <c r="B86">
        <v>2018</v>
      </c>
      <c r="C86">
        <v>6</v>
      </c>
      <c r="D86">
        <v>3</v>
      </c>
      <c r="E86" t="s">
        <v>49</v>
      </c>
      <c r="F86" t="s">
        <v>52</v>
      </c>
      <c r="G86" t="s">
        <v>53</v>
      </c>
      <c r="H86" t="s">
        <v>20</v>
      </c>
      <c r="I86" t="s">
        <v>77</v>
      </c>
      <c r="J86">
        <v>0</v>
      </c>
      <c r="K86">
        <v>0</v>
      </c>
      <c r="L86">
        <v>0</v>
      </c>
      <c r="M86">
        <v>0</v>
      </c>
      <c r="N86">
        <v>4</v>
      </c>
      <c r="O86">
        <v>0</v>
      </c>
      <c r="P86">
        <v>0</v>
      </c>
      <c r="Q86">
        <v>4</v>
      </c>
      <c r="R86" t="s">
        <v>56</v>
      </c>
      <c r="S86" t="b">
        <v>0</v>
      </c>
      <c r="W86" t="s">
        <v>51</v>
      </c>
    </row>
    <row r="87" spans="1:23" hidden="1" x14ac:dyDescent="0.25">
      <c r="A87" t="s">
        <v>48</v>
      </c>
      <c r="B87">
        <v>2018</v>
      </c>
      <c r="C87">
        <v>6</v>
      </c>
      <c r="D87">
        <v>3</v>
      </c>
      <c r="E87" t="s">
        <v>49</v>
      </c>
      <c r="F87" t="s">
        <v>52</v>
      </c>
      <c r="G87" t="s">
        <v>53</v>
      </c>
      <c r="H87" t="s">
        <v>57</v>
      </c>
      <c r="I87" t="s">
        <v>95</v>
      </c>
      <c r="J87">
        <v>0</v>
      </c>
      <c r="K87">
        <v>2</v>
      </c>
      <c r="L87">
        <v>8</v>
      </c>
      <c r="M87">
        <v>2</v>
      </c>
      <c r="N87">
        <v>0</v>
      </c>
      <c r="O87">
        <v>0</v>
      </c>
      <c r="P87">
        <v>0</v>
      </c>
      <c r="Q87">
        <v>12</v>
      </c>
      <c r="R87" t="s">
        <v>56</v>
      </c>
      <c r="S87" t="b">
        <v>0</v>
      </c>
      <c r="W87" t="s">
        <v>51</v>
      </c>
    </row>
    <row r="88" spans="1:23" hidden="1" x14ac:dyDescent="0.25">
      <c r="A88" t="s">
        <v>48</v>
      </c>
      <c r="B88">
        <v>2018</v>
      </c>
      <c r="C88">
        <v>6</v>
      </c>
      <c r="D88">
        <v>3</v>
      </c>
      <c r="E88" t="s">
        <v>49</v>
      </c>
      <c r="G88" t="s">
        <v>50</v>
      </c>
      <c r="J88">
        <v>0</v>
      </c>
      <c r="K88">
        <v>1</v>
      </c>
      <c r="L88">
        <v>0</v>
      </c>
      <c r="M88">
        <v>1</v>
      </c>
      <c r="N88">
        <v>2</v>
      </c>
      <c r="O88">
        <v>0</v>
      </c>
      <c r="P88">
        <v>0</v>
      </c>
      <c r="Q88">
        <v>4</v>
      </c>
      <c r="S88" t="b">
        <v>0</v>
      </c>
      <c r="W88" t="s">
        <v>51</v>
      </c>
    </row>
    <row r="89" spans="1:23" hidden="1" x14ac:dyDescent="0.25">
      <c r="A89" t="s">
        <v>48</v>
      </c>
      <c r="B89">
        <v>2018</v>
      </c>
      <c r="C89">
        <v>6</v>
      </c>
      <c r="D89">
        <v>3</v>
      </c>
      <c r="E89" t="s">
        <v>49</v>
      </c>
      <c r="G89" t="s">
        <v>96</v>
      </c>
      <c r="J89">
        <v>0</v>
      </c>
      <c r="K89">
        <v>5</v>
      </c>
      <c r="L89">
        <v>0</v>
      </c>
      <c r="M89">
        <v>0</v>
      </c>
      <c r="N89">
        <v>0</v>
      </c>
      <c r="O89">
        <v>0</v>
      </c>
      <c r="P89">
        <v>0</v>
      </c>
      <c r="Q89">
        <v>5</v>
      </c>
      <c r="S89" t="b">
        <v>0</v>
      </c>
      <c r="W89" t="s">
        <v>51</v>
      </c>
    </row>
    <row r="90" spans="1:23" hidden="1" x14ac:dyDescent="0.25">
      <c r="A90" t="s">
        <v>48</v>
      </c>
      <c r="B90">
        <v>2018</v>
      </c>
      <c r="C90">
        <v>6</v>
      </c>
      <c r="D90">
        <v>3</v>
      </c>
      <c r="E90" t="s">
        <v>49</v>
      </c>
      <c r="F90" t="s">
        <v>71</v>
      </c>
      <c r="G90" t="s">
        <v>53</v>
      </c>
      <c r="H90" t="s">
        <v>18</v>
      </c>
      <c r="I90" t="s">
        <v>77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0</v>
      </c>
      <c r="Q90">
        <v>1</v>
      </c>
      <c r="R90" t="s">
        <v>56</v>
      </c>
      <c r="S90" t="b">
        <v>0</v>
      </c>
      <c r="W90" t="s">
        <v>51</v>
      </c>
    </row>
    <row r="91" spans="1:23" x14ac:dyDescent="0.25">
      <c r="A91" t="s">
        <v>74</v>
      </c>
      <c r="B91">
        <v>2018</v>
      </c>
      <c r="C91">
        <v>5</v>
      </c>
      <c r="D91">
        <v>1</v>
      </c>
      <c r="E91" t="s">
        <v>49</v>
      </c>
      <c r="F91" t="s">
        <v>117</v>
      </c>
      <c r="G91" t="s">
        <v>78</v>
      </c>
      <c r="H91" t="s">
        <v>109</v>
      </c>
      <c r="I91" t="s">
        <v>118</v>
      </c>
      <c r="J91">
        <v>0</v>
      </c>
      <c r="K91">
        <v>8</v>
      </c>
      <c r="L91">
        <v>0</v>
      </c>
      <c r="M91">
        <v>1.5</v>
      </c>
      <c r="N91">
        <v>1</v>
      </c>
      <c r="O91">
        <v>0</v>
      </c>
      <c r="P91">
        <v>0</v>
      </c>
      <c r="Q91">
        <v>10.5</v>
      </c>
      <c r="R91" t="s">
        <v>56</v>
      </c>
      <c r="S91" t="b">
        <v>0</v>
      </c>
      <c r="W91" t="s">
        <v>51</v>
      </c>
    </row>
    <row r="92" spans="1:23" hidden="1" x14ac:dyDescent="0.25">
      <c r="A92" t="s">
        <v>79</v>
      </c>
      <c r="B92">
        <v>2018</v>
      </c>
      <c r="C92">
        <v>6</v>
      </c>
      <c r="D92">
        <v>3</v>
      </c>
      <c r="E92" t="s">
        <v>49</v>
      </c>
      <c r="G92" t="s">
        <v>73</v>
      </c>
      <c r="J92">
        <v>0</v>
      </c>
      <c r="K92">
        <v>0</v>
      </c>
      <c r="L92">
        <v>0</v>
      </c>
      <c r="M92">
        <v>0</v>
      </c>
      <c r="N92">
        <v>0</v>
      </c>
      <c r="O92">
        <v>2</v>
      </c>
      <c r="P92">
        <v>0</v>
      </c>
      <c r="Q92">
        <v>2</v>
      </c>
      <c r="S92" t="b">
        <v>0</v>
      </c>
      <c r="W92" t="s">
        <v>51</v>
      </c>
    </row>
    <row r="93" spans="1:23" hidden="1" x14ac:dyDescent="0.25">
      <c r="A93" t="s">
        <v>79</v>
      </c>
      <c r="B93">
        <v>2018</v>
      </c>
      <c r="C93">
        <v>6</v>
      </c>
      <c r="D93">
        <v>3</v>
      </c>
      <c r="E93" t="s">
        <v>49</v>
      </c>
      <c r="G93" t="s">
        <v>50</v>
      </c>
      <c r="J93">
        <v>0</v>
      </c>
      <c r="K93">
        <v>1</v>
      </c>
      <c r="L93">
        <v>0</v>
      </c>
      <c r="M93">
        <v>2</v>
      </c>
      <c r="N93">
        <v>1</v>
      </c>
      <c r="O93">
        <v>1</v>
      </c>
      <c r="P93">
        <v>0</v>
      </c>
      <c r="Q93">
        <v>5</v>
      </c>
      <c r="S93" t="b">
        <v>0</v>
      </c>
      <c r="W93" t="s">
        <v>51</v>
      </c>
    </row>
    <row r="94" spans="1:23" hidden="1" x14ac:dyDescent="0.25">
      <c r="A94" t="s">
        <v>79</v>
      </c>
      <c r="B94">
        <v>2018</v>
      </c>
      <c r="C94">
        <v>6</v>
      </c>
      <c r="D94">
        <v>3</v>
      </c>
      <c r="E94" t="s">
        <v>49</v>
      </c>
      <c r="F94" t="s">
        <v>52</v>
      </c>
      <c r="G94" t="s">
        <v>53</v>
      </c>
      <c r="H94" t="s">
        <v>57</v>
      </c>
      <c r="I94" t="s">
        <v>58</v>
      </c>
      <c r="J94">
        <v>0</v>
      </c>
      <c r="K94">
        <v>2</v>
      </c>
      <c r="L94">
        <v>8</v>
      </c>
      <c r="M94">
        <v>6</v>
      </c>
      <c r="N94">
        <v>1</v>
      </c>
      <c r="O94">
        <v>3</v>
      </c>
      <c r="P94">
        <v>0</v>
      </c>
      <c r="Q94">
        <v>20</v>
      </c>
      <c r="R94" t="s">
        <v>56</v>
      </c>
      <c r="S94" t="b">
        <v>0</v>
      </c>
      <c r="W94" t="s">
        <v>51</v>
      </c>
    </row>
    <row r="95" spans="1:23" hidden="1" x14ac:dyDescent="0.25">
      <c r="A95" t="s">
        <v>79</v>
      </c>
      <c r="B95">
        <v>2018</v>
      </c>
      <c r="C95">
        <v>6</v>
      </c>
      <c r="D95">
        <v>3</v>
      </c>
      <c r="E95" t="s">
        <v>49</v>
      </c>
      <c r="F95" t="s">
        <v>52</v>
      </c>
      <c r="G95" t="s">
        <v>53</v>
      </c>
      <c r="H95" t="s">
        <v>12</v>
      </c>
      <c r="I95" t="s">
        <v>77</v>
      </c>
      <c r="J95">
        <v>0</v>
      </c>
      <c r="K95">
        <v>0</v>
      </c>
      <c r="L95">
        <v>0</v>
      </c>
      <c r="M95">
        <v>0</v>
      </c>
      <c r="N95">
        <v>6</v>
      </c>
      <c r="O95">
        <v>2</v>
      </c>
      <c r="P95">
        <v>0</v>
      </c>
      <c r="Q95">
        <v>8</v>
      </c>
      <c r="R95" t="s">
        <v>56</v>
      </c>
      <c r="S95" t="b">
        <v>0</v>
      </c>
      <c r="W95" t="s">
        <v>51</v>
      </c>
    </row>
    <row r="96" spans="1:23" hidden="1" x14ac:dyDescent="0.25">
      <c r="A96" t="s">
        <v>79</v>
      </c>
      <c r="B96">
        <v>2018</v>
      </c>
      <c r="C96">
        <v>6</v>
      </c>
      <c r="D96">
        <v>3</v>
      </c>
      <c r="E96" t="s">
        <v>49</v>
      </c>
      <c r="G96" t="s">
        <v>96</v>
      </c>
      <c r="J96">
        <v>0</v>
      </c>
      <c r="K96">
        <v>5</v>
      </c>
      <c r="L96">
        <v>0</v>
      </c>
      <c r="M96">
        <v>0</v>
      </c>
      <c r="N96">
        <v>0</v>
      </c>
      <c r="O96">
        <v>0</v>
      </c>
      <c r="P96">
        <v>0</v>
      </c>
      <c r="Q96">
        <v>5</v>
      </c>
      <c r="S96" t="b">
        <v>0</v>
      </c>
      <c r="W96" t="s">
        <v>51</v>
      </c>
    </row>
    <row r="97" spans="1:23" hidden="1" x14ac:dyDescent="0.25">
      <c r="A97" t="s">
        <v>69</v>
      </c>
      <c r="B97">
        <v>2018</v>
      </c>
      <c r="C97">
        <v>6</v>
      </c>
      <c r="D97">
        <v>2</v>
      </c>
      <c r="E97" t="s">
        <v>49</v>
      </c>
      <c r="F97" t="s">
        <v>64</v>
      </c>
      <c r="G97" t="s">
        <v>53</v>
      </c>
      <c r="H97" t="s">
        <v>57</v>
      </c>
      <c r="I97" t="s">
        <v>68</v>
      </c>
      <c r="J97">
        <v>0</v>
      </c>
      <c r="K97">
        <v>0.5</v>
      </c>
      <c r="L97">
        <v>0</v>
      </c>
      <c r="M97">
        <v>2</v>
      </c>
      <c r="N97">
        <v>1</v>
      </c>
      <c r="O97">
        <v>0</v>
      </c>
      <c r="P97">
        <v>0</v>
      </c>
      <c r="Q97">
        <v>3.5</v>
      </c>
      <c r="R97" t="s">
        <v>56</v>
      </c>
      <c r="S97" t="b">
        <v>0</v>
      </c>
      <c r="W97" t="s">
        <v>51</v>
      </c>
    </row>
    <row r="98" spans="1:23" hidden="1" x14ac:dyDescent="0.25">
      <c r="A98" t="s">
        <v>69</v>
      </c>
      <c r="B98">
        <v>2018</v>
      </c>
      <c r="C98">
        <v>6</v>
      </c>
      <c r="D98">
        <v>2</v>
      </c>
      <c r="E98" t="s">
        <v>49</v>
      </c>
      <c r="F98" t="s">
        <v>64</v>
      </c>
      <c r="G98" t="s">
        <v>53</v>
      </c>
      <c r="H98" t="s">
        <v>97</v>
      </c>
      <c r="I98" t="s">
        <v>77</v>
      </c>
      <c r="J98">
        <v>0</v>
      </c>
      <c r="K98">
        <v>2</v>
      </c>
      <c r="L98">
        <v>5</v>
      </c>
      <c r="M98">
        <v>5</v>
      </c>
      <c r="N98">
        <v>5</v>
      </c>
      <c r="O98">
        <v>0</v>
      </c>
      <c r="P98">
        <v>0</v>
      </c>
      <c r="Q98">
        <v>17</v>
      </c>
      <c r="R98" t="s">
        <v>56</v>
      </c>
      <c r="S98" t="b">
        <v>0</v>
      </c>
      <c r="W98" t="s">
        <v>51</v>
      </c>
    </row>
    <row r="99" spans="1:23" hidden="1" x14ac:dyDescent="0.25">
      <c r="A99" t="s">
        <v>69</v>
      </c>
      <c r="B99">
        <v>2018</v>
      </c>
      <c r="C99">
        <v>6</v>
      </c>
      <c r="D99">
        <v>2</v>
      </c>
      <c r="E99" t="s">
        <v>49</v>
      </c>
      <c r="F99" t="s">
        <v>64</v>
      </c>
      <c r="G99" t="s">
        <v>53</v>
      </c>
      <c r="H99" t="s">
        <v>97</v>
      </c>
      <c r="I99" t="s">
        <v>76</v>
      </c>
      <c r="J99">
        <v>0</v>
      </c>
      <c r="K99">
        <v>6</v>
      </c>
      <c r="L99">
        <v>2.5</v>
      </c>
      <c r="M99">
        <v>3</v>
      </c>
      <c r="N99">
        <v>3</v>
      </c>
      <c r="O99">
        <v>0</v>
      </c>
      <c r="P99">
        <v>0</v>
      </c>
      <c r="Q99">
        <v>14.5</v>
      </c>
      <c r="R99" t="s">
        <v>56</v>
      </c>
      <c r="S99" t="b">
        <v>0</v>
      </c>
      <c r="W99" t="s">
        <v>51</v>
      </c>
    </row>
    <row r="100" spans="1:23" hidden="1" x14ac:dyDescent="0.25">
      <c r="A100" t="s">
        <v>69</v>
      </c>
      <c r="B100">
        <v>2018</v>
      </c>
      <c r="C100">
        <v>6</v>
      </c>
      <c r="D100">
        <v>2</v>
      </c>
      <c r="E100" t="s">
        <v>49</v>
      </c>
      <c r="G100" t="s">
        <v>62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8</v>
      </c>
      <c r="P100">
        <v>0</v>
      </c>
      <c r="Q100">
        <v>8</v>
      </c>
      <c r="S100" t="b">
        <v>0</v>
      </c>
      <c r="W100" t="s">
        <v>51</v>
      </c>
    </row>
    <row r="101" spans="1:23" x14ac:dyDescent="0.25">
      <c r="A101" t="s">
        <v>102</v>
      </c>
      <c r="B101">
        <v>2018</v>
      </c>
      <c r="C101">
        <v>4</v>
      </c>
      <c r="D101">
        <v>5</v>
      </c>
      <c r="E101" t="s">
        <v>49</v>
      </c>
      <c r="F101" t="s">
        <v>82</v>
      </c>
      <c r="G101" t="s">
        <v>78</v>
      </c>
      <c r="H101" t="s">
        <v>109</v>
      </c>
      <c r="I101" t="s">
        <v>87</v>
      </c>
      <c r="J101">
        <v>0</v>
      </c>
      <c r="K101">
        <v>2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2</v>
      </c>
      <c r="R101" t="s">
        <v>56</v>
      </c>
      <c r="S101" t="b">
        <v>0</v>
      </c>
      <c r="W101" t="s">
        <v>51</v>
      </c>
    </row>
    <row r="102" spans="1:23" hidden="1" x14ac:dyDescent="0.25">
      <c r="A102" t="s">
        <v>74</v>
      </c>
      <c r="B102">
        <v>2018</v>
      </c>
      <c r="C102">
        <v>6</v>
      </c>
      <c r="D102">
        <v>2</v>
      </c>
      <c r="E102" t="s">
        <v>49</v>
      </c>
      <c r="F102" t="s">
        <v>82</v>
      </c>
      <c r="G102" t="s">
        <v>53</v>
      </c>
      <c r="H102" t="s">
        <v>91</v>
      </c>
      <c r="I102" t="s">
        <v>98</v>
      </c>
      <c r="J102">
        <v>0</v>
      </c>
      <c r="K102">
        <v>0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1</v>
      </c>
      <c r="R102" t="s">
        <v>56</v>
      </c>
      <c r="S102" t="b">
        <v>0</v>
      </c>
      <c r="W102" t="s">
        <v>51</v>
      </c>
    </row>
    <row r="103" spans="1:23" x14ac:dyDescent="0.25">
      <c r="A103" t="s">
        <v>102</v>
      </c>
      <c r="B103">
        <v>2018</v>
      </c>
      <c r="C103">
        <v>4</v>
      </c>
      <c r="D103">
        <v>5</v>
      </c>
      <c r="E103" t="s">
        <v>49</v>
      </c>
      <c r="F103" t="s">
        <v>67</v>
      </c>
      <c r="G103" t="s">
        <v>78</v>
      </c>
      <c r="H103" t="s">
        <v>109</v>
      </c>
      <c r="I103" t="s">
        <v>87</v>
      </c>
      <c r="J103">
        <v>0</v>
      </c>
      <c r="K103">
        <v>0</v>
      </c>
      <c r="L103">
        <v>0</v>
      </c>
      <c r="M103">
        <v>2</v>
      </c>
      <c r="N103">
        <v>0</v>
      </c>
      <c r="O103">
        <v>0</v>
      </c>
      <c r="P103">
        <v>0</v>
      </c>
      <c r="Q103">
        <v>2</v>
      </c>
      <c r="R103" t="s">
        <v>56</v>
      </c>
      <c r="S103" t="b">
        <v>0</v>
      </c>
      <c r="W103" t="s">
        <v>51</v>
      </c>
    </row>
    <row r="104" spans="1:23" hidden="1" x14ac:dyDescent="0.25">
      <c r="A104" t="s">
        <v>74</v>
      </c>
      <c r="B104">
        <v>2018</v>
      </c>
      <c r="C104">
        <v>6</v>
      </c>
      <c r="D104">
        <v>2</v>
      </c>
      <c r="E104" t="s">
        <v>49</v>
      </c>
      <c r="F104" t="s">
        <v>64</v>
      </c>
      <c r="G104" t="s">
        <v>53</v>
      </c>
      <c r="H104" t="s">
        <v>14</v>
      </c>
      <c r="I104" t="s">
        <v>65</v>
      </c>
      <c r="J104">
        <v>0</v>
      </c>
      <c r="K104">
        <v>0</v>
      </c>
      <c r="L104">
        <v>0</v>
      </c>
      <c r="M104">
        <v>8</v>
      </c>
      <c r="N104">
        <v>3</v>
      </c>
      <c r="O104">
        <v>0</v>
      </c>
      <c r="P104">
        <v>0</v>
      </c>
      <c r="Q104">
        <v>11</v>
      </c>
      <c r="R104" t="s">
        <v>56</v>
      </c>
      <c r="S104" t="b">
        <v>0</v>
      </c>
      <c r="W104" t="s">
        <v>51</v>
      </c>
    </row>
    <row r="105" spans="1:23" hidden="1" x14ac:dyDescent="0.25">
      <c r="A105" t="s">
        <v>74</v>
      </c>
      <c r="B105">
        <v>2018</v>
      </c>
      <c r="C105">
        <v>6</v>
      </c>
      <c r="D105">
        <v>2</v>
      </c>
      <c r="E105" t="s">
        <v>49</v>
      </c>
      <c r="F105" t="s">
        <v>52</v>
      </c>
      <c r="G105" t="s">
        <v>99</v>
      </c>
      <c r="H105" t="s">
        <v>57</v>
      </c>
      <c r="I105" t="s">
        <v>88</v>
      </c>
      <c r="J105">
        <v>0</v>
      </c>
      <c r="K105">
        <v>2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4</v>
      </c>
      <c r="R105" t="s">
        <v>56</v>
      </c>
      <c r="S105" t="b">
        <v>0</v>
      </c>
      <c r="W105" t="s">
        <v>51</v>
      </c>
    </row>
    <row r="106" spans="1:23" hidden="1" x14ac:dyDescent="0.25">
      <c r="A106" t="s">
        <v>48</v>
      </c>
      <c r="B106">
        <v>2018</v>
      </c>
      <c r="C106">
        <v>6</v>
      </c>
      <c r="D106">
        <v>2</v>
      </c>
      <c r="E106" t="s">
        <v>49</v>
      </c>
      <c r="F106" t="s">
        <v>67</v>
      </c>
      <c r="G106" t="s">
        <v>53</v>
      </c>
      <c r="H106" t="s">
        <v>57</v>
      </c>
      <c r="I106" t="s">
        <v>58</v>
      </c>
      <c r="J106">
        <v>0</v>
      </c>
      <c r="K106">
        <v>2</v>
      </c>
      <c r="L106">
        <v>2</v>
      </c>
      <c r="M106">
        <v>1</v>
      </c>
      <c r="N106">
        <v>0</v>
      </c>
      <c r="O106">
        <v>0</v>
      </c>
      <c r="P106">
        <v>0</v>
      </c>
      <c r="Q106">
        <v>5</v>
      </c>
      <c r="R106" t="s">
        <v>56</v>
      </c>
      <c r="S106" t="b">
        <v>0</v>
      </c>
      <c r="W106" t="s">
        <v>51</v>
      </c>
    </row>
    <row r="107" spans="1:23" hidden="1" x14ac:dyDescent="0.25">
      <c r="A107" t="s">
        <v>48</v>
      </c>
      <c r="B107">
        <v>2018</v>
      </c>
      <c r="C107">
        <v>6</v>
      </c>
      <c r="D107">
        <v>2</v>
      </c>
      <c r="E107" t="s">
        <v>49</v>
      </c>
      <c r="F107" t="s">
        <v>67</v>
      </c>
      <c r="G107" t="s">
        <v>53</v>
      </c>
      <c r="H107" t="s">
        <v>57</v>
      </c>
      <c r="I107" t="s">
        <v>92</v>
      </c>
      <c r="J107">
        <v>0</v>
      </c>
      <c r="K107">
        <v>6</v>
      </c>
      <c r="L107">
        <v>6</v>
      </c>
      <c r="M107">
        <v>5</v>
      </c>
      <c r="N107">
        <v>1</v>
      </c>
      <c r="O107">
        <v>0</v>
      </c>
      <c r="P107">
        <v>0</v>
      </c>
      <c r="Q107">
        <v>18</v>
      </c>
      <c r="R107" t="s">
        <v>56</v>
      </c>
      <c r="S107" t="b">
        <v>0</v>
      </c>
      <c r="W107" t="s">
        <v>51</v>
      </c>
    </row>
    <row r="108" spans="1:23" hidden="1" x14ac:dyDescent="0.25">
      <c r="A108" t="s">
        <v>48</v>
      </c>
      <c r="B108">
        <v>2018</v>
      </c>
      <c r="C108">
        <v>6</v>
      </c>
      <c r="D108">
        <v>2</v>
      </c>
      <c r="E108" t="s">
        <v>49</v>
      </c>
      <c r="F108" t="s">
        <v>52</v>
      </c>
      <c r="G108" t="s">
        <v>53</v>
      </c>
      <c r="H108" t="s">
        <v>57</v>
      </c>
      <c r="I108" t="s">
        <v>95</v>
      </c>
      <c r="J108">
        <v>0</v>
      </c>
      <c r="K108">
        <v>0</v>
      </c>
      <c r="L108">
        <v>0</v>
      </c>
      <c r="M108">
        <v>0</v>
      </c>
      <c r="N108">
        <v>4</v>
      </c>
      <c r="O108">
        <v>8</v>
      </c>
      <c r="P108">
        <v>0</v>
      </c>
      <c r="Q108">
        <v>12</v>
      </c>
      <c r="R108" t="s">
        <v>56</v>
      </c>
      <c r="S108" t="b">
        <v>0</v>
      </c>
      <c r="W108" t="s">
        <v>51</v>
      </c>
    </row>
    <row r="109" spans="1:23" hidden="1" x14ac:dyDescent="0.25">
      <c r="A109" t="s">
        <v>48</v>
      </c>
      <c r="B109">
        <v>2018</v>
      </c>
      <c r="C109">
        <v>6</v>
      </c>
      <c r="D109">
        <v>2</v>
      </c>
      <c r="E109" t="s">
        <v>49</v>
      </c>
      <c r="G109" t="s">
        <v>100</v>
      </c>
      <c r="J109">
        <v>0</v>
      </c>
      <c r="K109">
        <v>0</v>
      </c>
      <c r="L109">
        <v>0</v>
      </c>
      <c r="M109">
        <v>2</v>
      </c>
      <c r="N109">
        <v>3</v>
      </c>
      <c r="O109">
        <v>0</v>
      </c>
      <c r="P109">
        <v>0</v>
      </c>
      <c r="Q109">
        <v>5</v>
      </c>
      <c r="S109" t="b">
        <v>0</v>
      </c>
      <c r="W109" t="s">
        <v>51</v>
      </c>
    </row>
    <row r="110" spans="1:23" x14ac:dyDescent="0.25">
      <c r="A110" t="s">
        <v>74</v>
      </c>
      <c r="B110">
        <v>2018</v>
      </c>
      <c r="C110">
        <v>4</v>
      </c>
      <c r="D110">
        <v>5</v>
      </c>
      <c r="E110" t="s">
        <v>49</v>
      </c>
      <c r="F110" t="s">
        <v>71</v>
      </c>
      <c r="G110" t="s">
        <v>78</v>
      </c>
      <c r="H110" t="s">
        <v>109</v>
      </c>
      <c r="I110" t="s">
        <v>76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8</v>
      </c>
      <c r="P110">
        <v>0</v>
      </c>
      <c r="Q110">
        <v>8</v>
      </c>
      <c r="R110" t="s">
        <v>56</v>
      </c>
      <c r="S110" t="b">
        <v>0</v>
      </c>
      <c r="W110" t="s">
        <v>51</v>
      </c>
    </row>
    <row r="111" spans="1:23" hidden="1" x14ac:dyDescent="0.25">
      <c r="A111" t="s">
        <v>79</v>
      </c>
      <c r="B111">
        <v>2018</v>
      </c>
      <c r="C111">
        <v>6</v>
      </c>
      <c r="D111">
        <v>2</v>
      </c>
      <c r="E111" t="s">
        <v>49</v>
      </c>
      <c r="F111" t="s">
        <v>64</v>
      </c>
      <c r="G111" t="s">
        <v>53</v>
      </c>
      <c r="H111" t="s">
        <v>14</v>
      </c>
      <c r="I111" t="s">
        <v>65</v>
      </c>
      <c r="J111">
        <v>0</v>
      </c>
      <c r="K111">
        <v>0</v>
      </c>
      <c r="L111">
        <v>2</v>
      </c>
      <c r="M111">
        <v>3</v>
      </c>
      <c r="N111">
        <v>2</v>
      </c>
      <c r="O111">
        <v>1</v>
      </c>
      <c r="P111">
        <v>0</v>
      </c>
      <c r="Q111">
        <v>8</v>
      </c>
      <c r="R111" t="s">
        <v>56</v>
      </c>
      <c r="S111" t="b">
        <v>0</v>
      </c>
      <c r="W111" t="s">
        <v>51</v>
      </c>
    </row>
    <row r="112" spans="1:23" hidden="1" x14ac:dyDescent="0.25">
      <c r="A112" t="s">
        <v>79</v>
      </c>
      <c r="B112">
        <v>2018</v>
      </c>
      <c r="C112">
        <v>6</v>
      </c>
      <c r="D112">
        <v>2</v>
      </c>
      <c r="E112" t="s">
        <v>49</v>
      </c>
      <c r="F112" t="s">
        <v>52</v>
      </c>
      <c r="G112" t="s">
        <v>53</v>
      </c>
      <c r="H112" t="s">
        <v>101</v>
      </c>
      <c r="I112" t="s">
        <v>77</v>
      </c>
      <c r="J112">
        <v>0</v>
      </c>
      <c r="K112">
        <v>0</v>
      </c>
      <c r="L112">
        <v>6</v>
      </c>
      <c r="M112">
        <v>5.5</v>
      </c>
      <c r="N112">
        <v>5</v>
      </c>
      <c r="O112">
        <v>4</v>
      </c>
      <c r="P112">
        <v>0</v>
      </c>
      <c r="Q112">
        <v>20.5</v>
      </c>
      <c r="R112" t="s">
        <v>56</v>
      </c>
      <c r="S112" t="b">
        <v>0</v>
      </c>
      <c r="W112" t="s">
        <v>51</v>
      </c>
    </row>
    <row r="113" spans="1:23" hidden="1" x14ac:dyDescent="0.25">
      <c r="A113" t="s">
        <v>79</v>
      </c>
      <c r="B113">
        <v>2018</v>
      </c>
      <c r="C113">
        <v>6</v>
      </c>
      <c r="D113">
        <v>2</v>
      </c>
      <c r="E113" t="s">
        <v>49</v>
      </c>
      <c r="F113" t="s">
        <v>64</v>
      </c>
      <c r="G113" t="s">
        <v>53</v>
      </c>
      <c r="H113" t="s">
        <v>57</v>
      </c>
      <c r="I113" t="s">
        <v>58</v>
      </c>
      <c r="J113">
        <v>0</v>
      </c>
      <c r="K113">
        <v>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2</v>
      </c>
      <c r="R113" t="s">
        <v>56</v>
      </c>
      <c r="S113" t="b">
        <v>0</v>
      </c>
      <c r="W113" t="s">
        <v>51</v>
      </c>
    </row>
    <row r="114" spans="1:23" hidden="1" x14ac:dyDescent="0.25">
      <c r="A114" t="s">
        <v>79</v>
      </c>
      <c r="B114">
        <v>2018</v>
      </c>
      <c r="C114">
        <v>6</v>
      </c>
      <c r="D114">
        <v>2</v>
      </c>
      <c r="E114" t="s">
        <v>49</v>
      </c>
      <c r="G114" t="s">
        <v>50</v>
      </c>
      <c r="J114">
        <v>0</v>
      </c>
      <c r="K114">
        <v>0.5</v>
      </c>
      <c r="L114">
        <v>1</v>
      </c>
      <c r="M114">
        <v>1.5</v>
      </c>
      <c r="N114">
        <v>1</v>
      </c>
      <c r="O114">
        <v>0</v>
      </c>
      <c r="P114">
        <v>0</v>
      </c>
      <c r="Q114">
        <v>4</v>
      </c>
      <c r="S114" t="b">
        <v>0</v>
      </c>
      <c r="W114" t="s">
        <v>51</v>
      </c>
    </row>
    <row r="115" spans="1:23" hidden="1" x14ac:dyDescent="0.25">
      <c r="A115" t="s">
        <v>79</v>
      </c>
      <c r="B115">
        <v>2018</v>
      </c>
      <c r="C115">
        <v>6</v>
      </c>
      <c r="D115">
        <v>2</v>
      </c>
      <c r="E115" t="s">
        <v>49</v>
      </c>
      <c r="F115" t="s">
        <v>52</v>
      </c>
      <c r="G115" t="s">
        <v>53</v>
      </c>
      <c r="H115" t="s">
        <v>57</v>
      </c>
      <c r="I115" t="s">
        <v>55</v>
      </c>
      <c r="J115">
        <v>0</v>
      </c>
      <c r="K115">
        <v>5.5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5.5</v>
      </c>
      <c r="R115" t="s">
        <v>56</v>
      </c>
      <c r="S115" t="b">
        <v>0</v>
      </c>
      <c r="W115" t="s">
        <v>51</v>
      </c>
    </row>
    <row r="116" spans="1:23" hidden="1" x14ac:dyDescent="0.25">
      <c r="A116" t="s">
        <v>63</v>
      </c>
      <c r="B116">
        <v>2018</v>
      </c>
      <c r="C116">
        <v>6</v>
      </c>
      <c r="D116">
        <v>1</v>
      </c>
      <c r="E116" t="s">
        <v>49</v>
      </c>
      <c r="F116" t="s">
        <v>82</v>
      </c>
      <c r="G116" t="s">
        <v>53</v>
      </c>
      <c r="H116" t="s">
        <v>15</v>
      </c>
      <c r="I116" t="s">
        <v>77</v>
      </c>
      <c r="J116">
        <v>0</v>
      </c>
      <c r="K116">
        <v>0</v>
      </c>
      <c r="L116">
        <v>0</v>
      </c>
      <c r="M116">
        <v>8</v>
      </c>
      <c r="N116">
        <v>8</v>
      </c>
      <c r="O116">
        <v>8</v>
      </c>
      <c r="P116">
        <v>0</v>
      </c>
      <c r="Q116">
        <v>24</v>
      </c>
      <c r="R116" t="s">
        <v>56</v>
      </c>
      <c r="S116" t="b">
        <v>0</v>
      </c>
      <c r="W116" t="s">
        <v>51</v>
      </c>
    </row>
    <row r="117" spans="1:23" hidden="1" x14ac:dyDescent="0.25">
      <c r="A117" t="s">
        <v>69</v>
      </c>
      <c r="B117">
        <v>2018</v>
      </c>
      <c r="C117">
        <v>6</v>
      </c>
      <c r="D117">
        <v>1</v>
      </c>
      <c r="E117" t="s">
        <v>49</v>
      </c>
      <c r="G117" t="s">
        <v>62</v>
      </c>
      <c r="J117">
        <v>0</v>
      </c>
      <c r="K117">
        <v>8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8</v>
      </c>
      <c r="S117" t="b">
        <v>0</v>
      </c>
      <c r="W117" t="s">
        <v>51</v>
      </c>
    </row>
    <row r="118" spans="1:23" hidden="1" x14ac:dyDescent="0.25">
      <c r="A118" t="s">
        <v>69</v>
      </c>
      <c r="B118">
        <v>2018</v>
      </c>
      <c r="C118">
        <v>6</v>
      </c>
      <c r="D118">
        <v>1</v>
      </c>
      <c r="E118" t="s">
        <v>49</v>
      </c>
      <c r="F118" t="s">
        <v>64</v>
      </c>
      <c r="G118" t="s">
        <v>53</v>
      </c>
      <c r="H118" t="s">
        <v>101</v>
      </c>
      <c r="I118" t="s">
        <v>76</v>
      </c>
      <c r="J118">
        <v>0</v>
      </c>
      <c r="K118">
        <v>0</v>
      </c>
      <c r="L118">
        <v>0.5</v>
      </c>
      <c r="M118">
        <v>1</v>
      </c>
      <c r="N118">
        <v>1</v>
      </c>
      <c r="O118">
        <v>0</v>
      </c>
      <c r="P118">
        <v>0</v>
      </c>
      <c r="Q118">
        <v>2.5</v>
      </c>
      <c r="R118" t="s">
        <v>56</v>
      </c>
      <c r="S118" t="b">
        <v>0</v>
      </c>
      <c r="W118" t="s">
        <v>51</v>
      </c>
    </row>
    <row r="119" spans="1:23" hidden="1" x14ac:dyDescent="0.25">
      <c r="A119" t="s">
        <v>69</v>
      </c>
      <c r="B119">
        <v>2018</v>
      </c>
      <c r="C119">
        <v>6</v>
      </c>
      <c r="D119">
        <v>1</v>
      </c>
      <c r="E119" t="s">
        <v>49</v>
      </c>
      <c r="F119" t="s">
        <v>64</v>
      </c>
      <c r="G119" t="s">
        <v>53</v>
      </c>
      <c r="H119" t="s">
        <v>101</v>
      </c>
      <c r="I119" t="s">
        <v>77</v>
      </c>
      <c r="J119">
        <v>0</v>
      </c>
      <c r="K119">
        <v>0</v>
      </c>
      <c r="L119">
        <v>5</v>
      </c>
      <c r="M119">
        <v>5</v>
      </c>
      <c r="N119">
        <v>5</v>
      </c>
      <c r="O119">
        <v>6</v>
      </c>
      <c r="P119">
        <v>0</v>
      </c>
      <c r="Q119">
        <v>21</v>
      </c>
      <c r="R119" t="s">
        <v>56</v>
      </c>
      <c r="S119" t="b">
        <v>0</v>
      </c>
      <c r="W119" t="s">
        <v>51</v>
      </c>
    </row>
    <row r="120" spans="1:23" hidden="1" x14ac:dyDescent="0.25">
      <c r="A120" t="s">
        <v>69</v>
      </c>
      <c r="B120">
        <v>2018</v>
      </c>
      <c r="C120">
        <v>6</v>
      </c>
      <c r="D120">
        <v>1</v>
      </c>
      <c r="E120" t="s">
        <v>49</v>
      </c>
      <c r="F120" t="s">
        <v>64</v>
      </c>
      <c r="G120" t="s">
        <v>53</v>
      </c>
      <c r="H120" t="s">
        <v>101</v>
      </c>
      <c r="I120" t="s">
        <v>72</v>
      </c>
      <c r="J120">
        <v>0</v>
      </c>
      <c r="K120">
        <v>0</v>
      </c>
      <c r="L120">
        <v>2</v>
      </c>
      <c r="M120">
        <v>2</v>
      </c>
      <c r="N120">
        <v>2</v>
      </c>
      <c r="O120">
        <v>2</v>
      </c>
      <c r="P120">
        <v>0</v>
      </c>
      <c r="Q120">
        <v>8</v>
      </c>
      <c r="R120" t="s">
        <v>56</v>
      </c>
      <c r="S120" t="b">
        <v>0</v>
      </c>
      <c r="W120" t="s">
        <v>51</v>
      </c>
    </row>
    <row r="121" spans="1:23" hidden="1" x14ac:dyDescent="0.25">
      <c r="A121" t="s">
        <v>69</v>
      </c>
      <c r="B121">
        <v>2018</v>
      </c>
      <c r="C121">
        <v>6</v>
      </c>
      <c r="D121">
        <v>1</v>
      </c>
      <c r="E121" t="s">
        <v>49</v>
      </c>
      <c r="F121" t="s">
        <v>64</v>
      </c>
      <c r="G121" t="s">
        <v>53</v>
      </c>
      <c r="H121" t="s">
        <v>57</v>
      </c>
      <c r="I121" t="s">
        <v>68</v>
      </c>
      <c r="J121">
        <v>0</v>
      </c>
      <c r="K121">
        <v>0</v>
      </c>
      <c r="L121">
        <v>1</v>
      </c>
      <c r="M121">
        <v>1.5</v>
      </c>
      <c r="N121">
        <v>0.5</v>
      </c>
      <c r="O121">
        <v>0.4</v>
      </c>
      <c r="P121">
        <v>0</v>
      </c>
      <c r="Q121">
        <v>3.4</v>
      </c>
      <c r="R121" t="s">
        <v>56</v>
      </c>
      <c r="S121" t="b">
        <v>0</v>
      </c>
      <c r="W121" t="s">
        <v>51</v>
      </c>
    </row>
    <row r="122" spans="1:23" hidden="1" x14ac:dyDescent="0.25">
      <c r="A122" t="s">
        <v>102</v>
      </c>
      <c r="B122">
        <v>2018</v>
      </c>
      <c r="C122">
        <v>6</v>
      </c>
      <c r="D122">
        <v>1</v>
      </c>
      <c r="E122" t="s">
        <v>49</v>
      </c>
      <c r="F122" t="s">
        <v>52</v>
      </c>
      <c r="G122" t="s">
        <v>53</v>
      </c>
      <c r="H122" t="s">
        <v>20</v>
      </c>
      <c r="I122" t="s">
        <v>76</v>
      </c>
      <c r="J122">
        <v>0</v>
      </c>
      <c r="K122">
        <v>5</v>
      </c>
      <c r="L122">
        <v>4</v>
      </c>
      <c r="M122">
        <v>4</v>
      </c>
      <c r="N122">
        <v>3</v>
      </c>
      <c r="O122">
        <v>2</v>
      </c>
      <c r="P122">
        <v>0</v>
      </c>
      <c r="Q122">
        <v>18</v>
      </c>
      <c r="R122" t="s">
        <v>56</v>
      </c>
      <c r="S122" t="b">
        <v>0</v>
      </c>
      <c r="W122" t="s">
        <v>51</v>
      </c>
    </row>
    <row r="123" spans="1:23" hidden="1" x14ac:dyDescent="0.25">
      <c r="A123" t="s">
        <v>102</v>
      </c>
      <c r="B123">
        <v>2018</v>
      </c>
      <c r="C123">
        <v>6</v>
      </c>
      <c r="D123">
        <v>1</v>
      </c>
      <c r="E123" t="s">
        <v>49</v>
      </c>
      <c r="F123" t="s">
        <v>67</v>
      </c>
      <c r="G123" t="s">
        <v>53</v>
      </c>
      <c r="H123" t="s">
        <v>57</v>
      </c>
      <c r="I123" t="s">
        <v>68</v>
      </c>
      <c r="J123">
        <v>0</v>
      </c>
      <c r="K123">
        <v>3</v>
      </c>
      <c r="L123">
        <v>4</v>
      </c>
      <c r="M123">
        <v>4</v>
      </c>
      <c r="N123">
        <v>3</v>
      </c>
      <c r="O123">
        <v>2</v>
      </c>
      <c r="P123">
        <v>0</v>
      </c>
      <c r="Q123">
        <v>16</v>
      </c>
      <c r="R123" t="s">
        <v>56</v>
      </c>
      <c r="S123" t="b">
        <v>0</v>
      </c>
      <c r="W123" t="s">
        <v>51</v>
      </c>
    </row>
    <row r="124" spans="1:23" hidden="1" x14ac:dyDescent="0.25">
      <c r="A124" t="s">
        <v>74</v>
      </c>
      <c r="B124">
        <v>2018</v>
      </c>
      <c r="C124">
        <v>6</v>
      </c>
      <c r="D124">
        <v>1</v>
      </c>
      <c r="E124" t="s">
        <v>49</v>
      </c>
      <c r="F124" t="s">
        <v>52</v>
      </c>
      <c r="G124" t="s">
        <v>103</v>
      </c>
      <c r="H124" t="s">
        <v>57</v>
      </c>
      <c r="I124" t="s">
        <v>88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3</v>
      </c>
      <c r="P124">
        <v>0</v>
      </c>
      <c r="Q124">
        <v>3</v>
      </c>
      <c r="R124" t="s">
        <v>56</v>
      </c>
      <c r="S124" t="b">
        <v>0</v>
      </c>
      <c r="W124" t="s">
        <v>51</v>
      </c>
    </row>
    <row r="125" spans="1:23" hidden="1" x14ac:dyDescent="0.25">
      <c r="A125" t="s">
        <v>74</v>
      </c>
      <c r="B125">
        <v>2018</v>
      </c>
      <c r="C125">
        <v>6</v>
      </c>
      <c r="D125">
        <v>1</v>
      </c>
      <c r="E125" t="s">
        <v>49</v>
      </c>
      <c r="F125" t="s">
        <v>52</v>
      </c>
      <c r="G125" t="s">
        <v>53</v>
      </c>
      <c r="H125" t="s">
        <v>15</v>
      </c>
      <c r="I125" t="s">
        <v>87</v>
      </c>
      <c r="J125">
        <v>0</v>
      </c>
      <c r="K125">
        <v>1.5</v>
      </c>
      <c r="L125">
        <v>0</v>
      </c>
      <c r="M125">
        <v>0</v>
      </c>
      <c r="N125">
        <v>0</v>
      </c>
      <c r="O125">
        <v>1</v>
      </c>
      <c r="P125">
        <v>0</v>
      </c>
      <c r="Q125">
        <v>2.5</v>
      </c>
      <c r="R125" t="s">
        <v>56</v>
      </c>
      <c r="S125" t="b">
        <v>0</v>
      </c>
      <c r="W125" t="s">
        <v>51</v>
      </c>
    </row>
    <row r="126" spans="1:23" hidden="1" x14ac:dyDescent="0.25">
      <c r="A126" t="s">
        <v>74</v>
      </c>
      <c r="B126">
        <v>2018</v>
      </c>
      <c r="C126">
        <v>6</v>
      </c>
      <c r="D126">
        <v>1</v>
      </c>
      <c r="E126" t="s">
        <v>49</v>
      </c>
      <c r="F126" t="s">
        <v>52</v>
      </c>
      <c r="G126" t="s">
        <v>53</v>
      </c>
      <c r="H126" t="s">
        <v>15</v>
      </c>
      <c r="I126" t="s">
        <v>76</v>
      </c>
      <c r="J126">
        <v>0</v>
      </c>
      <c r="K126">
        <v>8.5</v>
      </c>
      <c r="L126">
        <v>10</v>
      </c>
      <c r="M126">
        <v>6</v>
      </c>
      <c r="N126">
        <v>0</v>
      </c>
      <c r="O126">
        <v>0</v>
      </c>
      <c r="P126">
        <v>0</v>
      </c>
      <c r="Q126">
        <v>24.5</v>
      </c>
      <c r="R126" t="s">
        <v>56</v>
      </c>
      <c r="S126" t="b">
        <v>0</v>
      </c>
      <c r="W126" t="s">
        <v>51</v>
      </c>
    </row>
    <row r="127" spans="1:23" hidden="1" x14ac:dyDescent="0.25">
      <c r="A127" t="s">
        <v>74</v>
      </c>
      <c r="B127">
        <v>2018</v>
      </c>
      <c r="C127">
        <v>6</v>
      </c>
      <c r="D127">
        <v>1</v>
      </c>
      <c r="E127" t="s">
        <v>49</v>
      </c>
      <c r="F127" t="s">
        <v>82</v>
      </c>
      <c r="G127" t="s">
        <v>53</v>
      </c>
      <c r="H127" t="s">
        <v>14</v>
      </c>
      <c r="I127" t="s">
        <v>76</v>
      </c>
      <c r="J127">
        <v>0</v>
      </c>
      <c r="K127">
        <v>0</v>
      </c>
      <c r="L127">
        <v>0</v>
      </c>
      <c r="M127">
        <v>0</v>
      </c>
      <c r="N127">
        <v>4</v>
      </c>
      <c r="O127">
        <v>2</v>
      </c>
      <c r="P127">
        <v>0</v>
      </c>
      <c r="Q127">
        <v>6</v>
      </c>
      <c r="R127" t="s">
        <v>56</v>
      </c>
      <c r="S127" t="b">
        <v>0</v>
      </c>
      <c r="W127" t="s">
        <v>51</v>
      </c>
    </row>
    <row r="128" spans="1:23" hidden="1" x14ac:dyDescent="0.25">
      <c r="A128" t="s">
        <v>74</v>
      </c>
      <c r="B128">
        <v>2018</v>
      </c>
      <c r="C128">
        <v>6</v>
      </c>
      <c r="D128">
        <v>1</v>
      </c>
      <c r="E128" t="s">
        <v>49</v>
      </c>
      <c r="F128" t="s">
        <v>82</v>
      </c>
      <c r="G128" t="s">
        <v>53</v>
      </c>
      <c r="H128" t="s">
        <v>11</v>
      </c>
      <c r="I128" t="s">
        <v>76</v>
      </c>
      <c r="J128">
        <v>0</v>
      </c>
      <c r="K128">
        <v>0</v>
      </c>
      <c r="L128">
        <v>0</v>
      </c>
      <c r="M128">
        <v>2</v>
      </c>
      <c r="N128">
        <v>0</v>
      </c>
      <c r="O128">
        <v>0</v>
      </c>
      <c r="P128">
        <v>0</v>
      </c>
      <c r="Q128">
        <v>2</v>
      </c>
      <c r="R128" t="s">
        <v>56</v>
      </c>
      <c r="S128" t="b">
        <v>0</v>
      </c>
      <c r="W128" t="s">
        <v>51</v>
      </c>
    </row>
    <row r="129" spans="1:23" hidden="1" x14ac:dyDescent="0.25">
      <c r="A129" t="s">
        <v>74</v>
      </c>
      <c r="B129">
        <v>2018</v>
      </c>
      <c r="C129">
        <v>6</v>
      </c>
      <c r="D129">
        <v>1</v>
      </c>
      <c r="E129" t="s">
        <v>49</v>
      </c>
      <c r="F129" t="s">
        <v>82</v>
      </c>
      <c r="G129" t="s">
        <v>53</v>
      </c>
      <c r="H129" t="s">
        <v>13</v>
      </c>
      <c r="I129" t="s">
        <v>76</v>
      </c>
      <c r="J129">
        <v>0</v>
      </c>
      <c r="K129">
        <v>0</v>
      </c>
      <c r="L129">
        <v>0</v>
      </c>
      <c r="M129">
        <v>0</v>
      </c>
      <c r="N129">
        <v>4</v>
      </c>
      <c r="O129">
        <v>2</v>
      </c>
      <c r="P129">
        <v>0</v>
      </c>
      <c r="Q129">
        <v>6</v>
      </c>
      <c r="R129" t="s">
        <v>56</v>
      </c>
      <c r="S129" t="b">
        <v>0</v>
      </c>
      <c r="W129" t="s">
        <v>51</v>
      </c>
    </row>
    <row r="130" spans="1:23" hidden="1" x14ac:dyDescent="0.25">
      <c r="A130" t="s">
        <v>48</v>
      </c>
      <c r="B130">
        <v>2018</v>
      </c>
      <c r="C130">
        <v>6</v>
      </c>
      <c r="D130">
        <v>1</v>
      </c>
      <c r="E130" t="s">
        <v>49</v>
      </c>
      <c r="G130" t="s">
        <v>62</v>
      </c>
      <c r="J130">
        <v>0</v>
      </c>
      <c r="K130">
        <v>8</v>
      </c>
      <c r="L130">
        <v>8</v>
      </c>
      <c r="M130">
        <v>8</v>
      </c>
      <c r="N130">
        <v>8</v>
      </c>
      <c r="O130">
        <v>8</v>
      </c>
      <c r="P130">
        <v>0</v>
      </c>
      <c r="Q130">
        <v>40</v>
      </c>
      <c r="S130" t="b">
        <v>0</v>
      </c>
      <c r="W130" t="s">
        <v>51</v>
      </c>
    </row>
    <row r="131" spans="1:23" x14ac:dyDescent="0.25">
      <c r="A131" t="s">
        <v>74</v>
      </c>
      <c r="B131">
        <v>2018</v>
      </c>
      <c r="C131">
        <v>4</v>
      </c>
      <c r="D131">
        <v>5</v>
      </c>
      <c r="E131" t="s">
        <v>49</v>
      </c>
      <c r="F131" t="s">
        <v>71</v>
      </c>
      <c r="G131" t="s">
        <v>78</v>
      </c>
      <c r="H131" t="s">
        <v>109</v>
      </c>
      <c r="I131" t="s">
        <v>77</v>
      </c>
      <c r="J131">
        <v>0</v>
      </c>
      <c r="K131">
        <v>0</v>
      </c>
      <c r="L131">
        <v>0</v>
      </c>
      <c r="M131">
        <v>0</v>
      </c>
      <c r="N131">
        <v>4</v>
      </c>
      <c r="O131">
        <v>0</v>
      </c>
      <c r="P131">
        <v>0</v>
      </c>
      <c r="Q131">
        <v>4</v>
      </c>
      <c r="R131" t="s">
        <v>56</v>
      </c>
      <c r="S131" t="b">
        <v>0</v>
      </c>
      <c r="W131" t="s">
        <v>51</v>
      </c>
    </row>
    <row r="132" spans="1:23" hidden="1" x14ac:dyDescent="0.25">
      <c r="A132" t="s">
        <v>79</v>
      </c>
      <c r="B132">
        <v>2018</v>
      </c>
      <c r="C132">
        <v>6</v>
      </c>
      <c r="D132">
        <v>1</v>
      </c>
      <c r="E132" t="s">
        <v>49</v>
      </c>
      <c r="G132" t="s">
        <v>73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2</v>
      </c>
      <c r="P132">
        <v>0</v>
      </c>
      <c r="Q132">
        <v>2</v>
      </c>
      <c r="S132" t="b">
        <v>0</v>
      </c>
      <c r="W132" t="s">
        <v>51</v>
      </c>
    </row>
    <row r="133" spans="1:23" hidden="1" x14ac:dyDescent="0.25">
      <c r="A133" t="s">
        <v>79</v>
      </c>
      <c r="B133">
        <v>2018</v>
      </c>
      <c r="C133">
        <v>6</v>
      </c>
      <c r="D133">
        <v>1</v>
      </c>
      <c r="E133" t="s">
        <v>49</v>
      </c>
      <c r="G133" t="s">
        <v>50</v>
      </c>
      <c r="J133">
        <v>0</v>
      </c>
      <c r="K133">
        <v>0</v>
      </c>
      <c r="L133">
        <v>0.5</v>
      </c>
      <c r="M133">
        <v>3.5</v>
      </c>
      <c r="N133">
        <v>0</v>
      </c>
      <c r="O133">
        <v>0</v>
      </c>
      <c r="P133">
        <v>0</v>
      </c>
      <c r="Q133">
        <v>4</v>
      </c>
      <c r="S133" t="b">
        <v>0</v>
      </c>
      <c r="W133" t="s">
        <v>51</v>
      </c>
    </row>
    <row r="134" spans="1:23" hidden="1" x14ac:dyDescent="0.25">
      <c r="A134" t="s">
        <v>79</v>
      </c>
      <c r="B134">
        <v>2018</v>
      </c>
      <c r="C134">
        <v>6</v>
      </c>
      <c r="D134">
        <v>1</v>
      </c>
      <c r="E134" t="s">
        <v>49</v>
      </c>
      <c r="F134" t="s">
        <v>52</v>
      </c>
      <c r="G134" t="s">
        <v>53</v>
      </c>
      <c r="H134" t="s">
        <v>14</v>
      </c>
      <c r="I134" t="s">
        <v>61</v>
      </c>
      <c r="J134">
        <v>0</v>
      </c>
      <c r="K134">
        <v>3.5</v>
      </c>
      <c r="L134">
        <v>3</v>
      </c>
      <c r="M134">
        <v>0</v>
      </c>
      <c r="N134">
        <v>0</v>
      </c>
      <c r="O134">
        <v>0</v>
      </c>
      <c r="P134">
        <v>0</v>
      </c>
      <c r="Q134">
        <v>6.5</v>
      </c>
      <c r="R134" t="s">
        <v>56</v>
      </c>
      <c r="S134" t="b">
        <v>0</v>
      </c>
      <c r="W134" t="s">
        <v>51</v>
      </c>
    </row>
    <row r="135" spans="1:23" hidden="1" x14ac:dyDescent="0.25">
      <c r="A135" t="s">
        <v>79</v>
      </c>
      <c r="B135">
        <v>2018</v>
      </c>
      <c r="C135">
        <v>6</v>
      </c>
      <c r="D135">
        <v>1</v>
      </c>
      <c r="E135" t="s">
        <v>49</v>
      </c>
      <c r="F135" t="s">
        <v>52</v>
      </c>
      <c r="G135" t="s">
        <v>53</v>
      </c>
      <c r="H135" t="s">
        <v>57</v>
      </c>
      <c r="I135" t="s">
        <v>55</v>
      </c>
      <c r="J135">
        <v>0</v>
      </c>
      <c r="K135">
        <v>0</v>
      </c>
      <c r="L135">
        <v>0</v>
      </c>
      <c r="M135">
        <v>3</v>
      </c>
      <c r="N135">
        <v>0</v>
      </c>
      <c r="O135">
        <v>0</v>
      </c>
      <c r="P135">
        <v>0</v>
      </c>
      <c r="Q135">
        <v>3</v>
      </c>
      <c r="R135" t="s">
        <v>56</v>
      </c>
      <c r="S135" t="b">
        <v>0</v>
      </c>
      <c r="W135" t="s">
        <v>51</v>
      </c>
    </row>
    <row r="136" spans="1:23" hidden="1" x14ac:dyDescent="0.25">
      <c r="A136" t="s">
        <v>79</v>
      </c>
      <c r="B136">
        <v>2018</v>
      </c>
      <c r="C136">
        <v>6</v>
      </c>
      <c r="D136">
        <v>1</v>
      </c>
      <c r="E136" t="s">
        <v>49</v>
      </c>
      <c r="F136" t="s">
        <v>67</v>
      </c>
      <c r="G136" t="s">
        <v>53</v>
      </c>
      <c r="H136" t="s">
        <v>14</v>
      </c>
      <c r="I136" t="s">
        <v>87</v>
      </c>
      <c r="J136">
        <v>0</v>
      </c>
      <c r="K136">
        <v>1.5</v>
      </c>
      <c r="L136">
        <v>0</v>
      </c>
      <c r="M136">
        <v>0</v>
      </c>
      <c r="N136">
        <v>0</v>
      </c>
      <c r="O136">
        <v>1.2</v>
      </c>
      <c r="P136">
        <v>0</v>
      </c>
      <c r="Q136">
        <v>2.8</v>
      </c>
      <c r="R136" t="s">
        <v>56</v>
      </c>
      <c r="S136" t="b">
        <v>0</v>
      </c>
      <c r="W136" t="s">
        <v>51</v>
      </c>
    </row>
    <row r="137" spans="1:23" hidden="1" x14ac:dyDescent="0.25">
      <c r="A137" t="s">
        <v>79</v>
      </c>
      <c r="B137">
        <v>2018</v>
      </c>
      <c r="C137">
        <v>6</v>
      </c>
      <c r="D137">
        <v>1</v>
      </c>
      <c r="E137" t="s">
        <v>49</v>
      </c>
      <c r="F137" t="s">
        <v>71</v>
      </c>
      <c r="G137" t="s">
        <v>53</v>
      </c>
      <c r="H137" t="s">
        <v>14</v>
      </c>
      <c r="I137" t="s">
        <v>76</v>
      </c>
      <c r="J137">
        <v>0</v>
      </c>
      <c r="K137">
        <v>0</v>
      </c>
      <c r="L137">
        <v>0</v>
      </c>
      <c r="M137">
        <v>0</v>
      </c>
      <c r="N137">
        <v>3.5</v>
      </c>
      <c r="O137">
        <v>0</v>
      </c>
      <c r="P137">
        <v>0</v>
      </c>
      <c r="Q137">
        <v>3.5</v>
      </c>
      <c r="R137" t="s">
        <v>56</v>
      </c>
      <c r="S137" t="b">
        <v>0</v>
      </c>
      <c r="W137" t="s">
        <v>51</v>
      </c>
    </row>
    <row r="138" spans="1:23" hidden="1" x14ac:dyDescent="0.25">
      <c r="A138" t="s">
        <v>79</v>
      </c>
      <c r="B138">
        <v>2018</v>
      </c>
      <c r="C138">
        <v>6</v>
      </c>
      <c r="D138">
        <v>1</v>
      </c>
      <c r="E138" t="s">
        <v>49</v>
      </c>
      <c r="F138" t="s">
        <v>71</v>
      </c>
      <c r="G138" t="s">
        <v>53</v>
      </c>
      <c r="H138" t="s">
        <v>14</v>
      </c>
      <c r="I138" t="s">
        <v>77</v>
      </c>
      <c r="J138">
        <v>0</v>
      </c>
      <c r="K138">
        <v>0</v>
      </c>
      <c r="L138">
        <v>0</v>
      </c>
      <c r="M138">
        <v>0</v>
      </c>
      <c r="N138">
        <v>3</v>
      </c>
      <c r="O138">
        <v>1.8</v>
      </c>
      <c r="P138">
        <v>0</v>
      </c>
      <c r="Q138">
        <v>4.8</v>
      </c>
      <c r="R138" t="s">
        <v>56</v>
      </c>
      <c r="S138" t="b">
        <v>0</v>
      </c>
      <c r="W138" t="s">
        <v>51</v>
      </c>
    </row>
    <row r="139" spans="1:23" hidden="1" x14ac:dyDescent="0.25">
      <c r="A139" t="s">
        <v>79</v>
      </c>
      <c r="B139">
        <v>2018</v>
      </c>
      <c r="C139">
        <v>6</v>
      </c>
      <c r="D139">
        <v>1</v>
      </c>
      <c r="E139" t="s">
        <v>49</v>
      </c>
      <c r="F139" t="s">
        <v>52</v>
      </c>
      <c r="G139" t="s">
        <v>53</v>
      </c>
      <c r="H139" t="s">
        <v>14</v>
      </c>
      <c r="I139" t="s">
        <v>87</v>
      </c>
      <c r="J139">
        <v>0</v>
      </c>
      <c r="K139">
        <v>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2</v>
      </c>
      <c r="R139" t="s">
        <v>56</v>
      </c>
      <c r="S139" t="b">
        <v>0</v>
      </c>
      <c r="W139" t="s">
        <v>51</v>
      </c>
    </row>
    <row r="140" spans="1:23" x14ac:dyDescent="0.25">
      <c r="A140" t="s">
        <v>74</v>
      </c>
      <c r="B140">
        <v>2018</v>
      </c>
      <c r="C140">
        <v>4</v>
      </c>
      <c r="D140">
        <v>5</v>
      </c>
      <c r="E140" t="s">
        <v>49</v>
      </c>
      <c r="F140" t="s">
        <v>123</v>
      </c>
      <c r="G140" t="s">
        <v>78</v>
      </c>
      <c r="H140" t="s">
        <v>109</v>
      </c>
      <c r="I140" t="s">
        <v>87</v>
      </c>
      <c r="J140">
        <v>0</v>
      </c>
      <c r="K140">
        <v>0</v>
      </c>
      <c r="L140">
        <v>0</v>
      </c>
      <c r="M140">
        <v>1</v>
      </c>
      <c r="N140">
        <v>0</v>
      </c>
      <c r="O140">
        <v>0</v>
      </c>
      <c r="P140">
        <v>0</v>
      </c>
      <c r="Q140">
        <v>1</v>
      </c>
      <c r="R140" t="s">
        <v>56</v>
      </c>
      <c r="S140" t="b">
        <v>0</v>
      </c>
      <c r="W140" t="s">
        <v>51</v>
      </c>
    </row>
    <row r="141" spans="1:23" hidden="1" x14ac:dyDescent="0.25">
      <c r="A141" t="s">
        <v>69</v>
      </c>
      <c r="B141">
        <v>2018</v>
      </c>
      <c r="C141">
        <v>5</v>
      </c>
      <c r="D141">
        <v>4</v>
      </c>
      <c r="E141" t="s">
        <v>49</v>
      </c>
      <c r="G141" t="s">
        <v>73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0</v>
      </c>
      <c r="Q141">
        <v>1</v>
      </c>
      <c r="S141" t="b">
        <v>0</v>
      </c>
      <c r="W141" t="s">
        <v>51</v>
      </c>
    </row>
    <row r="142" spans="1:23" hidden="1" x14ac:dyDescent="0.25">
      <c r="A142" t="s">
        <v>69</v>
      </c>
      <c r="B142">
        <v>2018</v>
      </c>
      <c r="C142">
        <v>5</v>
      </c>
      <c r="D142">
        <v>4</v>
      </c>
      <c r="E142" t="s">
        <v>49</v>
      </c>
      <c r="F142" t="s">
        <v>52</v>
      </c>
      <c r="G142" t="s">
        <v>53</v>
      </c>
      <c r="H142" t="s">
        <v>16</v>
      </c>
      <c r="I142" t="s">
        <v>76</v>
      </c>
      <c r="J142">
        <v>0</v>
      </c>
      <c r="K142">
        <v>4.5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4.5</v>
      </c>
      <c r="R142" t="s">
        <v>56</v>
      </c>
      <c r="S142" t="b">
        <v>0</v>
      </c>
      <c r="W142" t="s">
        <v>51</v>
      </c>
    </row>
    <row r="143" spans="1:23" hidden="1" x14ac:dyDescent="0.25">
      <c r="A143" t="s">
        <v>69</v>
      </c>
      <c r="B143">
        <v>2018</v>
      </c>
      <c r="C143">
        <v>5</v>
      </c>
      <c r="D143">
        <v>4</v>
      </c>
      <c r="E143" t="s">
        <v>49</v>
      </c>
      <c r="F143" t="s">
        <v>52</v>
      </c>
      <c r="G143" t="s">
        <v>53</v>
      </c>
      <c r="H143" t="s">
        <v>16</v>
      </c>
      <c r="I143" t="s">
        <v>77</v>
      </c>
      <c r="J143">
        <v>0</v>
      </c>
      <c r="K143">
        <v>4</v>
      </c>
      <c r="L143">
        <v>7.4</v>
      </c>
      <c r="M143">
        <v>8.1999999999999993</v>
      </c>
      <c r="N143">
        <v>5.5</v>
      </c>
      <c r="O143">
        <v>2.5</v>
      </c>
      <c r="P143">
        <v>0</v>
      </c>
      <c r="Q143">
        <v>27.6</v>
      </c>
      <c r="R143" t="s">
        <v>56</v>
      </c>
      <c r="S143" t="b">
        <v>0</v>
      </c>
      <c r="W143" t="s">
        <v>51</v>
      </c>
    </row>
    <row r="144" spans="1:23" hidden="1" x14ac:dyDescent="0.25">
      <c r="A144" t="s">
        <v>69</v>
      </c>
      <c r="B144">
        <v>2018</v>
      </c>
      <c r="C144">
        <v>5</v>
      </c>
      <c r="D144">
        <v>4</v>
      </c>
      <c r="E144" t="s">
        <v>49</v>
      </c>
      <c r="F144" t="s">
        <v>52</v>
      </c>
      <c r="G144" t="s">
        <v>53</v>
      </c>
      <c r="H144" t="s">
        <v>16</v>
      </c>
      <c r="I144" t="s">
        <v>72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1</v>
      </c>
      <c r="R144" t="s">
        <v>56</v>
      </c>
      <c r="S144" t="b">
        <v>0</v>
      </c>
      <c r="W144" t="s">
        <v>51</v>
      </c>
    </row>
    <row r="145" spans="1:23" hidden="1" x14ac:dyDescent="0.25">
      <c r="A145" t="s">
        <v>69</v>
      </c>
      <c r="B145">
        <v>2018</v>
      </c>
      <c r="C145">
        <v>5</v>
      </c>
      <c r="D145">
        <v>4</v>
      </c>
      <c r="E145" t="s">
        <v>49</v>
      </c>
      <c r="F145" t="s">
        <v>64</v>
      </c>
      <c r="G145" t="s">
        <v>53</v>
      </c>
      <c r="H145" t="s">
        <v>57</v>
      </c>
      <c r="I145" t="s">
        <v>68</v>
      </c>
      <c r="J145">
        <v>0</v>
      </c>
      <c r="K145">
        <v>2</v>
      </c>
      <c r="L145">
        <v>1.5</v>
      </c>
      <c r="M145">
        <v>3</v>
      </c>
      <c r="N145">
        <v>3.5</v>
      </c>
      <c r="O145">
        <v>0</v>
      </c>
      <c r="P145">
        <v>0</v>
      </c>
      <c r="Q145">
        <v>10</v>
      </c>
      <c r="R145" t="s">
        <v>56</v>
      </c>
      <c r="S145" t="b">
        <v>0</v>
      </c>
      <c r="W145" t="s">
        <v>51</v>
      </c>
    </row>
    <row r="146" spans="1:23" hidden="1" x14ac:dyDescent="0.25">
      <c r="A146" t="s">
        <v>69</v>
      </c>
      <c r="B146">
        <v>2018</v>
      </c>
      <c r="C146">
        <v>5</v>
      </c>
      <c r="D146">
        <v>4</v>
      </c>
      <c r="E146" t="s">
        <v>49</v>
      </c>
      <c r="F146" t="s">
        <v>64</v>
      </c>
      <c r="G146" t="s">
        <v>53</v>
      </c>
      <c r="H146" t="s">
        <v>57</v>
      </c>
      <c r="I146" t="s">
        <v>58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2</v>
      </c>
      <c r="P146">
        <v>0</v>
      </c>
      <c r="Q146">
        <v>2</v>
      </c>
      <c r="R146" t="s">
        <v>56</v>
      </c>
      <c r="S146" t="b">
        <v>0</v>
      </c>
      <c r="W146" t="s">
        <v>51</v>
      </c>
    </row>
    <row r="147" spans="1:23" hidden="1" x14ac:dyDescent="0.25">
      <c r="A147" t="s">
        <v>69</v>
      </c>
      <c r="B147">
        <v>2018</v>
      </c>
      <c r="C147">
        <v>5</v>
      </c>
      <c r="D147">
        <v>4</v>
      </c>
      <c r="E147" t="s">
        <v>49</v>
      </c>
      <c r="J147">
        <v>0</v>
      </c>
      <c r="K147">
        <v>0</v>
      </c>
      <c r="L147">
        <v>2</v>
      </c>
      <c r="M147">
        <v>1.1000000000000001</v>
      </c>
      <c r="N147">
        <v>3.5</v>
      </c>
      <c r="O147">
        <v>1.5</v>
      </c>
      <c r="P147">
        <v>0</v>
      </c>
      <c r="Q147">
        <v>8.1</v>
      </c>
      <c r="S147" t="b">
        <v>0</v>
      </c>
      <c r="W147" t="s">
        <v>51</v>
      </c>
    </row>
    <row r="148" spans="1:23" hidden="1" x14ac:dyDescent="0.25">
      <c r="A148" t="s">
        <v>102</v>
      </c>
      <c r="B148">
        <v>2018</v>
      </c>
      <c r="C148">
        <v>5</v>
      </c>
      <c r="D148">
        <v>4</v>
      </c>
      <c r="E148" t="s">
        <v>49</v>
      </c>
      <c r="F148" t="s">
        <v>67</v>
      </c>
      <c r="G148" t="s">
        <v>70</v>
      </c>
      <c r="H148" t="s">
        <v>57</v>
      </c>
      <c r="I148" t="s">
        <v>68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>
        <v>0</v>
      </c>
      <c r="Q148">
        <v>1</v>
      </c>
      <c r="R148" t="s">
        <v>56</v>
      </c>
      <c r="S148" t="b">
        <v>0</v>
      </c>
      <c r="W148" t="s">
        <v>51</v>
      </c>
    </row>
    <row r="149" spans="1:23" hidden="1" x14ac:dyDescent="0.25">
      <c r="A149" t="s">
        <v>102</v>
      </c>
      <c r="B149">
        <v>2018</v>
      </c>
      <c r="C149">
        <v>5</v>
      </c>
      <c r="D149">
        <v>4</v>
      </c>
      <c r="E149" t="s">
        <v>49</v>
      </c>
      <c r="F149" t="s">
        <v>67</v>
      </c>
      <c r="G149" t="s">
        <v>53</v>
      </c>
      <c r="H149" t="s">
        <v>57</v>
      </c>
      <c r="I149" t="s">
        <v>68</v>
      </c>
      <c r="J149">
        <v>0</v>
      </c>
      <c r="K149">
        <v>2</v>
      </c>
      <c r="L149">
        <v>2</v>
      </c>
      <c r="M149">
        <v>5</v>
      </c>
      <c r="N149">
        <v>4</v>
      </c>
      <c r="O149">
        <v>3</v>
      </c>
      <c r="P149">
        <v>0</v>
      </c>
      <c r="Q149">
        <v>16</v>
      </c>
      <c r="R149" t="s">
        <v>56</v>
      </c>
      <c r="S149" t="b">
        <v>0</v>
      </c>
      <c r="W149" t="s">
        <v>51</v>
      </c>
    </row>
    <row r="150" spans="1:23" hidden="1" x14ac:dyDescent="0.25">
      <c r="A150" t="s">
        <v>102</v>
      </c>
      <c r="B150">
        <v>2018</v>
      </c>
      <c r="C150">
        <v>5</v>
      </c>
      <c r="D150">
        <v>4</v>
      </c>
      <c r="E150" t="s">
        <v>49</v>
      </c>
      <c r="F150" t="s">
        <v>52</v>
      </c>
      <c r="G150" t="s">
        <v>53</v>
      </c>
      <c r="H150" t="s">
        <v>20</v>
      </c>
      <c r="I150" t="s">
        <v>76</v>
      </c>
      <c r="J150">
        <v>0</v>
      </c>
      <c r="K150">
        <v>6</v>
      </c>
      <c r="L150">
        <v>6</v>
      </c>
      <c r="M150">
        <v>3</v>
      </c>
      <c r="N150">
        <v>4</v>
      </c>
      <c r="O150">
        <v>4</v>
      </c>
      <c r="P150">
        <v>0</v>
      </c>
      <c r="Q150">
        <v>23</v>
      </c>
      <c r="R150" t="s">
        <v>56</v>
      </c>
      <c r="S150" t="b">
        <v>0</v>
      </c>
      <c r="W150" t="s">
        <v>51</v>
      </c>
    </row>
    <row r="151" spans="1:23" hidden="1" x14ac:dyDescent="0.25">
      <c r="A151" t="s">
        <v>74</v>
      </c>
      <c r="B151">
        <v>2018</v>
      </c>
      <c r="C151">
        <v>5</v>
      </c>
      <c r="D151">
        <v>4</v>
      </c>
      <c r="E151" t="s">
        <v>49</v>
      </c>
      <c r="F151" t="s">
        <v>52</v>
      </c>
      <c r="G151" t="s">
        <v>53</v>
      </c>
      <c r="H151" t="s">
        <v>15</v>
      </c>
      <c r="I151" t="s">
        <v>76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7</v>
      </c>
      <c r="P151">
        <v>0</v>
      </c>
      <c r="Q151">
        <v>7</v>
      </c>
      <c r="R151" t="s">
        <v>56</v>
      </c>
      <c r="S151" t="b">
        <v>0</v>
      </c>
      <c r="W151" t="s">
        <v>51</v>
      </c>
    </row>
    <row r="152" spans="1:23" hidden="1" x14ac:dyDescent="0.25">
      <c r="A152" t="s">
        <v>74</v>
      </c>
      <c r="B152">
        <v>2018</v>
      </c>
      <c r="C152">
        <v>5</v>
      </c>
      <c r="D152">
        <v>4</v>
      </c>
      <c r="E152" t="s">
        <v>49</v>
      </c>
      <c r="G152" t="s">
        <v>50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1</v>
      </c>
      <c r="S152" t="b">
        <v>0</v>
      </c>
      <c r="W152" t="s">
        <v>51</v>
      </c>
    </row>
    <row r="153" spans="1:23" hidden="1" x14ac:dyDescent="0.25">
      <c r="A153" t="s">
        <v>74</v>
      </c>
      <c r="B153">
        <v>2018</v>
      </c>
      <c r="C153">
        <v>5</v>
      </c>
      <c r="D153">
        <v>4</v>
      </c>
      <c r="E153" t="s">
        <v>49</v>
      </c>
      <c r="F153" t="s">
        <v>67</v>
      </c>
      <c r="G153" t="s">
        <v>53</v>
      </c>
      <c r="H153" t="s">
        <v>57</v>
      </c>
      <c r="I153" t="s">
        <v>68</v>
      </c>
      <c r="J153">
        <v>0</v>
      </c>
      <c r="K153">
        <v>0</v>
      </c>
      <c r="L153">
        <v>0</v>
      </c>
      <c r="M153">
        <v>1</v>
      </c>
      <c r="N153">
        <v>0</v>
      </c>
      <c r="O153">
        <v>0</v>
      </c>
      <c r="P153">
        <v>0</v>
      </c>
      <c r="Q153">
        <v>1</v>
      </c>
      <c r="R153" t="s">
        <v>56</v>
      </c>
      <c r="S153" t="b">
        <v>0</v>
      </c>
      <c r="W153" t="s">
        <v>51</v>
      </c>
    </row>
    <row r="154" spans="1:23" hidden="1" x14ac:dyDescent="0.25">
      <c r="A154" t="s">
        <v>74</v>
      </c>
      <c r="B154">
        <v>2018</v>
      </c>
      <c r="C154">
        <v>5</v>
      </c>
      <c r="D154">
        <v>4</v>
      </c>
      <c r="E154" t="s">
        <v>49</v>
      </c>
      <c r="F154" t="s">
        <v>82</v>
      </c>
      <c r="G154" t="s">
        <v>53</v>
      </c>
      <c r="H154" t="s">
        <v>14</v>
      </c>
      <c r="I154" t="s">
        <v>76</v>
      </c>
      <c r="J154">
        <v>0</v>
      </c>
      <c r="K154">
        <v>0</v>
      </c>
      <c r="L154">
        <v>0</v>
      </c>
      <c r="M154">
        <v>5</v>
      </c>
      <c r="N154">
        <v>0</v>
      </c>
      <c r="O154">
        <v>0</v>
      </c>
      <c r="P154">
        <v>0</v>
      </c>
      <c r="Q154">
        <v>5</v>
      </c>
      <c r="R154" t="s">
        <v>56</v>
      </c>
      <c r="S154" t="b">
        <v>0</v>
      </c>
      <c r="W154" t="s">
        <v>51</v>
      </c>
    </row>
    <row r="155" spans="1:23" hidden="1" x14ac:dyDescent="0.25">
      <c r="A155" t="s">
        <v>74</v>
      </c>
      <c r="B155">
        <v>2018</v>
      </c>
      <c r="C155">
        <v>5</v>
      </c>
      <c r="D155">
        <v>4</v>
      </c>
      <c r="E155" t="s">
        <v>49</v>
      </c>
      <c r="F155" t="s">
        <v>82</v>
      </c>
      <c r="G155" t="s">
        <v>53</v>
      </c>
      <c r="H155" t="s">
        <v>14</v>
      </c>
      <c r="I155" t="s">
        <v>77</v>
      </c>
      <c r="J155">
        <v>0</v>
      </c>
      <c r="K155">
        <v>0</v>
      </c>
      <c r="L155">
        <v>2</v>
      </c>
      <c r="M155">
        <v>2</v>
      </c>
      <c r="N155">
        <v>0</v>
      </c>
      <c r="O155">
        <v>0</v>
      </c>
      <c r="P155">
        <v>0</v>
      </c>
      <c r="Q155">
        <v>4</v>
      </c>
      <c r="R155" t="s">
        <v>56</v>
      </c>
      <c r="S155" t="b">
        <v>0</v>
      </c>
      <c r="W155" t="s">
        <v>51</v>
      </c>
    </row>
    <row r="156" spans="1:23" hidden="1" x14ac:dyDescent="0.25">
      <c r="A156" t="s">
        <v>74</v>
      </c>
      <c r="B156">
        <v>2018</v>
      </c>
      <c r="C156">
        <v>5</v>
      </c>
      <c r="D156">
        <v>4</v>
      </c>
      <c r="E156" t="s">
        <v>49</v>
      </c>
      <c r="F156" t="s">
        <v>82</v>
      </c>
      <c r="G156" t="s">
        <v>53</v>
      </c>
      <c r="H156" t="s">
        <v>14</v>
      </c>
      <c r="I156" t="s">
        <v>72</v>
      </c>
      <c r="J156">
        <v>0</v>
      </c>
      <c r="K156">
        <v>0</v>
      </c>
      <c r="L156">
        <v>2</v>
      </c>
      <c r="M156">
        <v>0</v>
      </c>
      <c r="N156">
        <v>0</v>
      </c>
      <c r="O156">
        <v>0</v>
      </c>
      <c r="P156">
        <v>0</v>
      </c>
      <c r="Q156">
        <v>2</v>
      </c>
      <c r="R156" t="s">
        <v>56</v>
      </c>
      <c r="S156" t="b">
        <v>0</v>
      </c>
      <c r="W156" t="s">
        <v>51</v>
      </c>
    </row>
    <row r="157" spans="1:23" x14ac:dyDescent="0.25">
      <c r="A157" t="s">
        <v>74</v>
      </c>
      <c r="B157">
        <v>2018</v>
      </c>
      <c r="C157">
        <v>4</v>
      </c>
      <c r="D157">
        <v>3</v>
      </c>
      <c r="E157" t="s">
        <v>49</v>
      </c>
      <c r="F157" t="s">
        <v>71</v>
      </c>
      <c r="G157" t="s">
        <v>78</v>
      </c>
      <c r="H157" t="s">
        <v>109</v>
      </c>
      <c r="I157" t="s">
        <v>77</v>
      </c>
      <c r="J157">
        <v>0</v>
      </c>
      <c r="K157">
        <v>0</v>
      </c>
      <c r="L157">
        <v>0</v>
      </c>
      <c r="M157">
        <v>8</v>
      </c>
      <c r="N157">
        <v>4</v>
      </c>
      <c r="O157">
        <v>0</v>
      </c>
      <c r="P157">
        <v>0</v>
      </c>
      <c r="Q157">
        <v>12</v>
      </c>
      <c r="R157" t="s">
        <v>56</v>
      </c>
      <c r="S157" t="b">
        <v>0</v>
      </c>
      <c r="W157" t="s">
        <v>51</v>
      </c>
    </row>
    <row r="158" spans="1:23" hidden="1" x14ac:dyDescent="0.25">
      <c r="A158" t="s">
        <v>74</v>
      </c>
      <c r="B158">
        <v>2018</v>
      </c>
      <c r="C158">
        <v>5</v>
      </c>
      <c r="D158">
        <v>4</v>
      </c>
      <c r="E158" t="s">
        <v>49</v>
      </c>
      <c r="G158" t="s">
        <v>62</v>
      </c>
      <c r="J158">
        <v>0</v>
      </c>
      <c r="K158">
        <v>4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4</v>
      </c>
      <c r="S158" t="b">
        <v>0</v>
      </c>
      <c r="W158" t="s">
        <v>51</v>
      </c>
    </row>
    <row r="159" spans="1:23" hidden="1" x14ac:dyDescent="0.25">
      <c r="A159" t="s">
        <v>48</v>
      </c>
      <c r="B159">
        <v>2018</v>
      </c>
      <c r="C159">
        <v>5</v>
      </c>
      <c r="D159">
        <v>4</v>
      </c>
      <c r="E159" t="s">
        <v>49</v>
      </c>
      <c r="F159" t="s">
        <v>67</v>
      </c>
      <c r="G159" t="s">
        <v>53</v>
      </c>
      <c r="H159" t="s">
        <v>57</v>
      </c>
      <c r="I159" t="s">
        <v>58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4</v>
      </c>
      <c r="P159">
        <v>0</v>
      </c>
      <c r="Q159">
        <v>4</v>
      </c>
      <c r="R159" t="s">
        <v>56</v>
      </c>
      <c r="S159" t="b">
        <v>0</v>
      </c>
      <c r="W159" t="s">
        <v>51</v>
      </c>
    </row>
    <row r="160" spans="1:23" hidden="1" x14ac:dyDescent="0.25">
      <c r="A160" t="s">
        <v>48</v>
      </c>
      <c r="B160">
        <v>2018</v>
      </c>
      <c r="C160">
        <v>5</v>
      </c>
      <c r="D160">
        <v>4</v>
      </c>
      <c r="E160" t="s">
        <v>49</v>
      </c>
      <c r="G160" t="s">
        <v>50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1</v>
      </c>
      <c r="S160" t="b">
        <v>0</v>
      </c>
      <c r="W160" t="s">
        <v>51</v>
      </c>
    </row>
    <row r="161" spans="1:23" hidden="1" x14ac:dyDescent="0.25">
      <c r="A161" t="s">
        <v>48</v>
      </c>
      <c r="B161">
        <v>2018</v>
      </c>
      <c r="C161">
        <v>5</v>
      </c>
      <c r="D161">
        <v>4</v>
      </c>
      <c r="E161" t="s">
        <v>49</v>
      </c>
      <c r="G161" t="s">
        <v>100</v>
      </c>
      <c r="J161">
        <v>0</v>
      </c>
      <c r="K161">
        <v>5</v>
      </c>
      <c r="L161">
        <v>6</v>
      </c>
      <c r="M161">
        <v>7</v>
      </c>
      <c r="N161">
        <v>2</v>
      </c>
      <c r="O161">
        <v>0</v>
      </c>
      <c r="P161">
        <v>0</v>
      </c>
      <c r="Q161">
        <v>20</v>
      </c>
      <c r="S161" t="b">
        <v>0</v>
      </c>
      <c r="W161" t="s">
        <v>51</v>
      </c>
    </row>
    <row r="162" spans="1:23" hidden="1" x14ac:dyDescent="0.25">
      <c r="A162" t="s">
        <v>48</v>
      </c>
      <c r="B162">
        <v>2018</v>
      </c>
      <c r="C162">
        <v>5</v>
      </c>
      <c r="D162">
        <v>4</v>
      </c>
      <c r="E162" t="s">
        <v>49</v>
      </c>
      <c r="F162" t="s">
        <v>52</v>
      </c>
      <c r="G162" t="s">
        <v>53</v>
      </c>
      <c r="H162" t="s">
        <v>57</v>
      </c>
      <c r="I162" t="s">
        <v>105</v>
      </c>
      <c r="J162">
        <v>0</v>
      </c>
      <c r="K162">
        <v>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2</v>
      </c>
      <c r="R162" t="s">
        <v>56</v>
      </c>
      <c r="S162" t="b">
        <v>0</v>
      </c>
      <c r="W162" t="s">
        <v>51</v>
      </c>
    </row>
    <row r="163" spans="1:23" hidden="1" x14ac:dyDescent="0.25">
      <c r="A163" t="s">
        <v>48</v>
      </c>
      <c r="B163">
        <v>2018</v>
      </c>
      <c r="C163">
        <v>5</v>
      </c>
      <c r="D163">
        <v>4</v>
      </c>
      <c r="E163" t="s">
        <v>49</v>
      </c>
      <c r="F163" t="s">
        <v>64</v>
      </c>
      <c r="G163" t="s">
        <v>53</v>
      </c>
      <c r="H163" t="s">
        <v>57</v>
      </c>
      <c r="I163" t="s">
        <v>88</v>
      </c>
      <c r="J163">
        <v>0</v>
      </c>
      <c r="K163">
        <v>0</v>
      </c>
      <c r="L163">
        <v>0</v>
      </c>
      <c r="M163">
        <v>0</v>
      </c>
      <c r="N163">
        <v>5</v>
      </c>
      <c r="O163">
        <v>4</v>
      </c>
      <c r="P163">
        <v>0</v>
      </c>
      <c r="Q163">
        <v>9</v>
      </c>
      <c r="R163" t="s">
        <v>56</v>
      </c>
      <c r="S163" t="b">
        <v>0</v>
      </c>
      <c r="W163" t="s">
        <v>51</v>
      </c>
    </row>
    <row r="164" spans="1:23" x14ac:dyDescent="0.25">
      <c r="A164" t="s">
        <v>74</v>
      </c>
      <c r="B164">
        <v>2018</v>
      </c>
      <c r="C164">
        <v>4</v>
      </c>
      <c r="D164">
        <v>3</v>
      </c>
      <c r="E164" t="s">
        <v>49</v>
      </c>
      <c r="F164" t="s">
        <v>52</v>
      </c>
      <c r="G164" t="s">
        <v>78</v>
      </c>
      <c r="H164" t="s">
        <v>109</v>
      </c>
      <c r="I164" t="s">
        <v>87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>
        <v>0</v>
      </c>
      <c r="Q164">
        <v>1</v>
      </c>
      <c r="R164" t="s">
        <v>56</v>
      </c>
      <c r="S164" t="b">
        <v>0</v>
      </c>
      <c r="W164" t="s">
        <v>51</v>
      </c>
    </row>
    <row r="165" spans="1:23" hidden="1" x14ac:dyDescent="0.25">
      <c r="A165" t="s">
        <v>79</v>
      </c>
      <c r="B165">
        <v>2018</v>
      </c>
      <c r="C165">
        <v>5</v>
      </c>
      <c r="D165">
        <v>4</v>
      </c>
      <c r="E165" t="s">
        <v>49</v>
      </c>
      <c r="F165" t="s">
        <v>52</v>
      </c>
      <c r="G165" t="s">
        <v>53</v>
      </c>
      <c r="H165" t="s">
        <v>14</v>
      </c>
      <c r="I165" t="s">
        <v>76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3</v>
      </c>
      <c r="P165">
        <v>0</v>
      </c>
      <c r="Q165">
        <v>3</v>
      </c>
      <c r="R165" t="s">
        <v>56</v>
      </c>
      <c r="S165" t="b">
        <v>0</v>
      </c>
      <c r="W165" t="s">
        <v>51</v>
      </c>
    </row>
    <row r="166" spans="1:23" hidden="1" x14ac:dyDescent="0.25">
      <c r="A166" t="s">
        <v>79</v>
      </c>
      <c r="B166">
        <v>2018</v>
      </c>
      <c r="C166">
        <v>5</v>
      </c>
      <c r="D166">
        <v>4</v>
      </c>
      <c r="E166" t="s">
        <v>49</v>
      </c>
      <c r="F166" t="s">
        <v>52</v>
      </c>
      <c r="G166" t="s">
        <v>53</v>
      </c>
      <c r="H166" t="s">
        <v>14</v>
      </c>
      <c r="I166" t="s">
        <v>87</v>
      </c>
      <c r="J166">
        <v>0</v>
      </c>
      <c r="K166">
        <v>0</v>
      </c>
      <c r="L166">
        <v>0</v>
      </c>
      <c r="M166">
        <v>3</v>
      </c>
      <c r="N166">
        <v>0</v>
      </c>
      <c r="O166">
        <v>1</v>
      </c>
      <c r="P166">
        <v>0</v>
      </c>
      <c r="Q166">
        <v>4</v>
      </c>
      <c r="R166" t="s">
        <v>56</v>
      </c>
      <c r="S166" t="b">
        <v>0</v>
      </c>
      <c r="W166" t="s">
        <v>51</v>
      </c>
    </row>
    <row r="167" spans="1:23" hidden="1" x14ac:dyDescent="0.25">
      <c r="A167" t="s">
        <v>79</v>
      </c>
      <c r="B167">
        <v>2018</v>
      </c>
      <c r="C167">
        <v>5</v>
      </c>
      <c r="D167">
        <v>4</v>
      </c>
      <c r="E167" t="s">
        <v>49</v>
      </c>
      <c r="G167" t="s">
        <v>62</v>
      </c>
      <c r="J167">
        <v>0</v>
      </c>
      <c r="K167">
        <v>0</v>
      </c>
      <c r="L167">
        <v>8</v>
      </c>
      <c r="M167">
        <v>0</v>
      </c>
      <c r="N167">
        <v>0</v>
      </c>
      <c r="O167">
        <v>0</v>
      </c>
      <c r="P167">
        <v>0</v>
      </c>
      <c r="Q167">
        <v>8</v>
      </c>
      <c r="S167" t="b">
        <v>0</v>
      </c>
      <c r="W167" t="s">
        <v>51</v>
      </c>
    </row>
    <row r="168" spans="1:23" hidden="1" x14ac:dyDescent="0.25">
      <c r="A168" t="s">
        <v>79</v>
      </c>
      <c r="B168">
        <v>2018</v>
      </c>
      <c r="C168">
        <v>5</v>
      </c>
      <c r="D168">
        <v>4</v>
      </c>
      <c r="E168" t="s">
        <v>49</v>
      </c>
      <c r="G168" t="s">
        <v>73</v>
      </c>
      <c r="J168">
        <v>0</v>
      </c>
      <c r="K168">
        <v>0</v>
      </c>
      <c r="L168">
        <v>0</v>
      </c>
      <c r="M168">
        <v>0</v>
      </c>
      <c r="N168">
        <v>1.5</v>
      </c>
      <c r="O168">
        <v>1</v>
      </c>
      <c r="P168">
        <v>0</v>
      </c>
      <c r="Q168">
        <v>2.5</v>
      </c>
      <c r="S168" t="b">
        <v>0</v>
      </c>
      <c r="W168" t="s">
        <v>51</v>
      </c>
    </row>
    <row r="169" spans="1:23" hidden="1" x14ac:dyDescent="0.25">
      <c r="A169" t="s">
        <v>79</v>
      </c>
      <c r="B169">
        <v>2018</v>
      </c>
      <c r="C169">
        <v>5</v>
      </c>
      <c r="D169">
        <v>4</v>
      </c>
      <c r="E169" t="s">
        <v>49</v>
      </c>
      <c r="F169" t="s">
        <v>52</v>
      </c>
      <c r="G169" t="s">
        <v>53</v>
      </c>
      <c r="H169" t="s">
        <v>14</v>
      </c>
      <c r="I169" t="s">
        <v>76</v>
      </c>
      <c r="J169">
        <v>0</v>
      </c>
      <c r="K169">
        <v>7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7</v>
      </c>
      <c r="R169" t="s">
        <v>56</v>
      </c>
      <c r="S169" t="b">
        <v>0</v>
      </c>
      <c r="W169" t="s">
        <v>51</v>
      </c>
    </row>
    <row r="170" spans="1:23" x14ac:dyDescent="0.25">
      <c r="A170" t="s">
        <v>102</v>
      </c>
      <c r="B170">
        <v>2018</v>
      </c>
      <c r="C170">
        <v>4</v>
      </c>
      <c r="D170">
        <v>2</v>
      </c>
      <c r="E170" t="s">
        <v>49</v>
      </c>
      <c r="F170" t="s">
        <v>64</v>
      </c>
      <c r="G170" t="s">
        <v>78</v>
      </c>
      <c r="H170" t="s">
        <v>109</v>
      </c>
      <c r="I170" t="s">
        <v>87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1</v>
      </c>
      <c r="R170" t="s">
        <v>56</v>
      </c>
      <c r="S170" t="b">
        <v>0</v>
      </c>
      <c r="W170" t="s">
        <v>51</v>
      </c>
    </row>
    <row r="171" spans="1:23" hidden="1" x14ac:dyDescent="0.25">
      <c r="A171" t="s">
        <v>79</v>
      </c>
      <c r="B171">
        <v>2018</v>
      </c>
      <c r="C171">
        <v>5</v>
      </c>
      <c r="D171">
        <v>4</v>
      </c>
      <c r="E171" t="s">
        <v>49</v>
      </c>
      <c r="F171" t="s">
        <v>71</v>
      </c>
      <c r="G171" t="s">
        <v>53</v>
      </c>
      <c r="H171" t="s">
        <v>14</v>
      </c>
      <c r="I171" t="s">
        <v>76</v>
      </c>
      <c r="J171">
        <v>0</v>
      </c>
      <c r="K171">
        <v>0</v>
      </c>
      <c r="L171">
        <v>0</v>
      </c>
      <c r="M171">
        <v>4</v>
      </c>
      <c r="N171">
        <v>7.5</v>
      </c>
      <c r="O171">
        <v>4</v>
      </c>
      <c r="P171">
        <v>0</v>
      </c>
      <c r="Q171">
        <v>15.5</v>
      </c>
      <c r="R171" t="s">
        <v>56</v>
      </c>
      <c r="S171" t="b">
        <v>0</v>
      </c>
      <c r="W171" t="s">
        <v>51</v>
      </c>
    </row>
    <row r="172" spans="1:23" x14ac:dyDescent="0.25">
      <c r="A172" t="s">
        <v>74</v>
      </c>
      <c r="B172">
        <v>2018</v>
      </c>
      <c r="C172">
        <v>4</v>
      </c>
      <c r="D172">
        <v>2</v>
      </c>
      <c r="E172" t="s">
        <v>49</v>
      </c>
      <c r="F172" t="s">
        <v>71</v>
      </c>
      <c r="G172" t="s">
        <v>78</v>
      </c>
      <c r="H172" t="s">
        <v>109</v>
      </c>
      <c r="I172" t="s">
        <v>76</v>
      </c>
      <c r="J172">
        <v>0</v>
      </c>
      <c r="K172">
        <v>0</v>
      </c>
      <c r="L172">
        <v>3.5</v>
      </c>
      <c r="M172">
        <v>1</v>
      </c>
      <c r="N172">
        <v>0</v>
      </c>
      <c r="O172">
        <v>1</v>
      </c>
      <c r="P172">
        <v>0</v>
      </c>
      <c r="Q172">
        <v>5.5</v>
      </c>
      <c r="R172" t="s">
        <v>56</v>
      </c>
      <c r="S172" t="b">
        <v>0</v>
      </c>
      <c r="W172" t="s">
        <v>51</v>
      </c>
    </row>
    <row r="173" spans="1:23" hidden="1" x14ac:dyDescent="0.25">
      <c r="A173" t="s">
        <v>63</v>
      </c>
      <c r="B173">
        <v>2018</v>
      </c>
      <c r="C173">
        <v>5</v>
      </c>
      <c r="D173">
        <v>3</v>
      </c>
      <c r="E173" t="s">
        <v>49</v>
      </c>
      <c r="G173" t="s">
        <v>86</v>
      </c>
      <c r="J173">
        <v>0</v>
      </c>
      <c r="K173">
        <v>0</v>
      </c>
      <c r="L173">
        <v>3.5</v>
      </c>
      <c r="M173">
        <v>4</v>
      </c>
      <c r="N173">
        <v>0</v>
      </c>
      <c r="O173">
        <v>0</v>
      </c>
      <c r="P173">
        <v>0</v>
      </c>
      <c r="Q173">
        <v>7.5</v>
      </c>
      <c r="S173" t="b">
        <v>0</v>
      </c>
      <c r="W173" t="s">
        <v>51</v>
      </c>
    </row>
    <row r="174" spans="1:23" hidden="1" x14ac:dyDescent="0.25">
      <c r="A174" t="s">
        <v>69</v>
      </c>
      <c r="B174">
        <v>2018</v>
      </c>
      <c r="C174">
        <v>5</v>
      </c>
      <c r="D174">
        <v>3</v>
      </c>
      <c r="E174" t="s">
        <v>49</v>
      </c>
      <c r="F174" t="s">
        <v>52</v>
      </c>
      <c r="G174" t="s">
        <v>53</v>
      </c>
      <c r="H174" t="s">
        <v>19</v>
      </c>
      <c r="I174" t="s">
        <v>76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1</v>
      </c>
      <c r="R174" t="s">
        <v>56</v>
      </c>
      <c r="S174" t="b">
        <v>0</v>
      </c>
      <c r="W174" t="s">
        <v>51</v>
      </c>
    </row>
    <row r="175" spans="1:23" hidden="1" x14ac:dyDescent="0.25">
      <c r="A175" t="s">
        <v>69</v>
      </c>
      <c r="B175">
        <v>2018</v>
      </c>
      <c r="C175">
        <v>5</v>
      </c>
      <c r="D175">
        <v>3</v>
      </c>
      <c r="E175" t="s">
        <v>49</v>
      </c>
      <c r="F175" t="s">
        <v>52</v>
      </c>
      <c r="G175" t="s">
        <v>53</v>
      </c>
      <c r="H175" t="s">
        <v>19</v>
      </c>
      <c r="I175" t="s">
        <v>77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4</v>
      </c>
      <c r="P175">
        <v>0</v>
      </c>
      <c r="Q175">
        <v>4</v>
      </c>
      <c r="R175" t="s">
        <v>56</v>
      </c>
      <c r="S175" t="b">
        <v>0</v>
      </c>
      <c r="W175" t="s">
        <v>51</v>
      </c>
    </row>
    <row r="176" spans="1:23" hidden="1" x14ac:dyDescent="0.25">
      <c r="A176" t="s">
        <v>69</v>
      </c>
      <c r="B176">
        <v>2018</v>
      </c>
      <c r="C176">
        <v>5</v>
      </c>
      <c r="D176">
        <v>3</v>
      </c>
      <c r="E176" t="s">
        <v>49</v>
      </c>
      <c r="F176" t="s">
        <v>52</v>
      </c>
      <c r="G176" t="s">
        <v>53</v>
      </c>
      <c r="H176" t="s">
        <v>19</v>
      </c>
      <c r="I176" t="s">
        <v>72</v>
      </c>
      <c r="J176">
        <v>0</v>
      </c>
      <c r="K176">
        <v>0</v>
      </c>
      <c r="L176">
        <v>0</v>
      </c>
      <c r="M176">
        <v>0</v>
      </c>
      <c r="N176">
        <v>3.5</v>
      </c>
      <c r="O176">
        <v>4</v>
      </c>
      <c r="P176">
        <v>0</v>
      </c>
      <c r="Q176">
        <v>7.5</v>
      </c>
      <c r="R176" t="s">
        <v>56</v>
      </c>
      <c r="S176" t="b">
        <v>0</v>
      </c>
      <c r="W176" t="s">
        <v>51</v>
      </c>
    </row>
    <row r="177" spans="1:23" x14ac:dyDescent="0.25">
      <c r="A177" t="s">
        <v>74</v>
      </c>
      <c r="B177">
        <v>2018</v>
      </c>
      <c r="C177">
        <v>4</v>
      </c>
      <c r="D177">
        <v>2</v>
      </c>
      <c r="E177" t="s">
        <v>49</v>
      </c>
      <c r="F177" t="s">
        <v>71</v>
      </c>
      <c r="G177" t="s">
        <v>78</v>
      </c>
      <c r="H177" t="s">
        <v>109</v>
      </c>
      <c r="I177" t="s">
        <v>77</v>
      </c>
      <c r="J177">
        <v>0</v>
      </c>
      <c r="K177">
        <v>0</v>
      </c>
      <c r="L177">
        <v>1.5</v>
      </c>
      <c r="M177">
        <v>1.5</v>
      </c>
      <c r="N177">
        <v>0</v>
      </c>
      <c r="O177">
        <v>0</v>
      </c>
      <c r="P177">
        <v>0</v>
      </c>
      <c r="Q177">
        <v>3</v>
      </c>
      <c r="R177" t="s">
        <v>56</v>
      </c>
      <c r="S177" t="b">
        <v>0</v>
      </c>
      <c r="W177" t="s">
        <v>51</v>
      </c>
    </row>
    <row r="178" spans="1:23" hidden="1" x14ac:dyDescent="0.25">
      <c r="A178" t="s">
        <v>69</v>
      </c>
      <c r="B178">
        <v>2018</v>
      </c>
      <c r="C178">
        <v>5</v>
      </c>
      <c r="D178">
        <v>3</v>
      </c>
      <c r="E178" t="s">
        <v>49</v>
      </c>
      <c r="F178" t="s">
        <v>64</v>
      </c>
      <c r="G178" t="s">
        <v>53</v>
      </c>
      <c r="H178" t="s">
        <v>57</v>
      </c>
      <c r="I178" t="s">
        <v>68</v>
      </c>
      <c r="J178">
        <v>0</v>
      </c>
      <c r="K178">
        <v>2</v>
      </c>
      <c r="L178">
        <v>1.5</v>
      </c>
      <c r="M178">
        <v>3</v>
      </c>
      <c r="N178">
        <v>3.5</v>
      </c>
      <c r="O178">
        <v>0</v>
      </c>
      <c r="P178">
        <v>0</v>
      </c>
      <c r="Q178">
        <v>10</v>
      </c>
      <c r="R178" t="s">
        <v>56</v>
      </c>
      <c r="S178" t="b">
        <v>0</v>
      </c>
      <c r="W178" t="s">
        <v>51</v>
      </c>
    </row>
    <row r="179" spans="1:23" hidden="1" x14ac:dyDescent="0.25">
      <c r="A179" t="s">
        <v>69</v>
      </c>
      <c r="B179">
        <v>2018</v>
      </c>
      <c r="C179">
        <v>5</v>
      </c>
      <c r="D179">
        <v>3</v>
      </c>
      <c r="E179" t="s">
        <v>49</v>
      </c>
      <c r="F179" t="s">
        <v>64</v>
      </c>
      <c r="G179" t="s">
        <v>53</v>
      </c>
      <c r="H179" t="s">
        <v>57</v>
      </c>
      <c r="I179" t="s">
        <v>58</v>
      </c>
      <c r="J179">
        <v>0</v>
      </c>
      <c r="K179">
        <v>0.5</v>
      </c>
      <c r="L179">
        <v>3</v>
      </c>
      <c r="M179">
        <v>5.5</v>
      </c>
      <c r="N179">
        <v>1.5</v>
      </c>
      <c r="O179">
        <v>0</v>
      </c>
      <c r="P179">
        <v>0</v>
      </c>
      <c r="Q179">
        <v>10.5</v>
      </c>
      <c r="R179" t="s">
        <v>56</v>
      </c>
      <c r="S179" t="b">
        <v>0</v>
      </c>
      <c r="W179" t="s">
        <v>51</v>
      </c>
    </row>
    <row r="180" spans="1:23" hidden="1" x14ac:dyDescent="0.25">
      <c r="A180" t="s">
        <v>102</v>
      </c>
      <c r="B180">
        <v>2018</v>
      </c>
      <c r="C180">
        <v>5</v>
      </c>
      <c r="D180">
        <v>3</v>
      </c>
      <c r="E180" t="s">
        <v>49</v>
      </c>
      <c r="F180" t="s">
        <v>52</v>
      </c>
      <c r="G180" t="s">
        <v>53</v>
      </c>
      <c r="H180" t="s">
        <v>20</v>
      </c>
      <c r="I180" t="s">
        <v>76</v>
      </c>
      <c r="J180">
        <v>0</v>
      </c>
      <c r="K180">
        <v>2</v>
      </c>
      <c r="L180">
        <v>0</v>
      </c>
      <c r="M180">
        <v>1</v>
      </c>
      <c r="N180">
        <v>1</v>
      </c>
      <c r="O180">
        <v>5</v>
      </c>
      <c r="P180">
        <v>0</v>
      </c>
      <c r="Q180">
        <v>9</v>
      </c>
      <c r="R180" t="s">
        <v>56</v>
      </c>
      <c r="S180" t="b">
        <v>0</v>
      </c>
      <c r="W180" t="s">
        <v>51</v>
      </c>
    </row>
    <row r="181" spans="1:23" hidden="1" x14ac:dyDescent="0.25">
      <c r="A181" t="s">
        <v>102</v>
      </c>
      <c r="B181">
        <v>2018</v>
      </c>
      <c r="C181">
        <v>5</v>
      </c>
      <c r="D181">
        <v>3</v>
      </c>
      <c r="E181" t="s">
        <v>49</v>
      </c>
      <c r="F181" t="s">
        <v>67</v>
      </c>
      <c r="G181" t="s">
        <v>53</v>
      </c>
      <c r="H181" t="s">
        <v>57</v>
      </c>
      <c r="I181" t="s">
        <v>68</v>
      </c>
      <c r="J181">
        <v>0</v>
      </c>
      <c r="K181">
        <v>8</v>
      </c>
      <c r="L181">
        <v>8</v>
      </c>
      <c r="M181">
        <v>9</v>
      </c>
      <c r="N181">
        <v>7</v>
      </c>
      <c r="O181">
        <v>3</v>
      </c>
      <c r="P181">
        <v>0</v>
      </c>
      <c r="Q181">
        <v>35</v>
      </c>
      <c r="R181" t="s">
        <v>56</v>
      </c>
      <c r="S181" t="b">
        <v>0</v>
      </c>
      <c r="W181" t="s">
        <v>51</v>
      </c>
    </row>
    <row r="182" spans="1:23" hidden="1" x14ac:dyDescent="0.25">
      <c r="A182" t="s">
        <v>102</v>
      </c>
      <c r="B182">
        <v>2018</v>
      </c>
      <c r="C182">
        <v>5</v>
      </c>
      <c r="D182">
        <v>3</v>
      </c>
      <c r="E182" t="s">
        <v>49</v>
      </c>
      <c r="F182" t="s">
        <v>67</v>
      </c>
      <c r="G182" t="s">
        <v>70</v>
      </c>
      <c r="H182" t="s">
        <v>57</v>
      </c>
      <c r="I182" t="s">
        <v>68</v>
      </c>
      <c r="J182">
        <v>0</v>
      </c>
      <c r="K182">
        <v>0</v>
      </c>
      <c r="L182">
        <v>2</v>
      </c>
      <c r="M182">
        <v>0</v>
      </c>
      <c r="N182">
        <v>2</v>
      </c>
      <c r="O182">
        <v>0</v>
      </c>
      <c r="P182">
        <v>0</v>
      </c>
      <c r="Q182">
        <v>4</v>
      </c>
      <c r="R182" t="s">
        <v>56</v>
      </c>
      <c r="S182" t="b">
        <v>0</v>
      </c>
      <c r="W182" t="s">
        <v>51</v>
      </c>
    </row>
    <row r="183" spans="1:23" hidden="1" x14ac:dyDescent="0.25">
      <c r="A183" t="s">
        <v>74</v>
      </c>
      <c r="B183">
        <v>2018</v>
      </c>
      <c r="C183">
        <v>5</v>
      </c>
      <c r="D183">
        <v>3</v>
      </c>
      <c r="E183" t="s">
        <v>49</v>
      </c>
      <c r="G183" t="s">
        <v>86</v>
      </c>
      <c r="J183">
        <v>0</v>
      </c>
      <c r="K183">
        <v>2</v>
      </c>
      <c r="L183">
        <v>4</v>
      </c>
      <c r="M183">
        <v>4</v>
      </c>
      <c r="N183">
        <v>0</v>
      </c>
      <c r="O183">
        <v>0</v>
      </c>
      <c r="P183">
        <v>0</v>
      </c>
      <c r="Q183">
        <v>10</v>
      </c>
      <c r="S183" t="b">
        <v>0</v>
      </c>
      <c r="W183" t="s">
        <v>51</v>
      </c>
    </row>
    <row r="184" spans="1:23" x14ac:dyDescent="0.25">
      <c r="A184" t="s">
        <v>74</v>
      </c>
      <c r="B184">
        <v>2018</v>
      </c>
      <c r="C184">
        <v>4</v>
      </c>
      <c r="D184">
        <v>2</v>
      </c>
      <c r="E184" t="s">
        <v>49</v>
      </c>
      <c r="F184" t="s">
        <v>71</v>
      </c>
      <c r="G184" t="s">
        <v>78</v>
      </c>
      <c r="H184" t="s">
        <v>109</v>
      </c>
      <c r="I184" t="s">
        <v>72</v>
      </c>
      <c r="J184">
        <v>0</v>
      </c>
      <c r="K184">
        <v>0</v>
      </c>
      <c r="L184">
        <v>1.5</v>
      </c>
      <c r="M184">
        <v>1.5</v>
      </c>
      <c r="N184">
        <v>0</v>
      </c>
      <c r="O184">
        <v>0</v>
      </c>
      <c r="P184">
        <v>0</v>
      </c>
      <c r="Q184">
        <v>3</v>
      </c>
      <c r="R184" t="s">
        <v>56</v>
      </c>
      <c r="S184" t="b">
        <v>0</v>
      </c>
      <c r="W184" t="s">
        <v>51</v>
      </c>
    </row>
    <row r="185" spans="1:23" x14ac:dyDescent="0.25">
      <c r="A185" t="s">
        <v>74</v>
      </c>
      <c r="B185">
        <v>2018</v>
      </c>
      <c r="C185">
        <v>4</v>
      </c>
      <c r="D185">
        <v>2</v>
      </c>
      <c r="E185" t="s">
        <v>49</v>
      </c>
      <c r="F185" t="s">
        <v>52</v>
      </c>
      <c r="G185" t="s">
        <v>78</v>
      </c>
      <c r="H185" t="s">
        <v>109</v>
      </c>
      <c r="I185" t="s">
        <v>87</v>
      </c>
      <c r="J185">
        <v>0</v>
      </c>
      <c r="K185">
        <v>3</v>
      </c>
      <c r="L185">
        <v>1.5</v>
      </c>
      <c r="M185">
        <v>0</v>
      </c>
      <c r="N185">
        <v>0</v>
      </c>
      <c r="O185">
        <v>0</v>
      </c>
      <c r="P185">
        <v>0</v>
      </c>
      <c r="Q185">
        <v>4.5</v>
      </c>
      <c r="R185" t="s">
        <v>56</v>
      </c>
      <c r="S185" t="b">
        <v>0</v>
      </c>
      <c r="W185" t="s">
        <v>51</v>
      </c>
    </row>
    <row r="186" spans="1:23" hidden="1" x14ac:dyDescent="0.25">
      <c r="A186" t="s">
        <v>48</v>
      </c>
      <c r="B186">
        <v>2018</v>
      </c>
      <c r="C186">
        <v>5</v>
      </c>
      <c r="D186">
        <v>3</v>
      </c>
      <c r="E186" t="s">
        <v>49</v>
      </c>
      <c r="F186" t="s">
        <v>71</v>
      </c>
      <c r="G186" t="s">
        <v>53</v>
      </c>
      <c r="H186" t="s">
        <v>18</v>
      </c>
      <c r="I186" t="s">
        <v>77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5</v>
      </c>
      <c r="P186">
        <v>0</v>
      </c>
      <c r="Q186">
        <v>5</v>
      </c>
      <c r="R186" t="s">
        <v>56</v>
      </c>
      <c r="S186" t="b">
        <v>0</v>
      </c>
      <c r="W186" t="s">
        <v>51</v>
      </c>
    </row>
    <row r="187" spans="1:23" hidden="1" x14ac:dyDescent="0.25">
      <c r="A187" t="s">
        <v>48</v>
      </c>
      <c r="B187">
        <v>2018</v>
      </c>
      <c r="C187">
        <v>5</v>
      </c>
      <c r="D187">
        <v>3</v>
      </c>
      <c r="E187" t="s">
        <v>49</v>
      </c>
      <c r="G187" t="s">
        <v>86</v>
      </c>
      <c r="J187">
        <v>0</v>
      </c>
      <c r="K187">
        <v>0</v>
      </c>
      <c r="L187">
        <v>4</v>
      </c>
      <c r="M187">
        <v>0</v>
      </c>
      <c r="N187">
        <v>3</v>
      </c>
      <c r="O187">
        <v>1</v>
      </c>
      <c r="P187">
        <v>0</v>
      </c>
      <c r="Q187">
        <v>8</v>
      </c>
      <c r="S187" t="b">
        <v>0</v>
      </c>
      <c r="W187" t="s">
        <v>51</v>
      </c>
    </row>
    <row r="188" spans="1:23" hidden="1" x14ac:dyDescent="0.25">
      <c r="A188" t="s">
        <v>48</v>
      </c>
      <c r="B188">
        <v>2018</v>
      </c>
      <c r="C188">
        <v>5</v>
      </c>
      <c r="D188">
        <v>3</v>
      </c>
      <c r="E188" t="s">
        <v>49</v>
      </c>
      <c r="G188" t="s">
        <v>100</v>
      </c>
      <c r="J188">
        <v>0</v>
      </c>
      <c r="K188">
        <v>0</v>
      </c>
      <c r="L188">
        <v>0</v>
      </c>
      <c r="M188">
        <v>2</v>
      </c>
      <c r="N188">
        <v>2</v>
      </c>
      <c r="O188">
        <v>0</v>
      </c>
      <c r="P188">
        <v>0</v>
      </c>
      <c r="Q188">
        <v>4</v>
      </c>
      <c r="S188" t="b">
        <v>0</v>
      </c>
      <c r="W188" t="s">
        <v>51</v>
      </c>
    </row>
    <row r="189" spans="1:23" hidden="1" x14ac:dyDescent="0.25">
      <c r="A189" t="s">
        <v>48</v>
      </c>
      <c r="B189">
        <v>2018</v>
      </c>
      <c r="C189">
        <v>5</v>
      </c>
      <c r="D189">
        <v>3</v>
      </c>
      <c r="E189" t="s">
        <v>49</v>
      </c>
      <c r="F189" t="s">
        <v>52</v>
      </c>
      <c r="G189" t="s">
        <v>53</v>
      </c>
      <c r="H189" t="s">
        <v>57</v>
      </c>
      <c r="I189" t="s">
        <v>55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4</v>
      </c>
      <c r="P189">
        <v>0</v>
      </c>
      <c r="Q189">
        <v>6</v>
      </c>
      <c r="R189" t="s">
        <v>56</v>
      </c>
      <c r="S189" t="b">
        <v>0</v>
      </c>
      <c r="W189" t="s">
        <v>51</v>
      </c>
    </row>
    <row r="190" spans="1:23" hidden="1" x14ac:dyDescent="0.25">
      <c r="A190" t="s">
        <v>48</v>
      </c>
      <c r="B190">
        <v>2018</v>
      </c>
      <c r="C190">
        <v>5</v>
      </c>
      <c r="D190">
        <v>3</v>
      </c>
      <c r="E190" t="s">
        <v>49</v>
      </c>
      <c r="F190" t="s">
        <v>67</v>
      </c>
      <c r="G190" t="s">
        <v>53</v>
      </c>
      <c r="H190" t="s">
        <v>15</v>
      </c>
      <c r="I190" t="s">
        <v>77</v>
      </c>
      <c r="J190">
        <v>0</v>
      </c>
      <c r="K190">
        <v>0</v>
      </c>
      <c r="L190">
        <v>3</v>
      </c>
      <c r="M190">
        <v>5</v>
      </c>
      <c r="N190">
        <v>0</v>
      </c>
      <c r="O190">
        <v>0</v>
      </c>
      <c r="P190">
        <v>0</v>
      </c>
      <c r="Q190">
        <v>8</v>
      </c>
      <c r="R190" t="s">
        <v>56</v>
      </c>
      <c r="S190" t="b">
        <v>0</v>
      </c>
      <c r="W190" t="s">
        <v>51</v>
      </c>
    </row>
    <row r="191" spans="1:23" hidden="1" x14ac:dyDescent="0.25">
      <c r="A191" t="s">
        <v>48</v>
      </c>
      <c r="B191">
        <v>2018</v>
      </c>
      <c r="C191">
        <v>5</v>
      </c>
      <c r="D191">
        <v>3</v>
      </c>
      <c r="E191" t="s">
        <v>49</v>
      </c>
      <c r="G191" t="s">
        <v>50</v>
      </c>
      <c r="J191">
        <v>0</v>
      </c>
      <c r="K191">
        <v>1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S191" t="b">
        <v>0</v>
      </c>
      <c r="W191" t="s">
        <v>51</v>
      </c>
    </row>
    <row r="192" spans="1:23" hidden="1" x14ac:dyDescent="0.25">
      <c r="A192" t="s">
        <v>48</v>
      </c>
      <c r="B192">
        <v>2018</v>
      </c>
      <c r="C192">
        <v>5</v>
      </c>
      <c r="D192">
        <v>3</v>
      </c>
      <c r="E192" t="s">
        <v>49</v>
      </c>
      <c r="F192" t="s">
        <v>52</v>
      </c>
      <c r="G192" t="s">
        <v>53</v>
      </c>
      <c r="H192" t="s">
        <v>18</v>
      </c>
      <c r="I192" t="s">
        <v>77</v>
      </c>
      <c r="J192">
        <v>0</v>
      </c>
      <c r="K192">
        <v>6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6</v>
      </c>
      <c r="R192" t="s">
        <v>56</v>
      </c>
      <c r="S192" t="b">
        <v>0</v>
      </c>
      <c r="W192" t="s">
        <v>51</v>
      </c>
    </row>
    <row r="193" spans="1:23" hidden="1" x14ac:dyDescent="0.25">
      <c r="A193" t="s">
        <v>60</v>
      </c>
      <c r="B193">
        <v>2018</v>
      </c>
      <c r="C193">
        <v>5</v>
      </c>
      <c r="D193">
        <v>3</v>
      </c>
      <c r="E193" t="s">
        <v>49</v>
      </c>
      <c r="G193" t="s">
        <v>62</v>
      </c>
      <c r="J193">
        <v>0</v>
      </c>
      <c r="K193">
        <v>0</v>
      </c>
      <c r="L193">
        <v>0</v>
      </c>
      <c r="M193">
        <v>8</v>
      </c>
      <c r="N193">
        <v>8</v>
      </c>
      <c r="O193">
        <v>8</v>
      </c>
      <c r="P193">
        <v>0</v>
      </c>
      <c r="Q193">
        <v>24</v>
      </c>
      <c r="S193" t="b">
        <v>0</v>
      </c>
      <c r="W193" t="s">
        <v>51</v>
      </c>
    </row>
    <row r="194" spans="1:23" x14ac:dyDescent="0.25">
      <c r="A194" t="s">
        <v>74</v>
      </c>
      <c r="B194">
        <v>2018</v>
      </c>
      <c r="C194">
        <v>4</v>
      </c>
      <c r="D194">
        <v>1</v>
      </c>
      <c r="E194" t="s">
        <v>49</v>
      </c>
      <c r="F194" t="s">
        <v>52</v>
      </c>
      <c r="G194" t="s">
        <v>78</v>
      </c>
      <c r="H194" t="s">
        <v>109</v>
      </c>
      <c r="I194" t="s">
        <v>76</v>
      </c>
      <c r="J194">
        <v>0</v>
      </c>
      <c r="K194">
        <v>0</v>
      </c>
      <c r="L194">
        <v>4</v>
      </c>
      <c r="M194">
        <v>7</v>
      </c>
      <c r="N194">
        <v>0</v>
      </c>
      <c r="O194">
        <v>0</v>
      </c>
      <c r="P194">
        <v>0</v>
      </c>
      <c r="Q194">
        <v>11</v>
      </c>
      <c r="R194" t="s">
        <v>56</v>
      </c>
      <c r="S194" t="b">
        <v>0</v>
      </c>
      <c r="W194" t="s">
        <v>51</v>
      </c>
    </row>
    <row r="195" spans="1:23" hidden="1" x14ac:dyDescent="0.25">
      <c r="A195" t="s">
        <v>79</v>
      </c>
      <c r="B195">
        <v>2018</v>
      </c>
      <c r="C195">
        <v>5</v>
      </c>
      <c r="D195">
        <v>3</v>
      </c>
      <c r="E195" t="s">
        <v>49</v>
      </c>
      <c r="G195" t="s">
        <v>50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S195" t="b">
        <v>0</v>
      </c>
      <c r="W195" t="s">
        <v>51</v>
      </c>
    </row>
    <row r="196" spans="1:23" hidden="1" x14ac:dyDescent="0.25">
      <c r="A196" t="s">
        <v>79</v>
      </c>
      <c r="B196">
        <v>2018</v>
      </c>
      <c r="C196">
        <v>5</v>
      </c>
      <c r="D196">
        <v>3</v>
      </c>
      <c r="E196" t="s">
        <v>49</v>
      </c>
      <c r="G196" t="s">
        <v>86</v>
      </c>
      <c r="J196">
        <v>0</v>
      </c>
      <c r="K196">
        <v>0</v>
      </c>
      <c r="L196">
        <v>0</v>
      </c>
      <c r="M196">
        <v>0</v>
      </c>
      <c r="N196">
        <v>2.5</v>
      </c>
      <c r="O196">
        <v>3</v>
      </c>
      <c r="P196">
        <v>0</v>
      </c>
      <c r="Q196">
        <v>5.5</v>
      </c>
      <c r="S196" t="b">
        <v>0</v>
      </c>
      <c r="W196" t="s">
        <v>51</v>
      </c>
    </row>
    <row r="197" spans="1:23" hidden="1" x14ac:dyDescent="0.25">
      <c r="A197" t="s">
        <v>79</v>
      </c>
      <c r="B197">
        <v>2018</v>
      </c>
      <c r="C197">
        <v>5</v>
      </c>
      <c r="D197">
        <v>3</v>
      </c>
      <c r="E197" t="s">
        <v>49</v>
      </c>
      <c r="F197" t="s">
        <v>52</v>
      </c>
      <c r="G197" t="s">
        <v>53</v>
      </c>
      <c r="H197" t="s">
        <v>14</v>
      </c>
      <c r="I197" t="s">
        <v>77</v>
      </c>
      <c r="J197">
        <v>0</v>
      </c>
      <c r="K197">
        <v>7</v>
      </c>
      <c r="L197">
        <v>4.5</v>
      </c>
      <c r="M197">
        <v>0</v>
      </c>
      <c r="N197">
        <v>0</v>
      </c>
      <c r="O197">
        <v>0</v>
      </c>
      <c r="P197">
        <v>0</v>
      </c>
      <c r="Q197">
        <v>11.5</v>
      </c>
      <c r="R197" t="s">
        <v>56</v>
      </c>
      <c r="S197" t="b">
        <v>0</v>
      </c>
      <c r="W197" t="s">
        <v>51</v>
      </c>
    </row>
    <row r="198" spans="1:23" x14ac:dyDescent="0.25">
      <c r="A198" t="s">
        <v>74</v>
      </c>
      <c r="B198">
        <v>2018</v>
      </c>
      <c r="C198">
        <v>4</v>
      </c>
      <c r="D198">
        <v>1</v>
      </c>
      <c r="E198" t="s">
        <v>49</v>
      </c>
      <c r="F198" t="s">
        <v>52</v>
      </c>
      <c r="G198" t="s">
        <v>78</v>
      </c>
      <c r="H198" t="s">
        <v>109</v>
      </c>
      <c r="I198" t="s">
        <v>77</v>
      </c>
      <c r="J198">
        <v>0</v>
      </c>
      <c r="K198">
        <v>6</v>
      </c>
      <c r="L198">
        <v>2.5</v>
      </c>
      <c r="M198">
        <v>1</v>
      </c>
      <c r="N198">
        <v>5</v>
      </c>
      <c r="O198">
        <v>0</v>
      </c>
      <c r="P198">
        <v>0</v>
      </c>
      <c r="Q198">
        <v>14.5</v>
      </c>
      <c r="R198" t="s">
        <v>56</v>
      </c>
      <c r="S198" t="b">
        <v>0</v>
      </c>
      <c r="W198" t="s">
        <v>51</v>
      </c>
    </row>
    <row r="199" spans="1:23" hidden="1" x14ac:dyDescent="0.25">
      <c r="A199" t="s">
        <v>79</v>
      </c>
      <c r="B199">
        <v>2018</v>
      </c>
      <c r="C199">
        <v>5</v>
      </c>
      <c r="D199">
        <v>3</v>
      </c>
      <c r="E199" t="s">
        <v>49</v>
      </c>
      <c r="F199" t="s">
        <v>52</v>
      </c>
      <c r="G199" t="s">
        <v>53</v>
      </c>
      <c r="H199" t="s">
        <v>14</v>
      </c>
      <c r="I199" t="s">
        <v>76</v>
      </c>
      <c r="J199">
        <v>0</v>
      </c>
      <c r="K199">
        <v>0</v>
      </c>
      <c r="L199">
        <v>4.5</v>
      </c>
      <c r="M199">
        <v>8</v>
      </c>
      <c r="N199">
        <v>7.5</v>
      </c>
      <c r="O199">
        <v>0</v>
      </c>
      <c r="P199">
        <v>0</v>
      </c>
      <c r="Q199">
        <v>20</v>
      </c>
      <c r="R199" t="s">
        <v>56</v>
      </c>
      <c r="S199" t="b">
        <v>0</v>
      </c>
      <c r="W199" t="s">
        <v>51</v>
      </c>
    </row>
    <row r="200" spans="1:23" hidden="1" x14ac:dyDescent="0.25">
      <c r="A200" t="s">
        <v>63</v>
      </c>
      <c r="B200">
        <v>2018</v>
      </c>
      <c r="C200">
        <v>5</v>
      </c>
      <c r="D200">
        <v>2</v>
      </c>
      <c r="E200" t="s">
        <v>49</v>
      </c>
      <c r="G200" t="s">
        <v>86</v>
      </c>
      <c r="J200">
        <v>0</v>
      </c>
      <c r="K200">
        <v>4</v>
      </c>
      <c r="L200">
        <v>0</v>
      </c>
      <c r="M200">
        <v>0</v>
      </c>
      <c r="N200">
        <v>0</v>
      </c>
      <c r="O200">
        <v>5</v>
      </c>
      <c r="P200">
        <v>0</v>
      </c>
      <c r="Q200">
        <v>9</v>
      </c>
      <c r="S200" t="b">
        <v>0</v>
      </c>
      <c r="W200" t="s">
        <v>51</v>
      </c>
    </row>
    <row r="201" spans="1:23" hidden="1" x14ac:dyDescent="0.25">
      <c r="A201" t="s">
        <v>69</v>
      </c>
      <c r="B201">
        <v>2018</v>
      </c>
      <c r="C201">
        <v>5</v>
      </c>
      <c r="D201">
        <v>2</v>
      </c>
      <c r="E201" t="s">
        <v>49</v>
      </c>
      <c r="F201" t="s">
        <v>64</v>
      </c>
      <c r="G201" t="s">
        <v>53</v>
      </c>
      <c r="H201" t="s">
        <v>57</v>
      </c>
      <c r="I201" t="s">
        <v>58</v>
      </c>
      <c r="J201">
        <v>0</v>
      </c>
      <c r="K201">
        <v>0</v>
      </c>
      <c r="L201">
        <v>0</v>
      </c>
      <c r="M201">
        <v>0</v>
      </c>
      <c r="N201">
        <v>0.5</v>
      </c>
      <c r="O201">
        <v>3</v>
      </c>
      <c r="P201">
        <v>0</v>
      </c>
      <c r="Q201">
        <v>3.5</v>
      </c>
      <c r="R201" t="s">
        <v>56</v>
      </c>
      <c r="S201" t="b">
        <v>0</v>
      </c>
      <c r="W201" t="s">
        <v>51</v>
      </c>
    </row>
    <row r="202" spans="1:23" hidden="1" x14ac:dyDescent="0.25">
      <c r="A202" t="s">
        <v>69</v>
      </c>
      <c r="B202">
        <v>2018</v>
      </c>
      <c r="C202">
        <v>5</v>
      </c>
      <c r="D202">
        <v>2</v>
      </c>
      <c r="E202" t="s">
        <v>49</v>
      </c>
      <c r="F202" t="s">
        <v>64</v>
      </c>
      <c r="G202" t="s">
        <v>53</v>
      </c>
      <c r="H202" t="s">
        <v>57</v>
      </c>
      <c r="I202" t="s">
        <v>68</v>
      </c>
      <c r="J202">
        <v>0</v>
      </c>
      <c r="K202">
        <v>6</v>
      </c>
      <c r="L202">
        <v>3.5</v>
      </c>
      <c r="M202">
        <v>1.2</v>
      </c>
      <c r="N202">
        <v>3.5</v>
      </c>
      <c r="O202">
        <v>3</v>
      </c>
      <c r="P202">
        <v>0</v>
      </c>
      <c r="Q202">
        <v>17.2</v>
      </c>
      <c r="R202" t="s">
        <v>56</v>
      </c>
      <c r="S202" t="b">
        <v>0</v>
      </c>
      <c r="W202" t="s">
        <v>51</v>
      </c>
    </row>
    <row r="203" spans="1:23" x14ac:dyDescent="0.25">
      <c r="A203" t="s">
        <v>74</v>
      </c>
      <c r="B203">
        <v>2018</v>
      </c>
      <c r="C203">
        <v>4</v>
      </c>
      <c r="D203">
        <v>1</v>
      </c>
      <c r="E203" t="s">
        <v>49</v>
      </c>
      <c r="F203" t="s">
        <v>52</v>
      </c>
      <c r="G203" t="s">
        <v>78</v>
      </c>
      <c r="H203" t="s">
        <v>109</v>
      </c>
      <c r="I203" t="s">
        <v>95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7</v>
      </c>
      <c r="P203">
        <v>0</v>
      </c>
      <c r="Q203">
        <v>7</v>
      </c>
      <c r="R203" t="s">
        <v>56</v>
      </c>
      <c r="S203" t="b">
        <v>0</v>
      </c>
      <c r="W203" t="s">
        <v>51</v>
      </c>
    </row>
    <row r="204" spans="1:23" x14ac:dyDescent="0.25">
      <c r="A204" t="s">
        <v>74</v>
      </c>
      <c r="B204">
        <v>2018</v>
      </c>
      <c r="C204">
        <v>3</v>
      </c>
      <c r="D204">
        <v>4</v>
      </c>
      <c r="E204" t="s">
        <v>49</v>
      </c>
      <c r="F204" t="s">
        <v>52</v>
      </c>
      <c r="G204" t="s">
        <v>78</v>
      </c>
      <c r="H204" t="s">
        <v>109</v>
      </c>
      <c r="I204" t="s">
        <v>72</v>
      </c>
      <c r="J204">
        <v>0</v>
      </c>
      <c r="K204">
        <v>7</v>
      </c>
      <c r="L204">
        <v>8</v>
      </c>
      <c r="M204">
        <v>7</v>
      </c>
      <c r="N204">
        <v>8</v>
      </c>
      <c r="O204">
        <v>0</v>
      </c>
      <c r="P204">
        <v>0</v>
      </c>
      <c r="Q204">
        <v>30</v>
      </c>
      <c r="R204" t="s">
        <v>56</v>
      </c>
      <c r="S204" t="b">
        <v>0</v>
      </c>
      <c r="W204" t="s">
        <v>51</v>
      </c>
    </row>
    <row r="205" spans="1:23" x14ac:dyDescent="0.25">
      <c r="A205" t="s">
        <v>74</v>
      </c>
      <c r="B205">
        <v>2018</v>
      </c>
      <c r="C205">
        <v>3</v>
      </c>
      <c r="D205">
        <v>3</v>
      </c>
      <c r="E205" t="s">
        <v>49</v>
      </c>
      <c r="F205" t="s">
        <v>52</v>
      </c>
      <c r="G205" t="s">
        <v>78</v>
      </c>
      <c r="H205" t="s">
        <v>13</v>
      </c>
      <c r="I205" t="s">
        <v>134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6</v>
      </c>
      <c r="P205">
        <v>0</v>
      </c>
      <c r="Q205">
        <v>6</v>
      </c>
      <c r="R205" t="s">
        <v>56</v>
      </c>
      <c r="S205" t="b">
        <v>0</v>
      </c>
      <c r="W205" t="s">
        <v>51</v>
      </c>
    </row>
    <row r="206" spans="1:23" x14ac:dyDescent="0.25">
      <c r="A206" t="s">
        <v>74</v>
      </c>
      <c r="B206">
        <v>2018</v>
      </c>
      <c r="C206">
        <v>3</v>
      </c>
      <c r="D206">
        <v>2</v>
      </c>
      <c r="E206" t="s">
        <v>49</v>
      </c>
      <c r="F206" t="s">
        <v>82</v>
      </c>
      <c r="G206" t="s">
        <v>78</v>
      </c>
      <c r="H206" t="s">
        <v>137</v>
      </c>
      <c r="I206" t="s">
        <v>76</v>
      </c>
      <c r="J206">
        <v>0</v>
      </c>
      <c r="K206">
        <v>0</v>
      </c>
      <c r="L206">
        <v>1</v>
      </c>
      <c r="M206">
        <v>1</v>
      </c>
      <c r="N206">
        <v>0</v>
      </c>
      <c r="O206">
        <v>2</v>
      </c>
      <c r="P206">
        <v>0</v>
      </c>
      <c r="Q206">
        <v>4</v>
      </c>
      <c r="R206" t="s">
        <v>56</v>
      </c>
      <c r="S206" t="b">
        <v>0</v>
      </c>
      <c r="W206" t="s">
        <v>51</v>
      </c>
    </row>
    <row r="207" spans="1:23" hidden="1" x14ac:dyDescent="0.25">
      <c r="A207" t="s">
        <v>102</v>
      </c>
      <c r="B207">
        <v>2018</v>
      </c>
      <c r="C207">
        <v>5</v>
      </c>
      <c r="D207">
        <v>2</v>
      </c>
      <c r="E207" t="s">
        <v>49</v>
      </c>
      <c r="F207" t="s">
        <v>52</v>
      </c>
      <c r="G207" t="s">
        <v>53</v>
      </c>
      <c r="H207" t="s">
        <v>57</v>
      </c>
      <c r="I207" t="s">
        <v>68</v>
      </c>
      <c r="J207">
        <v>0</v>
      </c>
      <c r="K207">
        <v>5</v>
      </c>
      <c r="L207">
        <v>3</v>
      </c>
      <c r="M207">
        <v>3</v>
      </c>
      <c r="N207">
        <v>5</v>
      </c>
      <c r="O207">
        <v>4</v>
      </c>
      <c r="P207">
        <v>0</v>
      </c>
      <c r="Q207">
        <v>20</v>
      </c>
      <c r="R207" t="s">
        <v>56</v>
      </c>
      <c r="S207" t="b">
        <v>0</v>
      </c>
      <c r="W207" t="s">
        <v>51</v>
      </c>
    </row>
    <row r="208" spans="1:23" x14ac:dyDescent="0.25">
      <c r="A208" t="s">
        <v>74</v>
      </c>
      <c r="B208">
        <v>2018</v>
      </c>
      <c r="C208">
        <v>3</v>
      </c>
      <c r="D208">
        <v>2</v>
      </c>
      <c r="E208" t="s">
        <v>49</v>
      </c>
      <c r="F208" t="s">
        <v>82</v>
      </c>
      <c r="G208" t="s">
        <v>78</v>
      </c>
      <c r="H208" t="s">
        <v>137</v>
      </c>
      <c r="I208" t="s">
        <v>77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1</v>
      </c>
      <c r="P208">
        <v>0</v>
      </c>
      <c r="Q208">
        <v>2</v>
      </c>
      <c r="R208" t="s">
        <v>56</v>
      </c>
      <c r="S208" t="b">
        <v>0</v>
      </c>
      <c r="W208" t="s">
        <v>51</v>
      </c>
    </row>
    <row r="209" spans="1:23" x14ac:dyDescent="0.25">
      <c r="A209" t="s">
        <v>74</v>
      </c>
      <c r="B209">
        <v>2018</v>
      </c>
      <c r="C209">
        <v>3</v>
      </c>
      <c r="D209">
        <v>2</v>
      </c>
      <c r="E209" t="s">
        <v>49</v>
      </c>
      <c r="F209" t="s">
        <v>82</v>
      </c>
      <c r="G209" t="s">
        <v>78</v>
      </c>
      <c r="H209" t="s">
        <v>129</v>
      </c>
      <c r="I209" t="s">
        <v>76</v>
      </c>
      <c r="J209">
        <v>0</v>
      </c>
      <c r="K209">
        <v>0</v>
      </c>
      <c r="L209">
        <v>0</v>
      </c>
      <c r="M209">
        <v>1</v>
      </c>
      <c r="N209">
        <v>0.5</v>
      </c>
      <c r="O209">
        <v>0.5</v>
      </c>
      <c r="P209">
        <v>0</v>
      </c>
      <c r="Q209">
        <v>2</v>
      </c>
      <c r="R209" t="s">
        <v>56</v>
      </c>
      <c r="S209" t="b">
        <v>0</v>
      </c>
      <c r="W209" t="s">
        <v>51</v>
      </c>
    </row>
    <row r="210" spans="1:23" x14ac:dyDescent="0.25">
      <c r="A210" t="s">
        <v>74</v>
      </c>
      <c r="B210">
        <v>2018</v>
      </c>
      <c r="C210">
        <v>3</v>
      </c>
      <c r="D210">
        <v>2</v>
      </c>
      <c r="E210" t="s">
        <v>49</v>
      </c>
      <c r="F210" t="s">
        <v>82</v>
      </c>
      <c r="G210" t="s">
        <v>78</v>
      </c>
      <c r="H210" t="s">
        <v>129</v>
      </c>
      <c r="I210" t="s">
        <v>77</v>
      </c>
      <c r="J210">
        <v>0</v>
      </c>
      <c r="K210">
        <v>0</v>
      </c>
      <c r="L210">
        <v>0</v>
      </c>
      <c r="M210">
        <v>2.5</v>
      </c>
      <c r="N210">
        <v>0</v>
      </c>
      <c r="O210">
        <v>0.5</v>
      </c>
      <c r="P210">
        <v>0</v>
      </c>
      <c r="Q210">
        <v>3</v>
      </c>
      <c r="R210" t="s">
        <v>56</v>
      </c>
      <c r="S210" t="b">
        <v>0</v>
      </c>
      <c r="W210" t="s">
        <v>51</v>
      </c>
    </row>
    <row r="211" spans="1:23" x14ac:dyDescent="0.25">
      <c r="A211" t="s">
        <v>79</v>
      </c>
      <c r="B211">
        <v>2018</v>
      </c>
      <c r="C211">
        <v>5</v>
      </c>
      <c r="D211">
        <v>2</v>
      </c>
      <c r="E211" t="s">
        <v>49</v>
      </c>
      <c r="F211" t="s">
        <v>52</v>
      </c>
      <c r="G211" t="s">
        <v>78</v>
      </c>
      <c r="H211" t="s">
        <v>14</v>
      </c>
      <c r="I211" t="s">
        <v>72</v>
      </c>
      <c r="J211">
        <v>0</v>
      </c>
      <c r="K211">
        <v>0</v>
      </c>
      <c r="L211">
        <v>0</v>
      </c>
      <c r="M211">
        <v>0</v>
      </c>
      <c r="N211">
        <v>4.5</v>
      </c>
      <c r="O211">
        <v>4</v>
      </c>
      <c r="P211">
        <v>0</v>
      </c>
      <c r="Q211">
        <v>8.5</v>
      </c>
      <c r="R211" t="s">
        <v>56</v>
      </c>
      <c r="S211" t="b">
        <v>0</v>
      </c>
      <c r="W211" t="s">
        <v>51</v>
      </c>
    </row>
    <row r="212" spans="1:23" hidden="1" x14ac:dyDescent="0.25">
      <c r="A212" t="s">
        <v>74</v>
      </c>
      <c r="B212">
        <v>2018</v>
      </c>
      <c r="C212">
        <v>5</v>
      </c>
      <c r="D212">
        <v>2</v>
      </c>
      <c r="E212" t="s">
        <v>49</v>
      </c>
      <c r="G212" t="s">
        <v>86</v>
      </c>
      <c r="J212">
        <v>0</v>
      </c>
      <c r="K212">
        <v>1.5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2.5</v>
      </c>
      <c r="S212" t="b">
        <v>0</v>
      </c>
      <c r="W212" t="s">
        <v>51</v>
      </c>
    </row>
    <row r="213" spans="1:23" x14ac:dyDescent="0.25">
      <c r="A213" t="s">
        <v>79</v>
      </c>
      <c r="B213">
        <v>2018</v>
      </c>
      <c r="C213">
        <v>6</v>
      </c>
      <c r="D213">
        <v>1</v>
      </c>
      <c r="E213" t="s">
        <v>49</v>
      </c>
      <c r="F213" t="s">
        <v>64</v>
      </c>
      <c r="G213" t="s">
        <v>78</v>
      </c>
      <c r="H213" t="s">
        <v>104</v>
      </c>
      <c r="I213" t="s">
        <v>58</v>
      </c>
      <c r="J213">
        <v>0</v>
      </c>
      <c r="K213">
        <v>0</v>
      </c>
      <c r="L213">
        <v>3</v>
      </c>
      <c r="M213">
        <v>2.5</v>
      </c>
      <c r="N213">
        <v>0.5</v>
      </c>
      <c r="O213">
        <v>3</v>
      </c>
      <c r="P213">
        <v>0</v>
      </c>
      <c r="Q213">
        <v>9</v>
      </c>
      <c r="R213" t="s">
        <v>56</v>
      </c>
      <c r="S213" t="b">
        <v>0</v>
      </c>
      <c r="W213" t="s">
        <v>51</v>
      </c>
    </row>
    <row r="214" spans="1:23" hidden="1" x14ac:dyDescent="0.25">
      <c r="A214" t="s">
        <v>74</v>
      </c>
      <c r="B214">
        <v>2018</v>
      </c>
      <c r="C214">
        <v>5</v>
      </c>
      <c r="D214">
        <v>2</v>
      </c>
      <c r="E214" t="s">
        <v>49</v>
      </c>
      <c r="G214" t="s">
        <v>62</v>
      </c>
      <c r="J214">
        <v>0</v>
      </c>
      <c r="K214">
        <v>0</v>
      </c>
      <c r="L214">
        <v>8</v>
      </c>
      <c r="M214">
        <v>0</v>
      </c>
      <c r="N214">
        <v>0</v>
      </c>
      <c r="O214">
        <v>0</v>
      </c>
      <c r="P214">
        <v>0</v>
      </c>
      <c r="Q214">
        <v>8</v>
      </c>
      <c r="S214" t="b">
        <v>0</v>
      </c>
      <c r="W214" t="s">
        <v>51</v>
      </c>
    </row>
    <row r="215" spans="1:23" x14ac:dyDescent="0.25">
      <c r="A215" t="s">
        <v>79</v>
      </c>
      <c r="B215">
        <v>2018</v>
      </c>
      <c r="C215">
        <v>5</v>
      </c>
      <c r="D215">
        <v>1</v>
      </c>
      <c r="E215" t="s">
        <v>49</v>
      </c>
      <c r="F215" t="s">
        <v>71</v>
      </c>
      <c r="G215" t="s">
        <v>78</v>
      </c>
      <c r="H215" t="s">
        <v>104</v>
      </c>
      <c r="I215" t="s">
        <v>76</v>
      </c>
      <c r="J215">
        <v>0</v>
      </c>
      <c r="K215">
        <v>0</v>
      </c>
      <c r="L215">
        <v>1.5</v>
      </c>
      <c r="M215">
        <v>0</v>
      </c>
      <c r="N215">
        <v>3.4</v>
      </c>
      <c r="O215">
        <v>0</v>
      </c>
      <c r="P215">
        <v>0</v>
      </c>
      <c r="Q215">
        <v>4.9000000000000004</v>
      </c>
      <c r="R215" t="s">
        <v>56</v>
      </c>
      <c r="S215" t="b">
        <v>0</v>
      </c>
      <c r="W215" t="s">
        <v>51</v>
      </c>
    </row>
    <row r="216" spans="1:23" hidden="1" x14ac:dyDescent="0.25">
      <c r="A216" t="s">
        <v>48</v>
      </c>
      <c r="B216">
        <v>2018</v>
      </c>
      <c r="C216">
        <v>5</v>
      </c>
      <c r="D216">
        <v>2</v>
      </c>
      <c r="E216" t="s">
        <v>49</v>
      </c>
      <c r="G216" t="s">
        <v>86</v>
      </c>
      <c r="J216">
        <v>0</v>
      </c>
      <c r="K216">
        <v>0</v>
      </c>
      <c r="L216">
        <v>2</v>
      </c>
      <c r="M216">
        <v>0</v>
      </c>
      <c r="N216">
        <v>0</v>
      </c>
      <c r="O216">
        <v>1</v>
      </c>
      <c r="P216">
        <v>0</v>
      </c>
      <c r="Q216">
        <v>3</v>
      </c>
      <c r="S216" t="b">
        <v>0</v>
      </c>
      <c r="W216" t="s">
        <v>51</v>
      </c>
    </row>
    <row r="217" spans="1:23" hidden="1" x14ac:dyDescent="0.25">
      <c r="A217" t="s">
        <v>48</v>
      </c>
      <c r="B217">
        <v>2018</v>
      </c>
      <c r="C217">
        <v>5</v>
      </c>
      <c r="D217">
        <v>2</v>
      </c>
      <c r="E217" t="s">
        <v>49</v>
      </c>
      <c r="G217" t="s">
        <v>50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>
        <v>0</v>
      </c>
      <c r="Q217">
        <v>1</v>
      </c>
      <c r="S217" t="b">
        <v>0</v>
      </c>
      <c r="W217" t="s">
        <v>51</v>
      </c>
    </row>
    <row r="218" spans="1:23" hidden="1" x14ac:dyDescent="0.25">
      <c r="A218" t="s">
        <v>48</v>
      </c>
      <c r="B218">
        <v>2018</v>
      </c>
      <c r="C218">
        <v>5</v>
      </c>
      <c r="D218">
        <v>2</v>
      </c>
      <c r="E218" t="s">
        <v>49</v>
      </c>
      <c r="F218" t="s">
        <v>52</v>
      </c>
      <c r="G218" t="s">
        <v>53</v>
      </c>
      <c r="H218" t="s">
        <v>18</v>
      </c>
      <c r="I218" t="s">
        <v>77</v>
      </c>
      <c r="J218">
        <v>0</v>
      </c>
      <c r="K218">
        <v>0</v>
      </c>
      <c r="L218">
        <v>4</v>
      </c>
      <c r="M218">
        <v>0</v>
      </c>
      <c r="N218">
        <v>7</v>
      </c>
      <c r="O218">
        <v>6</v>
      </c>
      <c r="P218">
        <v>0</v>
      </c>
      <c r="Q218">
        <v>17</v>
      </c>
      <c r="R218" t="s">
        <v>56</v>
      </c>
      <c r="S218" t="b">
        <v>0</v>
      </c>
      <c r="W218" t="s">
        <v>51</v>
      </c>
    </row>
    <row r="219" spans="1:23" x14ac:dyDescent="0.25">
      <c r="A219" t="s">
        <v>79</v>
      </c>
      <c r="B219">
        <v>2018</v>
      </c>
      <c r="C219">
        <v>4</v>
      </c>
      <c r="D219">
        <v>2</v>
      </c>
      <c r="E219" t="s">
        <v>49</v>
      </c>
      <c r="F219" t="s">
        <v>67</v>
      </c>
      <c r="G219" t="s">
        <v>78</v>
      </c>
      <c r="H219" t="s">
        <v>104</v>
      </c>
      <c r="I219" t="s">
        <v>87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1</v>
      </c>
      <c r="R219" t="s">
        <v>56</v>
      </c>
      <c r="S219" t="b">
        <v>0</v>
      </c>
      <c r="W219" t="s">
        <v>51</v>
      </c>
    </row>
    <row r="220" spans="1:23" x14ac:dyDescent="0.25">
      <c r="A220" t="s">
        <v>79</v>
      </c>
      <c r="B220">
        <v>2018</v>
      </c>
      <c r="C220">
        <v>4</v>
      </c>
      <c r="D220">
        <v>2</v>
      </c>
      <c r="E220" t="s">
        <v>49</v>
      </c>
      <c r="F220" t="s">
        <v>52</v>
      </c>
      <c r="G220" t="s">
        <v>78</v>
      </c>
      <c r="H220" t="s">
        <v>104</v>
      </c>
      <c r="I220" t="s">
        <v>87</v>
      </c>
      <c r="J220">
        <v>0</v>
      </c>
      <c r="K220">
        <v>3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3</v>
      </c>
      <c r="R220" t="s">
        <v>56</v>
      </c>
      <c r="S220" t="b">
        <v>0</v>
      </c>
      <c r="W220" t="s">
        <v>51</v>
      </c>
    </row>
    <row r="221" spans="1:23" x14ac:dyDescent="0.25">
      <c r="A221" t="s">
        <v>79</v>
      </c>
      <c r="B221">
        <v>2018</v>
      </c>
      <c r="C221">
        <v>4</v>
      </c>
      <c r="D221">
        <v>1</v>
      </c>
      <c r="E221" t="s">
        <v>49</v>
      </c>
      <c r="F221" t="s">
        <v>71</v>
      </c>
      <c r="G221" t="s">
        <v>78</v>
      </c>
      <c r="H221" t="s">
        <v>104</v>
      </c>
      <c r="I221" t="s">
        <v>76</v>
      </c>
      <c r="J221">
        <v>0</v>
      </c>
      <c r="K221">
        <v>0</v>
      </c>
      <c r="L221">
        <v>0</v>
      </c>
      <c r="M221">
        <v>0</v>
      </c>
      <c r="N221">
        <v>2</v>
      </c>
      <c r="O221">
        <v>4</v>
      </c>
      <c r="P221">
        <v>0</v>
      </c>
      <c r="Q221">
        <v>6</v>
      </c>
      <c r="R221" t="s">
        <v>56</v>
      </c>
      <c r="S221" t="b">
        <v>0</v>
      </c>
      <c r="W221" t="s">
        <v>51</v>
      </c>
    </row>
    <row r="222" spans="1:23" x14ac:dyDescent="0.25">
      <c r="A222" t="s">
        <v>79</v>
      </c>
      <c r="B222">
        <v>2018</v>
      </c>
      <c r="C222">
        <v>4</v>
      </c>
      <c r="D222">
        <v>1</v>
      </c>
      <c r="E222" t="s">
        <v>49</v>
      </c>
      <c r="F222" t="s">
        <v>71</v>
      </c>
      <c r="G222" t="s">
        <v>78</v>
      </c>
      <c r="H222" t="s">
        <v>104</v>
      </c>
      <c r="I222" t="s">
        <v>77</v>
      </c>
      <c r="J222">
        <v>0</v>
      </c>
      <c r="K222">
        <v>0</v>
      </c>
      <c r="L222">
        <v>0</v>
      </c>
      <c r="M222">
        <v>1</v>
      </c>
      <c r="N222">
        <v>1</v>
      </c>
      <c r="O222">
        <v>0</v>
      </c>
      <c r="P222">
        <v>0</v>
      </c>
      <c r="Q222">
        <v>2</v>
      </c>
      <c r="R222" t="s">
        <v>56</v>
      </c>
      <c r="S222" t="b">
        <v>0</v>
      </c>
      <c r="W222" t="s">
        <v>51</v>
      </c>
    </row>
    <row r="223" spans="1:23" x14ac:dyDescent="0.25">
      <c r="A223" t="s">
        <v>79</v>
      </c>
      <c r="B223">
        <v>2018</v>
      </c>
      <c r="C223">
        <v>3</v>
      </c>
      <c r="D223">
        <v>3</v>
      </c>
      <c r="E223" t="s">
        <v>49</v>
      </c>
      <c r="F223" t="s">
        <v>52</v>
      </c>
      <c r="G223" t="s">
        <v>78</v>
      </c>
      <c r="H223" t="s">
        <v>104</v>
      </c>
      <c r="I223" t="s">
        <v>76</v>
      </c>
      <c r="J223">
        <v>0</v>
      </c>
      <c r="K223">
        <v>0</v>
      </c>
      <c r="L223">
        <v>0</v>
      </c>
      <c r="M223">
        <v>0</v>
      </c>
      <c r="N223">
        <v>8</v>
      </c>
      <c r="O223">
        <v>8</v>
      </c>
      <c r="P223">
        <v>0</v>
      </c>
      <c r="Q223">
        <v>16</v>
      </c>
      <c r="R223" t="s">
        <v>56</v>
      </c>
      <c r="S223" t="b">
        <v>0</v>
      </c>
      <c r="W223" t="s">
        <v>51</v>
      </c>
    </row>
    <row r="224" spans="1:23" hidden="1" x14ac:dyDescent="0.25">
      <c r="A224" t="s">
        <v>79</v>
      </c>
      <c r="B224">
        <v>2018</v>
      </c>
      <c r="C224">
        <v>5</v>
      </c>
      <c r="D224">
        <v>2</v>
      </c>
      <c r="E224" t="s">
        <v>49</v>
      </c>
      <c r="G224" t="s">
        <v>50</v>
      </c>
      <c r="J224">
        <v>0</v>
      </c>
      <c r="K224">
        <v>1.5</v>
      </c>
      <c r="L224">
        <v>0</v>
      </c>
      <c r="M224">
        <v>0.5</v>
      </c>
      <c r="N224">
        <v>0.5</v>
      </c>
      <c r="O224">
        <v>0</v>
      </c>
      <c r="P224">
        <v>0</v>
      </c>
      <c r="Q224">
        <v>2.5</v>
      </c>
      <c r="S224" t="b">
        <v>0</v>
      </c>
      <c r="W224" t="s">
        <v>51</v>
      </c>
    </row>
    <row r="225" spans="1:23" x14ac:dyDescent="0.25">
      <c r="A225" t="s">
        <v>79</v>
      </c>
      <c r="B225">
        <v>2018</v>
      </c>
      <c r="C225">
        <v>3</v>
      </c>
      <c r="D225">
        <v>3</v>
      </c>
      <c r="E225" t="s">
        <v>49</v>
      </c>
      <c r="F225" t="s">
        <v>52</v>
      </c>
      <c r="G225" t="s">
        <v>78</v>
      </c>
      <c r="H225" t="s">
        <v>104</v>
      </c>
      <c r="I225" t="s">
        <v>77</v>
      </c>
      <c r="J225">
        <v>0</v>
      </c>
      <c r="K225">
        <v>0</v>
      </c>
      <c r="L225">
        <v>0</v>
      </c>
      <c r="M225">
        <v>8</v>
      </c>
      <c r="N225">
        <v>0</v>
      </c>
      <c r="O225">
        <v>0</v>
      </c>
      <c r="P225">
        <v>0</v>
      </c>
      <c r="Q225">
        <v>8</v>
      </c>
      <c r="R225" t="s">
        <v>56</v>
      </c>
      <c r="S225" t="b">
        <v>0</v>
      </c>
      <c r="W225" t="s">
        <v>51</v>
      </c>
    </row>
    <row r="226" spans="1:23" x14ac:dyDescent="0.25">
      <c r="A226" t="s">
        <v>79</v>
      </c>
      <c r="B226">
        <v>2018</v>
      </c>
      <c r="C226">
        <v>3</v>
      </c>
      <c r="D226">
        <v>3</v>
      </c>
      <c r="E226" t="s">
        <v>49</v>
      </c>
      <c r="F226" t="s">
        <v>52</v>
      </c>
      <c r="G226" t="s">
        <v>78</v>
      </c>
      <c r="H226" t="s">
        <v>104</v>
      </c>
      <c r="I226" t="s">
        <v>72</v>
      </c>
      <c r="J226">
        <v>0</v>
      </c>
      <c r="K226">
        <v>8</v>
      </c>
      <c r="L226">
        <v>8</v>
      </c>
      <c r="M226">
        <v>0</v>
      </c>
      <c r="N226">
        <v>0</v>
      </c>
      <c r="O226">
        <v>0</v>
      </c>
      <c r="P226">
        <v>0</v>
      </c>
      <c r="Q226">
        <v>16</v>
      </c>
      <c r="R226" t="s">
        <v>56</v>
      </c>
      <c r="S226" t="b">
        <v>0</v>
      </c>
      <c r="W226" t="s">
        <v>51</v>
      </c>
    </row>
    <row r="227" spans="1:23" hidden="1" x14ac:dyDescent="0.25">
      <c r="A227" t="s">
        <v>79</v>
      </c>
      <c r="B227">
        <v>2018</v>
      </c>
      <c r="C227">
        <v>5</v>
      </c>
      <c r="D227">
        <v>2</v>
      </c>
      <c r="E227" t="s">
        <v>49</v>
      </c>
      <c r="G227" t="s">
        <v>86</v>
      </c>
      <c r="J227">
        <v>0</v>
      </c>
      <c r="K227">
        <v>4.5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4.5</v>
      </c>
      <c r="S227" t="b">
        <v>0</v>
      </c>
      <c r="W227" t="s">
        <v>51</v>
      </c>
    </row>
    <row r="228" spans="1:23" hidden="1" x14ac:dyDescent="0.25">
      <c r="A228" t="s">
        <v>79</v>
      </c>
      <c r="B228">
        <v>2018</v>
      </c>
      <c r="C228">
        <v>5</v>
      </c>
      <c r="D228">
        <v>2</v>
      </c>
      <c r="E228" t="s">
        <v>49</v>
      </c>
      <c r="F228" t="s">
        <v>52</v>
      </c>
      <c r="G228" t="s">
        <v>53</v>
      </c>
      <c r="H228" t="s">
        <v>14</v>
      </c>
      <c r="I228" t="s">
        <v>114</v>
      </c>
      <c r="J228">
        <v>0</v>
      </c>
      <c r="K228">
        <v>2</v>
      </c>
      <c r="L228">
        <v>0</v>
      </c>
      <c r="M228">
        <v>1</v>
      </c>
      <c r="N228">
        <v>0</v>
      </c>
      <c r="O228">
        <v>0</v>
      </c>
      <c r="P228">
        <v>0</v>
      </c>
      <c r="Q228">
        <v>3</v>
      </c>
      <c r="R228" t="s">
        <v>56</v>
      </c>
      <c r="S228" t="b">
        <v>0</v>
      </c>
      <c r="W228" t="s">
        <v>51</v>
      </c>
    </row>
    <row r="229" spans="1:23" hidden="1" x14ac:dyDescent="0.25">
      <c r="A229" t="s">
        <v>63</v>
      </c>
      <c r="B229">
        <v>2018</v>
      </c>
      <c r="C229">
        <v>5</v>
      </c>
      <c r="D229">
        <v>1</v>
      </c>
      <c r="E229" t="s">
        <v>49</v>
      </c>
      <c r="G229" t="s">
        <v>86</v>
      </c>
      <c r="J229">
        <v>0</v>
      </c>
      <c r="K229">
        <v>8</v>
      </c>
      <c r="L229">
        <v>2</v>
      </c>
      <c r="M229">
        <v>0</v>
      </c>
      <c r="N229">
        <v>0</v>
      </c>
      <c r="O229">
        <v>0</v>
      </c>
      <c r="P229">
        <v>0</v>
      </c>
      <c r="Q229">
        <v>10</v>
      </c>
      <c r="S229" t="b">
        <v>0</v>
      </c>
      <c r="W229" t="s">
        <v>51</v>
      </c>
    </row>
    <row r="230" spans="1:23" hidden="1" x14ac:dyDescent="0.25">
      <c r="A230" t="s">
        <v>69</v>
      </c>
      <c r="B230">
        <v>2018</v>
      </c>
      <c r="C230">
        <v>5</v>
      </c>
      <c r="D230">
        <v>1</v>
      </c>
      <c r="E230" t="s">
        <v>49</v>
      </c>
      <c r="F230" t="s">
        <v>64</v>
      </c>
      <c r="G230" t="s">
        <v>53</v>
      </c>
      <c r="H230" t="s">
        <v>57</v>
      </c>
      <c r="I230" t="s">
        <v>68</v>
      </c>
      <c r="J230">
        <v>0</v>
      </c>
      <c r="K230">
        <v>0.5</v>
      </c>
      <c r="L230">
        <v>0</v>
      </c>
      <c r="M230">
        <v>7</v>
      </c>
      <c r="N230">
        <v>2.5</v>
      </c>
      <c r="O230">
        <v>0</v>
      </c>
      <c r="P230">
        <v>0</v>
      </c>
      <c r="Q230">
        <v>10</v>
      </c>
      <c r="R230" t="s">
        <v>56</v>
      </c>
      <c r="S230" t="b">
        <v>0</v>
      </c>
      <c r="W230" t="s">
        <v>51</v>
      </c>
    </row>
    <row r="231" spans="1:23" x14ac:dyDescent="0.25">
      <c r="A231" t="s">
        <v>74</v>
      </c>
      <c r="B231">
        <v>2018</v>
      </c>
      <c r="C231">
        <v>3</v>
      </c>
      <c r="D231">
        <v>2</v>
      </c>
      <c r="E231" t="s">
        <v>49</v>
      </c>
      <c r="F231" t="s">
        <v>52</v>
      </c>
      <c r="G231" t="s">
        <v>78</v>
      </c>
      <c r="H231" t="s">
        <v>104</v>
      </c>
      <c r="I231" t="s">
        <v>134</v>
      </c>
      <c r="J231">
        <v>0</v>
      </c>
      <c r="K231">
        <v>7</v>
      </c>
      <c r="L231">
        <v>3</v>
      </c>
      <c r="M231">
        <v>2</v>
      </c>
      <c r="N231">
        <v>3.5</v>
      </c>
      <c r="O231">
        <v>0</v>
      </c>
      <c r="P231">
        <v>0</v>
      </c>
      <c r="Q231">
        <v>15.5</v>
      </c>
      <c r="R231" t="s">
        <v>56</v>
      </c>
      <c r="S231" t="b">
        <v>0</v>
      </c>
      <c r="W231" t="s">
        <v>51</v>
      </c>
    </row>
    <row r="232" spans="1:23" x14ac:dyDescent="0.25">
      <c r="A232" t="s">
        <v>74</v>
      </c>
      <c r="B232">
        <v>2018</v>
      </c>
      <c r="C232">
        <v>3</v>
      </c>
      <c r="D232">
        <v>1</v>
      </c>
      <c r="E232" t="s">
        <v>49</v>
      </c>
      <c r="F232" t="s">
        <v>64</v>
      </c>
      <c r="G232" t="s">
        <v>78</v>
      </c>
      <c r="H232" t="s">
        <v>104</v>
      </c>
      <c r="I232" t="s">
        <v>134</v>
      </c>
      <c r="J232">
        <v>0</v>
      </c>
      <c r="K232">
        <v>0</v>
      </c>
      <c r="L232">
        <v>3</v>
      </c>
      <c r="M232">
        <v>7</v>
      </c>
      <c r="N232">
        <v>4</v>
      </c>
      <c r="O232">
        <v>8</v>
      </c>
      <c r="P232">
        <v>0</v>
      </c>
      <c r="Q232">
        <v>22</v>
      </c>
      <c r="R232" t="s">
        <v>56</v>
      </c>
      <c r="S232" t="b">
        <v>0</v>
      </c>
      <c r="W232" t="s">
        <v>51</v>
      </c>
    </row>
    <row r="233" spans="1:23" hidden="1" x14ac:dyDescent="0.25">
      <c r="A233" t="s">
        <v>102</v>
      </c>
      <c r="B233">
        <v>2018</v>
      </c>
      <c r="C233">
        <v>5</v>
      </c>
      <c r="D233">
        <v>1</v>
      </c>
      <c r="E233" t="s">
        <v>49</v>
      </c>
      <c r="G233" t="s">
        <v>62</v>
      </c>
      <c r="J233">
        <v>0</v>
      </c>
      <c r="K233">
        <v>4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4</v>
      </c>
      <c r="S233" t="b">
        <v>0</v>
      </c>
      <c r="W233" t="s">
        <v>51</v>
      </c>
    </row>
    <row r="234" spans="1:23" hidden="1" x14ac:dyDescent="0.25">
      <c r="A234" t="s">
        <v>102</v>
      </c>
      <c r="B234">
        <v>2018</v>
      </c>
      <c r="C234">
        <v>5</v>
      </c>
      <c r="D234">
        <v>1</v>
      </c>
      <c r="E234" t="s">
        <v>49</v>
      </c>
      <c r="G234" t="s">
        <v>73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8</v>
      </c>
      <c r="P234">
        <v>0</v>
      </c>
      <c r="Q234">
        <v>8</v>
      </c>
      <c r="S234" t="b">
        <v>0</v>
      </c>
      <c r="W234" t="s">
        <v>51</v>
      </c>
    </row>
    <row r="235" spans="1:23" x14ac:dyDescent="0.25">
      <c r="A235" t="s">
        <v>79</v>
      </c>
      <c r="B235">
        <v>2018</v>
      </c>
      <c r="C235">
        <v>5</v>
      </c>
      <c r="D235">
        <v>4</v>
      </c>
      <c r="E235" t="s">
        <v>49</v>
      </c>
      <c r="F235" t="s">
        <v>64</v>
      </c>
      <c r="G235" t="s">
        <v>78</v>
      </c>
      <c r="H235" t="s">
        <v>106</v>
      </c>
      <c r="I235" t="s">
        <v>58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>
        <v>0</v>
      </c>
      <c r="Q235">
        <v>1</v>
      </c>
      <c r="R235" t="s">
        <v>56</v>
      </c>
      <c r="S235" t="b">
        <v>0</v>
      </c>
      <c r="W235" t="s">
        <v>51</v>
      </c>
    </row>
    <row r="236" spans="1:23" hidden="1" x14ac:dyDescent="0.25">
      <c r="A236" t="s">
        <v>102</v>
      </c>
      <c r="B236">
        <v>2018</v>
      </c>
      <c r="C236">
        <v>5</v>
      </c>
      <c r="D236">
        <v>1</v>
      </c>
      <c r="E236" t="s">
        <v>49</v>
      </c>
      <c r="F236" t="s">
        <v>52</v>
      </c>
      <c r="G236" t="s">
        <v>53</v>
      </c>
      <c r="H236" t="s">
        <v>57</v>
      </c>
      <c r="I236" t="s">
        <v>68</v>
      </c>
      <c r="J236">
        <v>0</v>
      </c>
      <c r="K236">
        <v>0</v>
      </c>
      <c r="L236">
        <v>0</v>
      </c>
      <c r="M236">
        <v>0</v>
      </c>
      <c r="N236">
        <v>3</v>
      </c>
      <c r="O236">
        <v>0</v>
      </c>
      <c r="P236">
        <v>0</v>
      </c>
      <c r="Q236">
        <v>3</v>
      </c>
      <c r="R236" t="s">
        <v>56</v>
      </c>
      <c r="S236" t="b">
        <v>0</v>
      </c>
      <c r="W236" t="s">
        <v>51</v>
      </c>
    </row>
    <row r="237" spans="1:23" x14ac:dyDescent="0.25">
      <c r="A237" t="s">
        <v>102</v>
      </c>
      <c r="B237">
        <v>2018</v>
      </c>
      <c r="C237">
        <v>5</v>
      </c>
      <c r="D237">
        <v>2</v>
      </c>
      <c r="E237" t="s">
        <v>49</v>
      </c>
      <c r="F237" t="s">
        <v>64</v>
      </c>
      <c r="G237" t="s">
        <v>78</v>
      </c>
      <c r="H237" t="s">
        <v>106</v>
      </c>
      <c r="I237" t="s">
        <v>108</v>
      </c>
      <c r="J237">
        <v>0</v>
      </c>
      <c r="K237">
        <v>3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3</v>
      </c>
      <c r="R237" t="s">
        <v>56</v>
      </c>
      <c r="S237" t="b">
        <v>0</v>
      </c>
      <c r="W237" t="s">
        <v>51</v>
      </c>
    </row>
    <row r="238" spans="1:23" x14ac:dyDescent="0.25">
      <c r="A238" t="s">
        <v>79</v>
      </c>
      <c r="B238">
        <v>2018</v>
      </c>
      <c r="C238">
        <v>5</v>
      </c>
      <c r="D238">
        <v>1</v>
      </c>
      <c r="E238" t="s">
        <v>49</v>
      </c>
      <c r="F238" t="s">
        <v>71</v>
      </c>
      <c r="G238" t="s">
        <v>78</v>
      </c>
      <c r="H238" t="s">
        <v>106</v>
      </c>
      <c r="I238" t="s">
        <v>72</v>
      </c>
      <c r="J238">
        <v>0</v>
      </c>
      <c r="K238">
        <v>0</v>
      </c>
      <c r="L238">
        <v>0</v>
      </c>
      <c r="M238">
        <v>5.2</v>
      </c>
      <c r="N238">
        <v>3.4</v>
      </c>
      <c r="O238">
        <v>0</v>
      </c>
      <c r="P238">
        <v>0</v>
      </c>
      <c r="Q238">
        <v>8.6</v>
      </c>
      <c r="R238" t="s">
        <v>56</v>
      </c>
      <c r="S238" t="b">
        <v>0</v>
      </c>
      <c r="W238" t="s">
        <v>51</v>
      </c>
    </row>
    <row r="239" spans="1:23" hidden="1" x14ac:dyDescent="0.25">
      <c r="A239" t="s">
        <v>74</v>
      </c>
      <c r="B239">
        <v>2018</v>
      </c>
      <c r="C239">
        <v>5</v>
      </c>
      <c r="D239">
        <v>1</v>
      </c>
      <c r="E239" t="s">
        <v>49</v>
      </c>
      <c r="G239" t="s">
        <v>50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1</v>
      </c>
      <c r="S239" t="b">
        <v>0</v>
      </c>
      <c r="W239" t="s">
        <v>51</v>
      </c>
    </row>
    <row r="240" spans="1:23" hidden="1" x14ac:dyDescent="0.25">
      <c r="A240" t="s">
        <v>74</v>
      </c>
      <c r="B240">
        <v>2018</v>
      </c>
      <c r="C240">
        <v>5</v>
      </c>
      <c r="D240">
        <v>1</v>
      </c>
      <c r="E240" t="s">
        <v>49</v>
      </c>
      <c r="F240" t="s">
        <v>67</v>
      </c>
      <c r="G240" t="s">
        <v>53</v>
      </c>
      <c r="H240" t="s">
        <v>116</v>
      </c>
      <c r="I240" t="s">
        <v>68</v>
      </c>
      <c r="J240">
        <v>0</v>
      </c>
      <c r="K240">
        <v>0</v>
      </c>
      <c r="L240">
        <v>0</v>
      </c>
      <c r="M240">
        <v>1.5</v>
      </c>
      <c r="N240">
        <v>0.5</v>
      </c>
      <c r="O240">
        <v>0</v>
      </c>
      <c r="P240">
        <v>0</v>
      </c>
      <c r="Q240">
        <v>2</v>
      </c>
      <c r="R240" t="s">
        <v>56</v>
      </c>
      <c r="S240" t="b">
        <v>0</v>
      </c>
      <c r="W240" t="s">
        <v>51</v>
      </c>
    </row>
    <row r="241" spans="1:23" hidden="1" x14ac:dyDescent="0.25">
      <c r="A241" t="s">
        <v>74</v>
      </c>
      <c r="B241">
        <v>2018</v>
      </c>
      <c r="C241">
        <v>5</v>
      </c>
      <c r="D241">
        <v>1</v>
      </c>
      <c r="E241" t="s">
        <v>49</v>
      </c>
      <c r="G241" t="s">
        <v>50</v>
      </c>
      <c r="J241">
        <v>0</v>
      </c>
      <c r="K241">
        <v>0</v>
      </c>
      <c r="L241">
        <v>2</v>
      </c>
      <c r="M241">
        <v>1.5</v>
      </c>
      <c r="N241">
        <v>0</v>
      </c>
      <c r="O241">
        <v>0</v>
      </c>
      <c r="P241">
        <v>0</v>
      </c>
      <c r="Q241">
        <v>3.5</v>
      </c>
      <c r="S241" t="b">
        <v>0</v>
      </c>
      <c r="W241" t="s">
        <v>51</v>
      </c>
    </row>
    <row r="242" spans="1:23" x14ac:dyDescent="0.25">
      <c r="A242" t="s">
        <v>79</v>
      </c>
      <c r="B242">
        <v>2018</v>
      </c>
      <c r="C242">
        <v>4</v>
      </c>
      <c r="D242">
        <v>4</v>
      </c>
      <c r="E242" t="s">
        <v>49</v>
      </c>
      <c r="F242" t="s">
        <v>71</v>
      </c>
      <c r="G242" t="s">
        <v>78</v>
      </c>
      <c r="H242" t="s">
        <v>106</v>
      </c>
      <c r="I242" t="s">
        <v>77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1</v>
      </c>
      <c r="R242" t="s">
        <v>56</v>
      </c>
      <c r="S242" t="b">
        <v>0</v>
      </c>
      <c r="W242" t="s">
        <v>51</v>
      </c>
    </row>
    <row r="243" spans="1:23" hidden="1" x14ac:dyDescent="0.25">
      <c r="A243" t="s">
        <v>74</v>
      </c>
      <c r="B243">
        <v>2018</v>
      </c>
      <c r="C243">
        <v>5</v>
      </c>
      <c r="D243">
        <v>1</v>
      </c>
      <c r="E243" t="s">
        <v>49</v>
      </c>
      <c r="F243" t="s">
        <v>117</v>
      </c>
      <c r="G243" t="s">
        <v>103</v>
      </c>
      <c r="H243" t="s">
        <v>57</v>
      </c>
      <c r="I243" t="s">
        <v>85</v>
      </c>
      <c r="J243">
        <v>0</v>
      </c>
      <c r="K243">
        <v>0</v>
      </c>
      <c r="L243">
        <v>3</v>
      </c>
      <c r="M243">
        <v>0</v>
      </c>
      <c r="N243">
        <v>4</v>
      </c>
      <c r="O243">
        <v>4</v>
      </c>
      <c r="P243">
        <v>0</v>
      </c>
      <c r="Q243">
        <v>11</v>
      </c>
      <c r="R243" t="s">
        <v>56</v>
      </c>
      <c r="S243" t="b">
        <v>0</v>
      </c>
      <c r="W243" t="s">
        <v>51</v>
      </c>
    </row>
    <row r="244" spans="1:23" x14ac:dyDescent="0.25">
      <c r="A244" t="s">
        <v>79</v>
      </c>
      <c r="B244">
        <v>2018</v>
      </c>
      <c r="C244">
        <v>4</v>
      </c>
      <c r="D244">
        <v>4</v>
      </c>
      <c r="E244" t="s">
        <v>49</v>
      </c>
      <c r="F244" t="s">
        <v>71</v>
      </c>
      <c r="G244" t="s">
        <v>78</v>
      </c>
      <c r="H244" t="s">
        <v>106</v>
      </c>
      <c r="I244" t="s">
        <v>72</v>
      </c>
      <c r="J244">
        <v>0</v>
      </c>
      <c r="K244">
        <v>2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</v>
      </c>
      <c r="R244" t="s">
        <v>56</v>
      </c>
      <c r="S244" t="b">
        <v>0</v>
      </c>
      <c r="W244" t="s">
        <v>51</v>
      </c>
    </row>
    <row r="245" spans="1:23" x14ac:dyDescent="0.25">
      <c r="A245" t="s">
        <v>79</v>
      </c>
      <c r="B245">
        <v>2018</v>
      </c>
      <c r="C245">
        <v>4</v>
      </c>
      <c r="D245">
        <v>4</v>
      </c>
      <c r="E245" t="s">
        <v>49</v>
      </c>
      <c r="F245" t="s">
        <v>71</v>
      </c>
      <c r="G245" t="s">
        <v>78</v>
      </c>
      <c r="H245" t="s">
        <v>106</v>
      </c>
      <c r="I245" t="s">
        <v>76</v>
      </c>
      <c r="J245">
        <v>0</v>
      </c>
      <c r="K245">
        <v>2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2</v>
      </c>
      <c r="R245" t="s">
        <v>56</v>
      </c>
      <c r="S245" t="b">
        <v>0</v>
      </c>
      <c r="W245" t="s">
        <v>51</v>
      </c>
    </row>
    <row r="246" spans="1:23" x14ac:dyDescent="0.25">
      <c r="A246" t="s">
        <v>79</v>
      </c>
      <c r="B246">
        <v>2018</v>
      </c>
      <c r="C246">
        <v>4</v>
      </c>
      <c r="D246">
        <v>3</v>
      </c>
      <c r="E246" t="s">
        <v>49</v>
      </c>
      <c r="F246" t="s">
        <v>71</v>
      </c>
      <c r="G246" t="s">
        <v>78</v>
      </c>
      <c r="H246" t="s">
        <v>106</v>
      </c>
      <c r="I246" t="s">
        <v>76</v>
      </c>
      <c r="J246">
        <v>0</v>
      </c>
      <c r="K246">
        <v>3</v>
      </c>
      <c r="L246">
        <v>0</v>
      </c>
      <c r="M246">
        <v>1</v>
      </c>
      <c r="N246">
        <v>1</v>
      </c>
      <c r="O246">
        <v>0</v>
      </c>
      <c r="P246">
        <v>0</v>
      </c>
      <c r="Q246">
        <v>5</v>
      </c>
      <c r="R246" t="s">
        <v>56</v>
      </c>
      <c r="S246" t="b">
        <v>0</v>
      </c>
      <c r="W246" t="s">
        <v>51</v>
      </c>
    </row>
    <row r="247" spans="1:23" hidden="1" x14ac:dyDescent="0.25">
      <c r="A247" t="s">
        <v>48</v>
      </c>
      <c r="B247">
        <v>2018</v>
      </c>
      <c r="C247">
        <v>5</v>
      </c>
      <c r="D247">
        <v>1</v>
      </c>
      <c r="E247" t="s">
        <v>49</v>
      </c>
      <c r="G247" t="s">
        <v>100</v>
      </c>
      <c r="J247">
        <v>0</v>
      </c>
      <c r="K247">
        <v>4</v>
      </c>
      <c r="L247">
        <v>3</v>
      </c>
      <c r="M247">
        <v>7</v>
      </c>
      <c r="N247">
        <v>8</v>
      </c>
      <c r="O247">
        <v>0</v>
      </c>
      <c r="P247">
        <v>0</v>
      </c>
      <c r="Q247">
        <v>22</v>
      </c>
      <c r="S247" t="b">
        <v>0</v>
      </c>
      <c r="W247" t="s">
        <v>51</v>
      </c>
    </row>
    <row r="248" spans="1:23" x14ac:dyDescent="0.25">
      <c r="A248" t="s">
        <v>79</v>
      </c>
      <c r="B248">
        <v>2018</v>
      </c>
      <c r="C248">
        <v>4</v>
      </c>
      <c r="D248">
        <v>2</v>
      </c>
      <c r="E248" t="s">
        <v>49</v>
      </c>
      <c r="F248" t="s">
        <v>67</v>
      </c>
      <c r="G248" t="s">
        <v>78</v>
      </c>
      <c r="H248" t="s">
        <v>106</v>
      </c>
      <c r="I248" t="s">
        <v>87</v>
      </c>
      <c r="J248">
        <v>0</v>
      </c>
      <c r="K248">
        <v>0</v>
      </c>
      <c r="L248">
        <v>0.5</v>
      </c>
      <c r="M248">
        <v>0</v>
      </c>
      <c r="N248">
        <v>0</v>
      </c>
      <c r="O248">
        <v>0</v>
      </c>
      <c r="P248">
        <v>0</v>
      </c>
      <c r="Q248">
        <v>0.5</v>
      </c>
      <c r="R248" t="s">
        <v>56</v>
      </c>
      <c r="S248" t="b">
        <v>0</v>
      </c>
      <c r="W248" t="s">
        <v>51</v>
      </c>
    </row>
    <row r="249" spans="1:23" hidden="1" x14ac:dyDescent="0.25">
      <c r="A249" t="s">
        <v>48</v>
      </c>
      <c r="B249">
        <v>2018</v>
      </c>
      <c r="C249">
        <v>5</v>
      </c>
      <c r="D249">
        <v>1</v>
      </c>
      <c r="E249" t="s">
        <v>49</v>
      </c>
      <c r="G249" t="s">
        <v>50</v>
      </c>
      <c r="J249">
        <v>0</v>
      </c>
      <c r="K249">
        <v>0</v>
      </c>
      <c r="L249">
        <v>0</v>
      </c>
      <c r="M249">
        <v>1</v>
      </c>
      <c r="N249">
        <v>0</v>
      </c>
      <c r="O249">
        <v>0</v>
      </c>
      <c r="P249">
        <v>0</v>
      </c>
      <c r="Q249">
        <v>1</v>
      </c>
      <c r="S249" t="b">
        <v>0</v>
      </c>
      <c r="W249" t="s">
        <v>51</v>
      </c>
    </row>
    <row r="250" spans="1:23" hidden="1" x14ac:dyDescent="0.25">
      <c r="A250" t="s">
        <v>79</v>
      </c>
      <c r="B250">
        <v>2018</v>
      </c>
      <c r="C250">
        <v>5</v>
      </c>
      <c r="D250">
        <v>1</v>
      </c>
      <c r="E250" t="s">
        <v>49</v>
      </c>
      <c r="G250" t="s">
        <v>86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4</v>
      </c>
      <c r="P250">
        <v>0</v>
      </c>
      <c r="Q250">
        <v>4</v>
      </c>
      <c r="S250" t="b">
        <v>0</v>
      </c>
      <c r="W250" t="s">
        <v>51</v>
      </c>
    </row>
    <row r="251" spans="1:23" x14ac:dyDescent="0.25">
      <c r="A251" t="s">
        <v>79</v>
      </c>
      <c r="B251">
        <v>2018</v>
      </c>
      <c r="C251">
        <v>4</v>
      </c>
      <c r="D251">
        <v>2</v>
      </c>
      <c r="E251" t="s">
        <v>49</v>
      </c>
      <c r="F251" t="s">
        <v>71</v>
      </c>
      <c r="G251" t="s">
        <v>78</v>
      </c>
      <c r="H251" t="s">
        <v>106</v>
      </c>
      <c r="I251" t="s">
        <v>76</v>
      </c>
      <c r="J251">
        <v>0</v>
      </c>
      <c r="K251">
        <v>1.5</v>
      </c>
      <c r="L251">
        <v>1.5</v>
      </c>
      <c r="M251">
        <v>0</v>
      </c>
      <c r="N251">
        <v>0</v>
      </c>
      <c r="O251">
        <v>0</v>
      </c>
      <c r="P251">
        <v>0</v>
      </c>
      <c r="Q251">
        <v>3</v>
      </c>
      <c r="R251" t="s">
        <v>56</v>
      </c>
      <c r="S251" t="b">
        <v>0</v>
      </c>
      <c r="W251" t="s">
        <v>51</v>
      </c>
    </row>
    <row r="252" spans="1:23" hidden="1" x14ac:dyDescent="0.25">
      <c r="A252" t="s">
        <v>79</v>
      </c>
      <c r="B252">
        <v>2018</v>
      </c>
      <c r="C252">
        <v>5</v>
      </c>
      <c r="D252">
        <v>1</v>
      </c>
      <c r="E252" t="s">
        <v>49</v>
      </c>
      <c r="F252" t="s">
        <v>64</v>
      </c>
      <c r="G252" t="s">
        <v>53</v>
      </c>
      <c r="H252" t="s">
        <v>14</v>
      </c>
      <c r="I252" t="s">
        <v>114</v>
      </c>
      <c r="J252">
        <v>0</v>
      </c>
      <c r="K252">
        <v>0</v>
      </c>
      <c r="L252">
        <v>0</v>
      </c>
      <c r="M252">
        <v>0</v>
      </c>
      <c r="N252">
        <v>1</v>
      </c>
      <c r="O252">
        <v>2</v>
      </c>
      <c r="P252">
        <v>0</v>
      </c>
      <c r="Q252">
        <v>3</v>
      </c>
      <c r="R252" t="s">
        <v>56</v>
      </c>
      <c r="S252" t="b">
        <v>0</v>
      </c>
      <c r="W252" t="s">
        <v>51</v>
      </c>
    </row>
    <row r="253" spans="1:23" x14ac:dyDescent="0.25">
      <c r="A253" t="s">
        <v>79</v>
      </c>
      <c r="B253">
        <v>2018</v>
      </c>
      <c r="C253">
        <v>4</v>
      </c>
      <c r="D253">
        <v>2</v>
      </c>
      <c r="E253" t="s">
        <v>49</v>
      </c>
      <c r="F253" t="s">
        <v>71</v>
      </c>
      <c r="G253" t="s">
        <v>78</v>
      </c>
      <c r="H253" t="s">
        <v>106</v>
      </c>
      <c r="I253" t="s">
        <v>77</v>
      </c>
      <c r="J253">
        <v>0</v>
      </c>
      <c r="K253">
        <v>1.5</v>
      </c>
      <c r="L253">
        <v>1.5</v>
      </c>
      <c r="M253">
        <v>1</v>
      </c>
      <c r="N253">
        <v>0</v>
      </c>
      <c r="O253">
        <v>0</v>
      </c>
      <c r="P253">
        <v>0</v>
      </c>
      <c r="Q253">
        <v>4</v>
      </c>
      <c r="R253" t="s">
        <v>56</v>
      </c>
      <c r="S253" t="b">
        <v>0</v>
      </c>
      <c r="W253" t="s">
        <v>51</v>
      </c>
    </row>
    <row r="254" spans="1:23" hidden="1" x14ac:dyDescent="0.25">
      <c r="A254" t="s">
        <v>79</v>
      </c>
      <c r="B254">
        <v>2018</v>
      </c>
      <c r="C254">
        <v>5</v>
      </c>
      <c r="D254">
        <v>1</v>
      </c>
      <c r="E254" t="s">
        <v>49</v>
      </c>
      <c r="G254" t="s">
        <v>50</v>
      </c>
      <c r="J254">
        <v>0</v>
      </c>
      <c r="K254">
        <v>0</v>
      </c>
      <c r="L254">
        <v>0.5</v>
      </c>
      <c r="M254">
        <v>2.8</v>
      </c>
      <c r="N254">
        <v>0.2</v>
      </c>
      <c r="O254">
        <v>0</v>
      </c>
      <c r="P254">
        <v>0</v>
      </c>
      <c r="Q254">
        <v>3.4</v>
      </c>
      <c r="S254" t="b">
        <v>0</v>
      </c>
      <c r="W254" t="s">
        <v>51</v>
      </c>
    </row>
    <row r="255" spans="1:23" x14ac:dyDescent="0.25">
      <c r="A255" t="s">
        <v>79</v>
      </c>
      <c r="B255">
        <v>2018</v>
      </c>
      <c r="C255">
        <v>4</v>
      </c>
      <c r="D255">
        <v>1</v>
      </c>
      <c r="E255" t="s">
        <v>49</v>
      </c>
      <c r="F255" t="s">
        <v>52</v>
      </c>
      <c r="G255" t="s">
        <v>78</v>
      </c>
      <c r="H255" t="s">
        <v>106</v>
      </c>
      <c r="I255" t="s">
        <v>87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2</v>
      </c>
      <c r="P255">
        <v>0</v>
      </c>
      <c r="Q255">
        <v>2</v>
      </c>
      <c r="R255" t="s">
        <v>56</v>
      </c>
      <c r="S255" t="b">
        <v>0</v>
      </c>
      <c r="W255" t="s">
        <v>51</v>
      </c>
    </row>
    <row r="256" spans="1:23" hidden="1" x14ac:dyDescent="0.25">
      <c r="A256" t="s">
        <v>79</v>
      </c>
      <c r="B256">
        <v>2018</v>
      </c>
      <c r="C256">
        <v>5</v>
      </c>
      <c r="D256">
        <v>1</v>
      </c>
      <c r="E256" t="s">
        <v>49</v>
      </c>
      <c r="G256" t="s">
        <v>62</v>
      </c>
      <c r="J256">
        <v>0</v>
      </c>
      <c r="K256">
        <v>8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8</v>
      </c>
      <c r="S256" t="b">
        <v>0</v>
      </c>
      <c r="W256" t="s">
        <v>51</v>
      </c>
    </row>
    <row r="257" spans="1:23" x14ac:dyDescent="0.25">
      <c r="A257" t="s">
        <v>79</v>
      </c>
      <c r="B257">
        <v>2018</v>
      </c>
      <c r="C257">
        <v>4</v>
      </c>
      <c r="D257">
        <v>1</v>
      </c>
      <c r="E257" t="s">
        <v>49</v>
      </c>
      <c r="F257" t="s">
        <v>52</v>
      </c>
      <c r="G257" t="s">
        <v>78</v>
      </c>
      <c r="H257" t="s">
        <v>106</v>
      </c>
      <c r="I257" t="s">
        <v>87</v>
      </c>
      <c r="J257">
        <v>0</v>
      </c>
      <c r="K257">
        <v>0</v>
      </c>
      <c r="L257">
        <v>0</v>
      </c>
      <c r="M257">
        <v>2</v>
      </c>
      <c r="N257">
        <v>4</v>
      </c>
      <c r="O257">
        <v>2</v>
      </c>
      <c r="P257">
        <v>0</v>
      </c>
      <c r="Q257">
        <v>8</v>
      </c>
      <c r="R257" t="s">
        <v>56</v>
      </c>
      <c r="S257" t="b">
        <v>0</v>
      </c>
      <c r="W257" t="s">
        <v>51</v>
      </c>
    </row>
    <row r="258" spans="1:23" hidden="1" x14ac:dyDescent="0.25">
      <c r="A258" t="s">
        <v>63</v>
      </c>
      <c r="B258">
        <v>2018</v>
      </c>
      <c r="C258">
        <v>4</v>
      </c>
      <c r="D258">
        <v>5</v>
      </c>
      <c r="E258" t="s">
        <v>49</v>
      </c>
      <c r="G258" t="s">
        <v>86</v>
      </c>
      <c r="J258">
        <v>0</v>
      </c>
      <c r="K258">
        <v>0</v>
      </c>
      <c r="L258">
        <v>0</v>
      </c>
      <c r="M258">
        <v>0</v>
      </c>
      <c r="N258">
        <v>8</v>
      </c>
      <c r="O258">
        <v>0</v>
      </c>
      <c r="P258">
        <v>0</v>
      </c>
      <c r="Q258">
        <v>8</v>
      </c>
      <c r="S258" t="b">
        <v>0</v>
      </c>
      <c r="W258" t="s">
        <v>51</v>
      </c>
    </row>
    <row r="259" spans="1:23" x14ac:dyDescent="0.25">
      <c r="A259" t="s">
        <v>79</v>
      </c>
      <c r="B259">
        <v>2018</v>
      </c>
      <c r="C259">
        <v>3</v>
      </c>
      <c r="D259">
        <v>4</v>
      </c>
      <c r="E259" t="s">
        <v>49</v>
      </c>
      <c r="F259" t="s">
        <v>52</v>
      </c>
      <c r="G259" t="s">
        <v>78</v>
      </c>
      <c r="H259" t="s">
        <v>106</v>
      </c>
      <c r="I259" t="s">
        <v>72</v>
      </c>
      <c r="J259">
        <v>0</v>
      </c>
      <c r="K259">
        <v>4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4</v>
      </c>
      <c r="R259" t="s">
        <v>56</v>
      </c>
      <c r="S259" t="b">
        <v>0</v>
      </c>
      <c r="W259" t="s">
        <v>51</v>
      </c>
    </row>
    <row r="260" spans="1:23" x14ac:dyDescent="0.25">
      <c r="A260" t="s">
        <v>79</v>
      </c>
      <c r="B260">
        <v>2018</v>
      </c>
      <c r="C260">
        <v>3</v>
      </c>
      <c r="D260">
        <v>4</v>
      </c>
      <c r="E260" t="s">
        <v>49</v>
      </c>
      <c r="F260" t="s">
        <v>52</v>
      </c>
      <c r="G260" t="s">
        <v>78</v>
      </c>
      <c r="H260" t="s">
        <v>106</v>
      </c>
      <c r="I260" t="s">
        <v>76</v>
      </c>
      <c r="J260">
        <v>0</v>
      </c>
      <c r="K260">
        <v>0</v>
      </c>
      <c r="L260">
        <v>5</v>
      </c>
      <c r="M260">
        <v>0</v>
      </c>
      <c r="N260">
        <v>3</v>
      </c>
      <c r="O260">
        <v>0</v>
      </c>
      <c r="P260">
        <v>0</v>
      </c>
      <c r="Q260">
        <v>8</v>
      </c>
      <c r="R260" t="s">
        <v>56</v>
      </c>
      <c r="S260" t="b">
        <v>0</v>
      </c>
      <c r="W260" t="s">
        <v>51</v>
      </c>
    </row>
    <row r="261" spans="1:23" x14ac:dyDescent="0.25">
      <c r="A261" t="s">
        <v>79</v>
      </c>
      <c r="B261">
        <v>2018</v>
      </c>
      <c r="C261">
        <v>3</v>
      </c>
      <c r="D261">
        <v>4</v>
      </c>
      <c r="E261" t="s">
        <v>49</v>
      </c>
      <c r="F261" t="s">
        <v>52</v>
      </c>
      <c r="G261" t="s">
        <v>78</v>
      </c>
      <c r="H261" t="s">
        <v>106</v>
      </c>
      <c r="I261" t="s">
        <v>77</v>
      </c>
      <c r="J261">
        <v>0</v>
      </c>
      <c r="K261">
        <v>4</v>
      </c>
      <c r="L261">
        <v>2</v>
      </c>
      <c r="M261">
        <v>0</v>
      </c>
      <c r="N261">
        <v>0</v>
      </c>
      <c r="O261">
        <v>0</v>
      </c>
      <c r="P261">
        <v>0</v>
      </c>
      <c r="Q261">
        <v>6</v>
      </c>
      <c r="R261" t="s">
        <v>56</v>
      </c>
      <c r="S261" t="b">
        <v>0</v>
      </c>
      <c r="W261" t="s">
        <v>51</v>
      </c>
    </row>
    <row r="262" spans="1:23" x14ac:dyDescent="0.25">
      <c r="A262" t="s">
        <v>74</v>
      </c>
      <c r="B262">
        <v>2018</v>
      </c>
      <c r="C262">
        <v>3</v>
      </c>
      <c r="D262">
        <v>3</v>
      </c>
      <c r="E262" t="s">
        <v>49</v>
      </c>
      <c r="F262" t="s">
        <v>64</v>
      </c>
      <c r="G262" t="s">
        <v>78</v>
      </c>
      <c r="H262" t="s">
        <v>106</v>
      </c>
      <c r="I262" t="s">
        <v>134</v>
      </c>
      <c r="J262">
        <v>0</v>
      </c>
      <c r="K262">
        <v>1</v>
      </c>
      <c r="L262">
        <v>0.5</v>
      </c>
      <c r="M262">
        <v>0</v>
      </c>
      <c r="N262">
        <v>0</v>
      </c>
      <c r="O262">
        <v>0</v>
      </c>
      <c r="P262">
        <v>0</v>
      </c>
      <c r="Q262">
        <v>1.5</v>
      </c>
      <c r="R262" t="s">
        <v>56</v>
      </c>
      <c r="S262" t="b">
        <v>0</v>
      </c>
      <c r="W262" t="s">
        <v>51</v>
      </c>
    </row>
    <row r="263" spans="1:23" hidden="1" x14ac:dyDescent="0.25">
      <c r="A263" t="s">
        <v>102</v>
      </c>
      <c r="B263">
        <v>2018</v>
      </c>
      <c r="C263">
        <v>4</v>
      </c>
      <c r="D263">
        <v>5</v>
      </c>
      <c r="E263" t="s">
        <v>49</v>
      </c>
      <c r="F263" t="s">
        <v>52</v>
      </c>
      <c r="G263" t="s">
        <v>53</v>
      </c>
      <c r="H263" t="s">
        <v>57</v>
      </c>
      <c r="I263" t="s">
        <v>114</v>
      </c>
      <c r="J263">
        <v>0</v>
      </c>
      <c r="K263">
        <v>1</v>
      </c>
      <c r="L263">
        <v>0</v>
      </c>
      <c r="M263">
        <v>2</v>
      </c>
      <c r="N263">
        <v>4</v>
      </c>
      <c r="O263">
        <v>2</v>
      </c>
      <c r="P263">
        <v>0</v>
      </c>
      <c r="Q263">
        <v>9</v>
      </c>
      <c r="R263" t="s">
        <v>56</v>
      </c>
      <c r="S263" t="b">
        <v>0</v>
      </c>
      <c r="W263" t="s">
        <v>51</v>
      </c>
    </row>
    <row r="264" spans="1:23" x14ac:dyDescent="0.25">
      <c r="A264" t="s">
        <v>79</v>
      </c>
      <c r="B264">
        <v>2018</v>
      </c>
      <c r="C264">
        <v>3</v>
      </c>
      <c r="D264">
        <v>2</v>
      </c>
      <c r="E264" t="s">
        <v>49</v>
      </c>
      <c r="F264" t="s">
        <v>64</v>
      </c>
      <c r="G264" t="s">
        <v>78</v>
      </c>
      <c r="H264" t="s">
        <v>106</v>
      </c>
      <c r="I264" t="s">
        <v>114</v>
      </c>
      <c r="J264">
        <v>0</v>
      </c>
      <c r="K264">
        <v>8</v>
      </c>
      <c r="L264">
        <v>8</v>
      </c>
      <c r="M264">
        <v>8</v>
      </c>
      <c r="N264">
        <v>7</v>
      </c>
      <c r="O264">
        <v>4</v>
      </c>
      <c r="P264">
        <v>0</v>
      </c>
      <c r="Q264">
        <v>35</v>
      </c>
      <c r="R264" t="s">
        <v>56</v>
      </c>
      <c r="S264" t="b">
        <v>0</v>
      </c>
      <c r="W264" t="s">
        <v>51</v>
      </c>
    </row>
    <row r="265" spans="1:23" x14ac:dyDescent="0.25">
      <c r="A265" t="s">
        <v>79</v>
      </c>
      <c r="B265">
        <v>2018</v>
      </c>
      <c r="C265">
        <v>3</v>
      </c>
      <c r="D265">
        <v>1</v>
      </c>
      <c r="E265" t="s">
        <v>49</v>
      </c>
      <c r="F265" t="s">
        <v>64</v>
      </c>
      <c r="G265" t="s">
        <v>78</v>
      </c>
      <c r="H265" t="s">
        <v>106</v>
      </c>
      <c r="I265" t="s">
        <v>114</v>
      </c>
      <c r="J265">
        <v>0</v>
      </c>
      <c r="K265">
        <v>5</v>
      </c>
      <c r="L265">
        <v>5</v>
      </c>
      <c r="M265">
        <v>3</v>
      </c>
      <c r="N265">
        <v>6</v>
      </c>
      <c r="O265">
        <v>8</v>
      </c>
      <c r="P265">
        <v>0</v>
      </c>
      <c r="Q265">
        <v>27</v>
      </c>
      <c r="R265" t="s">
        <v>56</v>
      </c>
      <c r="S265" t="b">
        <v>0</v>
      </c>
      <c r="W265" t="s">
        <v>51</v>
      </c>
    </row>
    <row r="266" spans="1:23" hidden="1" x14ac:dyDescent="0.25">
      <c r="A266" t="s">
        <v>102</v>
      </c>
      <c r="B266">
        <v>2018</v>
      </c>
      <c r="C266">
        <v>4</v>
      </c>
      <c r="D266">
        <v>5</v>
      </c>
      <c r="E266" t="s">
        <v>49</v>
      </c>
      <c r="G266" t="s">
        <v>120</v>
      </c>
      <c r="J266">
        <v>0</v>
      </c>
      <c r="K266">
        <v>0</v>
      </c>
      <c r="L266">
        <v>8</v>
      </c>
      <c r="M266">
        <v>0</v>
      </c>
      <c r="N266">
        <v>0</v>
      </c>
      <c r="O266">
        <v>0</v>
      </c>
      <c r="P266">
        <v>0</v>
      </c>
      <c r="Q266">
        <v>8</v>
      </c>
      <c r="S266" t="b">
        <v>0</v>
      </c>
      <c r="W266" t="s">
        <v>51</v>
      </c>
    </row>
    <row r="267" spans="1:23" hidden="1" x14ac:dyDescent="0.25">
      <c r="A267" t="s">
        <v>74</v>
      </c>
      <c r="B267">
        <v>2018</v>
      </c>
      <c r="C267">
        <v>4</v>
      </c>
      <c r="D267">
        <v>5</v>
      </c>
      <c r="E267" t="s">
        <v>49</v>
      </c>
      <c r="G267" t="s">
        <v>121</v>
      </c>
      <c r="J267">
        <v>0</v>
      </c>
      <c r="K267">
        <v>0</v>
      </c>
      <c r="L267">
        <v>8</v>
      </c>
      <c r="M267">
        <v>0</v>
      </c>
      <c r="N267">
        <v>0</v>
      </c>
      <c r="O267">
        <v>0</v>
      </c>
      <c r="P267">
        <v>0</v>
      </c>
      <c r="Q267">
        <v>8</v>
      </c>
      <c r="S267" t="b">
        <v>0</v>
      </c>
      <c r="W267" t="s">
        <v>51</v>
      </c>
    </row>
    <row r="268" spans="1:23" hidden="1" x14ac:dyDescent="0.25">
      <c r="A268" t="s">
        <v>74</v>
      </c>
      <c r="B268">
        <v>2018</v>
      </c>
      <c r="C268">
        <v>4</v>
      </c>
      <c r="D268">
        <v>5</v>
      </c>
      <c r="E268" t="s">
        <v>49</v>
      </c>
      <c r="G268" t="s">
        <v>62</v>
      </c>
      <c r="J268">
        <v>0</v>
      </c>
      <c r="K268">
        <v>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8</v>
      </c>
      <c r="S268" t="b">
        <v>0</v>
      </c>
      <c r="W268" t="s">
        <v>51</v>
      </c>
    </row>
    <row r="269" spans="1:23" hidden="1" x14ac:dyDescent="0.25">
      <c r="A269" t="s">
        <v>74</v>
      </c>
      <c r="B269">
        <v>2018</v>
      </c>
      <c r="C269">
        <v>4</v>
      </c>
      <c r="D269">
        <v>5</v>
      </c>
      <c r="E269" t="s">
        <v>49</v>
      </c>
      <c r="G269" t="s">
        <v>50</v>
      </c>
      <c r="J269">
        <v>0</v>
      </c>
      <c r="K269">
        <v>0</v>
      </c>
      <c r="L269">
        <v>0</v>
      </c>
      <c r="M269">
        <v>7</v>
      </c>
      <c r="N269">
        <v>1</v>
      </c>
      <c r="O269">
        <v>0</v>
      </c>
      <c r="P269">
        <v>0</v>
      </c>
      <c r="Q269">
        <v>8</v>
      </c>
      <c r="S269" t="b">
        <v>0</v>
      </c>
      <c r="W269" t="s">
        <v>51</v>
      </c>
    </row>
    <row r="270" spans="1:23" hidden="1" x14ac:dyDescent="0.25">
      <c r="A270" t="s">
        <v>74</v>
      </c>
      <c r="B270">
        <v>2018</v>
      </c>
      <c r="C270">
        <v>4</v>
      </c>
      <c r="D270">
        <v>5</v>
      </c>
      <c r="E270" t="s">
        <v>49</v>
      </c>
      <c r="F270" t="s">
        <v>67</v>
      </c>
      <c r="G270" t="s">
        <v>53</v>
      </c>
      <c r="H270" t="s">
        <v>122</v>
      </c>
      <c r="I270" t="s">
        <v>87</v>
      </c>
      <c r="J270">
        <v>0</v>
      </c>
      <c r="K270">
        <v>0</v>
      </c>
      <c r="L270">
        <v>0</v>
      </c>
      <c r="M270">
        <v>0</v>
      </c>
      <c r="N270">
        <v>3</v>
      </c>
      <c r="O270">
        <v>0</v>
      </c>
      <c r="P270">
        <v>0</v>
      </c>
      <c r="Q270">
        <v>3</v>
      </c>
      <c r="R270" t="s">
        <v>56</v>
      </c>
      <c r="S270" t="b">
        <v>0</v>
      </c>
      <c r="W270" t="s">
        <v>51</v>
      </c>
    </row>
    <row r="271" spans="1:23" x14ac:dyDescent="0.25">
      <c r="A271" t="s">
        <v>79</v>
      </c>
      <c r="B271">
        <v>2018</v>
      </c>
      <c r="C271">
        <v>2</v>
      </c>
      <c r="D271">
        <v>4</v>
      </c>
      <c r="E271" t="s">
        <v>49</v>
      </c>
      <c r="F271" t="s">
        <v>64</v>
      </c>
      <c r="G271" t="s">
        <v>78</v>
      </c>
      <c r="H271" t="s">
        <v>106</v>
      </c>
      <c r="I271" t="s">
        <v>114</v>
      </c>
      <c r="J271">
        <v>0</v>
      </c>
      <c r="K271">
        <v>0</v>
      </c>
      <c r="L271">
        <v>0</v>
      </c>
      <c r="M271">
        <v>5</v>
      </c>
      <c r="N271">
        <v>0</v>
      </c>
      <c r="O271">
        <v>7</v>
      </c>
      <c r="P271">
        <v>0</v>
      </c>
      <c r="Q271">
        <v>12</v>
      </c>
      <c r="R271" t="s">
        <v>56</v>
      </c>
      <c r="S271" t="b">
        <v>0</v>
      </c>
      <c r="W271" t="s">
        <v>51</v>
      </c>
    </row>
    <row r="272" spans="1:23" x14ac:dyDescent="0.25">
      <c r="A272" t="s">
        <v>79</v>
      </c>
      <c r="B272">
        <v>2018</v>
      </c>
      <c r="C272">
        <v>2</v>
      </c>
      <c r="D272">
        <v>3</v>
      </c>
      <c r="E272" t="s">
        <v>49</v>
      </c>
      <c r="F272" t="s">
        <v>64</v>
      </c>
      <c r="G272" t="s">
        <v>78</v>
      </c>
      <c r="H272" t="s">
        <v>106</v>
      </c>
      <c r="I272" t="s">
        <v>114</v>
      </c>
      <c r="J272">
        <v>0</v>
      </c>
      <c r="K272">
        <v>0</v>
      </c>
      <c r="L272">
        <v>1</v>
      </c>
      <c r="M272">
        <v>2</v>
      </c>
      <c r="N272">
        <v>0</v>
      </c>
      <c r="O272">
        <v>4</v>
      </c>
      <c r="P272">
        <v>0</v>
      </c>
      <c r="Q272">
        <v>7</v>
      </c>
      <c r="R272" t="s">
        <v>56</v>
      </c>
      <c r="S272" t="b">
        <v>0</v>
      </c>
      <c r="W272" t="s">
        <v>51</v>
      </c>
    </row>
    <row r="273" spans="1:23" x14ac:dyDescent="0.25">
      <c r="A273" t="s">
        <v>74</v>
      </c>
      <c r="B273">
        <v>2018</v>
      </c>
      <c r="C273">
        <v>2</v>
      </c>
      <c r="D273">
        <v>2</v>
      </c>
      <c r="E273" t="s">
        <v>49</v>
      </c>
      <c r="F273" t="s">
        <v>82</v>
      </c>
      <c r="G273" t="s">
        <v>78</v>
      </c>
      <c r="H273" t="s">
        <v>106</v>
      </c>
      <c r="I273" t="s">
        <v>98</v>
      </c>
      <c r="J273">
        <v>0</v>
      </c>
      <c r="K273">
        <v>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8</v>
      </c>
      <c r="R273" t="s">
        <v>56</v>
      </c>
      <c r="S273" t="b">
        <v>0</v>
      </c>
      <c r="W273" t="s">
        <v>51</v>
      </c>
    </row>
    <row r="274" spans="1:23" hidden="1" x14ac:dyDescent="0.25">
      <c r="A274" t="s">
        <v>48</v>
      </c>
      <c r="B274">
        <v>2018</v>
      </c>
      <c r="C274">
        <v>4</v>
      </c>
      <c r="D274">
        <v>5</v>
      </c>
      <c r="E274" t="s">
        <v>49</v>
      </c>
      <c r="G274" t="s">
        <v>86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4</v>
      </c>
      <c r="P274">
        <v>0</v>
      </c>
      <c r="Q274">
        <v>4</v>
      </c>
      <c r="S274" t="b">
        <v>0</v>
      </c>
      <c r="W274" t="s">
        <v>51</v>
      </c>
    </row>
    <row r="275" spans="1:23" hidden="1" x14ac:dyDescent="0.25">
      <c r="A275" t="s">
        <v>48</v>
      </c>
      <c r="B275">
        <v>2018</v>
      </c>
      <c r="C275">
        <v>4</v>
      </c>
      <c r="D275">
        <v>5</v>
      </c>
      <c r="E275" t="s">
        <v>49</v>
      </c>
      <c r="G275" t="s">
        <v>50</v>
      </c>
      <c r="J275">
        <v>0</v>
      </c>
      <c r="K275">
        <v>0</v>
      </c>
      <c r="L275">
        <v>0</v>
      </c>
      <c r="M275">
        <v>1</v>
      </c>
      <c r="N275">
        <v>1</v>
      </c>
      <c r="O275">
        <v>0</v>
      </c>
      <c r="P275">
        <v>0</v>
      </c>
      <c r="Q275">
        <v>2</v>
      </c>
      <c r="S275" t="b">
        <v>0</v>
      </c>
      <c r="W275" t="s">
        <v>51</v>
      </c>
    </row>
    <row r="276" spans="1:23" hidden="1" x14ac:dyDescent="0.25">
      <c r="A276" t="s">
        <v>48</v>
      </c>
      <c r="B276">
        <v>2018</v>
      </c>
      <c r="C276">
        <v>4</v>
      </c>
      <c r="D276">
        <v>5</v>
      </c>
      <c r="E276" t="s">
        <v>49</v>
      </c>
      <c r="F276" t="s">
        <v>52</v>
      </c>
      <c r="G276" t="s">
        <v>124</v>
      </c>
      <c r="H276" t="s">
        <v>125</v>
      </c>
      <c r="I276" t="s">
        <v>105</v>
      </c>
      <c r="J276">
        <v>0</v>
      </c>
      <c r="K276">
        <v>2</v>
      </c>
      <c r="L276">
        <v>0</v>
      </c>
      <c r="M276">
        <v>2</v>
      </c>
      <c r="N276">
        <v>0</v>
      </c>
      <c r="O276">
        <v>0</v>
      </c>
      <c r="P276">
        <v>0</v>
      </c>
      <c r="Q276">
        <v>4</v>
      </c>
      <c r="R276" t="s">
        <v>126</v>
      </c>
      <c r="S276" t="b">
        <v>0</v>
      </c>
      <c r="W276" t="s">
        <v>51</v>
      </c>
    </row>
    <row r="277" spans="1:23" hidden="1" x14ac:dyDescent="0.25">
      <c r="A277" t="s">
        <v>48</v>
      </c>
      <c r="B277">
        <v>2018</v>
      </c>
      <c r="C277">
        <v>4</v>
      </c>
      <c r="D277">
        <v>5</v>
      </c>
      <c r="E277" t="s">
        <v>49</v>
      </c>
      <c r="G277" t="s">
        <v>121</v>
      </c>
      <c r="J277">
        <v>0</v>
      </c>
      <c r="K277">
        <v>0</v>
      </c>
      <c r="L277">
        <v>8</v>
      </c>
      <c r="M277">
        <v>0</v>
      </c>
      <c r="N277">
        <v>0</v>
      </c>
      <c r="O277">
        <v>0</v>
      </c>
      <c r="P277">
        <v>0</v>
      </c>
      <c r="Q277">
        <v>8</v>
      </c>
      <c r="S277" t="b">
        <v>0</v>
      </c>
      <c r="W277" t="s">
        <v>51</v>
      </c>
    </row>
    <row r="278" spans="1:23" hidden="1" x14ac:dyDescent="0.25">
      <c r="A278" t="s">
        <v>48</v>
      </c>
      <c r="B278">
        <v>2018</v>
      </c>
      <c r="C278">
        <v>4</v>
      </c>
      <c r="D278">
        <v>5</v>
      </c>
      <c r="E278" t="s">
        <v>49</v>
      </c>
      <c r="G278" t="s">
        <v>100</v>
      </c>
      <c r="J278">
        <v>0</v>
      </c>
      <c r="K278">
        <v>0</v>
      </c>
      <c r="L278">
        <v>0</v>
      </c>
      <c r="M278">
        <v>2</v>
      </c>
      <c r="N278">
        <v>2</v>
      </c>
      <c r="O278">
        <v>0</v>
      </c>
      <c r="P278">
        <v>0</v>
      </c>
      <c r="Q278">
        <v>4</v>
      </c>
      <c r="S278" t="b">
        <v>0</v>
      </c>
      <c r="W278" t="s">
        <v>51</v>
      </c>
    </row>
    <row r="279" spans="1:23" x14ac:dyDescent="0.25">
      <c r="A279" t="s">
        <v>63</v>
      </c>
      <c r="B279">
        <v>2018</v>
      </c>
      <c r="C279">
        <v>5</v>
      </c>
      <c r="D279">
        <v>3</v>
      </c>
      <c r="E279" t="s">
        <v>49</v>
      </c>
      <c r="F279" t="s">
        <v>67</v>
      </c>
      <c r="G279" t="s">
        <v>78</v>
      </c>
      <c r="H279" t="s">
        <v>107</v>
      </c>
      <c r="I279" t="s">
        <v>108</v>
      </c>
      <c r="J279">
        <v>0</v>
      </c>
      <c r="K279">
        <v>7.5</v>
      </c>
      <c r="L279">
        <v>2.5</v>
      </c>
      <c r="M279">
        <v>0</v>
      </c>
      <c r="N279">
        <v>0</v>
      </c>
      <c r="O279">
        <v>0</v>
      </c>
      <c r="P279">
        <v>0</v>
      </c>
      <c r="Q279">
        <v>10</v>
      </c>
      <c r="R279" t="s">
        <v>56</v>
      </c>
      <c r="S279" t="b">
        <v>0</v>
      </c>
      <c r="W279" t="s">
        <v>51</v>
      </c>
    </row>
    <row r="280" spans="1:23" hidden="1" x14ac:dyDescent="0.25">
      <c r="A280" t="s">
        <v>60</v>
      </c>
      <c r="B280">
        <v>2018</v>
      </c>
      <c r="C280">
        <v>4</v>
      </c>
      <c r="D280">
        <v>5</v>
      </c>
      <c r="E280" t="s">
        <v>49</v>
      </c>
      <c r="F280" t="s">
        <v>64</v>
      </c>
      <c r="G280" t="s">
        <v>103</v>
      </c>
      <c r="H280" t="s">
        <v>57</v>
      </c>
      <c r="I280" t="s">
        <v>127</v>
      </c>
      <c r="J280">
        <v>0</v>
      </c>
      <c r="K280">
        <v>7</v>
      </c>
      <c r="L280">
        <v>0</v>
      </c>
      <c r="M280">
        <v>2</v>
      </c>
      <c r="N280">
        <v>8</v>
      </c>
      <c r="O280">
        <v>8</v>
      </c>
      <c r="P280">
        <v>0</v>
      </c>
      <c r="Q280">
        <v>25</v>
      </c>
      <c r="R280" t="s">
        <v>56</v>
      </c>
      <c r="S280" t="b">
        <v>0</v>
      </c>
      <c r="W280" t="s">
        <v>51</v>
      </c>
    </row>
    <row r="281" spans="1:23" hidden="1" x14ac:dyDescent="0.25">
      <c r="A281" t="s">
        <v>79</v>
      </c>
      <c r="B281">
        <v>2018</v>
      </c>
      <c r="C281">
        <v>4</v>
      </c>
      <c r="D281">
        <v>5</v>
      </c>
      <c r="E281" t="s">
        <v>49</v>
      </c>
      <c r="G281" t="s">
        <v>121</v>
      </c>
      <c r="J281">
        <v>0</v>
      </c>
      <c r="K281">
        <v>0</v>
      </c>
      <c r="L281">
        <v>8</v>
      </c>
      <c r="M281">
        <v>0</v>
      </c>
      <c r="N281">
        <v>0</v>
      </c>
      <c r="O281">
        <v>0</v>
      </c>
      <c r="P281">
        <v>0</v>
      </c>
      <c r="Q281">
        <v>8</v>
      </c>
      <c r="S281" t="b">
        <v>0</v>
      </c>
      <c r="W281" t="s">
        <v>51</v>
      </c>
    </row>
    <row r="282" spans="1:23" hidden="1" x14ac:dyDescent="0.25">
      <c r="A282" t="s">
        <v>79</v>
      </c>
      <c r="B282">
        <v>2018</v>
      </c>
      <c r="C282">
        <v>4</v>
      </c>
      <c r="D282">
        <v>5</v>
      </c>
      <c r="E282" t="s">
        <v>49</v>
      </c>
      <c r="G282" t="s">
        <v>66</v>
      </c>
      <c r="J282">
        <v>0</v>
      </c>
      <c r="K282">
        <v>8</v>
      </c>
      <c r="L282">
        <v>0</v>
      </c>
      <c r="M282">
        <v>4</v>
      </c>
      <c r="N282">
        <v>4</v>
      </c>
      <c r="O282">
        <v>0</v>
      </c>
      <c r="P282">
        <v>0</v>
      </c>
      <c r="Q282">
        <v>16</v>
      </c>
      <c r="S282" t="b">
        <v>0</v>
      </c>
      <c r="W282" t="s">
        <v>51</v>
      </c>
    </row>
    <row r="283" spans="1:23" hidden="1" x14ac:dyDescent="0.25">
      <c r="A283" t="s">
        <v>79</v>
      </c>
      <c r="B283">
        <v>2018</v>
      </c>
      <c r="C283">
        <v>4</v>
      </c>
      <c r="D283">
        <v>5</v>
      </c>
      <c r="E283" t="s">
        <v>49</v>
      </c>
      <c r="G283" t="s">
        <v>50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0</v>
      </c>
      <c r="Q283">
        <v>2</v>
      </c>
      <c r="S283" t="b">
        <v>0</v>
      </c>
      <c r="W283" t="s">
        <v>51</v>
      </c>
    </row>
    <row r="284" spans="1:23" hidden="1" x14ac:dyDescent="0.25">
      <c r="A284" t="s">
        <v>79</v>
      </c>
      <c r="B284">
        <v>2018</v>
      </c>
      <c r="C284">
        <v>4</v>
      </c>
      <c r="D284">
        <v>5</v>
      </c>
      <c r="E284" t="s">
        <v>49</v>
      </c>
      <c r="F284" t="s">
        <v>67</v>
      </c>
      <c r="G284" t="s">
        <v>53</v>
      </c>
      <c r="H284" t="s">
        <v>57</v>
      </c>
      <c r="I284" t="s">
        <v>87</v>
      </c>
      <c r="J284">
        <v>0</v>
      </c>
      <c r="K284">
        <v>0</v>
      </c>
      <c r="L284">
        <v>0</v>
      </c>
      <c r="M284">
        <v>0</v>
      </c>
      <c r="N284">
        <v>3</v>
      </c>
      <c r="O284">
        <v>0</v>
      </c>
      <c r="P284">
        <v>0</v>
      </c>
      <c r="Q284">
        <v>3</v>
      </c>
      <c r="R284" t="s">
        <v>56</v>
      </c>
      <c r="S284" t="b">
        <v>0</v>
      </c>
      <c r="W284" t="s">
        <v>51</v>
      </c>
    </row>
    <row r="285" spans="1:23" x14ac:dyDescent="0.25">
      <c r="A285" t="s">
        <v>102</v>
      </c>
      <c r="B285">
        <v>2018</v>
      </c>
      <c r="C285">
        <v>5</v>
      </c>
      <c r="D285">
        <v>2</v>
      </c>
      <c r="E285" t="s">
        <v>49</v>
      </c>
      <c r="F285" t="s">
        <v>64</v>
      </c>
      <c r="G285" t="s">
        <v>78</v>
      </c>
      <c r="H285" t="s">
        <v>107</v>
      </c>
      <c r="I285" t="s">
        <v>108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1</v>
      </c>
      <c r="R285" t="s">
        <v>56</v>
      </c>
      <c r="S285" t="b">
        <v>0</v>
      </c>
      <c r="W285" t="s">
        <v>51</v>
      </c>
    </row>
    <row r="286" spans="1:23" hidden="1" x14ac:dyDescent="0.25">
      <c r="A286" t="s">
        <v>79</v>
      </c>
      <c r="B286">
        <v>2018</v>
      </c>
      <c r="C286">
        <v>4</v>
      </c>
      <c r="D286">
        <v>5</v>
      </c>
      <c r="E286" t="s">
        <v>49</v>
      </c>
      <c r="G286" t="s">
        <v>62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8</v>
      </c>
      <c r="P286">
        <v>0</v>
      </c>
      <c r="Q286">
        <v>8</v>
      </c>
      <c r="S286" t="b">
        <v>0</v>
      </c>
      <c r="W286" t="s">
        <v>51</v>
      </c>
    </row>
    <row r="287" spans="1:23" hidden="1" x14ac:dyDescent="0.25">
      <c r="A287" t="s">
        <v>69</v>
      </c>
      <c r="B287">
        <v>2018</v>
      </c>
      <c r="C287">
        <v>4</v>
      </c>
      <c r="D287">
        <v>4</v>
      </c>
      <c r="E287" t="s">
        <v>49</v>
      </c>
      <c r="F287" t="s">
        <v>64</v>
      </c>
      <c r="G287" t="s">
        <v>53</v>
      </c>
      <c r="H287" t="s">
        <v>57</v>
      </c>
      <c r="I287" t="s">
        <v>68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1</v>
      </c>
      <c r="R287" t="s">
        <v>56</v>
      </c>
      <c r="S287" t="b">
        <v>0</v>
      </c>
      <c r="W287" t="s">
        <v>51</v>
      </c>
    </row>
    <row r="288" spans="1:23" x14ac:dyDescent="0.25">
      <c r="A288" t="s">
        <v>102</v>
      </c>
      <c r="B288">
        <v>2018</v>
      </c>
      <c r="C288">
        <v>5</v>
      </c>
      <c r="D288">
        <v>1</v>
      </c>
      <c r="E288" t="s">
        <v>49</v>
      </c>
      <c r="F288" t="s">
        <v>64</v>
      </c>
      <c r="G288" t="s">
        <v>78</v>
      </c>
      <c r="H288" t="s">
        <v>107</v>
      </c>
      <c r="I288" t="s">
        <v>108</v>
      </c>
      <c r="J288">
        <v>0</v>
      </c>
      <c r="K288">
        <v>0</v>
      </c>
      <c r="L288">
        <v>2</v>
      </c>
      <c r="M288">
        <v>0</v>
      </c>
      <c r="N288">
        <v>0</v>
      </c>
      <c r="O288">
        <v>0</v>
      </c>
      <c r="P288">
        <v>0</v>
      </c>
      <c r="Q288">
        <v>2</v>
      </c>
      <c r="R288" t="s">
        <v>56</v>
      </c>
      <c r="S288" t="b">
        <v>0</v>
      </c>
      <c r="W288" t="s">
        <v>51</v>
      </c>
    </row>
    <row r="289" spans="1:23" hidden="1" x14ac:dyDescent="0.25">
      <c r="A289" t="s">
        <v>102</v>
      </c>
      <c r="B289">
        <v>2018</v>
      </c>
      <c r="C289">
        <v>4</v>
      </c>
      <c r="D289">
        <v>4</v>
      </c>
      <c r="E289" t="s">
        <v>49</v>
      </c>
      <c r="G289" t="s">
        <v>62</v>
      </c>
      <c r="J289">
        <v>0</v>
      </c>
      <c r="K289">
        <v>8</v>
      </c>
      <c r="L289">
        <v>0</v>
      </c>
      <c r="M289">
        <v>8</v>
      </c>
      <c r="N289">
        <v>8</v>
      </c>
      <c r="O289">
        <v>0</v>
      </c>
      <c r="P289">
        <v>0</v>
      </c>
      <c r="Q289">
        <v>24</v>
      </c>
      <c r="S289" t="b">
        <v>0</v>
      </c>
      <c r="W289" t="s">
        <v>51</v>
      </c>
    </row>
    <row r="290" spans="1:23" x14ac:dyDescent="0.25">
      <c r="A290" t="s">
        <v>63</v>
      </c>
      <c r="B290">
        <v>2018</v>
      </c>
      <c r="C290">
        <v>4</v>
      </c>
      <c r="D290">
        <v>5</v>
      </c>
      <c r="E290" t="s">
        <v>49</v>
      </c>
      <c r="F290" t="s">
        <v>71</v>
      </c>
      <c r="G290" t="s">
        <v>78</v>
      </c>
      <c r="H290" t="s">
        <v>107</v>
      </c>
      <c r="I290" t="s">
        <v>77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1</v>
      </c>
      <c r="R290" t="s">
        <v>56</v>
      </c>
      <c r="S290" t="b">
        <v>0</v>
      </c>
      <c r="W290" t="s">
        <v>51</v>
      </c>
    </row>
    <row r="291" spans="1:23" hidden="1" x14ac:dyDescent="0.25">
      <c r="A291" t="s">
        <v>102</v>
      </c>
      <c r="B291">
        <v>2018</v>
      </c>
      <c r="C291">
        <v>4</v>
      </c>
      <c r="D291">
        <v>4</v>
      </c>
      <c r="E291" t="s">
        <v>49</v>
      </c>
      <c r="F291" t="s">
        <v>52</v>
      </c>
      <c r="G291" t="s">
        <v>53</v>
      </c>
      <c r="H291" t="s">
        <v>57</v>
      </c>
      <c r="I291" t="s">
        <v>114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1</v>
      </c>
      <c r="R291" t="s">
        <v>56</v>
      </c>
      <c r="S291" t="b">
        <v>0</v>
      </c>
      <c r="W291" t="s">
        <v>51</v>
      </c>
    </row>
    <row r="292" spans="1:23" hidden="1" x14ac:dyDescent="0.25">
      <c r="A292" t="s">
        <v>102</v>
      </c>
      <c r="B292">
        <v>2018</v>
      </c>
      <c r="C292">
        <v>4</v>
      </c>
      <c r="D292">
        <v>4</v>
      </c>
      <c r="E292" t="s">
        <v>49</v>
      </c>
      <c r="F292" t="s">
        <v>71</v>
      </c>
      <c r="G292" t="s">
        <v>103</v>
      </c>
      <c r="H292" t="s">
        <v>57</v>
      </c>
      <c r="I292" t="s">
        <v>85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0</v>
      </c>
      <c r="P292">
        <v>0</v>
      </c>
      <c r="Q292">
        <v>1</v>
      </c>
      <c r="R292" t="s">
        <v>56</v>
      </c>
      <c r="S292" t="b">
        <v>0</v>
      </c>
      <c r="W292" t="s">
        <v>51</v>
      </c>
    </row>
    <row r="293" spans="1:23" hidden="1" x14ac:dyDescent="0.25">
      <c r="A293" t="s">
        <v>102</v>
      </c>
      <c r="B293">
        <v>2018</v>
      </c>
      <c r="C293">
        <v>4</v>
      </c>
      <c r="D293">
        <v>4</v>
      </c>
      <c r="E293" t="s">
        <v>49</v>
      </c>
      <c r="F293" t="s">
        <v>67</v>
      </c>
      <c r="G293" t="s">
        <v>103</v>
      </c>
      <c r="H293" t="s">
        <v>104</v>
      </c>
      <c r="I293" t="s">
        <v>108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2</v>
      </c>
      <c r="P293">
        <v>0</v>
      </c>
      <c r="Q293">
        <v>2</v>
      </c>
      <c r="R293" t="s">
        <v>56</v>
      </c>
      <c r="S293" t="b">
        <v>0</v>
      </c>
      <c r="W293" t="s">
        <v>51</v>
      </c>
    </row>
    <row r="294" spans="1:23" hidden="1" x14ac:dyDescent="0.25">
      <c r="A294" t="s">
        <v>74</v>
      </c>
      <c r="B294">
        <v>2018</v>
      </c>
      <c r="C294">
        <v>4</v>
      </c>
      <c r="D294">
        <v>4</v>
      </c>
      <c r="E294" t="s">
        <v>49</v>
      </c>
      <c r="G294" t="s">
        <v>50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1.5</v>
      </c>
      <c r="P294">
        <v>0</v>
      </c>
      <c r="Q294">
        <v>1.5</v>
      </c>
      <c r="S294" t="b">
        <v>0</v>
      </c>
      <c r="W294" t="s">
        <v>51</v>
      </c>
    </row>
    <row r="295" spans="1:23" hidden="1" x14ac:dyDescent="0.25">
      <c r="A295" t="s">
        <v>74</v>
      </c>
      <c r="B295">
        <v>2018</v>
      </c>
      <c r="C295">
        <v>4</v>
      </c>
      <c r="D295">
        <v>4</v>
      </c>
      <c r="E295" t="s">
        <v>49</v>
      </c>
      <c r="F295" t="s">
        <v>52</v>
      </c>
      <c r="G295" t="s">
        <v>128</v>
      </c>
      <c r="H295" t="s">
        <v>91</v>
      </c>
      <c r="I295" t="s">
        <v>76</v>
      </c>
      <c r="J295">
        <v>0</v>
      </c>
      <c r="K295">
        <v>0</v>
      </c>
      <c r="L295">
        <v>4</v>
      </c>
      <c r="M295">
        <v>8</v>
      </c>
      <c r="N295">
        <v>5</v>
      </c>
      <c r="O295">
        <v>3</v>
      </c>
      <c r="P295">
        <v>0</v>
      </c>
      <c r="Q295">
        <v>20</v>
      </c>
      <c r="R295" t="s">
        <v>56</v>
      </c>
      <c r="S295" t="b">
        <v>0</v>
      </c>
      <c r="W295" t="s">
        <v>51</v>
      </c>
    </row>
    <row r="296" spans="1:23" hidden="1" x14ac:dyDescent="0.25">
      <c r="A296" t="s">
        <v>74</v>
      </c>
      <c r="B296">
        <v>2018</v>
      </c>
      <c r="C296">
        <v>4</v>
      </c>
      <c r="D296">
        <v>4</v>
      </c>
      <c r="E296" t="s">
        <v>49</v>
      </c>
      <c r="F296" t="s">
        <v>52</v>
      </c>
      <c r="G296" t="s">
        <v>128</v>
      </c>
      <c r="H296" t="s">
        <v>91</v>
      </c>
      <c r="I296" t="s">
        <v>77</v>
      </c>
      <c r="J296">
        <v>0</v>
      </c>
      <c r="K296">
        <v>2</v>
      </c>
      <c r="L296">
        <v>6</v>
      </c>
      <c r="M296">
        <v>0</v>
      </c>
      <c r="N296">
        <v>0</v>
      </c>
      <c r="O296">
        <v>3</v>
      </c>
      <c r="P296">
        <v>0</v>
      </c>
      <c r="Q296">
        <v>11</v>
      </c>
      <c r="R296" t="s">
        <v>56</v>
      </c>
      <c r="S296" t="b">
        <v>0</v>
      </c>
      <c r="W296" t="s">
        <v>51</v>
      </c>
    </row>
    <row r="297" spans="1:23" hidden="1" x14ac:dyDescent="0.25">
      <c r="A297" t="s">
        <v>74</v>
      </c>
      <c r="B297">
        <v>2018</v>
      </c>
      <c r="C297">
        <v>4</v>
      </c>
      <c r="D297">
        <v>4</v>
      </c>
      <c r="E297" t="s">
        <v>49</v>
      </c>
      <c r="F297" t="s">
        <v>52</v>
      </c>
      <c r="G297" t="s">
        <v>128</v>
      </c>
      <c r="H297" t="s">
        <v>91</v>
      </c>
      <c r="I297" t="s">
        <v>72</v>
      </c>
      <c r="J297">
        <v>0</v>
      </c>
      <c r="K297">
        <v>8</v>
      </c>
      <c r="L297">
        <v>0</v>
      </c>
      <c r="M297">
        <v>0</v>
      </c>
      <c r="N297">
        <v>0</v>
      </c>
      <c r="O297">
        <v>0.5</v>
      </c>
      <c r="P297">
        <v>0</v>
      </c>
      <c r="Q297">
        <v>8.5</v>
      </c>
      <c r="R297" t="s">
        <v>56</v>
      </c>
      <c r="S297" t="b">
        <v>0</v>
      </c>
      <c r="W297" t="s">
        <v>51</v>
      </c>
    </row>
    <row r="298" spans="1:23" hidden="1" x14ac:dyDescent="0.25">
      <c r="A298" t="s">
        <v>74</v>
      </c>
      <c r="B298">
        <v>2018</v>
      </c>
      <c r="C298">
        <v>4</v>
      </c>
      <c r="D298">
        <v>4</v>
      </c>
      <c r="E298" t="s">
        <v>49</v>
      </c>
      <c r="F298" t="s">
        <v>52</v>
      </c>
      <c r="G298" t="s">
        <v>128</v>
      </c>
      <c r="H298" t="s">
        <v>91</v>
      </c>
      <c r="I298" t="s">
        <v>87</v>
      </c>
      <c r="J298">
        <v>0</v>
      </c>
      <c r="K298">
        <v>0</v>
      </c>
      <c r="L298">
        <v>0</v>
      </c>
      <c r="M298">
        <v>0</v>
      </c>
      <c r="N298">
        <v>3</v>
      </c>
      <c r="O298">
        <v>0</v>
      </c>
      <c r="P298">
        <v>0</v>
      </c>
      <c r="Q298">
        <v>3</v>
      </c>
      <c r="R298" t="s">
        <v>56</v>
      </c>
      <c r="S298" t="b">
        <v>0</v>
      </c>
      <c r="W298" t="s">
        <v>51</v>
      </c>
    </row>
    <row r="299" spans="1:23" hidden="1" x14ac:dyDescent="0.25">
      <c r="A299" t="s">
        <v>48</v>
      </c>
      <c r="B299">
        <v>2018</v>
      </c>
      <c r="C299">
        <v>4</v>
      </c>
      <c r="D299">
        <v>4</v>
      </c>
      <c r="E299" t="s">
        <v>49</v>
      </c>
      <c r="F299" t="s">
        <v>52</v>
      </c>
      <c r="G299" t="s">
        <v>124</v>
      </c>
      <c r="H299" t="s">
        <v>125</v>
      </c>
      <c r="I299" t="s">
        <v>105</v>
      </c>
      <c r="J299">
        <v>0</v>
      </c>
      <c r="K299">
        <v>0</v>
      </c>
      <c r="L299">
        <v>2</v>
      </c>
      <c r="M299">
        <v>4</v>
      </c>
      <c r="N299">
        <v>6</v>
      </c>
      <c r="O299">
        <v>8</v>
      </c>
      <c r="P299">
        <v>0</v>
      </c>
      <c r="Q299">
        <v>20</v>
      </c>
      <c r="R299" t="s">
        <v>126</v>
      </c>
      <c r="S299" t="b">
        <v>0</v>
      </c>
      <c r="W299" t="s">
        <v>51</v>
      </c>
    </row>
    <row r="300" spans="1:23" hidden="1" x14ac:dyDescent="0.25">
      <c r="A300" t="s">
        <v>48</v>
      </c>
      <c r="B300">
        <v>2018</v>
      </c>
      <c r="C300">
        <v>4</v>
      </c>
      <c r="D300">
        <v>4</v>
      </c>
      <c r="E300" t="s">
        <v>49</v>
      </c>
      <c r="G300" t="s">
        <v>50</v>
      </c>
      <c r="J300">
        <v>0</v>
      </c>
      <c r="K300">
        <v>1</v>
      </c>
      <c r="L300">
        <v>4</v>
      </c>
      <c r="M300">
        <v>1</v>
      </c>
      <c r="N300">
        <v>0</v>
      </c>
      <c r="O300">
        <v>0</v>
      </c>
      <c r="P300">
        <v>0</v>
      </c>
      <c r="Q300">
        <v>6</v>
      </c>
      <c r="S300" t="b">
        <v>0</v>
      </c>
      <c r="W300" t="s">
        <v>51</v>
      </c>
    </row>
    <row r="301" spans="1:23" x14ac:dyDescent="0.25">
      <c r="A301" t="s">
        <v>63</v>
      </c>
      <c r="B301">
        <v>2018</v>
      </c>
      <c r="C301">
        <v>3</v>
      </c>
      <c r="D301">
        <v>1</v>
      </c>
      <c r="E301" t="s">
        <v>49</v>
      </c>
      <c r="F301" t="s">
        <v>52</v>
      </c>
      <c r="G301" t="s">
        <v>78</v>
      </c>
      <c r="H301" t="s">
        <v>107</v>
      </c>
      <c r="I301" t="s">
        <v>77</v>
      </c>
      <c r="J301">
        <v>0</v>
      </c>
      <c r="K301">
        <v>7</v>
      </c>
      <c r="L301">
        <v>8</v>
      </c>
      <c r="M301">
        <v>0</v>
      </c>
      <c r="N301">
        <v>0</v>
      </c>
      <c r="O301">
        <v>0</v>
      </c>
      <c r="P301">
        <v>0</v>
      </c>
      <c r="Q301">
        <v>15</v>
      </c>
      <c r="R301" t="s">
        <v>56</v>
      </c>
      <c r="S301" t="b">
        <v>0</v>
      </c>
      <c r="W301" t="s">
        <v>51</v>
      </c>
    </row>
    <row r="302" spans="1:23" x14ac:dyDescent="0.25">
      <c r="A302" t="s">
        <v>63</v>
      </c>
      <c r="B302">
        <v>2018</v>
      </c>
      <c r="C302">
        <v>3</v>
      </c>
      <c r="D302">
        <v>1</v>
      </c>
      <c r="E302" t="s">
        <v>49</v>
      </c>
      <c r="F302" t="s">
        <v>71</v>
      </c>
      <c r="G302" t="s">
        <v>78</v>
      </c>
      <c r="H302" t="s">
        <v>107</v>
      </c>
      <c r="I302" t="s">
        <v>77</v>
      </c>
      <c r="J302">
        <v>0</v>
      </c>
      <c r="K302">
        <v>0</v>
      </c>
      <c r="L302">
        <v>0</v>
      </c>
      <c r="M302">
        <v>2</v>
      </c>
      <c r="N302">
        <v>3.5</v>
      </c>
      <c r="O302">
        <v>0</v>
      </c>
      <c r="P302">
        <v>0</v>
      </c>
      <c r="Q302">
        <v>5.5</v>
      </c>
      <c r="R302" t="s">
        <v>56</v>
      </c>
      <c r="S302" t="b">
        <v>0</v>
      </c>
      <c r="W302" t="s">
        <v>51</v>
      </c>
    </row>
    <row r="303" spans="1:23" hidden="1" x14ac:dyDescent="0.25">
      <c r="A303" t="s">
        <v>48</v>
      </c>
      <c r="B303">
        <v>2018</v>
      </c>
      <c r="C303">
        <v>4</v>
      </c>
      <c r="D303">
        <v>4</v>
      </c>
      <c r="E303" t="s">
        <v>49</v>
      </c>
      <c r="G303" t="s">
        <v>100</v>
      </c>
      <c r="J303">
        <v>0</v>
      </c>
      <c r="K303">
        <v>1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2</v>
      </c>
      <c r="S303" t="b">
        <v>0</v>
      </c>
      <c r="W303" t="s">
        <v>51</v>
      </c>
    </row>
    <row r="304" spans="1:23" hidden="1" x14ac:dyDescent="0.25">
      <c r="A304" t="s">
        <v>79</v>
      </c>
      <c r="B304">
        <v>2018</v>
      </c>
      <c r="C304">
        <v>4</v>
      </c>
      <c r="D304">
        <v>4</v>
      </c>
      <c r="E304" t="s">
        <v>49</v>
      </c>
      <c r="F304" t="s">
        <v>64</v>
      </c>
      <c r="G304" t="s">
        <v>128</v>
      </c>
      <c r="H304" t="s">
        <v>57</v>
      </c>
      <c r="I304" t="s">
        <v>87</v>
      </c>
      <c r="J304">
        <v>0</v>
      </c>
      <c r="K304">
        <v>2.5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3.5</v>
      </c>
      <c r="R304" t="s">
        <v>56</v>
      </c>
      <c r="S304" t="b">
        <v>0</v>
      </c>
      <c r="W304" t="s">
        <v>51</v>
      </c>
    </row>
    <row r="305" spans="1:23" hidden="1" x14ac:dyDescent="0.25">
      <c r="A305" t="s">
        <v>79</v>
      </c>
      <c r="B305">
        <v>2018</v>
      </c>
      <c r="C305">
        <v>4</v>
      </c>
      <c r="D305">
        <v>4</v>
      </c>
      <c r="E305" t="s">
        <v>49</v>
      </c>
      <c r="F305" t="s">
        <v>52</v>
      </c>
      <c r="G305" t="s">
        <v>99</v>
      </c>
      <c r="H305" t="s">
        <v>57</v>
      </c>
      <c r="I305" t="s">
        <v>58</v>
      </c>
      <c r="J305">
        <v>0</v>
      </c>
      <c r="K305">
        <v>0</v>
      </c>
      <c r="L305">
        <v>1</v>
      </c>
      <c r="M305">
        <v>1</v>
      </c>
      <c r="N305">
        <v>0</v>
      </c>
      <c r="O305">
        <v>0</v>
      </c>
      <c r="P305">
        <v>0</v>
      </c>
      <c r="Q305">
        <v>2</v>
      </c>
      <c r="R305" t="s">
        <v>56</v>
      </c>
      <c r="S305" t="b">
        <v>0</v>
      </c>
      <c r="W305" t="s">
        <v>51</v>
      </c>
    </row>
    <row r="306" spans="1:23" hidden="1" x14ac:dyDescent="0.25">
      <c r="A306" t="s">
        <v>79</v>
      </c>
      <c r="B306">
        <v>2018</v>
      </c>
      <c r="C306">
        <v>4</v>
      </c>
      <c r="D306">
        <v>4</v>
      </c>
      <c r="E306" t="s">
        <v>49</v>
      </c>
      <c r="G306" t="s">
        <v>50</v>
      </c>
      <c r="J306">
        <v>0</v>
      </c>
      <c r="K306">
        <v>0.5</v>
      </c>
      <c r="L306">
        <v>2</v>
      </c>
      <c r="M306">
        <v>2</v>
      </c>
      <c r="N306">
        <v>0</v>
      </c>
      <c r="O306">
        <v>2</v>
      </c>
      <c r="P306">
        <v>0</v>
      </c>
      <c r="Q306">
        <v>6.5</v>
      </c>
      <c r="S306" t="b">
        <v>0</v>
      </c>
      <c r="W306" t="s">
        <v>51</v>
      </c>
    </row>
    <row r="307" spans="1:23" x14ac:dyDescent="0.25">
      <c r="A307" t="s">
        <v>63</v>
      </c>
      <c r="B307">
        <v>2018</v>
      </c>
      <c r="C307">
        <v>2</v>
      </c>
      <c r="D307">
        <v>4</v>
      </c>
      <c r="E307" t="s">
        <v>49</v>
      </c>
      <c r="F307" t="s">
        <v>67</v>
      </c>
      <c r="G307" t="s">
        <v>78</v>
      </c>
      <c r="H307" t="s">
        <v>107</v>
      </c>
      <c r="I307" t="s">
        <v>134</v>
      </c>
      <c r="J307">
        <v>0</v>
      </c>
      <c r="K307">
        <v>0</v>
      </c>
      <c r="L307">
        <v>0</v>
      </c>
      <c r="M307">
        <v>0</v>
      </c>
      <c r="N307">
        <v>5</v>
      </c>
      <c r="O307">
        <v>8</v>
      </c>
      <c r="P307">
        <v>0</v>
      </c>
      <c r="Q307">
        <v>13</v>
      </c>
      <c r="R307" t="s">
        <v>56</v>
      </c>
      <c r="S307" t="b">
        <v>0</v>
      </c>
      <c r="W307" t="s">
        <v>51</v>
      </c>
    </row>
    <row r="308" spans="1:23" x14ac:dyDescent="0.25">
      <c r="A308" t="s">
        <v>63</v>
      </c>
      <c r="B308">
        <v>2018</v>
      </c>
      <c r="C308">
        <v>2</v>
      </c>
      <c r="D308">
        <v>3</v>
      </c>
      <c r="E308" t="s">
        <v>49</v>
      </c>
      <c r="F308" t="s">
        <v>67</v>
      </c>
      <c r="G308" t="s">
        <v>78</v>
      </c>
      <c r="H308" t="s">
        <v>107</v>
      </c>
      <c r="I308" t="s">
        <v>134</v>
      </c>
      <c r="J308">
        <v>0</v>
      </c>
      <c r="K308">
        <v>0</v>
      </c>
      <c r="L308">
        <v>0</v>
      </c>
      <c r="M308">
        <v>3</v>
      </c>
      <c r="N308">
        <v>3</v>
      </c>
      <c r="O308">
        <v>0</v>
      </c>
      <c r="P308">
        <v>0</v>
      </c>
      <c r="Q308">
        <v>6</v>
      </c>
      <c r="R308" t="s">
        <v>56</v>
      </c>
      <c r="S308" t="b">
        <v>0</v>
      </c>
      <c r="W308" t="s">
        <v>51</v>
      </c>
    </row>
    <row r="309" spans="1:23" x14ac:dyDescent="0.25">
      <c r="A309" t="s">
        <v>74</v>
      </c>
      <c r="B309">
        <v>2018</v>
      </c>
      <c r="C309">
        <v>3</v>
      </c>
      <c r="D309">
        <v>2</v>
      </c>
      <c r="E309" t="s">
        <v>49</v>
      </c>
      <c r="F309" t="s">
        <v>82</v>
      </c>
      <c r="G309" t="s">
        <v>78</v>
      </c>
      <c r="H309" t="s">
        <v>136</v>
      </c>
      <c r="I309" t="s">
        <v>76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2</v>
      </c>
      <c r="P309">
        <v>0</v>
      </c>
      <c r="Q309">
        <v>3</v>
      </c>
      <c r="R309" t="s">
        <v>56</v>
      </c>
      <c r="S309" t="b">
        <v>0</v>
      </c>
      <c r="W309" t="s">
        <v>51</v>
      </c>
    </row>
    <row r="310" spans="1:23" x14ac:dyDescent="0.25">
      <c r="A310" t="s">
        <v>74</v>
      </c>
      <c r="B310">
        <v>2018</v>
      </c>
      <c r="C310">
        <v>3</v>
      </c>
      <c r="D310">
        <v>2</v>
      </c>
      <c r="E310" t="s">
        <v>49</v>
      </c>
      <c r="F310" t="s">
        <v>82</v>
      </c>
      <c r="G310" t="s">
        <v>78</v>
      </c>
      <c r="H310" t="s">
        <v>136</v>
      </c>
      <c r="I310" t="s">
        <v>77</v>
      </c>
      <c r="J310">
        <v>0</v>
      </c>
      <c r="K310">
        <v>0</v>
      </c>
      <c r="L310">
        <v>1</v>
      </c>
      <c r="M310">
        <v>0.5</v>
      </c>
      <c r="N310">
        <v>0</v>
      </c>
      <c r="O310">
        <v>1</v>
      </c>
      <c r="P310">
        <v>0</v>
      </c>
      <c r="Q310">
        <v>2.5</v>
      </c>
      <c r="R310" t="s">
        <v>56</v>
      </c>
      <c r="S310" t="b">
        <v>0</v>
      </c>
      <c r="W310" t="s">
        <v>51</v>
      </c>
    </row>
    <row r="311" spans="1:23" hidden="1" x14ac:dyDescent="0.25">
      <c r="A311" t="s">
        <v>79</v>
      </c>
      <c r="B311">
        <v>2018</v>
      </c>
      <c r="C311">
        <v>4</v>
      </c>
      <c r="D311">
        <v>4</v>
      </c>
      <c r="E311" t="s">
        <v>49</v>
      </c>
      <c r="F311" t="s">
        <v>71</v>
      </c>
      <c r="G311" t="s">
        <v>103</v>
      </c>
      <c r="H311" t="s">
        <v>57</v>
      </c>
      <c r="I311" t="s">
        <v>85</v>
      </c>
      <c r="J311">
        <v>0</v>
      </c>
      <c r="K311">
        <v>0</v>
      </c>
      <c r="L311">
        <v>0</v>
      </c>
      <c r="M311">
        <v>4</v>
      </c>
      <c r="N311">
        <v>0</v>
      </c>
      <c r="O311">
        <v>0</v>
      </c>
      <c r="P311">
        <v>0</v>
      </c>
      <c r="Q311">
        <v>4</v>
      </c>
      <c r="R311" t="s">
        <v>56</v>
      </c>
      <c r="S311" t="b">
        <v>0</v>
      </c>
      <c r="W311" t="s">
        <v>51</v>
      </c>
    </row>
    <row r="312" spans="1:23" hidden="1" x14ac:dyDescent="0.25">
      <c r="A312" t="s">
        <v>79</v>
      </c>
      <c r="B312">
        <v>2018</v>
      </c>
      <c r="C312">
        <v>4</v>
      </c>
      <c r="D312">
        <v>4</v>
      </c>
      <c r="E312" t="s">
        <v>49</v>
      </c>
      <c r="G312" t="s">
        <v>86</v>
      </c>
      <c r="J312">
        <v>0</v>
      </c>
      <c r="K312">
        <v>0</v>
      </c>
      <c r="L312">
        <v>0</v>
      </c>
      <c r="M312">
        <v>0</v>
      </c>
      <c r="N312">
        <v>8</v>
      </c>
      <c r="O312">
        <v>6</v>
      </c>
      <c r="P312">
        <v>0</v>
      </c>
      <c r="Q312">
        <v>14</v>
      </c>
      <c r="S312" t="b">
        <v>0</v>
      </c>
      <c r="W312" t="s">
        <v>51</v>
      </c>
    </row>
    <row r="313" spans="1:23" hidden="1" x14ac:dyDescent="0.25">
      <c r="A313" t="s">
        <v>69</v>
      </c>
      <c r="B313">
        <v>2018</v>
      </c>
      <c r="C313">
        <v>4</v>
      </c>
      <c r="D313">
        <v>3</v>
      </c>
      <c r="E313" t="s">
        <v>49</v>
      </c>
      <c r="F313" t="s">
        <v>82</v>
      </c>
      <c r="G313" t="s">
        <v>99</v>
      </c>
      <c r="H313" t="s">
        <v>54</v>
      </c>
      <c r="I313" t="s">
        <v>68</v>
      </c>
      <c r="J313">
        <v>0</v>
      </c>
      <c r="K313">
        <v>1.5</v>
      </c>
      <c r="L313">
        <v>0</v>
      </c>
      <c r="M313">
        <v>0</v>
      </c>
      <c r="N313">
        <v>0.5</v>
      </c>
      <c r="O313">
        <v>0.5</v>
      </c>
      <c r="P313">
        <v>0</v>
      </c>
      <c r="Q313">
        <v>2.5</v>
      </c>
      <c r="R313" t="s">
        <v>56</v>
      </c>
      <c r="S313" t="b">
        <v>0</v>
      </c>
      <c r="W313" t="s">
        <v>51</v>
      </c>
    </row>
    <row r="314" spans="1:23" x14ac:dyDescent="0.25">
      <c r="A314" t="s">
        <v>63</v>
      </c>
      <c r="B314">
        <v>2018</v>
      </c>
      <c r="C314">
        <v>2</v>
      </c>
      <c r="D314">
        <v>3</v>
      </c>
      <c r="E314" t="s">
        <v>49</v>
      </c>
      <c r="F314" t="s">
        <v>67</v>
      </c>
      <c r="G314" t="s">
        <v>78</v>
      </c>
      <c r="H314" t="s">
        <v>145</v>
      </c>
      <c r="I314" t="s">
        <v>134</v>
      </c>
      <c r="J314">
        <v>0</v>
      </c>
      <c r="K314">
        <v>3</v>
      </c>
      <c r="L314">
        <v>8</v>
      </c>
      <c r="M314">
        <v>2</v>
      </c>
      <c r="N314">
        <v>0</v>
      </c>
      <c r="O314">
        <v>2</v>
      </c>
      <c r="P314">
        <v>0</v>
      </c>
      <c r="Q314">
        <v>15</v>
      </c>
      <c r="R314" t="s">
        <v>56</v>
      </c>
      <c r="S314" t="b">
        <v>0</v>
      </c>
      <c r="W314" t="s">
        <v>51</v>
      </c>
    </row>
    <row r="315" spans="1:23" hidden="1" x14ac:dyDescent="0.25">
      <c r="A315" t="s">
        <v>102</v>
      </c>
      <c r="B315">
        <v>2018</v>
      </c>
      <c r="C315">
        <v>4</v>
      </c>
      <c r="D315">
        <v>3</v>
      </c>
      <c r="E315" t="s">
        <v>49</v>
      </c>
      <c r="F315" t="s">
        <v>64</v>
      </c>
      <c r="G315" t="s">
        <v>53</v>
      </c>
      <c r="H315" t="s">
        <v>57</v>
      </c>
      <c r="I315" t="s">
        <v>114</v>
      </c>
      <c r="J315">
        <v>0</v>
      </c>
      <c r="K315">
        <v>0</v>
      </c>
      <c r="L315">
        <v>8</v>
      </c>
      <c r="M315">
        <v>8</v>
      </c>
      <c r="N315">
        <v>7</v>
      </c>
      <c r="O315">
        <v>8</v>
      </c>
      <c r="P315">
        <v>0</v>
      </c>
      <c r="Q315">
        <v>31</v>
      </c>
      <c r="R315" t="s">
        <v>56</v>
      </c>
      <c r="S315" t="b">
        <v>0</v>
      </c>
      <c r="W315" t="s">
        <v>51</v>
      </c>
    </row>
    <row r="316" spans="1:23" hidden="1" x14ac:dyDescent="0.25">
      <c r="A316" t="s">
        <v>102</v>
      </c>
      <c r="B316">
        <v>2018</v>
      </c>
      <c r="C316">
        <v>4</v>
      </c>
      <c r="D316">
        <v>3</v>
      </c>
      <c r="E316" t="s">
        <v>49</v>
      </c>
      <c r="F316" t="s">
        <v>52</v>
      </c>
      <c r="G316" t="s">
        <v>99</v>
      </c>
      <c r="H316" t="s">
        <v>57</v>
      </c>
      <c r="I316" t="s">
        <v>85</v>
      </c>
      <c r="J316">
        <v>0</v>
      </c>
      <c r="K316">
        <v>0</v>
      </c>
      <c r="L316">
        <v>0</v>
      </c>
      <c r="M316">
        <v>0</v>
      </c>
      <c r="N316">
        <v>1</v>
      </c>
      <c r="O316">
        <v>0</v>
      </c>
      <c r="P316">
        <v>0</v>
      </c>
      <c r="Q316">
        <v>1</v>
      </c>
      <c r="R316" t="s">
        <v>56</v>
      </c>
      <c r="S316" t="b">
        <v>0</v>
      </c>
      <c r="W316" t="s">
        <v>51</v>
      </c>
    </row>
    <row r="317" spans="1:23" x14ac:dyDescent="0.25">
      <c r="A317" t="s">
        <v>48</v>
      </c>
      <c r="B317">
        <v>2018</v>
      </c>
      <c r="C317">
        <v>2</v>
      </c>
      <c r="D317">
        <v>4</v>
      </c>
      <c r="E317" t="s">
        <v>49</v>
      </c>
      <c r="F317" t="s">
        <v>52</v>
      </c>
      <c r="G317" t="s">
        <v>78</v>
      </c>
      <c r="H317" t="s">
        <v>144</v>
      </c>
      <c r="I317" t="s">
        <v>77</v>
      </c>
      <c r="J317">
        <v>0</v>
      </c>
      <c r="K317">
        <v>0</v>
      </c>
      <c r="L317">
        <v>0</v>
      </c>
      <c r="M317">
        <v>0</v>
      </c>
      <c r="N317">
        <v>2</v>
      </c>
      <c r="O317">
        <v>0</v>
      </c>
      <c r="P317">
        <v>0</v>
      </c>
      <c r="Q317">
        <v>2</v>
      </c>
      <c r="R317" t="s">
        <v>56</v>
      </c>
      <c r="S317" t="b">
        <v>0</v>
      </c>
      <c r="W317" t="s">
        <v>51</v>
      </c>
    </row>
    <row r="318" spans="1:23" hidden="1" x14ac:dyDescent="0.25">
      <c r="A318" t="s">
        <v>102</v>
      </c>
      <c r="B318">
        <v>2018</v>
      </c>
      <c r="C318">
        <v>4</v>
      </c>
      <c r="D318">
        <v>3</v>
      </c>
      <c r="E318" t="s">
        <v>49</v>
      </c>
      <c r="F318" t="s">
        <v>64</v>
      </c>
      <c r="G318" t="s">
        <v>103</v>
      </c>
      <c r="H318" t="s">
        <v>129</v>
      </c>
      <c r="I318" t="s">
        <v>108</v>
      </c>
      <c r="J318">
        <v>0</v>
      </c>
      <c r="K318">
        <v>3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3</v>
      </c>
      <c r="R318" t="s">
        <v>56</v>
      </c>
      <c r="S318" t="b">
        <v>0</v>
      </c>
      <c r="W318" t="s">
        <v>51</v>
      </c>
    </row>
    <row r="319" spans="1:23" hidden="1" x14ac:dyDescent="0.25">
      <c r="A319" t="s">
        <v>74</v>
      </c>
      <c r="B319">
        <v>2018</v>
      </c>
      <c r="C319">
        <v>4</v>
      </c>
      <c r="D319">
        <v>3</v>
      </c>
      <c r="E319" t="s">
        <v>49</v>
      </c>
      <c r="F319" t="s">
        <v>64</v>
      </c>
      <c r="G319" t="s">
        <v>130</v>
      </c>
      <c r="H319" t="s">
        <v>57</v>
      </c>
      <c r="I319" t="s">
        <v>68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2</v>
      </c>
      <c r="P319">
        <v>0</v>
      </c>
      <c r="Q319">
        <v>2</v>
      </c>
      <c r="R319" t="s">
        <v>56</v>
      </c>
      <c r="S319" t="b">
        <v>0</v>
      </c>
      <c r="W319" t="s">
        <v>51</v>
      </c>
    </row>
    <row r="320" spans="1:23" hidden="1" x14ac:dyDescent="0.25">
      <c r="A320" t="s">
        <v>74</v>
      </c>
      <c r="B320">
        <v>2018</v>
      </c>
      <c r="C320">
        <v>4</v>
      </c>
      <c r="D320">
        <v>3</v>
      </c>
      <c r="E320" t="s">
        <v>49</v>
      </c>
      <c r="G320" t="s">
        <v>50</v>
      </c>
      <c r="J320">
        <v>0</v>
      </c>
      <c r="K320">
        <v>1</v>
      </c>
      <c r="L320">
        <v>2</v>
      </c>
      <c r="M320">
        <v>0</v>
      </c>
      <c r="N320">
        <v>1</v>
      </c>
      <c r="O320">
        <v>0</v>
      </c>
      <c r="P320">
        <v>0</v>
      </c>
      <c r="Q320">
        <v>4</v>
      </c>
      <c r="S320" t="b">
        <v>0</v>
      </c>
      <c r="W320" t="s">
        <v>51</v>
      </c>
    </row>
    <row r="321" spans="1:23" hidden="1" x14ac:dyDescent="0.25">
      <c r="A321" t="s">
        <v>74</v>
      </c>
      <c r="B321">
        <v>2018</v>
      </c>
      <c r="C321">
        <v>4</v>
      </c>
      <c r="D321">
        <v>3</v>
      </c>
      <c r="E321" t="s">
        <v>49</v>
      </c>
      <c r="F321" t="s">
        <v>82</v>
      </c>
      <c r="G321" t="s">
        <v>99</v>
      </c>
      <c r="H321" t="s">
        <v>54</v>
      </c>
      <c r="I321" t="s">
        <v>55</v>
      </c>
      <c r="J321">
        <v>0</v>
      </c>
      <c r="K321">
        <v>7</v>
      </c>
      <c r="L321">
        <v>0</v>
      </c>
      <c r="M321">
        <v>0</v>
      </c>
      <c r="N321">
        <v>3</v>
      </c>
      <c r="O321">
        <v>3</v>
      </c>
      <c r="P321">
        <v>0</v>
      </c>
      <c r="Q321">
        <v>13</v>
      </c>
      <c r="R321" t="s">
        <v>56</v>
      </c>
      <c r="S321" t="b">
        <v>0</v>
      </c>
      <c r="W321" t="s">
        <v>51</v>
      </c>
    </row>
    <row r="322" spans="1:23" hidden="1" x14ac:dyDescent="0.25">
      <c r="A322" t="s">
        <v>74</v>
      </c>
      <c r="B322">
        <v>2018</v>
      </c>
      <c r="C322">
        <v>4</v>
      </c>
      <c r="D322">
        <v>3</v>
      </c>
      <c r="E322" t="s">
        <v>49</v>
      </c>
      <c r="F322" t="s">
        <v>52</v>
      </c>
      <c r="G322" t="s">
        <v>103</v>
      </c>
      <c r="H322" t="s">
        <v>131</v>
      </c>
      <c r="I322" t="s">
        <v>118</v>
      </c>
      <c r="J322">
        <v>0</v>
      </c>
      <c r="K322">
        <v>0</v>
      </c>
      <c r="L322">
        <v>6</v>
      </c>
      <c r="M322">
        <v>0</v>
      </c>
      <c r="N322">
        <v>0</v>
      </c>
      <c r="O322">
        <v>0</v>
      </c>
      <c r="P322">
        <v>0</v>
      </c>
      <c r="Q322">
        <v>6</v>
      </c>
      <c r="R322" t="s">
        <v>56</v>
      </c>
      <c r="S322" t="b">
        <v>0</v>
      </c>
      <c r="W322" t="s">
        <v>51</v>
      </c>
    </row>
    <row r="323" spans="1:23" x14ac:dyDescent="0.25">
      <c r="A323" t="s">
        <v>102</v>
      </c>
      <c r="B323">
        <v>2018</v>
      </c>
      <c r="C323">
        <v>5</v>
      </c>
      <c r="D323">
        <v>1</v>
      </c>
      <c r="E323" t="s">
        <v>49</v>
      </c>
      <c r="F323" t="s">
        <v>64</v>
      </c>
      <c r="G323" t="s">
        <v>78</v>
      </c>
      <c r="H323" t="s">
        <v>115</v>
      </c>
      <c r="I323" t="s">
        <v>108</v>
      </c>
      <c r="J323">
        <v>0</v>
      </c>
      <c r="K323">
        <v>0</v>
      </c>
      <c r="L323">
        <v>2</v>
      </c>
      <c r="M323">
        <v>0</v>
      </c>
      <c r="N323">
        <v>0</v>
      </c>
      <c r="O323">
        <v>0</v>
      </c>
      <c r="P323">
        <v>0</v>
      </c>
      <c r="Q323">
        <v>2</v>
      </c>
      <c r="R323" t="s">
        <v>56</v>
      </c>
      <c r="S323" t="b">
        <v>0</v>
      </c>
      <c r="W323" t="s">
        <v>51</v>
      </c>
    </row>
    <row r="324" spans="1:23" x14ac:dyDescent="0.25">
      <c r="A324" t="s">
        <v>48</v>
      </c>
      <c r="B324">
        <v>2018</v>
      </c>
      <c r="C324">
        <v>4</v>
      </c>
      <c r="D324">
        <v>1</v>
      </c>
      <c r="E324" t="s">
        <v>49</v>
      </c>
      <c r="F324" t="s">
        <v>52</v>
      </c>
      <c r="G324" t="s">
        <v>78</v>
      </c>
      <c r="H324" t="s">
        <v>115</v>
      </c>
      <c r="I324" t="s">
        <v>87</v>
      </c>
      <c r="J324">
        <v>0</v>
      </c>
      <c r="K324">
        <v>0</v>
      </c>
      <c r="L324">
        <v>0</v>
      </c>
      <c r="M324">
        <v>0</v>
      </c>
      <c r="N324">
        <v>1</v>
      </c>
      <c r="O324">
        <v>0</v>
      </c>
      <c r="P324">
        <v>0</v>
      </c>
      <c r="Q324">
        <v>1</v>
      </c>
      <c r="R324" t="s">
        <v>56</v>
      </c>
      <c r="S324" t="b">
        <v>0</v>
      </c>
      <c r="W324" t="s">
        <v>51</v>
      </c>
    </row>
    <row r="325" spans="1:23" hidden="1" x14ac:dyDescent="0.25">
      <c r="A325" t="s">
        <v>74</v>
      </c>
      <c r="B325">
        <v>2018</v>
      </c>
      <c r="C325">
        <v>4</v>
      </c>
      <c r="D325">
        <v>3</v>
      </c>
      <c r="E325" t="s">
        <v>49</v>
      </c>
      <c r="G325" t="s">
        <v>86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2</v>
      </c>
      <c r="P325">
        <v>0</v>
      </c>
      <c r="Q325">
        <v>2</v>
      </c>
      <c r="S325" t="b">
        <v>0</v>
      </c>
      <c r="W325" t="s">
        <v>51</v>
      </c>
    </row>
    <row r="326" spans="1:23" hidden="1" x14ac:dyDescent="0.25">
      <c r="A326" t="s">
        <v>48</v>
      </c>
      <c r="B326">
        <v>2018</v>
      </c>
      <c r="C326">
        <v>4</v>
      </c>
      <c r="D326">
        <v>3</v>
      </c>
      <c r="E326" t="s">
        <v>49</v>
      </c>
      <c r="F326" t="s">
        <v>71</v>
      </c>
      <c r="G326" t="s">
        <v>99</v>
      </c>
      <c r="H326" t="s">
        <v>54</v>
      </c>
      <c r="I326" t="s">
        <v>55</v>
      </c>
      <c r="J326">
        <v>0</v>
      </c>
      <c r="K326">
        <v>2</v>
      </c>
      <c r="L326">
        <v>0</v>
      </c>
      <c r="M326">
        <v>4</v>
      </c>
      <c r="N326">
        <v>4</v>
      </c>
      <c r="O326">
        <v>2</v>
      </c>
      <c r="P326">
        <v>0</v>
      </c>
      <c r="Q326">
        <v>12</v>
      </c>
      <c r="R326" t="s">
        <v>56</v>
      </c>
      <c r="S326" t="b">
        <v>0</v>
      </c>
      <c r="W326" t="s">
        <v>51</v>
      </c>
    </row>
    <row r="327" spans="1:23" hidden="1" x14ac:dyDescent="0.25">
      <c r="A327" t="s">
        <v>48</v>
      </c>
      <c r="B327">
        <v>2018</v>
      </c>
      <c r="C327">
        <v>4</v>
      </c>
      <c r="D327">
        <v>3</v>
      </c>
      <c r="E327" t="s">
        <v>49</v>
      </c>
      <c r="F327" t="s">
        <v>71</v>
      </c>
      <c r="G327" t="s">
        <v>99</v>
      </c>
      <c r="H327" t="s">
        <v>57</v>
      </c>
      <c r="I327" t="s">
        <v>85</v>
      </c>
      <c r="J327">
        <v>0</v>
      </c>
      <c r="K327">
        <v>5</v>
      </c>
      <c r="L327">
        <v>6</v>
      </c>
      <c r="M327">
        <v>0</v>
      </c>
      <c r="N327">
        <v>0</v>
      </c>
      <c r="O327">
        <v>0</v>
      </c>
      <c r="P327">
        <v>0</v>
      </c>
      <c r="Q327">
        <v>11</v>
      </c>
      <c r="R327" t="s">
        <v>56</v>
      </c>
      <c r="S327" t="b">
        <v>0</v>
      </c>
      <c r="W327" t="s">
        <v>51</v>
      </c>
    </row>
    <row r="328" spans="1:23" hidden="1" x14ac:dyDescent="0.25">
      <c r="A328" t="s">
        <v>48</v>
      </c>
      <c r="B328">
        <v>2018</v>
      </c>
      <c r="C328">
        <v>4</v>
      </c>
      <c r="D328">
        <v>3</v>
      </c>
      <c r="E328" t="s">
        <v>49</v>
      </c>
      <c r="G328" t="s">
        <v>86</v>
      </c>
      <c r="J328">
        <v>0</v>
      </c>
      <c r="K328">
        <v>0</v>
      </c>
      <c r="L328">
        <v>2</v>
      </c>
      <c r="M328">
        <v>2</v>
      </c>
      <c r="N328">
        <v>4</v>
      </c>
      <c r="O328">
        <v>4</v>
      </c>
      <c r="P328">
        <v>0</v>
      </c>
      <c r="Q328">
        <v>12</v>
      </c>
      <c r="S328" t="b">
        <v>0</v>
      </c>
      <c r="W328" t="s">
        <v>51</v>
      </c>
    </row>
    <row r="329" spans="1:23" hidden="1" x14ac:dyDescent="0.25">
      <c r="A329" t="s">
        <v>48</v>
      </c>
      <c r="B329">
        <v>2018</v>
      </c>
      <c r="C329">
        <v>4</v>
      </c>
      <c r="D329">
        <v>3</v>
      </c>
      <c r="E329" t="s">
        <v>49</v>
      </c>
      <c r="G329" t="s">
        <v>50</v>
      </c>
      <c r="J329">
        <v>0</v>
      </c>
      <c r="K329">
        <v>1</v>
      </c>
      <c r="L329">
        <v>0</v>
      </c>
      <c r="M329">
        <v>0</v>
      </c>
      <c r="N329">
        <v>0</v>
      </c>
      <c r="O329">
        <v>2</v>
      </c>
      <c r="P329">
        <v>0</v>
      </c>
      <c r="Q329">
        <v>3</v>
      </c>
      <c r="S329" t="b">
        <v>0</v>
      </c>
      <c r="W329" t="s">
        <v>51</v>
      </c>
    </row>
    <row r="330" spans="1:23" hidden="1" x14ac:dyDescent="0.25">
      <c r="A330" t="s">
        <v>60</v>
      </c>
      <c r="B330">
        <v>2018</v>
      </c>
      <c r="C330">
        <v>4</v>
      </c>
      <c r="D330">
        <v>3</v>
      </c>
      <c r="E330" t="s">
        <v>49</v>
      </c>
      <c r="F330" t="s">
        <v>64</v>
      </c>
      <c r="G330" t="s">
        <v>103</v>
      </c>
      <c r="H330" t="s">
        <v>57</v>
      </c>
      <c r="I330" t="s">
        <v>77</v>
      </c>
      <c r="J330">
        <v>0</v>
      </c>
      <c r="K330">
        <v>2</v>
      </c>
      <c r="L330">
        <v>2</v>
      </c>
      <c r="M330">
        <v>0</v>
      </c>
      <c r="N330">
        <v>0</v>
      </c>
      <c r="O330">
        <v>0</v>
      </c>
      <c r="P330">
        <v>0</v>
      </c>
      <c r="Q330">
        <v>4</v>
      </c>
      <c r="R330" t="s">
        <v>56</v>
      </c>
      <c r="S330" t="b">
        <v>0</v>
      </c>
      <c r="W330" t="s">
        <v>51</v>
      </c>
    </row>
    <row r="331" spans="1:23" hidden="1" x14ac:dyDescent="0.25">
      <c r="A331" t="s">
        <v>79</v>
      </c>
      <c r="B331">
        <v>2018</v>
      </c>
      <c r="C331">
        <v>4</v>
      </c>
      <c r="D331">
        <v>3</v>
      </c>
      <c r="E331" t="s">
        <v>49</v>
      </c>
      <c r="F331" t="s">
        <v>52</v>
      </c>
      <c r="G331" t="s">
        <v>99</v>
      </c>
      <c r="H331" t="s">
        <v>57</v>
      </c>
      <c r="I331" t="s">
        <v>58</v>
      </c>
      <c r="J331">
        <v>0</v>
      </c>
      <c r="K331">
        <v>0</v>
      </c>
      <c r="L331">
        <v>0</v>
      </c>
      <c r="M331">
        <v>6.5</v>
      </c>
      <c r="N331">
        <v>5.5</v>
      </c>
      <c r="O331">
        <v>4</v>
      </c>
      <c r="P331">
        <v>0</v>
      </c>
      <c r="Q331">
        <v>16</v>
      </c>
      <c r="R331" t="s">
        <v>56</v>
      </c>
      <c r="S331" t="b">
        <v>0</v>
      </c>
      <c r="W331" t="s">
        <v>51</v>
      </c>
    </row>
    <row r="332" spans="1:23" hidden="1" x14ac:dyDescent="0.25">
      <c r="A332" t="s">
        <v>79</v>
      </c>
      <c r="B332">
        <v>2018</v>
      </c>
      <c r="C332">
        <v>4</v>
      </c>
      <c r="D332">
        <v>3</v>
      </c>
      <c r="E332" t="s">
        <v>49</v>
      </c>
      <c r="G332" t="s">
        <v>50</v>
      </c>
      <c r="J332">
        <v>0</v>
      </c>
      <c r="K332">
        <v>1.5</v>
      </c>
      <c r="L332">
        <v>2</v>
      </c>
      <c r="M332">
        <v>0.5</v>
      </c>
      <c r="N332">
        <v>1.5</v>
      </c>
      <c r="O332">
        <v>2</v>
      </c>
      <c r="P332">
        <v>0</v>
      </c>
      <c r="Q332">
        <v>7.5</v>
      </c>
      <c r="S332" t="b">
        <v>0</v>
      </c>
      <c r="W332" t="s">
        <v>51</v>
      </c>
    </row>
    <row r="333" spans="1:23" x14ac:dyDescent="0.25">
      <c r="A333" t="s">
        <v>102</v>
      </c>
      <c r="B333">
        <v>2018</v>
      </c>
      <c r="C333">
        <v>3</v>
      </c>
      <c r="D333">
        <v>3</v>
      </c>
      <c r="E333" t="s">
        <v>49</v>
      </c>
      <c r="F333" t="s">
        <v>82</v>
      </c>
      <c r="G333" t="s">
        <v>78</v>
      </c>
      <c r="H333" t="s">
        <v>115</v>
      </c>
      <c r="I333" t="s">
        <v>87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</v>
      </c>
      <c r="P333">
        <v>0</v>
      </c>
      <c r="Q333">
        <v>1</v>
      </c>
      <c r="R333" t="s">
        <v>56</v>
      </c>
      <c r="S333" t="b">
        <v>0</v>
      </c>
      <c r="W333" t="s">
        <v>51</v>
      </c>
    </row>
    <row r="334" spans="1:23" hidden="1" x14ac:dyDescent="0.25">
      <c r="A334" t="s">
        <v>79</v>
      </c>
      <c r="B334">
        <v>2018</v>
      </c>
      <c r="C334">
        <v>4</v>
      </c>
      <c r="D334">
        <v>3</v>
      </c>
      <c r="E334" t="s">
        <v>49</v>
      </c>
      <c r="F334" t="s">
        <v>52</v>
      </c>
      <c r="G334" t="s">
        <v>103</v>
      </c>
      <c r="H334" t="s">
        <v>57</v>
      </c>
      <c r="I334" t="s">
        <v>58</v>
      </c>
      <c r="J334">
        <v>0</v>
      </c>
      <c r="K334">
        <v>1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</v>
      </c>
      <c r="R334" t="s">
        <v>56</v>
      </c>
      <c r="S334" t="b">
        <v>0</v>
      </c>
      <c r="W334" t="s">
        <v>51</v>
      </c>
    </row>
    <row r="335" spans="1:23" x14ac:dyDescent="0.25">
      <c r="A335" t="s">
        <v>48</v>
      </c>
      <c r="B335">
        <v>2018</v>
      </c>
      <c r="C335">
        <v>3</v>
      </c>
      <c r="D335">
        <v>2</v>
      </c>
      <c r="E335" t="s">
        <v>49</v>
      </c>
      <c r="F335" t="s">
        <v>138</v>
      </c>
      <c r="G335" t="s">
        <v>78</v>
      </c>
      <c r="H335" t="s">
        <v>115</v>
      </c>
      <c r="I335" t="s">
        <v>77</v>
      </c>
      <c r="J335">
        <v>0</v>
      </c>
      <c r="K335">
        <v>2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2</v>
      </c>
      <c r="R335" t="s">
        <v>56</v>
      </c>
      <c r="S335" t="b">
        <v>0</v>
      </c>
      <c r="W335" t="s">
        <v>51</v>
      </c>
    </row>
    <row r="336" spans="1:23" hidden="1" x14ac:dyDescent="0.25">
      <c r="A336" t="s">
        <v>63</v>
      </c>
      <c r="B336">
        <v>2018</v>
      </c>
      <c r="C336">
        <v>4</v>
      </c>
      <c r="D336">
        <v>2</v>
      </c>
      <c r="E336" t="s">
        <v>49</v>
      </c>
      <c r="F336" t="s">
        <v>117</v>
      </c>
      <c r="G336" t="s">
        <v>99</v>
      </c>
      <c r="H336" t="s">
        <v>57</v>
      </c>
      <c r="I336" t="s">
        <v>113</v>
      </c>
      <c r="J336">
        <v>0</v>
      </c>
      <c r="K336">
        <v>4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4</v>
      </c>
      <c r="R336" t="s">
        <v>56</v>
      </c>
      <c r="S336" t="b">
        <v>0</v>
      </c>
      <c r="W336" t="s">
        <v>51</v>
      </c>
    </row>
    <row r="337" spans="1:23" hidden="1" x14ac:dyDescent="0.25">
      <c r="A337" t="s">
        <v>69</v>
      </c>
      <c r="B337">
        <v>2018</v>
      </c>
      <c r="C337">
        <v>4</v>
      </c>
      <c r="D337">
        <v>2</v>
      </c>
      <c r="E337" t="s">
        <v>49</v>
      </c>
      <c r="F337" t="s">
        <v>82</v>
      </c>
      <c r="G337" t="s">
        <v>99</v>
      </c>
      <c r="H337" t="s">
        <v>54</v>
      </c>
      <c r="I337" t="s">
        <v>68</v>
      </c>
      <c r="J337">
        <v>0</v>
      </c>
      <c r="K337">
        <v>0</v>
      </c>
      <c r="L337">
        <v>0</v>
      </c>
      <c r="M337">
        <v>0</v>
      </c>
      <c r="N337">
        <v>2</v>
      </c>
      <c r="O337">
        <v>0</v>
      </c>
      <c r="P337">
        <v>0</v>
      </c>
      <c r="Q337">
        <v>2</v>
      </c>
      <c r="R337" t="s">
        <v>56</v>
      </c>
      <c r="S337" t="b">
        <v>0</v>
      </c>
      <c r="W337" t="s">
        <v>51</v>
      </c>
    </row>
    <row r="338" spans="1:23" x14ac:dyDescent="0.25">
      <c r="A338" t="s">
        <v>48</v>
      </c>
      <c r="B338">
        <v>2018</v>
      </c>
      <c r="C338">
        <v>3</v>
      </c>
      <c r="D338">
        <v>1</v>
      </c>
      <c r="E338" t="s">
        <v>49</v>
      </c>
      <c r="F338" t="s">
        <v>52</v>
      </c>
      <c r="G338" t="s">
        <v>78</v>
      </c>
      <c r="H338" t="s">
        <v>115</v>
      </c>
      <c r="I338" t="s">
        <v>76</v>
      </c>
      <c r="J338">
        <v>0</v>
      </c>
      <c r="K338">
        <v>2</v>
      </c>
      <c r="L338">
        <v>3</v>
      </c>
      <c r="M338">
        <v>0</v>
      </c>
      <c r="N338">
        <v>0</v>
      </c>
      <c r="O338">
        <v>3</v>
      </c>
      <c r="P338">
        <v>0</v>
      </c>
      <c r="Q338">
        <v>8</v>
      </c>
      <c r="R338" t="s">
        <v>56</v>
      </c>
      <c r="S338" t="b">
        <v>0</v>
      </c>
      <c r="W338" t="s">
        <v>51</v>
      </c>
    </row>
    <row r="339" spans="1:23" x14ac:dyDescent="0.25">
      <c r="A339" t="s">
        <v>48</v>
      </c>
      <c r="B339">
        <v>2018</v>
      </c>
      <c r="C339">
        <v>3</v>
      </c>
      <c r="D339">
        <v>1</v>
      </c>
      <c r="E339" t="s">
        <v>49</v>
      </c>
      <c r="F339" t="s">
        <v>52</v>
      </c>
      <c r="G339" t="s">
        <v>78</v>
      </c>
      <c r="H339" t="s">
        <v>115</v>
      </c>
      <c r="I339" t="s">
        <v>77</v>
      </c>
      <c r="J339">
        <v>0</v>
      </c>
      <c r="K339">
        <v>2</v>
      </c>
      <c r="L339">
        <v>1</v>
      </c>
      <c r="M339">
        <v>0</v>
      </c>
      <c r="N339">
        <v>0</v>
      </c>
      <c r="O339">
        <v>1</v>
      </c>
      <c r="P339">
        <v>0</v>
      </c>
      <c r="Q339">
        <v>4</v>
      </c>
      <c r="R339" t="s">
        <v>56</v>
      </c>
      <c r="S339" t="b">
        <v>0</v>
      </c>
      <c r="W339" t="s">
        <v>51</v>
      </c>
    </row>
    <row r="340" spans="1:23" hidden="1" x14ac:dyDescent="0.25">
      <c r="A340" t="s">
        <v>102</v>
      </c>
      <c r="B340">
        <v>2018</v>
      </c>
      <c r="C340">
        <v>4</v>
      </c>
      <c r="D340">
        <v>2</v>
      </c>
      <c r="E340" t="s">
        <v>49</v>
      </c>
      <c r="F340" t="s">
        <v>82</v>
      </c>
      <c r="G340" t="s">
        <v>99</v>
      </c>
      <c r="H340" t="s">
        <v>57</v>
      </c>
      <c r="I340" t="s">
        <v>132</v>
      </c>
      <c r="J340">
        <v>0</v>
      </c>
      <c r="K340">
        <v>0</v>
      </c>
      <c r="L340">
        <v>0</v>
      </c>
      <c r="M340">
        <v>1</v>
      </c>
      <c r="N340">
        <v>1</v>
      </c>
      <c r="O340">
        <v>0</v>
      </c>
      <c r="P340">
        <v>0</v>
      </c>
      <c r="Q340">
        <v>2</v>
      </c>
      <c r="R340" t="s">
        <v>56</v>
      </c>
      <c r="S340" t="b">
        <v>0</v>
      </c>
      <c r="W340" t="s">
        <v>51</v>
      </c>
    </row>
    <row r="341" spans="1:23" hidden="1" x14ac:dyDescent="0.25">
      <c r="A341" t="s">
        <v>102</v>
      </c>
      <c r="B341">
        <v>2018</v>
      </c>
      <c r="C341">
        <v>4</v>
      </c>
      <c r="D341">
        <v>2</v>
      </c>
      <c r="E341" t="s">
        <v>49</v>
      </c>
      <c r="F341" t="s">
        <v>64</v>
      </c>
      <c r="G341" t="s">
        <v>99</v>
      </c>
      <c r="H341" t="s">
        <v>131</v>
      </c>
      <c r="I341" t="s">
        <v>108</v>
      </c>
      <c r="J341">
        <v>0</v>
      </c>
      <c r="K341">
        <v>1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2</v>
      </c>
      <c r="R341" t="s">
        <v>56</v>
      </c>
      <c r="S341" t="b">
        <v>0</v>
      </c>
      <c r="W341" t="s">
        <v>51</v>
      </c>
    </row>
    <row r="342" spans="1:23" hidden="1" x14ac:dyDescent="0.25">
      <c r="A342" t="s">
        <v>102</v>
      </c>
      <c r="B342">
        <v>2018</v>
      </c>
      <c r="C342">
        <v>4</v>
      </c>
      <c r="D342">
        <v>2</v>
      </c>
      <c r="E342" t="s">
        <v>49</v>
      </c>
      <c r="G342" t="s">
        <v>62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8</v>
      </c>
      <c r="P342">
        <v>0</v>
      </c>
      <c r="Q342">
        <v>8</v>
      </c>
      <c r="S342" t="b">
        <v>0</v>
      </c>
      <c r="W342" t="s">
        <v>51</v>
      </c>
    </row>
    <row r="343" spans="1:23" x14ac:dyDescent="0.25">
      <c r="A343" t="s">
        <v>48</v>
      </c>
      <c r="B343">
        <v>2018</v>
      </c>
      <c r="C343">
        <v>2</v>
      </c>
      <c r="D343">
        <v>4</v>
      </c>
      <c r="E343" t="s">
        <v>49</v>
      </c>
      <c r="F343" t="s">
        <v>52</v>
      </c>
      <c r="G343" t="s">
        <v>78</v>
      </c>
      <c r="H343" t="s">
        <v>115</v>
      </c>
      <c r="I343" t="s">
        <v>77</v>
      </c>
      <c r="J343">
        <v>0</v>
      </c>
      <c r="K343">
        <v>0</v>
      </c>
      <c r="L343">
        <v>6</v>
      </c>
      <c r="M343">
        <v>0</v>
      </c>
      <c r="N343">
        <v>0</v>
      </c>
      <c r="O343">
        <v>0</v>
      </c>
      <c r="P343">
        <v>0</v>
      </c>
      <c r="Q343">
        <v>6</v>
      </c>
      <c r="R343" t="s">
        <v>56</v>
      </c>
      <c r="S343" t="b">
        <v>0</v>
      </c>
      <c r="W343" t="s">
        <v>51</v>
      </c>
    </row>
    <row r="344" spans="1:23" x14ac:dyDescent="0.25">
      <c r="A344" t="s">
        <v>48</v>
      </c>
      <c r="B344">
        <v>2018</v>
      </c>
      <c r="C344">
        <v>2</v>
      </c>
      <c r="D344">
        <v>4</v>
      </c>
      <c r="E344" t="s">
        <v>49</v>
      </c>
      <c r="F344" t="s">
        <v>52</v>
      </c>
      <c r="G344" t="s">
        <v>78</v>
      </c>
      <c r="H344" t="s">
        <v>115</v>
      </c>
      <c r="I344" t="s">
        <v>76</v>
      </c>
      <c r="J344">
        <v>0</v>
      </c>
      <c r="K344">
        <v>0</v>
      </c>
      <c r="L344">
        <v>0</v>
      </c>
      <c r="M344">
        <v>0</v>
      </c>
      <c r="N344">
        <v>4</v>
      </c>
      <c r="O344">
        <v>0</v>
      </c>
      <c r="P344">
        <v>0</v>
      </c>
      <c r="Q344">
        <v>4</v>
      </c>
      <c r="R344" t="s">
        <v>56</v>
      </c>
      <c r="S344" t="b">
        <v>0</v>
      </c>
      <c r="W344" t="s">
        <v>51</v>
      </c>
    </row>
    <row r="345" spans="1:23" hidden="1" x14ac:dyDescent="0.25">
      <c r="A345" t="s">
        <v>102</v>
      </c>
      <c r="B345">
        <v>2018</v>
      </c>
      <c r="C345">
        <v>4</v>
      </c>
      <c r="D345">
        <v>2</v>
      </c>
      <c r="E345" t="s">
        <v>49</v>
      </c>
      <c r="F345" t="s">
        <v>52</v>
      </c>
      <c r="G345" t="s">
        <v>99</v>
      </c>
      <c r="H345" t="s">
        <v>54</v>
      </c>
      <c r="I345" t="s">
        <v>55</v>
      </c>
      <c r="J345">
        <v>0</v>
      </c>
      <c r="K345">
        <v>3</v>
      </c>
      <c r="L345">
        <v>1</v>
      </c>
      <c r="M345">
        <v>3</v>
      </c>
      <c r="N345">
        <v>2</v>
      </c>
      <c r="O345">
        <v>0</v>
      </c>
      <c r="P345">
        <v>0</v>
      </c>
      <c r="Q345">
        <v>9</v>
      </c>
      <c r="R345" t="s">
        <v>56</v>
      </c>
      <c r="S345" t="b">
        <v>0</v>
      </c>
      <c r="W345" t="s">
        <v>51</v>
      </c>
    </row>
    <row r="346" spans="1:23" x14ac:dyDescent="0.25">
      <c r="A346" t="s">
        <v>102</v>
      </c>
      <c r="B346">
        <v>2018</v>
      </c>
      <c r="C346">
        <v>3</v>
      </c>
      <c r="D346">
        <v>2</v>
      </c>
      <c r="E346" t="s">
        <v>49</v>
      </c>
      <c r="F346" t="s">
        <v>67</v>
      </c>
      <c r="G346" t="s">
        <v>78</v>
      </c>
      <c r="H346" t="s">
        <v>20</v>
      </c>
      <c r="I346" t="s">
        <v>87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0</v>
      </c>
      <c r="P346">
        <v>0</v>
      </c>
      <c r="Q346">
        <v>1</v>
      </c>
      <c r="R346" t="s">
        <v>56</v>
      </c>
      <c r="S346" t="b">
        <v>0</v>
      </c>
      <c r="W346" t="s">
        <v>51</v>
      </c>
    </row>
    <row r="347" spans="1:23" x14ac:dyDescent="0.25">
      <c r="A347" t="s">
        <v>60</v>
      </c>
      <c r="B347">
        <v>2018</v>
      </c>
      <c r="C347">
        <v>7</v>
      </c>
      <c r="D347">
        <v>1</v>
      </c>
      <c r="E347" t="s">
        <v>49</v>
      </c>
      <c r="F347" t="s">
        <v>64</v>
      </c>
      <c r="G347" t="s">
        <v>78</v>
      </c>
      <c r="H347" t="s">
        <v>57</v>
      </c>
      <c r="I347" t="s">
        <v>61</v>
      </c>
      <c r="J347">
        <v>0</v>
      </c>
      <c r="K347">
        <v>8</v>
      </c>
      <c r="L347">
        <v>8</v>
      </c>
      <c r="M347">
        <v>0</v>
      </c>
      <c r="N347">
        <v>0</v>
      </c>
      <c r="O347">
        <v>0</v>
      </c>
      <c r="P347">
        <v>0</v>
      </c>
      <c r="Q347">
        <v>16</v>
      </c>
      <c r="R347" t="s">
        <v>56</v>
      </c>
      <c r="S347" t="b">
        <v>0</v>
      </c>
      <c r="W347" t="s">
        <v>51</v>
      </c>
    </row>
    <row r="348" spans="1:23" x14ac:dyDescent="0.25">
      <c r="A348" t="s">
        <v>60</v>
      </c>
      <c r="B348">
        <v>2018</v>
      </c>
      <c r="C348">
        <v>6</v>
      </c>
      <c r="D348">
        <v>4</v>
      </c>
      <c r="E348" t="s">
        <v>49</v>
      </c>
      <c r="F348" t="s">
        <v>64</v>
      </c>
      <c r="G348" t="s">
        <v>78</v>
      </c>
      <c r="H348" t="s">
        <v>57</v>
      </c>
      <c r="I348" t="s">
        <v>61</v>
      </c>
      <c r="J348">
        <v>0</v>
      </c>
      <c r="K348">
        <v>8</v>
      </c>
      <c r="L348">
        <v>8</v>
      </c>
      <c r="M348">
        <v>8</v>
      </c>
      <c r="N348">
        <v>8</v>
      </c>
      <c r="O348">
        <v>8</v>
      </c>
      <c r="P348">
        <v>0</v>
      </c>
      <c r="Q348">
        <v>40</v>
      </c>
      <c r="R348" t="s">
        <v>56</v>
      </c>
      <c r="S348" t="b">
        <v>0</v>
      </c>
      <c r="W348" t="s">
        <v>51</v>
      </c>
    </row>
    <row r="349" spans="1:23" x14ac:dyDescent="0.25">
      <c r="A349" t="s">
        <v>63</v>
      </c>
      <c r="B349">
        <v>2018</v>
      </c>
      <c r="C349">
        <v>6</v>
      </c>
      <c r="D349">
        <v>3</v>
      </c>
      <c r="E349" t="s">
        <v>49</v>
      </c>
      <c r="F349" t="s">
        <v>82</v>
      </c>
      <c r="G349" t="s">
        <v>78</v>
      </c>
      <c r="H349" t="s">
        <v>57</v>
      </c>
      <c r="I349" t="s">
        <v>61</v>
      </c>
      <c r="J349">
        <v>0</v>
      </c>
      <c r="K349">
        <v>3</v>
      </c>
      <c r="L349">
        <v>5</v>
      </c>
      <c r="M349">
        <v>0</v>
      </c>
      <c r="N349">
        <v>0</v>
      </c>
      <c r="O349">
        <v>0</v>
      </c>
      <c r="P349">
        <v>0</v>
      </c>
      <c r="Q349">
        <v>8</v>
      </c>
      <c r="R349" t="s">
        <v>56</v>
      </c>
      <c r="S349" t="b">
        <v>0</v>
      </c>
      <c r="W349" t="s">
        <v>51</v>
      </c>
    </row>
    <row r="350" spans="1:23" x14ac:dyDescent="0.25">
      <c r="A350" t="s">
        <v>69</v>
      </c>
      <c r="B350">
        <v>2018</v>
      </c>
      <c r="C350">
        <v>6</v>
      </c>
      <c r="D350">
        <v>3</v>
      </c>
      <c r="E350" t="s">
        <v>49</v>
      </c>
      <c r="F350" t="s">
        <v>82</v>
      </c>
      <c r="G350" t="s">
        <v>78</v>
      </c>
      <c r="H350" t="s">
        <v>57</v>
      </c>
      <c r="I350" t="s">
        <v>61</v>
      </c>
      <c r="J350">
        <v>0</v>
      </c>
      <c r="K350">
        <v>0</v>
      </c>
      <c r="L350">
        <v>0</v>
      </c>
      <c r="M350">
        <v>4</v>
      </c>
      <c r="N350">
        <v>4</v>
      </c>
      <c r="O350">
        <v>3.2</v>
      </c>
      <c r="P350">
        <v>0</v>
      </c>
      <c r="Q350">
        <v>11.2</v>
      </c>
      <c r="R350" t="s">
        <v>56</v>
      </c>
      <c r="S350" t="b">
        <v>0</v>
      </c>
      <c r="W350" t="s">
        <v>51</v>
      </c>
    </row>
    <row r="351" spans="1:23" hidden="1" x14ac:dyDescent="0.25">
      <c r="A351" t="s">
        <v>74</v>
      </c>
      <c r="B351">
        <v>2018</v>
      </c>
      <c r="C351">
        <v>4</v>
      </c>
      <c r="D351">
        <v>2</v>
      </c>
      <c r="E351" t="s">
        <v>49</v>
      </c>
      <c r="F351" t="s">
        <v>52</v>
      </c>
      <c r="G351" t="s">
        <v>103</v>
      </c>
      <c r="H351" t="s">
        <v>57</v>
      </c>
      <c r="I351" t="s">
        <v>88</v>
      </c>
      <c r="J351">
        <v>0</v>
      </c>
      <c r="K351">
        <v>5</v>
      </c>
      <c r="L351">
        <v>0</v>
      </c>
      <c r="M351">
        <v>1</v>
      </c>
      <c r="N351">
        <v>0</v>
      </c>
      <c r="O351">
        <v>0</v>
      </c>
      <c r="P351">
        <v>0</v>
      </c>
      <c r="Q351">
        <v>6</v>
      </c>
      <c r="R351" t="s">
        <v>56</v>
      </c>
      <c r="S351" t="b">
        <v>0</v>
      </c>
      <c r="W351" t="s">
        <v>51</v>
      </c>
    </row>
    <row r="352" spans="1:23" hidden="1" x14ac:dyDescent="0.25">
      <c r="A352" t="s">
        <v>74</v>
      </c>
      <c r="B352">
        <v>2018</v>
      </c>
      <c r="C352">
        <v>4</v>
      </c>
      <c r="D352">
        <v>2</v>
      </c>
      <c r="E352" t="s">
        <v>49</v>
      </c>
      <c r="G352" t="s">
        <v>50</v>
      </c>
      <c r="J352">
        <v>0</v>
      </c>
      <c r="K352">
        <v>0</v>
      </c>
      <c r="L352">
        <v>0</v>
      </c>
      <c r="M352">
        <v>2</v>
      </c>
      <c r="N352">
        <v>1</v>
      </c>
      <c r="O352">
        <v>0</v>
      </c>
      <c r="P352">
        <v>0</v>
      </c>
      <c r="Q352">
        <v>3</v>
      </c>
      <c r="S352" t="b">
        <v>0</v>
      </c>
      <c r="W352" t="s">
        <v>51</v>
      </c>
    </row>
    <row r="353" spans="1:23" hidden="1" x14ac:dyDescent="0.25">
      <c r="A353" t="s">
        <v>74</v>
      </c>
      <c r="B353">
        <v>2018</v>
      </c>
      <c r="C353">
        <v>4</v>
      </c>
      <c r="D353">
        <v>2</v>
      </c>
      <c r="E353" t="s">
        <v>49</v>
      </c>
      <c r="F353" t="s">
        <v>64</v>
      </c>
      <c r="G353" t="s">
        <v>53</v>
      </c>
      <c r="H353" t="s">
        <v>133</v>
      </c>
      <c r="I353" t="s">
        <v>134</v>
      </c>
      <c r="J353">
        <v>0</v>
      </c>
      <c r="K353">
        <v>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1</v>
      </c>
      <c r="R353" t="s">
        <v>56</v>
      </c>
      <c r="S353" t="b">
        <v>0</v>
      </c>
      <c r="W353" t="s">
        <v>51</v>
      </c>
    </row>
    <row r="354" spans="1:23" hidden="1" x14ac:dyDescent="0.25">
      <c r="A354" t="s">
        <v>74</v>
      </c>
      <c r="B354">
        <v>2018</v>
      </c>
      <c r="C354">
        <v>4</v>
      </c>
      <c r="D354">
        <v>2</v>
      </c>
      <c r="E354" t="s">
        <v>49</v>
      </c>
      <c r="F354" t="s">
        <v>82</v>
      </c>
      <c r="G354" t="s">
        <v>99</v>
      </c>
      <c r="H354" t="s">
        <v>54</v>
      </c>
      <c r="I354" t="s">
        <v>55</v>
      </c>
      <c r="J354">
        <v>0</v>
      </c>
      <c r="K354">
        <v>0</v>
      </c>
      <c r="L354">
        <v>0</v>
      </c>
      <c r="M354">
        <v>0</v>
      </c>
      <c r="N354">
        <v>7</v>
      </c>
      <c r="O354">
        <v>7</v>
      </c>
      <c r="P354">
        <v>0</v>
      </c>
      <c r="Q354">
        <v>14</v>
      </c>
      <c r="R354" t="s">
        <v>56</v>
      </c>
      <c r="S354" t="b">
        <v>0</v>
      </c>
      <c r="W354" t="s">
        <v>51</v>
      </c>
    </row>
    <row r="355" spans="1:23" hidden="1" x14ac:dyDescent="0.25">
      <c r="A355" t="s">
        <v>48</v>
      </c>
      <c r="B355">
        <v>2018</v>
      </c>
      <c r="C355">
        <v>4</v>
      </c>
      <c r="D355">
        <v>2</v>
      </c>
      <c r="E355" t="s">
        <v>49</v>
      </c>
      <c r="F355" t="s">
        <v>52</v>
      </c>
      <c r="G355" t="s">
        <v>103</v>
      </c>
      <c r="H355" t="s">
        <v>54</v>
      </c>
      <c r="I355" t="s">
        <v>55</v>
      </c>
      <c r="J355">
        <v>0</v>
      </c>
      <c r="K355">
        <v>0</v>
      </c>
      <c r="L355">
        <v>0</v>
      </c>
      <c r="M355">
        <v>6</v>
      </c>
      <c r="N355">
        <v>8</v>
      </c>
      <c r="O355">
        <v>0</v>
      </c>
      <c r="P355">
        <v>0</v>
      </c>
      <c r="Q355">
        <v>14</v>
      </c>
      <c r="R355" t="s">
        <v>56</v>
      </c>
      <c r="S355" t="b">
        <v>0</v>
      </c>
      <c r="W355" t="s">
        <v>51</v>
      </c>
    </row>
    <row r="356" spans="1:23" hidden="1" x14ac:dyDescent="0.25">
      <c r="A356" t="s">
        <v>48</v>
      </c>
      <c r="B356">
        <v>2018</v>
      </c>
      <c r="C356">
        <v>4</v>
      </c>
      <c r="D356">
        <v>2</v>
      </c>
      <c r="E356" t="s">
        <v>49</v>
      </c>
      <c r="F356" t="s">
        <v>52</v>
      </c>
      <c r="G356" t="s">
        <v>99</v>
      </c>
      <c r="H356" t="s">
        <v>54</v>
      </c>
      <c r="I356" t="s">
        <v>55</v>
      </c>
      <c r="J356">
        <v>0</v>
      </c>
      <c r="K356">
        <v>8</v>
      </c>
      <c r="L356">
        <v>3</v>
      </c>
      <c r="M356">
        <v>2</v>
      </c>
      <c r="N356">
        <v>0</v>
      </c>
      <c r="O356">
        <v>8</v>
      </c>
      <c r="P356">
        <v>0</v>
      </c>
      <c r="Q356">
        <v>21</v>
      </c>
      <c r="R356" t="s">
        <v>56</v>
      </c>
      <c r="S356" t="b">
        <v>0</v>
      </c>
      <c r="W356" t="s">
        <v>51</v>
      </c>
    </row>
    <row r="357" spans="1:23" hidden="1" x14ac:dyDescent="0.25">
      <c r="A357" t="s">
        <v>48</v>
      </c>
      <c r="B357">
        <v>2018</v>
      </c>
      <c r="C357">
        <v>4</v>
      </c>
      <c r="D357">
        <v>2</v>
      </c>
      <c r="E357" t="s">
        <v>49</v>
      </c>
      <c r="F357" t="s">
        <v>52</v>
      </c>
      <c r="G357" t="s">
        <v>99</v>
      </c>
      <c r="H357" t="s">
        <v>57</v>
      </c>
      <c r="I357" t="s">
        <v>85</v>
      </c>
      <c r="J357">
        <v>0</v>
      </c>
      <c r="K357">
        <v>0</v>
      </c>
      <c r="L357">
        <v>5</v>
      </c>
      <c r="M357">
        <v>0</v>
      </c>
      <c r="N357">
        <v>0</v>
      </c>
      <c r="O357">
        <v>0</v>
      </c>
      <c r="P357">
        <v>0</v>
      </c>
      <c r="Q357">
        <v>5</v>
      </c>
      <c r="R357" t="s">
        <v>56</v>
      </c>
      <c r="S357" t="b">
        <v>0</v>
      </c>
      <c r="W357" t="s">
        <v>51</v>
      </c>
    </row>
    <row r="358" spans="1:23" hidden="1" x14ac:dyDescent="0.25">
      <c r="A358" t="s">
        <v>60</v>
      </c>
      <c r="B358">
        <v>2018</v>
      </c>
      <c r="C358">
        <v>4</v>
      </c>
      <c r="D358">
        <v>2</v>
      </c>
      <c r="E358" t="s">
        <v>49</v>
      </c>
      <c r="F358" t="s">
        <v>52</v>
      </c>
      <c r="G358" t="s">
        <v>103</v>
      </c>
      <c r="H358" t="s">
        <v>57</v>
      </c>
      <c r="I358" t="s">
        <v>61</v>
      </c>
      <c r="J358">
        <v>0</v>
      </c>
      <c r="K358">
        <v>8</v>
      </c>
      <c r="L358">
        <v>8</v>
      </c>
      <c r="M358">
        <v>0</v>
      </c>
      <c r="N358">
        <v>0</v>
      </c>
      <c r="O358">
        <v>0</v>
      </c>
      <c r="P358">
        <v>0</v>
      </c>
      <c r="Q358">
        <v>16</v>
      </c>
      <c r="R358" t="s">
        <v>56</v>
      </c>
      <c r="S358" t="b">
        <v>0</v>
      </c>
      <c r="W358" t="s">
        <v>51</v>
      </c>
    </row>
    <row r="359" spans="1:23" hidden="1" x14ac:dyDescent="0.25">
      <c r="A359" t="s">
        <v>79</v>
      </c>
      <c r="B359">
        <v>2018</v>
      </c>
      <c r="C359">
        <v>4</v>
      </c>
      <c r="D359">
        <v>2</v>
      </c>
      <c r="E359" t="s">
        <v>49</v>
      </c>
      <c r="G359" t="s">
        <v>50</v>
      </c>
      <c r="J359">
        <v>0</v>
      </c>
      <c r="K359">
        <v>0</v>
      </c>
      <c r="L359">
        <v>1.5</v>
      </c>
      <c r="M359">
        <v>0.5</v>
      </c>
      <c r="N359">
        <v>1</v>
      </c>
      <c r="O359">
        <v>0</v>
      </c>
      <c r="P359">
        <v>0</v>
      </c>
      <c r="Q359">
        <v>3</v>
      </c>
      <c r="S359" t="b">
        <v>0</v>
      </c>
      <c r="W359" t="s">
        <v>51</v>
      </c>
    </row>
    <row r="360" spans="1:23" x14ac:dyDescent="0.25">
      <c r="A360" t="s">
        <v>60</v>
      </c>
      <c r="B360">
        <v>2018</v>
      </c>
      <c r="C360">
        <v>6</v>
      </c>
      <c r="D360">
        <v>3</v>
      </c>
      <c r="E360" t="s">
        <v>49</v>
      </c>
      <c r="F360" t="s">
        <v>64</v>
      </c>
      <c r="G360" t="s">
        <v>78</v>
      </c>
      <c r="H360" t="s">
        <v>57</v>
      </c>
      <c r="I360" t="s">
        <v>61</v>
      </c>
      <c r="J360">
        <v>0</v>
      </c>
      <c r="K360">
        <v>8</v>
      </c>
      <c r="L360">
        <v>8</v>
      </c>
      <c r="M360">
        <v>8</v>
      </c>
      <c r="N360">
        <v>8</v>
      </c>
      <c r="O360">
        <v>8</v>
      </c>
      <c r="P360">
        <v>0</v>
      </c>
      <c r="Q360">
        <v>40</v>
      </c>
      <c r="R360" t="s">
        <v>56</v>
      </c>
      <c r="S360" t="b">
        <v>0</v>
      </c>
      <c r="W360" t="s">
        <v>51</v>
      </c>
    </row>
    <row r="361" spans="1:23" x14ac:dyDescent="0.25">
      <c r="A361" t="s">
        <v>74</v>
      </c>
      <c r="B361">
        <v>2018</v>
      </c>
      <c r="C361">
        <v>6</v>
      </c>
      <c r="D361">
        <v>2</v>
      </c>
      <c r="E361" t="s">
        <v>49</v>
      </c>
      <c r="F361" t="s">
        <v>52</v>
      </c>
      <c r="G361" t="s">
        <v>78</v>
      </c>
      <c r="H361" t="s">
        <v>57</v>
      </c>
      <c r="I361" t="s">
        <v>61</v>
      </c>
      <c r="J361">
        <v>0</v>
      </c>
      <c r="K361">
        <v>0</v>
      </c>
      <c r="L361">
        <v>0</v>
      </c>
      <c r="M361">
        <v>0</v>
      </c>
      <c r="N361">
        <v>4</v>
      </c>
      <c r="O361">
        <v>8</v>
      </c>
      <c r="P361">
        <v>0</v>
      </c>
      <c r="Q361">
        <v>12</v>
      </c>
      <c r="R361" t="s">
        <v>56</v>
      </c>
      <c r="S361" t="b">
        <v>0</v>
      </c>
      <c r="W361" t="s">
        <v>51</v>
      </c>
    </row>
    <row r="362" spans="1:23" x14ac:dyDescent="0.25">
      <c r="A362" t="s">
        <v>74</v>
      </c>
      <c r="B362">
        <v>2018</v>
      </c>
      <c r="C362">
        <v>6</v>
      </c>
      <c r="D362">
        <v>2</v>
      </c>
      <c r="E362" t="s">
        <v>49</v>
      </c>
      <c r="F362" t="s">
        <v>52</v>
      </c>
      <c r="G362" t="s">
        <v>78</v>
      </c>
      <c r="H362" t="s">
        <v>57</v>
      </c>
      <c r="I362" t="s">
        <v>88</v>
      </c>
      <c r="J362">
        <v>0</v>
      </c>
      <c r="K362">
        <v>6</v>
      </c>
      <c r="L362">
        <v>6</v>
      </c>
      <c r="M362">
        <v>0</v>
      </c>
      <c r="N362">
        <v>0</v>
      </c>
      <c r="O362">
        <v>0</v>
      </c>
      <c r="P362">
        <v>0</v>
      </c>
      <c r="Q362">
        <v>12</v>
      </c>
      <c r="R362" t="s">
        <v>56</v>
      </c>
      <c r="S362" t="b">
        <v>0</v>
      </c>
      <c r="W362" t="s">
        <v>51</v>
      </c>
    </row>
    <row r="363" spans="1:23" x14ac:dyDescent="0.25">
      <c r="A363" t="s">
        <v>60</v>
      </c>
      <c r="B363">
        <v>2018</v>
      </c>
      <c r="C363">
        <v>6</v>
      </c>
      <c r="D363">
        <v>2</v>
      </c>
      <c r="E363" t="s">
        <v>49</v>
      </c>
      <c r="F363" t="s">
        <v>64</v>
      </c>
      <c r="G363" t="s">
        <v>78</v>
      </c>
      <c r="H363" t="s">
        <v>57</v>
      </c>
      <c r="I363" t="s">
        <v>61</v>
      </c>
      <c r="J363">
        <v>0</v>
      </c>
      <c r="K363">
        <v>8</v>
      </c>
      <c r="L363">
        <v>8</v>
      </c>
      <c r="M363">
        <v>8</v>
      </c>
      <c r="N363">
        <v>8</v>
      </c>
      <c r="O363">
        <v>8</v>
      </c>
      <c r="P363">
        <v>0</v>
      </c>
      <c r="Q363">
        <v>40</v>
      </c>
      <c r="R363" t="s">
        <v>56</v>
      </c>
      <c r="S363" t="b">
        <v>0</v>
      </c>
      <c r="W363" t="s">
        <v>51</v>
      </c>
    </row>
    <row r="364" spans="1:23" x14ac:dyDescent="0.25">
      <c r="A364" t="s">
        <v>60</v>
      </c>
      <c r="B364">
        <v>2018</v>
      </c>
      <c r="C364">
        <v>6</v>
      </c>
      <c r="D364">
        <v>1</v>
      </c>
      <c r="E364" t="s">
        <v>49</v>
      </c>
      <c r="F364" t="s">
        <v>64</v>
      </c>
      <c r="G364" t="s">
        <v>78</v>
      </c>
      <c r="H364" t="s">
        <v>57</v>
      </c>
      <c r="I364" t="s">
        <v>61</v>
      </c>
      <c r="J364">
        <v>0</v>
      </c>
      <c r="K364">
        <v>8</v>
      </c>
      <c r="L364">
        <v>8</v>
      </c>
      <c r="M364">
        <v>8</v>
      </c>
      <c r="N364">
        <v>8</v>
      </c>
      <c r="O364">
        <v>8</v>
      </c>
      <c r="P364">
        <v>0</v>
      </c>
      <c r="Q364">
        <v>40</v>
      </c>
      <c r="R364" t="s">
        <v>56</v>
      </c>
      <c r="S364" t="b">
        <v>0</v>
      </c>
      <c r="W364" t="s">
        <v>51</v>
      </c>
    </row>
    <row r="365" spans="1:23" hidden="1" x14ac:dyDescent="0.25">
      <c r="A365" t="s">
        <v>79</v>
      </c>
      <c r="B365">
        <v>2018</v>
      </c>
      <c r="C365">
        <v>4</v>
      </c>
      <c r="D365">
        <v>2</v>
      </c>
      <c r="E365" t="s">
        <v>49</v>
      </c>
      <c r="F365" t="s">
        <v>71</v>
      </c>
      <c r="G365" t="s">
        <v>99</v>
      </c>
      <c r="H365" t="s">
        <v>57</v>
      </c>
      <c r="I365" t="s">
        <v>81</v>
      </c>
      <c r="J365">
        <v>0</v>
      </c>
      <c r="K365">
        <v>2</v>
      </c>
      <c r="L365">
        <v>2</v>
      </c>
      <c r="M365">
        <v>2</v>
      </c>
      <c r="N365">
        <v>1</v>
      </c>
      <c r="O365">
        <v>0</v>
      </c>
      <c r="P365">
        <v>0</v>
      </c>
      <c r="Q365">
        <v>7</v>
      </c>
      <c r="R365" t="s">
        <v>56</v>
      </c>
      <c r="S365" t="b">
        <v>0</v>
      </c>
      <c r="W365" t="s">
        <v>51</v>
      </c>
    </row>
    <row r="366" spans="1:23" hidden="1" x14ac:dyDescent="0.25">
      <c r="A366" t="s">
        <v>79</v>
      </c>
      <c r="B366">
        <v>2018</v>
      </c>
      <c r="C366">
        <v>4</v>
      </c>
      <c r="D366">
        <v>2</v>
      </c>
      <c r="E366" t="s">
        <v>49</v>
      </c>
      <c r="G366" t="s">
        <v>62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8</v>
      </c>
      <c r="P366">
        <v>0</v>
      </c>
      <c r="Q366">
        <v>8</v>
      </c>
      <c r="S366" t="b">
        <v>0</v>
      </c>
      <c r="W366" t="s">
        <v>51</v>
      </c>
    </row>
    <row r="367" spans="1:23" hidden="1" x14ac:dyDescent="0.25">
      <c r="A367" t="s">
        <v>79</v>
      </c>
      <c r="B367">
        <v>2018</v>
      </c>
      <c r="C367">
        <v>4</v>
      </c>
      <c r="D367">
        <v>2</v>
      </c>
      <c r="E367" t="s">
        <v>49</v>
      </c>
      <c r="F367" t="s">
        <v>52</v>
      </c>
      <c r="G367" t="s">
        <v>103</v>
      </c>
      <c r="H367" t="s">
        <v>57</v>
      </c>
      <c r="I367" t="s">
        <v>58</v>
      </c>
      <c r="J367">
        <v>0</v>
      </c>
      <c r="K367">
        <v>0</v>
      </c>
      <c r="L367">
        <v>0</v>
      </c>
      <c r="M367">
        <v>4.5</v>
      </c>
      <c r="N367">
        <v>6</v>
      </c>
      <c r="O367">
        <v>0</v>
      </c>
      <c r="P367">
        <v>0</v>
      </c>
      <c r="Q367">
        <v>10.5</v>
      </c>
      <c r="R367" t="s">
        <v>56</v>
      </c>
      <c r="S367" t="b">
        <v>0</v>
      </c>
      <c r="W367" t="s">
        <v>51</v>
      </c>
    </row>
    <row r="368" spans="1:23" hidden="1" x14ac:dyDescent="0.25">
      <c r="A368" t="s">
        <v>63</v>
      </c>
      <c r="B368">
        <v>2018</v>
      </c>
      <c r="C368">
        <v>4</v>
      </c>
      <c r="D368">
        <v>1</v>
      </c>
      <c r="E368" t="s">
        <v>49</v>
      </c>
      <c r="F368" t="s">
        <v>71</v>
      </c>
      <c r="G368" t="s">
        <v>99</v>
      </c>
      <c r="H368" t="s">
        <v>57</v>
      </c>
      <c r="I368" t="s">
        <v>55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3</v>
      </c>
      <c r="P368">
        <v>0</v>
      </c>
      <c r="Q368">
        <v>3</v>
      </c>
      <c r="R368" t="s">
        <v>56</v>
      </c>
      <c r="S368" t="b">
        <v>0</v>
      </c>
      <c r="W368" t="s">
        <v>51</v>
      </c>
    </row>
    <row r="369" spans="1:23" hidden="1" x14ac:dyDescent="0.25">
      <c r="A369" t="s">
        <v>63</v>
      </c>
      <c r="B369">
        <v>2018</v>
      </c>
      <c r="C369">
        <v>4</v>
      </c>
      <c r="D369">
        <v>1</v>
      </c>
      <c r="E369" t="s">
        <v>49</v>
      </c>
      <c r="G369" t="s">
        <v>73</v>
      </c>
      <c r="J369">
        <v>0</v>
      </c>
      <c r="K369">
        <v>0</v>
      </c>
      <c r="L369">
        <v>0</v>
      </c>
      <c r="M369">
        <v>0</v>
      </c>
      <c r="N369">
        <v>2</v>
      </c>
      <c r="O369">
        <v>0</v>
      </c>
      <c r="P369">
        <v>0</v>
      </c>
      <c r="Q369">
        <v>2</v>
      </c>
      <c r="S369" t="b">
        <v>0</v>
      </c>
      <c r="W369" t="s">
        <v>51</v>
      </c>
    </row>
    <row r="370" spans="1:23" x14ac:dyDescent="0.25">
      <c r="A370" t="s">
        <v>74</v>
      </c>
      <c r="B370">
        <v>2018</v>
      </c>
      <c r="C370">
        <v>5</v>
      </c>
      <c r="D370">
        <v>4</v>
      </c>
      <c r="E370" t="s">
        <v>49</v>
      </c>
      <c r="F370" t="s">
        <v>52</v>
      </c>
      <c r="G370" t="s">
        <v>78</v>
      </c>
      <c r="H370" t="s">
        <v>57</v>
      </c>
      <c r="I370" t="s">
        <v>88</v>
      </c>
      <c r="J370">
        <v>0</v>
      </c>
      <c r="K370">
        <v>4</v>
      </c>
      <c r="L370">
        <v>4</v>
      </c>
      <c r="M370">
        <v>0</v>
      </c>
      <c r="N370">
        <v>8</v>
      </c>
      <c r="O370">
        <v>0</v>
      </c>
      <c r="P370">
        <v>0</v>
      </c>
      <c r="Q370">
        <v>16</v>
      </c>
      <c r="R370" t="s">
        <v>56</v>
      </c>
      <c r="S370" t="b">
        <v>0</v>
      </c>
      <c r="W370" t="s">
        <v>51</v>
      </c>
    </row>
    <row r="371" spans="1:23" x14ac:dyDescent="0.25">
      <c r="A371" t="s">
        <v>60</v>
      </c>
      <c r="B371">
        <v>2018</v>
      </c>
      <c r="C371">
        <v>5</v>
      </c>
      <c r="D371">
        <v>4</v>
      </c>
      <c r="E371" t="s">
        <v>49</v>
      </c>
      <c r="F371" t="s">
        <v>64</v>
      </c>
      <c r="G371" t="s">
        <v>78</v>
      </c>
      <c r="H371" t="s">
        <v>57</v>
      </c>
      <c r="I371" t="s">
        <v>61</v>
      </c>
      <c r="J371">
        <v>0</v>
      </c>
      <c r="K371">
        <v>8</v>
      </c>
      <c r="L371">
        <v>8</v>
      </c>
      <c r="M371">
        <v>8</v>
      </c>
      <c r="N371">
        <v>8</v>
      </c>
      <c r="O371">
        <v>8</v>
      </c>
      <c r="P371">
        <v>0</v>
      </c>
      <c r="Q371">
        <v>40</v>
      </c>
      <c r="R371" t="s">
        <v>56</v>
      </c>
      <c r="S371" t="b">
        <v>0</v>
      </c>
      <c r="W371" t="s">
        <v>51</v>
      </c>
    </row>
    <row r="372" spans="1:23" hidden="1" x14ac:dyDescent="0.25">
      <c r="A372" t="s">
        <v>102</v>
      </c>
      <c r="B372">
        <v>2018</v>
      </c>
      <c r="C372">
        <v>4</v>
      </c>
      <c r="D372">
        <v>1</v>
      </c>
      <c r="E372" t="s">
        <v>49</v>
      </c>
      <c r="F372" t="s">
        <v>52</v>
      </c>
      <c r="G372" t="s">
        <v>99</v>
      </c>
      <c r="H372" t="s">
        <v>54</v>
      </c>
      <c r="I372" t="s">
        <v>55</v>
      </c>
      <c r="J372">
        <v>0</v>
      </c>
      <c r="K372">
        <v>4</v>
      </c>
      <c r="L372">
        <v>6</v>
      </c>
      <c r="M372">
        <v>6</v>
      </c>
      <c r="N372">
        <v>4</v>
      </c>
      <c r="O372">
        <v>3</v>
      </c>
      <c r="P372">
        <v>0</v>
      </c>
      <c r="Q372">
        <v>23</v>
      </c>
      <c r="R372" t="s">
        <v>56</v>
      </c>
      <c r="S372" t="b">
        <v>0</v>
      </c>
      <c r="W372" t="s">
        <v>51</v>
      </c>
    </row>
    <row r="373" spans="1:23" x14ac:dyDescent="0.25">
      <c r="A373" t="s">
        <v>69</v>
      </c>
      <c r="B373">
        <v>2018</v>
      </c>
      <c r="C373">
        <v>5</v>
      </c>
      <c r="D373">
        <v>3</v>
      </c>
      <c r="E373" t="s">
        <v>49</v>
      </c>
      <c r="F373" t="s">
        <v>64</v>
      </c>
      <c r="G373" t="s">
        <v>78</v>
      </c>
      <c r="H373" t="s">
        <v>57</v>
      </c>
      <c r="I373" t="s">
        <v>108</v>
      </c>
      <c r="J373">
        <v>0</v>
      </c>
      <c r="K373">
        <v>6.5</v>
      </c>
      <c r="L373">
        <v>4.5</v>
      </c>
      <c r="M373">
        <v>0</v>
      </c>
      <c r="N373">
        <v>0</v>
      </c>
      <c r="O373">
        <v>0</v>
      </c>
      <c r="P373">
        <v>0</v>
      </c>
      <c r="Q373">
        <v>11</v>
      </c>
      <c r="R373" t="s">
        <v>56</v>
      </c>
      <c r="S373" t="b">
        <v>0</v>
      </c>
      <c r="W373" t="s">
        <v>51</v>
      </c>
    </row>
    <row r="374" spans="1:23" x14ac:dyDescent="0.25">
      <c r="A374" t="s">
        <v>74</v>
      </c>
      <c r="B374">
        <v>2018</v>
      </c>
      <c r="C374">
        <v>5</v>
      </c>
      <c r="D374">
        <v>3</v>
      </c>
      <c r="E374" t="s">
        <v>49</v>
      </c>
      <c r="F374" t="s">
        <v>52</v>
      </c>
      <c r="G374" t="s">
        <v>78</v>
      </c>
      <c r="H374" t="s">
        <v>57</v>
      </c>
      <c r="I374" t="s">
        <v>88</v>
      </c>
      <c r="J374">
        <v>0</v>
      </c>
      <c r="K374">
        <v>0</v>
      </c>
      <c r="L374">
        <v>0</v>
      </c>
      <c r="M374">
        <v>0</v>
      </c>
      <c r="N374">
        <v>6</v>
      </c>
      <c r="O374">
        <v>8</v>
      </c>
      <c r="P374">
        <v>0</v>
      </c>
      <c r="Q374">
        <v>14</v>
      </c>
      <c r="R374" t="s">
        <v>56</v>
      </c>
      <c r="S374" t="b">
        <v>0</v>
      </c>
      <c r="W374" t="s">
        <v>51</v>
      </c>
    </row>
    <row r="375" spans="1:23" hidden="1" x14ac:dyDescent="0.25">
      <c r="A375" t="s">
        <v>74</v>
      </c>
      <c r="B375">
        <v>2018</v>
      </c>
      <c r="C375">
        <v>4</v>
      </c>
      <c r="D375">
        <v>1</v>
      </c>
      <c r="E375" t="s">
        <v>49</v>
      </c>
      <c r="F375" t="s">
        <v>67</v>
      </c>
      <c r="G375" t="s">
        <v>53</v>
      </c>
      <c r="H375" t="s">
        <v>15</v>
      </c>
      <c r="I375" t="s">
        <v>87</v>
      </c>
      <c r="J375">
        <v>0</v>
      </c>
      <c r="K375">
        <v>0</v>
      </c>
      <c r="L375">
        <v>0</v>
      </c>
      <c r="M375">
        <v>0</v>
      </c>
      <c r="N375">
        <v>3</v>
      </c>
      <c r="O375">
        <v>0</v>
      </c>
      <c r="P375">
        <v>0</v>
      </c>
      <c r="Q375">
        <v>3</v>
      </c>
      <c r="R375" t="s">
        <v>56</v>
      </c>
      <c r="S375" t="b">
        <v>0</v>
      </c>
      <c r="W375" t="s">
        <v>51</v>
      </c>
    </row>
    <row r="376" spans="1:23" hidden="1" x14ac:dyDescent="0.25">
      <c r="A376" t="s">
        <v>74</v>
      </c>
      <c r="B376">
        <v>2018</v>
      </c>
      <c r="C376">
        <v>4</v>
      </c>
      <c r="D376">
        <v>1</v>
      </c>
      <c r="E376" t="s">
        <v>49</v>
      </c>
      <c r="G376" t="s">
        <v>50</v>
      </c>
      <c r="J376">
        <v>0</v>
      </c>
      <c r="K376">
        <v>0</v>
      </c>
      <c r="L376">
        <v>1.5</v>
      </c>
      <c r="M376">
        <v>0</v>
      </c>
      <c r="N376">
        <v>0</v>
      </c>
      <c r="O376">
        <v>1</v>
      </c>
      <c r="P376">
        <v>0</v>
      </c>
      <c r="Q376">
        <v>2.5</v>
      </c>
      <c r="S376" t="b">
        <v>0</v>
      </c>
      <c r="W376" t="s">
        <v>51</v>
      </c>
    </row>
    <row r="377" spans="1:23" x14ac:dyDescent="0.25">
      <c r="A377" t="s">
        <v>60</v>
      </c>
      <c r="B377">
        <v>2018</v>
      </c>
      <c r="C377">
        <v>5</v>
      </c>
      <c r="D377">
        <v>3</v>
      </c>
      <c r="E377" t="s">
        <v>49</v>
      </c>
      <c r="F377" t="s">
        <v>64</v>
      </c>
      <c r="G377" t="s">
        <v>78</v>
      </c>
      <c r="H377" t="s">
        <v>57</v>
      </c>
      <c r="I377" t="s">
        <v>61</v>
      </c>
      <c r="J377">
        <v>0</v>
      </c>
      <c r="K377">
        <v>8</v>
      </c>
      <c r="L377">
        <v>8</v>
      </c>
      <c r="M377">
        <v>0</v>
      </c>
      <c r="N377">
        <v>0</v>
      </c>
      <c r="O377">
        <v>0</v>
      </c>
      <c r="P377">
        <v>0</v>
      </c>
      <c r="Q377">
        <v>16</v>
      </c>
      <c r="R377" t="s">
        <v>56</v>
      </c>
      <c r="S377" t="b">
        <v>0</v>
      </c>
      <c r="W377" t="s">
        <v>51</v>
      </c>
    </row>
    <row r="378" spans="1:23" x14ac:dyDescent="0.25">
      <c r="A378" t="s">
        <v>79</v>
      </c>
      <c r="B378">
        <v>2018</v>
      </c>
      <c r="C378">
        <v>5</v>
      </c>
      <c r="D378">
        <v>3</v>
      </c>
      <c r="E378" t="s">
        <v>49</v>
      </c>
      <c r="F378" t="s">
        <v>82</v>
      </c>
      <c r="G378" t="s">
        <v>78</v>
      </c>
      <c r="H378" t="s">
        <v>57</v>
      </c>
      <c r="I378" t="s">
        <v>81</v>
      </c>
      <c r="J378">
        <v>0</v>
      </c>
      <c r="K378">
        <v>2</v>
      </c>
      <c r="L378">
        <v>1</v>
      </c>
      <c r="M378">
        <v>1</v>
      </c>
      <c r="N378">
        <v>0</v>
      </c>
      <c r="O378">
        <v>0</v>
      </c>
      <c r="P378">
        <v>0</v>
      </c>
      <c r="Q378">
        <v>4</v>
      </c>
      <c r="R378" t="s">
        <v>56</v>
      </c>
      <c r="S378" t="b">
        <v>0</v>
      </c>
      <c r="W378" t="s">
        <v>51</v>
      </c>
    </row>
    <row r="379" spans="1:23" x14ac:dyDescent="0.25">
      <c r="A379" t="s">
        <v>69</v>
      </c>
      <c r="B379">
        <v>2018</v>
      </c>
      <c r="C379">
        <v>5</v>
      </c>
      <c r="D379">
        <v>2</v>
      </c>
      <c r="E379" t="s">
        <v>49</v>
      </c>
      <c r="F379" t="s">
        <v>64</v>
      </c>
      <c r="G379" t="s">
        <v>78</v>
      </c>
      <c r="H379" t="s">
        <v>57</v>
      </c>
      <c r="I379" t="s">
        <v>108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2</v>
      </c>
      <c r="P379">
        <v>0</v>
      </c>
      <c r="Q379">
        <v>2</v>
      </c>
      <c r="R379" t="s">
        <v>56</v>
      </c>
      <c r="S379" t="b">
        <v>0</v>
      </c>
      <c r="W379" t="s">
        <v>51</v>
      </c>
    </row>
    <row r="380" spans="1:23" x14ac:dyDescent="0.25">
      <c r="A380" t="s">
        <v>102</v>
      </c>
      <c r="B380">
        <v>2018</v>
      </c>
      <c r="C380">
        <v>5</v>
      </c>
      <c r="D380">
        <v>2</v>
      </c>
      <c r="E380" t="s">
        <v>49</v>
      </c>
      <c r="F380" t="s">
        <v>52</v>
      </c>
      <c r="G380" t="s">
        <v>78</v>
      </c>
      <c r="H380" t="s">
        <v>57</v>
      </c>
      <c r="I380" t="s">
        <v>58</v>
      </c>
      <c r="J380">
        <v>0</v>
      </c>
      <c r="K380">
        <v>0</v>
      </c>
      <c r="L380">
        <v>0</v>
      </c>
      <c r="M380">
        <v>0</v>
      </c>
      <c r="N380">
        <v>5</v>
      </c>
      <c r="O380">
        <v>6</v>
      </c>
      <c r="P380">
        <v>0</v>
      </c>
      <c r="Q380">
        <v>11</v>
      </c>
      <c r="R380" t="s">
        <v>56</v>
      </c>
      <c r="S380" t="b">
        <v>0</v>
      </c>
      <c r="W380" t="s">
        <v>51</v>
      </c>
    </row>
    <row r="381" spans="1:23" hidden="1" x14ac:dyDescent="0.25">
      <c r="A381" t="s">
        <v>48</v>
      </c>
      <c r="B381">
        <v>2018</v>
      </c>
      <c r="C381">
        <v>4</v>
      </c>
      <c r="D381">
        <v>1</v>
      </c>
      <c r="E381" t="s">
        <v>49</v>
      </c>
      <c r="F381" t="s">
        <v>52</v>
      </c>
      <c r="G381" t="s">
        <v>99</v>
      </c>
      <c r="H381" t="s">
        <v>57</v>
      </c>
      <c r="I381" t="s">
        <v>85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2</v>
      </c>
      <c r="P381">
        <v>0</v>
      </c>
      <c r="Q381">
        <v>2</v>
      </c>
      <c r="R381" t="s">
        <v>56</v>
      </c>
      <c r="S381" t="b">
        <v>0</v>
      </c>
      <c r="W381" t="s">
        <v>51</v>
      </c>
    </row>
    <row r="382" spans="1:23" hidden="1" x14ac:dyDescent="0.25">
      <c r="A382" t="s">
        <v>48</v>
      </c>
      <c r="B382">
        <v>2018</v>
      </c>
      <c r="C382">
        <v>4</v>
      </c>
      <c r="D382">
        <v>1</v>
      </c>
      <c r="E382" t="s">
        <v>49</v>
      </c>
      <c r="F382" t="s">
        <v>52</v>
      </c>
      <c r="G382" t="s">
        <v>99</v>
      </c>
      <c r="H382" t="s">
        <v>54</v>
      </c>
      <c r="I382" t="s">
        <v>55</v>
      </c>
      <c r="J382">
        <v>0</v>
      </c>
      <c r="K382">
        <v>8</v>
      </c>
      <c r="L382">
        <v>8</v>
      </c>
      <c r="M382">
        <v>8</v>
      </c>
      <c r="N382">
        <v>6</v>
      </c>
      <c r="O382">
        <v>6</v>
      </c>
      <c r="P382">
        <v>0</v>
      </c>
      <c r="Q382">
        <v>36</v>
      </c>
      <c r="R382" t="s">
        <v>56</v>
      </c>
      <c r="S382" t="b">
        <v>0</v>
      </c>
      <c r="W382" t="s">
        <v>51</v>
      </c>
    </row>
    <row r="383" spans="1:23" x14ac:dyDescent="0.25">
      <c r="A383" t="s">
        <v>102</v>
      </c>
      <c r="B383">
        <v>2018</v>
      </c>
      <c r="C383">
        <v>5</v>
      </c>
      <c r="D383">
        <v>2</v>
      </c>
      <c r="E383" t="s">
        <v>49</v>
      </c>
      <c r="F383" t="s">
        <v>82</v>
      </c>
      <c r="G383" t="s">
        <v>78</v>
      </c>
      <c r="H383" t="s">
        <v>57</v>
      </c>
      <c r="I383" t="s">
        <v>110</v>
      </c>
      <c r="J383">
        <v>0</v>
      </c>
      <c r="K383">
        <v>0</v>
      </c>
      <c r="L383">
        <v>4</v>
      </c>
      <c r="M383">
        <v>0</v>
      </c>
      <c r="N383">
        <v>0</v>
      </c>
      <c r="O383">
        <v>0</v>
      </c>
      <c r="P383">
        <v>0</v>
      </c>
      <c r="Q383">
        <v>4</v>
      </c>
      <c r="R383" t="s">
        <v>56</v>
      </c>
      <c r="S383" t="b">
        <v>0</v>
      </c>
      <c r="W383" t="s">
        <v>51</v>
      </c>
    </row>
    <row r="384" spans="1:23" hidden="1" x14ac:dyDescent="0.25">
      <c r="A384" t="s">
        <v>48</v>
      </c>
      <c r="B384">
        <v>2018</v>
      </c>
      <c r="C384">
        <v>4</v>
      </c>
      <c r="D384">
        <v>1</v>
      </c>
      <c r="E384" t="s">
        <v>49</v>
      </c>
      <c r="G384" t="s">
        <v>50</v>
      </c>
      <c r="J384">
        <v>0</v>
      </c>
      <c r="K384">
        <v>0</v>
      </c>
      <c r="L384">
        <v>0</v>
      </c>
      <c r="M384">
        <v>0</v>
      </c>
      <c r="N384">
        <v>1</v>
      </c>
      <c r="O384">
        <v>0</v>
      </c>
      <c r="P384">
        <v>0</v>
      </c>
      <c r="Q384">
        <v>1</v>
      </c>
      <c r="S384" t="b">
        <v>0</v>
      </c>
      <c r="W384" t="s">
        <v>51</v>
      </c>
    </row>
    <row r="385" spans="1:23" hidden="1" x14ac:dyDescent="0.25">
      <c r="A385" t="s">
        <v>60</v>
      </c>
      <c r="B385">
        <v>2018</v>
      </c>
      <c r="C385">
        <v>4</v>
      </c>
      <c r="D385">
        <v>1</v>
      </c>
      <c r="E385" t="s">
        <v>49</v>
      </c>
      <c r="G385" t="s">
        <v>62</v>
      </c>
      <c r="J385">
        <v>0</v>
      </c>
      <c r="K385">
        <v>8</v>
      </c>
      <c r="L385">
        <v>0</v>
      </c>
      <c r="M385">
        <v>0</v>
      </c>
      <c r="N385">
        <v>8</v>
      </c>
      <c r="O385">
        <v>0</v>
      </c>
      <c r="P385">
        <v>0</v>
      </c>
      <c r="Q385">
        <v>16</v>
      </c>
      <c r="S385" t="b">
        <v>0</v>
      </c>
      <c r="W385" t="s">
        <v>51</v>
      </c>
    </row>
    <row r="386" spans="1:23" hidden="1" x14ac:dyDescent="0.25">
      <c r="A386" t="s">
        <v>60</v>
      </c>
      <c r="B386">
        <v>2018</v>
      </c>
      <c r="C386">
        <v>4</v>
      </c>
      <c r="D386">
        <v>1</v>
      </c>
      <c r="E386" t="s">
        <v>49</v>
      </c>
      <c r="F386" t="s">
        <v>52</v>
      </c>
      <c r="G386" t="s">
        <v>103</v>
      </c>
      <c r="H386" t="s">
        <v>57</v>
      </c>
      <c r="I386" t="s">
        <v>61</v>
      </c>
      <c r="J386">
        <v>0</v>
      </c>
      <c r="K386">
        <v>0</v>
      </c>
      <c r="L386">
        <v>8</v>
      </c>
      <c r="M386">
        <v>8</v>
      </c>
      <c r="N386">
        <v>0</v>
      </c>
      <c r="O386">
        <v>8</v>
      </c>
      <c r="P386">
        <v>0</v>
      </c>
      <c r="Q386">
        <v>24</v>
      </c>
      <c r="R386" t="s">
        <v>56</v>
      </c>
      <c r="S386" t="b">
        <v>0</v>
      </c>
      <c r="W386" t="s">
        <v>51</v>
      </c>
    </row>
    <row r="387" spans="1:23" x14ac:dyDescent="0.25">
      <c r="A387" t="s">
        <v>102</v>
      </c>
      <c r="B387">
        <v>2018</v>
      </c>
      <c r="C387">
        <v>5</v>
      </c>
      <c r="D387">
        <v>2</v>
      </c>
      <c r="E387" t="s">
        <v>49</v>
      </c>
      <c r="F387" t="s">
        <v>67</v>
      </c>
      <c r="G387" t="s">
        <v>78</v>
      </c>
      <c r="H387" t="s">
        <v>57</v>
      </c>
      <c r="I387" t="s">
        <v>55</v>
      </c>
      <c r="J387">
        <v>0</v>
      </c>
      <c r="K387">
        <v>0</v>
      </c>
      <c r="L387">
        <v>1</v>
      </c>
      <c r="M387">
        <v>8</v>
      </c>
      <c r="N387">
        <v>1</v>
      </c>
      <c r="O387">
        <v>0</v>
      </c>
      <c r="P387">
        <v>0</v>
      </c>
      <c r="Q387">
        <v>10</v>
      </c>
      <c r="R387" t="s">
        <v>56</v>
      </c>
      <c r="S387" t="b">
        <v>0</v>
      </c>
      <c r="W387" t="s">
        <v>51</v>
      </c>
    </row>
    <row r="388" spans="1:23" x14ac:dyDescent="0.25">
      <c r="A388" t="s">
        <v>74</v>
      </c>
      <c r="B388">
        <v>2018</v>
      </c>
      <c r="C388">
        <v>5</v>
      </c>
      <c r="D388">
        <v>2</v>
      </c>
      <c r="E388" t="s">
        <v>49</v>
      </c>
      <c r="F388" t="s">
        <v>52</v>
      </c>
      <c r="G388" t="s">
        <v>78</v>
      </c>
      <c r="H388" t="s">
        <v>57</v>
      </c>
      <c r="I388" t="s">
        <v>55</v>
      </c>
      <c r="J388">
        <v>0</v>
      </c>
      <c r="K388">
        <v>6.5</v>
      </c>
      <c r="L388">
        <v>0</v>
      </c>
      <c r="M388">
        <v>0</v>
      </c>
      <c r="N388">
        <v>3</v>
      </c>
      <c r="O388">
        <v>0</v>
      </c>
      <c r="P388">
        <v>0</v>
      </c>
      <c r="Q388">
        <v>9.5</v>
      </c>
      <c r="R388" t="s">
        <v>56</v>
      </c>
      <c r="S388" t="b">
        <v>0</v>
      </c>
      <c r="W388" t="s">
        <v>51</v>
      </c>
    </row>
    <row r="389" spans="1:23" x14ac:dyDescent="0.25">
      <c r="A389" t="s">
        <v>74</v>
      </c>
      <c r="B389">
        <v>2018</v>
      </c>
      <c r="C389">
        <v>5</v>
      </c>
      <c r="D389">
        <v>2</v>
      </c>
      <c r="E389" t="s">
        <v>49</v>
      </c>
      <c r="F389" t="s">
        <v>82</v>
      </c>
      <c r="G389" t="s">
        <v>78</v>
      </c>
      <c r="H389" t="s">
        <v>57</v>
      </c>
      <c r="I389" t="s">
        <v>68</v>
      </c>
      <c r="J389">
        <v>0</v>
      </c>
      <c r="K389">
        <v>0</v>
      </c>
      <c r="L389">
        <v>0</v>
      </c>
      <c r="M389">
        <v>0</v>
      </c>
      <c r="N389">
        <v>5</v>
      </c>
      <c r="O389">
        <v>8</v>
      </c>
      <c r="P389">
        <v>0</v>
      </c>
      <c r="Q389">
        <v>13</v>
      </c>
      <c r="R389" t="s">
        <v>56</v>
      </c>
      <c r="S389" t="b">
        <v>0</v>
      </c>
      <c r="W389" t="s">
        <v>51</v>
      </c>
    </row>
    <row r="390" spans="1:23" hidden="1" x14ac:dyDescent="0.25">
      <c r="A390" t="s">
        <v>79</v>
      </c>
      <c r="B390">
        <v>2018</v>
      </c>
      <c r="C390">
        <v>4</v>
      </c>
      <c r="D390">
        <v>1</v>
      </c>
      <c r="E390" t="s">
        <v>49</v>
      </c>
      <c r="G390" t="s">
        <v>50</v>
      </c>
      <c r="J390">
        <v>0</v>
      </c>
      <c r="K390">
        <v>0</v>
      </c>
      <c r="L390">
        <v>0</v>
      </c>
      <c r="M390">
        <v>1</v>
      </c>
      <c r="N390">
        <v>1</v>
      </c>
      <c r="O390">
        <v>0</v>
      </c>
      <c r="P390">
        <v>0</v>
      </c>
      <c r="Q390">
        <v>2</v>
      </c>
      <c r="S390" t="b">
        <v>0</v>
      </c>
      <c r="W390" t="s">
        <v>51</v>
      </c>
    </row>
    <row r="391" spans="1:23" x14ac:dyDescent="0.25">
      <c r="A391" t="s">
        <v>48</v>
      </c>
      <c r="B391">
        <v>2018</v>
      </c>
      <c r="C391">
        <v>5</v>
      </c>
      <c r="D391">
        <v>2</v>
      </c>
      <c r="E391" t="s">
        <v>49</v>
      </c>
      <c r="F391" t="s">
        <v>52</v>
      </c>
      <c r="G391" t="s">
        <v>78</v>
      </c>
      <c r="H391" t="s">
        <v>57</v>
      </c>
      <c r="I391" t="s">
        <v>59</v>
      </c>
      <c r="J391">
        <v>0</v>
      </c>
      <c r="K391">
        <v>4</v>
      </c>
      <c r="L391">
        <v>2</v>
      </c>
      <c r="M391">
        <v>8</v>
      </c>
      <c r="N391">
        <v>1</v>
      </c>
      <c r="O391">
        <v>0</v>
      </c>
      <c r="P391">
        <v>0</v>
      </c>
      <c r="Q391">
        <v>15</v>
      </c>
      <c r="R391" t="s">
        <v>56</v>
      </c>
      <c r="S391" t="b">
        <v>0</v>
      </c>
      <c r="W391" t="s">
        <v>51</v>
      </c>
    </row>
    <row r="392" spans="1:23" hidden="1" x14ac:dyDescent="0.25">
      <c r="A392" t="s">
        <v>79</v>
      </c>
      <c r="B392">
        <v>2018</v>
      </c>
      <c r="C392">
        <v>4</v>
      </c>
      <c r="D392">
        <v>1</v>
      </c>
      <c r="E392" t="s">
        <v>49</v>
      </c>
      <c r="G392" t="s">
        <v>62</v>
      </c>
      <c r="J392">
        <v>0</v>
      </c>
      <c r="K392">
        <v>8</v>
      </c>
      <c r="L392">
        <v>8</v>
      </c>
      <c r="M392">
        <v>0</v>
      </c>
      <c r="N392">
        <v>0</v>
      </c>
      <c r="O392">
        <v>0</v>
      </c>
      <c r="P392">
        <v>0</v>
      </c>
      <c r="Q392">
        <v>16</v>
      </c>
      <c r="S392" t="b">
        <v>0</v>
      </c>
      <c r="W392" t="s">
        <v>51</v>
      </c>
    </row>
    <row r="393" spans="1:23" hidden="1" x14ac:dyDescent="0.25">
      <c r="A393" t="s">
        <v>63</v>
      </c>
      <c r="B393">
        <v>2018</v>
      </c>
      <c r="C393">
        <v>3</v>
      </c>
      <c r="D393">
        <v>4</v>
      </c>
      <c r="E393" t="s">
        <v>49</v>
      </c>
      <c r="G393" t="s">
        <v>86</v>
      </c>
      <c r="J393">
        <v>0</v>
      </c>
      <c r="K393">
        <v>7</v>
      </c>
      <c r="L393">
        <v>6.5</v>
      </c>
      <c r="M393">
        <v>8</v>
      </c>
      <c r="N393">
        <v>0</v>
      </c>
      <c r="O393">
        <v>0</v>
      </c>
      <c r="P393">
        <v>0</v>
      </c>
      <c r="Q393">
        <v>21.5</v>
      </c>
      <c r="S393" t="b">
        <v>0</v>
      </c>
      <c r="W393" t="s">
        <v>51</v>
      </c>
    </row>
    <row r="394" spans="1:23" x14ac:dyDescent="0.25">
      <c r="A394" t="s">
        <v>60</v>
      </c>
      <c r="B394">
        <v>2018</v>
      </c>
      <c r="C394">
        <v>5</v>
      </c>
      <c r="D394">
        <v>2</v>
      </c>
      <c r="E394" t="s">
        <v>49</v>
      </c>
      <c r="F394" t="s">
        <v>64</v>
      </c>
      <c r="G394" t="s">
        <v>78</v>
      </c>
      <c r="H394" t="s">
        <v>57</v>
      </c>
      <c r="I394" t="s">
        <v>61</v>
      </c>
      <c r="J394">
        <v>0</v>
      </c>
      <c r="K394">
        <v>0</v>
      </c>
      <c r="L394">
        <v>0</v>
      </c>
      <c r="M394">
        <v>8</v>
      </c>
      <c r="N394">
        <v>8</v>
      </c>
      <c r="O394">
        <v>8</v>
      </c>
      <c r="P394">
        <v>0</v>
      </c>
      <c r="Q394">
        <v>24</v>
      </c>
      <c r="R394" t="s">
        <v>56</v>
      </c>
      <c r="S394" t="b">
        <v>0</v>
      </c>
      <c r="W394" t="s">
        <v>51</v>
      </c>
    </row>
    <row r="395" spans="1:23" x14ac:dyDescent="0.25">
      <c r="A395" t="s">
        <v>79</v>
      </c>
      <c r="B395">
        <v>2018</v>
      </c>
      <c r="C395">
        <v>5</v>
      </c>
      <c r="D395">
        <v>2</v>
      </c>
      <c r="E395" t="s">
        <v>49</v>
      </c>
      <c r="F395" t="s">
        <v>82</v>
      </c>
      <c r="G395" t="s">
        <v>78</v>
      </c>
      <c r="H395" t="s">
        <v>57</v>
      </c>
      <c r="I395" t="s">
        <v>55</v>
      </c>
      <c r="J395">
        <v>0</v>
      </c>
      <c r="K395">
        <v>0</v>
      </c>
      <c r="L395">
        <v>0</v>
      </c>
      <c r="M395">
        <v>0</v>
      </c>
      <c r="N395">
        <v>3</v>
      </c>
      <c r="O395">
        <v>4</v>
      </c>
      <c r="P395">
        <v>0</v>
      </c>
      <c r="Q395">
        <v>7</v>
      </c>
      <c r="R395" t="s">
        <v>56</v>
      </c>
      <c r="S395" t="b">
        <v>0</v>
      </c>
      <c r="W395" t="s">
        <v>51</v>
      </c>
    </row>
    <row r="396" spans="1:23" x14ac:dyDescent="0.25">
      <c r="A396" t="s">
        <v>79</v>
      </c>
      <c r="B396">
        <v>2018</v>
      </c>
      <c r="C396">
        <v>5</v>
      </c>
      <c r="D396">
        <v>2</v>
      </c>
      <c r="E396" t="s">
        <v>49</v>
      </c>
      <c r="F396" t="s">
        <v>82</v>
      </c>
      <c r="G396" t="s">
        <v>78</v>
      </c>
      <c r="H396" t="s">
        <v>57</v>
      </c>
      <c r="I396" t="s">
        <v>113</v>
      </c>
      <c r="J396">
        <v>0</v>
      </c>
      <c r="K396">
        <v>0</v>
      </c>
      <c r="L396">
        <v>4</v>
      </c>
      <c r="M396">
        <v>6</v>
      </c>
      <c r="N396">
        <v>0</v>
      </c>
      <c r="O396">
        <v>0</v>
      </c>
      <c r="P396">
        <v>0</v>
      </c>
      <c r="Q396">
        <v>10</v>
      </c>
      <c r="R396" t="s">
        <v>56</v>
      </c>
      <c r="S396" t="b">
        <v>0</v>
      </c>
      <c r="W396" t="s">
        <v>51</v>
      </c>
    </row>
    <row r="397" spans="1:23" hidden="1" x14ac:dyDescent="0.25">
      <c r="A397" t="s">
        <v>102</v>
      </c>
      <c r="B397">
        <v>2018</v>
      </c>
      <c r="C397">
        <v>3</v>
      </c>
      <c r="D397">
        <v>4</v>
      </c>
      <c r="E397" t="s">
        <v>49</v>
      </c>
      <c r="F397" t="s">
        <v>52</v>
      </c>
      <c r="G397" t="s">
        <v>99</v>
      </c>
      <c r="H397" t="s">
        <v>54</v>
      </c>
      <c r="I397" t="s">
        <v>55</v>
      </c>
      <c r="J397">
        <v>0</v>
      </c>
      <c r="K397">
        <v>0</v>
      </c>
      <c r="L397">
        <v>0</v>
      </c>
      <c r="M397">
        <v>3</v>
      </c>
      <c r="N397">
        <v>5</v>
      </c>
      <c r="O397">
        <v>0</v>
      </c>
      <c r="P397">
        <v>0</v>
      </c>
      <c r="Q397">
        <v>8</v>
      </c>
      <c r="R397" t="s">
        <v>56</v>
      </c>
      <c r="S397" t="b">
        <v>0</v>
      </c>
      <c r="W397" t="s">
        <v>51</v>
      </c>
    </row>
    <row r="398" spans="1:23" hidden="1" x14ac:dyDescent="0.25">
      <c r="A398" t="s">
        <v>102</v>
      </c>
      <c r="B398">
        <v>2018</v>
      </c>
      <c r="C398">
        <v>3</v>
      </c>
      <c r="D398">
        <v>4</v>
      </c>
      <c r="E398" t="s">
        <v>49</v>
      </c>
      <c r="F398" t="s">
        <v>64</v>
      </c>
      <c r="G398" t="s">
        <v>53</v>
      </c>
      <c r="H398" t="s">
        <v>57</v>
      </c>
      <c r="I398" t="s">
        <v>114</v>
      </c>
      <c r="J398">
        <v>0</v>
      </c>
      <c r="K398">
        <v>0</v>
      </c>
      <c r="L398">
        <v>4</v>
      </c>
      <c r="M398">
        <v>3</v>
      </c>
      <c r="N398">
        <v>0</v>
      </c>
      <c r="O398">
        <v>0</v>
      </c>
      <c r="P398">
        <v>0</v>
      </c>
      <c r="Q398">
        <v>7</v>
      </c>
      <c r="R398" t="s">
        <v>56</v>
      </c>
      <c r="S398" t="b">
        <v>0</v>
      </c>
      <c r="W398" t="s">
        <v>51</v>
      </c>
    </row>
    <row r="399" spans="1:23" x14ac:dyDescent="0.25">
      <c r="A399" t="s">
        <v>79</v>
      </c>
      <c r="B399">
        <v>2018</v>
      </c>
      <c r="C399">
        <v>5</v>
      </c>
      <c r="D399">
        <v>2</v>
      </c>
      <c r="E399" t="s">
        <v>49</v>
      </c>
      <c r="F399" t="s">
        <v>71</v>
      </c>
      <c r="G399" t="s">
        <v>78</v>
      </c>
      <c r="H399" t="s">
        <v>57</v>
      </c>
      <c r="I399" t="s">
        <v>55</v>
      </c>
      <c r="J399">
        <v>0</v>
      </c>
      <c r="K399">
        <v>0</v>
      </c>
      <c r="L399">
        <v>4</v>
      </c>
      <c r="M399">
        <v>0.5</v>
      </c>
      <c r="N399">
        <v>0</v>
      </c>
      <c r="O399">
        <v>0</v>
      </c>
      <c r="P399">
        <v>0</v>
      </c>
      <c r="Q399">
        <v>4.5</v>
      </c>
      <c r="R399" t="s">
        <v>56</v>
      </c>
      <c r="S399" t="b">
        <v>0</v>
      </c>
      <c r="W399" t="s">
        <v>51</v>
      </c>
    </row>
    <row r="400" spans="1:23" x14ac:dyDescent="0.25">
      <c r="A400" t="s">
        <v>69</v>
      </c>
      <c r="B400">
        <v>2018</v>
      </c>
      <c r="C400">
        <v>5</v>
      </c>
      <c r="D400">
        <v>1</v>
      </c>
      <c r="E400" t="s">
        <v>49</v>
      </c>
      <c r="F400" t="s">
        <v>64</v>
      </c>
      <c r="G400" t="s">
        <v>78</v>
      </c>
      <c r="H400" t="s">
        <v>57</v>
      </c>
      <c r="I400" t="s">
        <v>68</v>
      </c>
      <c r="J400">
        <v>0</v>
      </c>
      <c r="K400">
        <v>6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6</v>
      </c>
      <c r="R400" t="s">
        <v>56</v>
      </c>
      <c r="S400" t="b">
        <v>0</v>
      </c>
      <c r="W400" t="s">
        <v>51</v>
      </c>
    </row>
    <row r="401" spans="1:23" hidden="1" x14ac:dyDescent="0.25">
      <c r="A401" t="s">
        <v>102</v>
      </c>
      <c r="B401">
        <v>2018</v>
      </c>
      <c r="C401">
        <v>3</v>
      </c>
      <c r="D401">
        <v>4</v>
      </c>
      <c r="E401" t="s">
        <v>49</v>
      </c>
      <c r="G401" t="s">
        <v>121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8</v>
      </c>
      <c r="P401">
        <v>0</v>
      </c>
      <c r="Q401">
        <v>8</v>
      </c>
      <c r="S401" t="b">
        <v>0</v>
      </c>
      <c r="W401" t="s">
        <v>51</v>
      </c>
    </row>
    <row r="402" spans="1:23" hidden="1" x14ac:dyDescent="0.25">
      <c r="A402" t="s">
        <v>74</v>
      </c>
      <c r="B402">
        <v>2018</v>
      </c>
      <c r="C402">
        <v>3</v>
      </c>
      <c r="D402">
        <v>4</v>
      </c>
      <c r="E402" t="s">
        <v>49</v>
      </c>
      <c r="G402" t="s">
        <v>121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8</v>
      </c>
      <c r="P402">
        <v>0</v>
      </c>
      <c r="Q402">
        <v>8</v>
      </c>
      <c r="S402" t="b">
        <v>0</v>
      </c>
      <c r="W402" t="s">
        <v>51</v>
      </c>
    </row>
    <row r="403" spans="1:23" hidden="1" x14ac:dyDescent="0.25">
      <c r="A403" t="s">
        <v>74</v>
      </c>
      <c r="B403">
        <v>2018</v>
      </c>
      <c r="C403">
        <v>3</v>
      </c>
      <c r="D403">
        <v>4</v>
      </c>
      <c r="E403" t="s">
        <v>49</v>
      </c>
      <c r="G403" t="s">
        <v>50</v>
      </c>
      <c r="J403">
        <v>0</v>
      </c>
      <c r="K403">
        <v>1</v>
      </c>
      <c r="L403">
        <v>0</v>
      </c>
      <c r="M403">
        <v>1</v>
      </c>
      <c r="N403">
        <v>0</v>
      </c>
      <c r="O403">
        <v>0</v>
      </c>
      <c r="P403">
        <v>0</v>
      </c>
      <c r="Q403">
        <v>2</v>
      </c>
      <c r="S403" t="b">
        <v>0</v>
      </c>
      <c r="W403" t="s">
        <v>51</v>
      </c>
    </row>
    <row r="404" spans="1:23" x14ac:dyDescent="0.25">
      <c r="A404" t="s">
        <v>102</v>
      </c>
      <c r="B404">
        <v>2018</v>
      </c>
      <c r="C404">
        <v>5</v>
      </c>
      <c r="D404">
        <v>1</v>
      </c>
      <c r="E404" t="s">
        <v>49</v>
      </c>
      <c r="F404" t="s">
        <v>52</v>
      </c>
      <c r="G404" t="s">
        <v>78</v>
      </c>
      <c r="H404" t="s">
        <v>57</v>
      </c>
      <c r="I404" t="s">
        <v>68</v>
      </c>
      <c r="J404">
        <v>0</v>
      </c>
      <c r="K404">
        <v>2</v>
      </c>
      <c r="L404">
        <v>4</v>
      </c>
      <c r="M404">
        <v>8</v>
      </c>
      <c r="N404">
        <v>7</v>
      </c>
      <c r="O404">
        <v>0</v>
      </c>
      <c r="P404">
        <v>0</v>
      </c>
      <c r="Q404">
        <v>21</v>
      </c>
      <c r="R404" t="s">
        <v>56</v>
      </c>
      <c r="S404" t="b">
        <v>0</v>
      </c>
      <c r="W404" t="s">
        <v>51</v>
      </c>
    </row>
    <row r="405" spans="1:23" hidden="1" x14ac:dyDescent="0.25">
      <c r="A405" t="s">
        <v>48</v>
      </c>
      <c r="B405">
        <v>2018</v>
      </c>
      <c r="C405">
        <v>3</v>
      </c>
      <c r="D405">
        <v>4</v>
      </c>
      <c r="E405" t="s">
        <v>49</v>
      </c>
      <c r="F405" t="s">
        <v>52</v>
      </c>
      <c r="G405" t="s">
        <v>99</v>
      </c>
      <c r="H405" t="s">
        <v>57</v>
      </c>
      <c r="I405" t="s">
        <v>85</v>
      </c>
      <c r="J405">
        <v>0</v>
      </c>
      <c r="K405">
        <v>8</v>
      </c>
      <c r="L405">
        <v>8</v>
      </c>
      <c r="M405">
        <v>0</v>
      </c>
      <c r="N405">
        <v>0</v>
      </c>
      <c r="O405">
        <v>0</v>
      </c>
      <c r="P405">
        <v>0</v>
      </c>
      <c r="Q405">
        <v>16</v>
      </c>
      <c r="R405" t="s">
        <v>56</v>
      </c>
      <c r="S405" t="b">
        <v>0</v>
      </c>
      <c r="W405" t="s">
        <v>51</v>
      </c>
    </row>
    <row r="406" spans="1:23" hidden="1" x14ac:dyDescent="0.25">
      <c r="A406" t="s">
        <v>48</v>
      </c>
      <c r="B406">
        <v>2018</v>
      </c>
      <c r="C406">
        <v>3</v>
      </c>
      <c r="D406">
        <v>4</v>
      </c>
      <c r="E406" t="s">
        <v>49</v>
      </c>
      <c r="F406" t="s">
        <v>52</v>
      </c>
      <c r="G406" t="s">
        <v>99</v>
      </c>
      <c r="H406" t="s">
        <v>54</v>
      </c>
      <c r="I406" t="s">
        <v>55</v>
      </c>
      <c r="J406">
        <v>0</v>
      </c>
      <c r="K406">
        <v>0</v>
      </c>
      <c r="L406">
        <v>0</v>
      </c>
      <c r="M406">
        <v>8</v>
      </c>
      <c r="N406">
        <v>8</v>
      </c>
      <c r="O406">
        <v>0</v>
      </c>
      <c r="P406">
        <v>0</v>
      </c>
      <c r="Q406">
        <v>16</v>
      </c>
      <c r="R406" t="s">
        <v>56</v>
      </c>
      <c r="S406" t="b">
        <v>0</v>
      </c>
      <c r="W406" t="s">
        <v>51</v>
      </c>
    </row>
    <row r="407" spans="1:23" hidden="1" x14ac:dyDescent="0.25">
      <c r="A407" t="s">
        <v>48</v>
      </c>
      <c r="B407">
        <v>2018</v>
      </c>
      <c r="C407">
        <v>3</v>
      </c>
      <c r="D407">
        <v>4</v>
      </c>
      <c r="E407" t="s">
        <v>49</v>
      </c>
      <c r="G407" t="s">
        <v>121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8</v>
      </c>
      <c r="P407">
        <v>0</v>
      </c>
      <c r="Q407">
        <v>8</v>
      </c>
      <c r="S407" t="b">
        <v>0</v>
      </c>
      <c r="W407" t="s">
        <v>51</v>
      </c>
    </row>
    <row r="408" spans="1:23" hidden="1" x14ac:dyDescent="0.25">
      <c r="A408" t="s">
        <v>60</v>
      </c>
      <c r="B408">
        <v>2018</v>
      </c>
      <c r="C408">
        <v>3</v>
      </c>
      <c r="D408">
        <v>4</v>
      </c>
      <c r="E408" t="s">
        <v>49</v>
      </c>
      <c r="F408" t="s">
        <v>52</v>
      </c>
      <c r="G408" t="s">
        <v>103</v>
      </c>
      <c r="H408" t="s">
        <v>57</v>
      </c>
      <c r="I408" t="s">
        <v>61</v>
      </c>
      <c r="J408">
        <v>0</v>
      </c>
      <c r="K408">
        <v>8</v>
      </c>
      <c r="L408">
        <v>8</v>
      </c>
      <c r="M408">
        <v>8</v>
      </c>
      <c r="N408">
        <v>8</v>
      </c>
      <c r="O408">
        <v>8</v>
      </c>
      <c r="P408">
        <v>0</v>
      </c>
      <c r="Q408">
        <v>40</v>
      </c>
      <c r="R408" t="s">
        <v>56</v>
      </c>
      <c r="S408" t="b">
        <v>0</v>
      </c>
      <c r="W408" t="s">
        <v>51</v>
      </c>
    </row>
    <row r="409" spans="1:23" hidden="1" x14ac:dyDescent="0.25">
      <c r="A409" t="s">
        <v>79</v>
      </c>
      <c r="B409">
        <v>2018</v>
      </c>
      <c r="C409">
        <v>3</v>
      </c>
      <c r="D409">
        <v>4</v>
      </c>
      <c r="E409" t="s">
        <v>49</v>
      </c>
      <c r="G409" t="s">
        <v>50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1</v>
      </c>
      <c r="S409" t="b">
        <v>0</v>
      </c>
      <c r="W409" t="s">
        <v>51</v>
      </c>
    </row>
    <row r="410" spans="1:23" hidden="1" x14ac:dyDescent="0.25">
      <c r="A410" t="s">
        <v>79</v>
      </c>
      <c r="B410">
        <v>2018</v>
      </c>
      <c r="C410">
        <v>3</v>
      </c>
      <c r="D410">
        <v>4</v>
      </c>
      <c r="E410" t="s">
        <v>49</v>
      </c>
      <c r="G410" t="s">
        <v>62</v>
      </c>
      <c r="J410">
        <v>0</v>
      </c>
      <c r="K410">
        <v>0</v>
      </c>
      <c r="L410">
        <v>0</v>
      </c>
      <c r="M410">
        <v>8</v>
      </c>
      <c r="N410">
        <v>0</v>
      </c>
      <c r="O410">
        <v>0</v>
      </c>
      <c r="P410">
        <v>0</v>
      </c>
      <c r="Q410">
        <v>8</v>
      </c>
      <c r="S410" t="b">
        <v>0</v>
      </c>
      <c r="W410" t="s">
        <v>51</v>
      </c>
    </row>
    <row r="411" spans="1:23" x14ac:dyDescent="0.25">
      <c r="A411" t="s">
        <v>74</v>
      </c>
      <c r="B411">
        <v>2018</v>
      </c>
      <c r="C411">
        <v>5</v>
      </c>
      <c r="D411">
        <v>1</v>
      </c>
      <c r="E411" t="s">
        <v>49</v>
      </c>
      <c r="F411" t="s">
        <v>52</v>
      </c>
      <c r="G411" t="s">
        <v>78</v>
      </c>
      <c r="H411" t="s">
        <v>57</v>
      </c>
      <c r="I411" t="s">
        <v>112</v>
      </c>
      <c r="J411">
        <v>0</v>
      </c>
      <c r="K411">
        <v>0</v>
      </c>
      <c r="L411">
        <v>3</v>
      </c>
      <c r="M411">
        <v>2.5</v>
      </c>
      <c r="N411">
        <v>2.5</v>
      </c>
      <c r="O411">
        <v>4</v>
      </c>
      <c r="P411">
        <v>0</v>
      </c>
      <c r="Q411">
        <v>12</v>
      </c>
      <c r="R411" t="s">
        <v>56</v>
      </c>
      <c r="S411" t="b">
        <v>0</v>
      </c>
      <c r="W411" t="s">
        <v>51</v>
      </c>
    </row>
    <row r="412" spans="1:23" x14ac:dyDescent="0.25">
      <c r="A412" t="s">
        <v>48</v>
      </c>
      <c r="B412">
        <v>2018</v>
      </c>
      <c r="C412">
        <v>5</v>
      </c>
      <c r="D412">
        <v>1</v>
      </c>
      <c r="E412" t="s">
        <v>49</v>
      </c>
      <c r="F412" t="s">
        <v>52</v>
      </c>
      <c r="G412" t="s">
        <v>78</v>
      </c>
      <c r="H412" t="s">
        <v>57</v>
      </c>
      <c r="I412" t="s">
        <v>59</v>
      </c>
      <c r="J412">
        <v>0</v>
      </c>
      <c r="K412">
        <v>0</v>
      </c>
      <c r="L412">
        <v>4</v>
      </c>
      <c r="M412">
        <v>0</v>
      </c>
      <c r="N412">
        <v>0</v>
      </c>
      <c r="O412">
        <v>0</v>
      </c>
      <c r="P412">
        <v>4</v>
      </c>
      <c r="Q412">
        <v>8</v>
      </c>
      <c r="R412" t="s">
        <v>56</v>
      </c>
      <c r="S412" t="b">
        <v>0</v>
      </c>
      <c r="W412" t="s">
        <v>51</v>
      </c>
    </row>
    <row r="413" spans="1:23" x14ac:dyDescent="0.25">
      <c r="A413" t="s">
        <v>48</v>
      </c>
      <c r="B413">
        <v>2018</v>
      </c>
      <c r="C413">
        <v>5</v>
      </c>
      <c r="D413">
        <v>1</v>
      </c>
      <c r="E413" t="s">
        <v>49</v>
      </c>
      <c r="F413" t="s">
        <v>67</v>
      </c>
      <c r="G413" t="s">
        <v>78</v>
      </c>
      <c r="H413" t="s">
        <v>57</v>
      </c>
      <c r="I413" t="s">
        <v>58</v>
      </c>
      <c r="J413">
        <v>0</v>
      </c>
      <c r="K413">
        <v>4</v>
      </c>
      <c r="L413">
        <v>1</v>
      </c>
      <c r="M413">
        <v>0</v>
      </c>
      <c r="N413">
        <v>0</v>
      </c>
      <c r="O413">
        <v>0</v>
      </c>
      <c r="P413">
        <v>0</v>
      </c>
      <c r="Q413">
        <v>5</v>
      </c>
      <c r="R413" t="s">
        <v>56</v>
      </c>
      <c r="S413" t="b">
        <v>0</v>
      </c>
      <c r="W413" t="s">
        <v>51</v>
      </c>
    </row>
    <row r="414" spans="1:23" hidden="1" x14ac:dyDescent="0.25">
      <c r="A414" t="s">
        <v>79</v>
      </c>
      <c r="B414">
        <v>2018</v>
      </c>
      <c r="C414">
        <v>3</v>
      </c>
      <c r="D414">
        <v>4</v>
      </c>
      <c r="E414" t="s">
        <v>49</v>
      </c>
      <c r="G414" t="s">
        <v>121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8</v>
      </c>
      <c r="P414">
        <v>0</v>
      </c>
      <c r="Q414">
        <v>8</v>
      </c>
      <c r="S414" t="b">
        <v>0</v>
      </c>
      <c r="W414" t="s">
        <v>51</v>
      </c>
    </row>
    <row r="415" spans="1:23" x14ac:dyDescent="0.25">
      <c r="A415" t="s">
        <v>79</v>
      </c>
      <c r="B415">
        <v>2018</v>
      </c>
      <c r="C415">
        <v>5</v>
      </c>
      <c r="D415">
        <v>1</v>
      </c>
      <c r="E415" t="s">
        <v>49</v>
      </c>
      <c r="F415" t="s">
        <v>52</v>
      </c>
      <c r="G415" t="s">
        <v>78</v>
      </c>
      <c r="H415" t="s">
        <v>57</v>
      </c>
      <c r="I415" t="s">
        <v>58</v>
      </c>
      <c r="J415">
        <v>0</v>
      </c>
      <c r="K415">
        <v>0</v>
      </c>
      <c r="L415">
        <v>6</v>
      </c>
      <c r="M415">
        <v>0</v>
      </c>
      <c r="N415">
        <v>0</v>
      </c>
      <c r="O415">
        <v>2</v>
      </c>
      <c r="P415">
        <v>0</v>
      </c>
      <c r="Q415">
        <v>8</v>
      </c>
      <c r="R415" t="s">
        <v>56</v>
      </c>
      <c r="S415" t="b">
        <v>0</v>
      </c>
      <c r="W415" t="s">
        <v>51</v>
      </c>
    </row>
    <row r="416" spans="1:23" hidden="1" x14ac:dyDescent="0.25">
      <c r="A416" t="s">
        <v>63</v>
      </c>
      <c r="B416">
        <v>2018</v>
      </c>
      <c r="C416">
        <v>3</v>
      </c>
      <c r="D416">
        <v>3</v>
      </c>
      <c r="E416" t="s">
        <v>49</v>
      </c>
      <c r="G416" t="s">
        <v>86</v>
      </c>
      <c r="J416">
        <v>0</v>
      </c>
      <c r="K416">
        <v>8</v>
      </c>
      <c r="L416">
        <v>6</v>
      </c>
      <c r="M416">
        <v>8</v>
      </c>
      <c r="N416">
        <v>8</v>
      </c>
      <c r="O416">
        <v>6.5</v>
      </c>
      <c r="P416">
        <v>0</v>
      </c>
      <c r="Q416">
        <v>36.5</v>
      </c>
      <c r="S416" t="b">
        <v>0</v>
      </c>
      <c r="W416" t="s">
        <v>51</v>
      </c>
    </row>
    <row r="417" spans="1:23" x14ac:dyDescent="0.25">
      <c r="A417" t="s">
        <v>69</v>
      </c>
      <c r="B417">
        <v>2018</v>
      </c>
      <c r="C417">
        <v>4</v>
      </c>
      <c r="D417">
        <v>5</v>
      </c>
      <c r="E417" t="s">
        <v>49</v>
      </c>
      <c r="F417" t="s">
        <v>64</v>
      </c>
      <c r="G417" t="s">
        <v>78</v>
      </c>
      <c r="H417" t="s">
        <v>57</v>
      </c>
      <c r="I417" t="s">
        <v>68</v>
      </c>
      <c r="J417">
        <v>0</v>
      </c>
      <c r="K417">
        <v>0</v>
      </c>
      <c r="L417">
        <v>8</v>
      </c>
      <c r="M417">
        <v>8</v>
      </c>
      <c r="N417">
        <v>0</v>
      </c>
      <c r="O417">
        <v>0</v>
      </c>
      <c r="P417">
        <v>0</v>
      </c>
      <c r="Q417">
        <v>16</v>
      </c>
      <c r="R417" t="s">
        <v>56</v>
      </c>
      <c r="S417" t="b">
        <v>0</v>
      </c>
      <c r="W417" t="s">
        <v>51</v>
      </c>
    </row>
    <row r="418" spans="1:23" hidden="1" x14ac:dyDescent="0.25">
      <c r="A418" t="s">
        <v>102</v>
      </c>
      <c r="B418">
        <v>2018</v>
      </c>
      <c r="C418">
        <v>3</v>
      </c>
      <c r="D418">
        <v>3</v>
      </c>
      <c r="E418" t="s">
        <v>49</v>
      </c>
      <c r="G418" t="s">
        <v>62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8</v>
      </c>
      <c r="P418">
        <v>0</v>
      </c>
      <c r="Q418">
        <v>8</v>
      </c>
      <c r="S418" t="b">
        <v>0</v>
      </c>
      <c r="W418" t="s">
        <v>51</v>
      </c>
    </row>
    <row r="419" spans="1:23" x14ac:dyDescent="0.25">
      <c r="A419" t="s">
        <v>102</v>
      </c>
      <c r="B419">
        <v>2018</v>
      </c>
      <c r="C419">
        <v>4</v>
      </c>
      <c r="D419">
        <v>5</v>
      </c>
      <c r="E419" t="s">
        <v>49</v>
      </c>
      <c r="F419" t="s">
        <v>52</v>
      </c>
      <c r="G419" t="s">
        <v>78</v>
      </c>
      <c r="H419" t="s">
        <v>57</v>
      </c>
      <c r="I419" t="s">
        <v>55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</v>
      </c>
      <c r="P419">
        <v>0</v>
      </c>
      <c r="Q419">
        <v>1</v>
      </c>
      <c r="R419" t="s">
        <v>56</v>
      </c>
      <c r="S419" t="b">
        <v>0</v>
      </c>
      <c r="W419" t="s">
        <v>51</v>
      </c>
    </row>
    <row r="420" spans="1:23" x14ac:dyDescent="0.25">
      <c r="A420" t="s">
        <v>102</v>
      </c>
      <c r="B420">
        <v>2018</v>
      </c>
      <c r="C420">
        <v>4</v>
      </c>
      <c r="D420">
        <v>5</v>
      </c>
      <c r="E420" t="s">
        <v>49</v>
      </c>
      <c r="F420" t="s">
        <v>52</v>
      </c>
      <c r="G420" t="s">
        <v>78</v>
      </c>
      <c r="H420" t="s">
        <v>57</v>
      </c>
      <c r="I420" t="s">
        <v>68</v>
      </c>
      <c r="J420">
        <v>0</v>
      </c>
      <c r="K420">
        <v>4</v>
      </c>
      <c r="L420">
        <v>0</v>
      </c>
      <c r="M420">
        <v>4</v>
      </c>
      <c r="N420">
        <v>4</v>
      </c>
      <c r="O420">
        <v>5</v>
      </c>
      <c r="P420">
        <v>0</v>
      </c>
      <c r="Q420">
        <v>17</v>
      </c>
      <c r="R420" t="s">
        <v>56</v>
      </c>
      <c r="S420" t="b">
        <v>0</v>
      </c>
      <c r="W420" t="s">
        <v>51</v>
      </c>
    </row>
    <row r="421" spans="1:23" hidden="1" x14ac:dyDescent="0.25">
      <c r="A421" t="s">
        <v>102</v>
      </c>
      <c r="B421">
        <v>2018</v>
      </c>
      <c r="C421">
        <v>3</v>
      </c>
      <c r="D421">
        <v>3</v>
      </c>
      <c r="E421" t="s">
        <v>49</v>
      </c>
      <c r="F421" t="s">
        <v>64</v>
      </c>
      <c r="G421" t="s">
        <v>53</v>
      </c>
      <c r="H421" t="s">
        <v>57</v>
      </c>
      <c r="I421" t="s">
        <v>114</v>
      </c>
      <c r="J421">
        <v>0</v>
      </c>
      <c r="K421">
        <v>0</v>
      </c>
      <c r="L421">
        <v>0</v>
      </c>
      <c r="M421">
        <v>4</v>
      </c>
      <c r="N421">
        <v>1</v>
      </c>
      <c r="O421">
        <v>0</v>
      </c>
      <c r="P421">
        <v>0</v>
      </c>
      <c r="Q421">
        <v>5</v>
      </c>
      <c r="R421" t="s">
        <v>56</v>
      </c>
      <c r="S421" t="b">
        <v>0</v>
      </c>
      <c r="W421" t="s">
        <v>51</v>
      </c>
    </row>
    <row r="422" spans="1:23" x14ac:dyDescent="0.25">
      <c r="A422" t="s">
        <v>102</v>
      </c>
      <c r="B422">
        <v>2018</v>
      </c>
      <c r="C422">
        <v>4</v>
      </c>
      <c r="D422">
        <v>5</v>
      </c>
      <c r="E422" t="s">
        <v>49</v>
      </c>
      <c r="F422" t="s">
        <v>52</v>
      </c>
      <c r="G422" t="s">
        <v>78</v>
      </c>
      <c r="H422" t="s">
        <v>57</v>
      </c>
      <c r="I422" t="s">
        <v>119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</v>
      </c>
      <c r="R422" t="s">
        <v>56</v>
      </c>
      <c r="S422" t="b">
        <v>0</v>
      </c>
      <c r="W422" t="s">
        <v>51</v>
      </c>
    </row>
    <row r="423" spans="1:23" x14ac:dyDescent="0.25">
      <c r="A423" t="s">
        <v>48</v>
      </c>
      <c r="B423">
        <v>2018</v>
      </c>
      <c r="C423">
        <v>4</v>
      </c>
      <c r="D423">
        <v>5</v>
      </c>
      <c r="E423" t="s">
        <v>49</v>
      </c>
      <c r="F423" t="s">
        <v>52</v>
      </c>
      <c r="G423" t="s">
        <v>78</v>
      </c>
      <c r="H423" t="s">
        <v>57</v>
      </c>
      <c r="I423" t="s">
        <v>59</v>
      </c>
      <c r="J423">
        <v>0</v>
      </c>
      <c r="K423">
        <v>6</v>
      </c>
      <c r="L423">
        <v>0</v>
      </c>
      <c r="M423">
        <v>3</v>
      </c>
      <c r="N423">
        <v>5</v>
      </c>
      <c r="O423">
        <v>4</v>
      </c>
      <c r="P423">
        <v>0</v>
      </c>
      <c r="Q423">
        <v>18</v>
      </c>
      <c r="R423" t="s">
        <v>56</v>
      </c>
      <c r="S423" t="b">
        <v>0</v>
      </c>
      <c r="W423" t="s">
        <v>51</v>
      </c>
    </row>
    <row r="424" spans="1:23" x14ac:dyDescent="0.25">
      <c r="A424" t="s">
        <v>79</v>
      </c>
      <c r="B424">
        <v>2018</v>
      </c>
      <c r="C424">
        <v>4</v>
      </c>
      <c r="D424">
        <v>5</v>
      </c>
      <c r="E424" t="s">
        <v>49</v>
      </c>
      <c r="F424" t="s">
        <v>52</v>
      </c>
      <c r="G424" t="s">
        <v>78</v>
      </c>
      <c r="H424" t="s">
        <v>57</v>
      </c>
      <c r="I424" t="s">
        <v>55</v>
      </c>
      <c r="J424">
        <v>0</v>
      </c>
      <c r="K424">
        <v>0</v>
      </c>
      <c r="L424">
        <v>0</v>
      </c>
      <c r="M424">
        <v>3</v>
      </c>
      <c r="N424">
        <v>0</v>
      </c>
      <c r="O424">
        <v>0</v>
      </c>
      <c r="P424">
        <v>0</v>
      </c>
      <c r="Q424">
        <v>3</v>
      </c>
      <c r="R424" t="s">
        <v>56</v>
      </c>
      <c r="S424" t="b">
        <v>0</v>
      </c>
      <c r="W424" t="s">
        <v>51</v>
      </c>
    </row>
    <row r="425" spans="1:23" hidden="1" x14ac:dyDescent="0.25">
      <c r="A425" t="s">
        <v>74</v>
      </c>
      <c r="B425">
        <v>2018</v>
      </c>
      <c r="C425">
        <v>3</v>
      </c>
      <c r="D425">
        <v>3</v>
      </c>
      <c r="E425" t="s">
        <v>49</v>
      </c>
      <c r="G425" t="s">
        <v>86</v>
      </c>
      <c r="J425">
        <v>0</v>
      </c>
      <c r="K425">
        <v>6.5</v>
      </c>
      <c r="L425">
        <v>7.5</v>
      </c>
      <c r="M425">
        <v>8</v>
      </c>
      <c r="N425">
        <v>8</v>
      </c>
      <c r="O425">
        <v>2</v>
      </c>
      <c r="P425">
        <v>0</v>
      </c>
      <c r="Q425">
        <v>32</v>
      </c>
      <c r="S425" t="b">
        <v>0</v>
      </c>
      <c r="W425" t="s">
        <v>51</v>
      </c>
    </row>
    <row r="426" spans="1:23" x14ac:dyDescent="0.25">
      <c r="A426" t="s">
        <v>69</v>
      </c>
      <c r="B426">
        <v>2018</v>
      </c>
      <c r="C426">
        <v>4</v>
      </c>
      <c r="D426">
        <v>4</v>
      </c>
      <c r="E426" t="s">
        <v>49</v>
      </c>
      <c r="F426" t="s">
        <v>64</v>
      </c>
      <c r="G426" t="s">
        <v>78</v>
      </c>
      <c r="H426" t="s">
        <v>57</v>
      </c>
      <c r="I426" t="s">
        <v>68</v>
      </c>
      <c r="J426">
        <v>0</v>
      </c>
      <c r="K426">
        <v>9</v>
      </c>
      <c r="L426">
        <v>9</v>
      </c>
      <c r="M426">
        <v>8</v>
      </c>
      <c r="N426">
        <v>5</v>
      </c>
      <c r="O426">
        <v>4.5</v>
      </c>
      <c r="P426">
        <v>0</v>
      </c>
      <c r="Q426">
        <v>35.5</v>
      </c>
      <c r="R426" t="s">
        <v>56</v>
      </c>
      <c r="S426" t="b">
        <v>0</v>
      </c>
      <c r="W426" t="s">
        <v>51</v>
      </c>
    </row>
    <row r="427" spans="1:23" x14ac:dyDescent="0.25">
      <c r="A427" t="s">
        <v>102</v>
      </c>
      <c r="B427">
        <v>2018</v>
      </c>
      <c r="C427">
        <v>4</v>
      </c>
      <c r="D427">
        <v>4</v>
      </c>
      <c r="E427" t="s">
        <v>49</v>
      </c>
      <c r="F427" t="s">
        <v>52</v>
      </c>
      <c r="G427" t="s">
        <v>78</v>
      </c>
      <c r="H427" t="s">
        <v>57</v>
      </c>
      <c r="I427" t="s">
        <v>68</v>
      </c>
      <c r="J427">
        <v>0</v>
      </c>
      <c r="K427">
        <v>0</v>
      </c>
      <c r="L427">
        <v>7</v>
      </c>
      <c r="M427">
        <v>0</v>
      </c>
      <c r="N427">
        <v>0</v>
      </c>
      <c r="O427">
        <v>5</v>
      </c>
      <c r="P427">
        <v>0</v>
      </c>
      <c r="Q427">
        <v>12</v>
      </c>
      <c r="R427" t="s">
        <v>56</v>
      </c>
      <c r="S427" t="b">
        <v>0</v>
      </c>
      <c r="W427" t="s">
        <v>51</v>
      </c>
    </row>
    <row r="428" spans="1:23" hidden="1" x14ac:dyDescent="0.25">
      <c r="A428" t="s">
        <v>48</v>
      </c>
      <c r="B428">
        <v>2018</v>
      </c>
      <c r="C428">
        <v>3</v>
      </c>
      <c r="D428">
        <v>3</v>
      </c>
      <c r="E428" t="s">
        <v>49</v>
      </c>
      <c r="G428" t="s">
        <v>86</v>
      </c>
      <c r="J428">
        <v>0</v>
      </c>
      <c r="K428">
        <v>8</v>
      </c>
      <c r="L428">
        <v>8</v>
      </c>
      <c r="M428">
        <v>8</v>
      </c>
      <c r="N428">
        <v>8</v>
      </c>
      <c r="O428">
        <v>8</v>
      </c>
      <c r="P428">
        <v>0</v>
      </c>
      <c r="Q428">
        <v>40</v>
      </c>
      <c r="S428" t="b">
        <v>0</v>
      </c>
      <c r="W428" t="s">
        <v>51</v>
      </c>
    </row>
    <row r="429" spans="1:23" hidden="1" x14ac:dyDescent="0.25">
      <c r="A429" t="s">
        <v>60</v>
      </c>
      <c r="B429">
        <v>2018</v>
      </c>
      <c r="C429">
        <v>3</v>
      </c>
      <c r="D429">
        <v>3</v>
      </c>
      <c r="E429" t="s">
        <v>49</v>
      </c>
      <c r="F429" t="s">
        <v>52</v>
      </c>
      <c r="G429" t="s">
        <v>103</v>
      </c>
      <c r="H429" t="s">
        <v>57</v>
      </c>
      <c r="I429" t="s">
        <v>61</v>
      </c>
      <c r="J429">
        <v>0</v>
      </c>
      <c r="K429">
        <v>8</v>
      </c>
      <c r="L429">
        <v>8</v>
      </c>
      <c r="M429">
        <v>0</v>
      </c>
      <c r="N429">
        <v>0</v>
      </c>
      <c r="O429">
        <v>0</v>
      </c>
      <c r="P429">
        <v>0</v>
      </c>
      <c r="Q429">
        <v>16</v>
      </c>
      <c r="R429" t="s">
        <v>56</v>
      </c>
      <c r="S429" t="b">
        <v>0</v>
      </c>
      <c r="W429" t="s">
        <v>51</v>
      </c>
    </row>
    <row r="430" spans="1:23" hidden="1" x14ac:dyDescent="0.25">
      <c r="A430" t="s">
        <v>60</v>
      </c>
      <c r="B430">
        <v>2018</v>
      </c>
      <c r="C430">
        <v>3</v>
      </c>
      <c r="D430">
        <v>3</v>
      </c>
      <c r="E430" t="s">
        <v>49</v>
      </c>
      <c r="G430" t="s">
        <v>62</v>
      </c>
      <c r="J430">
        <v>0</v>
      </c>
      <c r="K430">
        <v>0</v>
      </c>
      <c r="L430">
        <v>0</v>
      </c>
      <c r="M430">
        <v>8</v>
      </c>
      <c r="N430">
        <v>8</v>
      </c>
      <c r="O430">
        <v>8</v>
      </c>
      <c r="P430">
        <v>0</v>
      </c>
      <c r="Q430">
        <v>24</v>
      </c>
      <c r="S430" t="b">
        <v>0</v>
      </c>
      <c r="W430" t="s">
        <v>51</v>
      </c>
    </row>
    <row r="431" spans="1:23" x14ac:dyDescent="0.25">
      <c r="A431" t="s">
        <v>48</v>
      </c>
      <c r="B431">
        <v>2018</v>
      </c>
      <c r="C431">
        <v>4</v>
      </c>
      <c r="D431">
        <v>4</v>
      </c>
      <c r="E431" t="s">
        <v>49</v>
      </c>
      <c r="F431" t="s">
        <v>67</v>
      </c>
      <c r="G431" t="s">
        <v>78</v>
      </c>
      <c r="H431" t="s">
        <v>57</v>
      </c>
      <c r="I431" t="s">
        <v>58</v>
      </c>
      <c r="J431">
        <v>0</v>
      </c>
      <c r="K431">
        <v>6</v>
      </c>
      <c r="L431">
        <v>1</v>
      </c>
      <c r="M431">
        <v>3</v>
      </c>
      <c r="N431">
        <v>0</v>
      </c>
      <c r="O431">
        <v>0</v>
      </c>
      <c r="P431">
        <v>0</v>
      </c>
      <c r="Q431">
        <v>10</v>
      </c>
      <c r="R431" t="s">
        <v>56</v>
      </c>
      <c r="S431" t="b">
        <v>0</v>
      </c>
      <c r="W431" t="s">
        <v>51</v>
      </c>
    </row>
    <row r="432" spans="1:23" x14ac:dyDescent="0.25">
      <c r="A432" t="s">
        <v>48</v>
      </c>
      <c r="B432">
        <v>2018</v>
      </c>
      <c r="C432">
        <v>4</v>
      </c>
      <c r="D432">
        <v>4</v>
      </c>
      <c r="E432" t="s">
        <v>49</v>
      </c>
      <c r="F432" t="s">
        <v>52</v>
      </c>
      <c r="G432" t="s">
        <v>78</v>
      </c>
      <c r="H432" t="s">
        <v>57</v>
      </c>
      <c r="I432" t="s">
        <v>55</v>
      </c>
      <c r="J432">
        <v>0</v>
      </c>
      <c r="K432">
        <v>0</v>
      </c>
      <c r="L432">
        <v>0</v>
      </c>
      <c r="M432">
        <v>0</v>
      </c>
      <c r="N432">
        <v>2</v>
      </c>
      <c r="O432">
        <v>0</v>
      </c>
      <c r="P432">
        <v>0</v>
      </c>
      <c r="Q432">
        <v>2</v>
      </c>
      <c r="R432" t="s">
        <v>56</v>
      </c>
      <c r="S432" t="b">
        <v>0</v>
      </c>
      <c r="W432" t="s">
        <v>51</v>
      </c>
    </row>
    <row r="433" spans="1:23" x14ac:dyDescent="0.25">
      <c r="A433" t="s">
        <v>79</v>
      </c>
      <c r="B433">
        <v>2018</v>
      </c>
      <c r="C433">
        <v>4</v>
      </c>
      <c r="D433">
        <v>4</v>
      </c>
      <c r="E433" t="s">
        <v>49</v>
      </c>
      <c r="F433" t="s">
        <v>52</v>
      </c>
      <c r="G433" t="s">
        <v>78</v>
      </c>
      <c r="H433" t="s">
        <v>57</v>
      </c>
      <c r="I433" t="s">
        <v>55</v>
      </c>
      <c r="J433">
        <v>0</v>
      </c>
      <c r="K433">
        <v>0</v>
      </c>
      <c r="L433">
        <v>5</v>
      </c>
      <c r="M433">
        <v>0</v>
      </c>
      <c r="N433">
        <v>0</v>
      </c>
      <c r="O433">
        <v>0</v>
      </c>
      <c r="P433">
        <v>0</v>
      </c>
      <c r="Q433">
        <v>5</v>
      </c>
      <c r="R433" t="s">
        <v>56</v>
      </c>
      <c r="S433" t="b">
        <v>0</v>
      </c>
      <c r="W433" t="s">
        <v>51</v>
      </c>
    </row>
    <row r="434" spans="1:23" hidden="1" x14ac:dyDescent="0.25">
      <c r="A434" t="s">
        <v>63</v>
      </c>
      <c r="B434">
        <v>2018</v>
      </c>
      <c r="C434">
        <v>3</v>
      </c>
      <c r="D434">
        <v>2</v>
      </c>
      <c r="E434" t="s">
        <v>49</v>
      </c>
      <c r="G434" t="s">
        <v>50</v>
      </c>
      <c r="J434">
        <v>0</v>
      </c>
      <c r="K434">
        <v>0</v>
      </c>
      <c r="L434">
        <v>0</v>
      </c>
      <c r="M434">
        <v>0</v>
      </c>
      <c r="N434">
        <v>1</v>
      </c>
      <c r="O434">
        <v>0</v>
      </c>
      <c r="P434">
        <v>0</v>
      </c>
      <c r="Q434">
        <v>1</v>
      </c>
      <c r="S434" t="b">
        <v>0</v>
      </c>
      <c r="W434" t="s">
        <v>51</v>
      </c>
    </row>
    <row r="435" spans="1:23" hidden="1" x14ac:dyDescent="0.25">
      <c r="A435" t="s">
        <v>63</v>
      </c>
      <c r="B435">
        <v>2018</v>
      </c>
      <c r="C435">
        <v>3</v>
      </c>
      <c r="D435">
        <v>2</v>
      </c>
      <c r="E435" t="s">
        <v>49</v>
      </c>
      <c r="G435" t="s">
        <v>86</v>
      </c>
      <c r="J435">
        <v>0</v>
      </c>
      <c r="K435">
        <v>8</v>
      </c>
      <c r="L435">
        <v>8</v>
      </c>
      <c r="M435">
        <v>5</v>
      </c>
      <c r="N435">
        <v>3</v>
      </c>
      <c r="O435">
        <v>7</v>
      </c>
      <c r="P435">
        <v>0</v>
      </c>
      <c r="Q435">
        <v>31</v>
      </c>
      <c r="S435" t="b">
        <v>0</v>
      </c>
      <c r="W435" t="s">
        <v>51</v>
      </c>
    </row>
    <row r="436" spans="1:23" hidden="1" x14ac:dyDescent="0.25">
      <c r="A436" t="s">
        <v>63</v>
      </c>
      <c r="B436">
        <v>2018</v>
      </c>
      <c r="C436">
        <v>3</v>
      </c>
      <c r="D436">
        <v>2</v>
      </c>
      <c r="E436" t="s">
        <v>49</v>
      </c>
      <c r="F436" t="s">
        <v>52</v>
      </c>
      <c r="G436" t="s">
        <v>99</v>
      </c>
      <c r="H436" t="s">
        <v>57</v>
      </c>
      <c r="I436" t="s">
        <v>55</v>
      </c>
      <c r="J436">
        <v>0</v>
      </c>
      <c r="K436">
        <v>0</v>
      </c>
      <c r="L436">
        <v>0</v>
      </c>
      <c r="M436">
        <v>3</v>
      </c>
      <c r="N436">
        <v>4</v>
      </c>
      <c r="O436">
        <v>0</v>
      </c>
      <c r="P436">
        <v>0</v>
      </c>
      <c r="Q436">
        <v>7</v>
      </c>
      <c r="R436" t="s">
        <v>56</v>
      </c>
      <c r="S436" t="b">
        <v>0</v>
      </c>
      <c r="W436" t="s">
        <v>51</v>
      </c>
    </row>
    <row r="437" spans="1:23" x14ac:dyDescent="0.25">
      <c r="A437" t="s">
        <v>69</v>
      </c>
      <c r="B437">
        <v>2018</v>
      </c>
      <c r="C437">
        <v>4</v>
      </c>
      <c r="D437">
        <v>3</v>
      </c>
      <c r="E437" t="s">
        <v>49</v>
      </c>
      <c r="F437" t="s">
        <v>64</v>
      </c>
      <c r="G437" t="s">
        <v>78</v>
      </c>
      <c r="H437" t="s">
        <v>57</v>
      </c>
      <c r="I437" t="s">
        <v>68</v>
      </c>
      <c r="J437">
        <v>0</v>
      </c>
      <c r="K437">
        <v>1.5</v>
      </c>
      <c r="L437">
        <v>0</v>
      </c>
      <c r="M437">
        <v>0</v>
      </c>
      <c r="N437">
        <v>0.2</v>
      </c>
      <c r="O437">
        <v>0.3</v>
      </c>
      <c r="P437">
        <v>0</v>
      </c>
      <c r="Q437">
        <v>2</v>
      </c>
      <c r="R437" t="s">
        <v>56</v>
      </c>
      <c r="S437" t="b">
        <v>0</v>
      </c>
      <c r="W437" t="s">
        <v>51</v>
      </c>
    </row>
    <row r="438" spans="1:23" x14ac:dyDescent="0.25">
      <c r="A438" t="s">
        <v>102</v>
      </c>
      <c r="B438">
        <v>2018</v>
      </c>
      <c r="C438">
        <v>4</v>
      </c>
      <c r="D438">
        <v>3</v>
      </c>
      <c r="E438" t="s">
        <v>49</v>
      </c>
      <c r="F438" t="s">
        <v>52</v>
      </c>
      <c r="G438" t="s">
        <v>78</v>
      </c>
      <c r="H438" t="s">
        <v>57</v>
      </c>
      <c r="I438" t="s">
        <v>68</v>
      </c>
      <c r="J438">
        <v>0</v>
      </c>
      <c r="K438">
        <v>5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5</v>
      </c>
      <c r="R438" t="s">
        <v>56</v>
      </c>
      <c r="S438" t="b">
        <v>0</v>
      </c>
      <c r="W438" t="s">
        <v>51</v>
      </c>
    </row>
    <row r="439" spans="1:23" hidden="1" x14ac:dyDescent="0.25">
      <c r="A439" t="s">
        <v>102</v>
      </c>
      <c r="B439">
        <v>2018</v>
      </c>
      <c r="C439">
        <v>3</v>
      </c>
      <c r="D439">
        <v>2</v>
      </c>
      <c r="E439" t="s">
        <v>49</v>
      </c>
      <c r="F439" t="s">
        <v>52</v>
      </c>
      <c r="G439" t="s">
        <v>103</v>
      </c>
      <c r="H439" t="s">
        <v>57</v>
      </c>
      <c r="I439" t="s">
        <v>61</v>
      </c>
      <c r="J439">
        <v>0</v>
      </c>
      <c r="K439">
        <v>2</v>
      </c>
      <c r="L439">
        <v>2</v>
      </c>
      <c r="M439">
        <v>3</v>
      </c>
      <c r="N439">
        <v>0</v>
      </c>
      <c r="O439">
        <v>0</v>
      </c>
      <c r="P439">
        <v>0</v>
      </c>
      <c r="Q439">
        <v>7</v>
      </c>
      <c r="R439" t="s">
        <v>56</v>
      </c>
      <c r="S439" t="b">
        <v>0</v>
      </c>
      <c r="W439" t="s">
        <v>51</v>
      </c>
    </row>
    <row r="440" spans="1:23" x14ac:dyDescent="0.25">
      <c r="A440" t="s">
        <v>79</v>
      </c>
      <c r="B440">
        <v>2018</v>
      </c>
      <c r="C440">
        <v>4</v>
      </c>
      <c r="D440">
        <v>3</v>
      </c>
      <c r="E440" t="s">
        <v>49</v>
      </c>
      <c r="F440" t="s">
        <v>52</v>
      </c>
      <c r="G440" t="s">
        <v>78</v>
      </c>
      <c r="H440" t="s">
        <v>57</v>
      </c>
      <c r="I440" t="s">
        <v>58</v>
      </c>
      <c r="J440">
        <v>0</v>
      </c>
      <c r="K440">
        <v>2.5</v>
      </c>
      <c r="L440">
        <v>6</v>
      </c>
      <c r="M440">
        <v>0</v>
      </c>
      <c r="N440">
        <v>0</v>
      </c>
      <c r="O440">
        <v>0</v>
      </c>
      <c r="P440">
        <v>0</v>
      </c>
      <c r="Q440">
        <v>8.5</v>
      </c>
      <c r="R440" t="s">
        <v>56</v>
      </c>
      <c r="S440" t="b">
        <v>0</v>
      </c>
      <c r="W440" t="s">
        <v>51</v>
      </c>
    </row>
    <row r="441" spans="1:23" x14ac:dyDescent="0.25">
      <c r="A441" t="s">
        <v>69</v>
      </c>
      <c r="B441">
        <v>2018</v>
      </c>
      <c r="C441">
        <v>4</v>
      </c>
      <c r="D441">
        <v>2</v>
      </c>
      <c r="E441" t="s">
        <v>49</v>
      </c>
      <c r="F441" t="s">
        <v>64</v>
      </c>
      <c r="G441" t="s">
        <v>78</v>
      </c>
      <c r="H441" t="s">
        <v>57</v>
      </c>
      <c r="I441" t="s">
        <v>68</v>
      </c>
      <c r="J441">
        <v>0</v>
      </c>
      <c r="K441">
        <v>0.5</v>
      </c>
      <c r="L441">
        <v>0.5</v>
      </c>
      <c r="M441">
        <v>0</v>
      </c>
      <c r="N441">
        <v>1</v>
      </c>
      <c r="O441">
        <v>1</v>
      </c>
      <c r="P441">
        <v>0</v>
      </c>
      <c r="Q441">
        <v>3</v>
      </c>
      <c r="R441" t="s">
        <v>56</v>
      </c>
      <c r="S441" t="b">
        <v>0</v>
      </c>
      <c r="W441" t="s">
        <v>51</v>
      </c>
    </row>
    <row r="442" spans="1:23" x14ac:dyDescent="0.25">
      <c r="A442" t="s">
        <v>102</v>
      </c>
      <c r="B442">
        <v>2018</v>
      </c>
      <c r="C442">
        <v>4</v>
      </c>
      <c r="D442">
        <v>2</v>
      </c>
      <c r="E442" t="s">
        <v>49</v>
      </c>
      <c r="F442" t="s">
        <v>52</v>
      </c>
      <c r="G442" t="s">
        <v>78</v>
      </c>
      <c r="H442" t="s">
        <v>57</v>
      </c>
      <c r="I442" t="s">
        <v>87</v>
      </c>
      <c r="J442">
        <v>0</v>
      </c>
      <c r="K442">
        <v>0</v>
      </c>
      <c r="L442">
        <v>0</v>
      </c>
      <c r="M442">
        <v>0</v>
      </c>
      <c r="N442">
        <v>1</v>
      </c>
      <c r="O442">
        <v>0</v>
      </c>
      <c r="P442">
        <v>0</v>
      </c>
      <c r="Q442">
        <v>1</v>
      </c>
      <c r="R442" t="s">
        <v>56</v>
      </c>
      <c r="S442" t="b">
        <v>0</v>
      </c>
      <c r="W442" t="s">
        <v>51</v>
      </c>
    </row>
    <row r="443" spans="1:23" x14ac:dyDescent="0.25">
      <c r="A443" t="s">
        <v>102</v>
      </c>
      <c r="B443">
        <v>2018</v>
      </c>
      <c r="C443">
        <v>4</v>
      </c>
      <c r="D443">
        <v>2</v>
      </c>
      <c r="E443" t="s">
        <v>49</v>
      </c>
      <c r="F443" t="s">
        <v>52</v>
      </c>
      <c r="G443" t="s">
        <v>78</v>
      </c>
      <c r="H443" t="s">
        <v>57</v>
      </c>
      <c r="I443" t="s">
        <v>119</v>
      </c>
      <c r="J443">
        <v>0</v>
      </c>
      <c r="K443">
        <v>1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</v>
      </c>
      <c r="R443" t="s">
        <v>56</v>
      </c>
      <c r="S443" t="b">
        <v>0</v>
      </c>
      <c r="W443" t="s">
        <v>51</v>
      </c>
    </row>
    <row r="444" spans="1:23" x14ac:dyDescent="0.25">
      <c r="A444" t="s">
        <v>102</v>
      </c>
      <c r="B444">
        <v>2018</v>
      </c>
      <c r="C444">
        <v>4</v>
      </c>
      <c r="D444">
        <v>2</v>
      </c>
      <c r="E444" t="s">
        <v>49</v>
      </c>
      <c r="F444" t="s">
        <v>52</v>
      </c>
      <c r="G444" t="s">
        <v>78</v>
      </c>
      <c r="H444" t="s">
        <v>57</v>
      </c>
      <c r="I444" t="s">
        <v>68</v>
      </c>
      <c r="J444">
        <v>0</v>
      </c>
      <c r="K444">
        <v>3</v>
      </c>
      <c r="L444">
        <v>5</v>
      </c>
      <c r="M444">
        <v>4</v>
      </c>
      <c r="N444">
        <v>4</v>
      </c>
      <c r="O444">
        <v>0</v>
      </c>
      <c r="P444">
        <v>0</v>
      </c>
      <c r="Q444">
        <v>16</v>
      </c>
      <c r="R444" t="s">
        <v>56</v>
      </c>
      <c r="S444" t="b">
        <v>0</v>
      </c>
      <c r="W444" t="s">
        <v>51</v>
      </c>
    </row>
    <row r="445" spans="1:23" x14ac:dyDescent="0.25">
      <c r="A445" t="s">
        <v>69</v>
      </c>
      <c r="B445">
        <v>2018</v>
      </c>
      <c r="C445">
        <v>4</v>
      </c>
      <c r="D445">
        <v>1</v>
      </c>
      <c r="E445" t="s">
        <v>49</v>
      </c>
      <c r="F445" t="s">
        <v>64</v>
      </c>
      <c r="G445" t="s">
        <v>78</v>
      </c>
      <c r="H445" t="s">
        <v>57</v>
      </c>
      <c r="I445" t="s">
        <v>68</v>
      </c>
      <c r="J445">
        <v>0</v>
      </c>
      <c r="K445">
        <v>0.5</v>
      </c>
      <c r="L445">
        <v>3.2</v>
      </c>
      <c r="M445">
        <v>2.5</v>
      </c>
      <c r="N445">
        <v>2.2999999999999998</v>
      </c>
      <c r="O445">
        <v>4.9000000000000004</v>
      </c>
      <c r="P445">
        <v>0</v>
      </c>
      <c r="Q445">
        <v>13.4</v>
      </c>
      <c r="R445" t="s">
        <v>56</v>
      </c>
      <c r="S445" t="b">
        <v>0</v>
      </c>
      <c r="W445" t="s">
        <v>51</v>
      </c>
    </row>
    <row r="446" spans="1:23" x14ac:dyDescent="0.25">
      <c r="A446" t="s">
        <v>102</v>
      </c>
      <c r="B446">
        <v>2018</v>
      </c>
      <c r="C446">
        <v>4</v>
      </c>
      <c r="D446">
        <v>1</v>
      </c>
      <c r="E446" t="s">
        <v>49</v>
      </c>
      <c r="F446" t="s">
        <v>52</v>
      </c>
      <c r="G446" t="s">
        <v>78</v>
      </c>
      <c r="H446" t="s">
        <v>57</v>
      </c>
      <c r="I446" t="s">
        <v>87</v>
      </c>
      <c r="J446">
        <v>0</v>
      </c>
      <c r="K446">
        <v>0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1</v>
      </c>
      <c r="R446" t="s">
        <v>56</v>
      </c>
      <c r="S446" t="b">
        <v>0</v>
      </c>
      <c r="W446" t="s">
        <v>51</v>
      </c>
    </row>
    <row r="447" spans="1:23" x14ac:dyDescent="0.25">
      <c r="A447" t="s">
        <v>102</v>
      </c>
      <c r="B447">
        <v>2018</v>
      </c>
      <c r="C447">
        <v>4</v>
      </c>
      <c r="D447">
        <v>1</v>
      </c>
      <c r="E447" t="s">
        <v>49</v>
      </c>
      <c r="F447" t="s">
        <v>52</v>
      </c>
      <c r="G447" t="s">
        <v>78</v>
      </c>
      <c r="H447" t="s">
        <v>57</v>
      </c>
      <c r="I447" t="s">
        <v>68</v>
      </c>
      <c r="J447">
        <v>0</v>
      </c>
      <c r="K447">
        <v>4</v>
      </c>
      <c r="L447">
        <v>1</v>
      </c>
      <c r="M447">
        <v>2</v>
      </c>
      <c r="N447">
        <v>3</v>
      </c>
      <c r="O447">
        <v>5</v>
      </c>
      <c r="P447">
        <v>0</v>
      </c>
      <c r="Q447">
        <v>15</v>
      </c>
      <c r="R447" t="s">
        <v>56</v>
      </c>
      <c r="S447" t="b">
        <v>0</v>
      </c>
      <c r="W447" t="s">
        <v>51</v>
      </c>
    </row>
    <row r="448" spans="1:23" hidden="1" x14ac:dyDescent="0.25">
      <c r="A448" t="s">
        <v>74</v>
      </c>
      <c r="B448">
        <v>2018</v>
      </c>
      <c r="C448">
        <v>3</v>
      </c>
      <c r="D448">
        <v>2</v>
      </c>
      <c r="E448" t="s">
        <v>49</v>
      </c>
      <c r="G448" t="s">
        <v>86</v>
      </c>
      <c r="J448">
        <v>0</v>
      </c>
      <c r="K448">
        <v>1</v>
      </c>
      <c r="L448">
        <v>2</v>
      </c>
      <c r="M448">
        <v>0</v>
      </c>
      <c r="N448">
        <v>1</v>
      </c>
      <c r="O448">
        <v>1</v>
      </c>
      <c r="P448">
        <v>0</v>
      </c>
      <c r="Q448">
        <v>5</v>
      </c>
      <c r="S448" t="b">
        <v>0</v>
      </c>
      <c r="W448" t="s">
        <v>51</v>
      </c>
    </row>
    <row r="449" spans="1:23" x14ac:dyDescent="0.25">
      <c r="A449" t="s">
        <v>102</v>
      </c>
      <c r="B449">
        <v>2018</v>
      </c>
      <c r="C449">
        <v>4</v>
      </c>
      <c r="D449">
        <v>1</v>
      </c>
      <c r="E449" t="s">
        <v>49</v>
      </c>
      <c r="F449" t="s">
        <v>52</v>
      </c>
      <c r="G449" t="s">
        <v>78</v>
      </c>
      <c r="H449" t="s">
        <v>57</v>
      </c>
      <c r="I449" t="s">
        <v>119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0</v>
      </c>
      <c r="P449">
        <v>0</v>
      </c>
      <c r="Q449">
        <v>1</v>
      </c>
      <c r="R449" t="s">
        <v>56</v>
      </c>
      <c r="S449" t="b">
        <v>0</v>
      </c>
      <c r="W449" t="s">
        <v>51</v>
      </c>
    </row>
    <row r="450" spans="1:23" hidden="1" x14ac:dyDescent="0.25">
      <c r="A450" t="s">
        <v>74</v>
      </c>
      <c r="B450">
        <v>2018</v>
      </c>
      <c r="C450">
        <v>3</v>
      </c>
      <c r="D450">
        <v>2</v>
      </c>
      <c r="E450" t="s">
        <v>49</v>
      </c>
      <c r="G450" t="s">
        <v>50</v>
      </c>
      <c r="J450">
        <v>0</v>
      </c>
      <c r="K450">
        <v>0</v>
      </c>
      <c r="L450">
        <v>0</v>
      </c>
      <c r="M450">
        <v>0</v>
      </c>
      <c r="N450">
        <v>1</v>
      </c>
      <c r="O450">
        <v>0</v>
      </c>
      <c r="P450">
        <v>0</v>
      </c>
      <c r="Q450">
        <v>1</v>
      </c>
      <c r="S450" t="b">
        <v>0</v>
      </c>
      <c r="W450" t="s">
        <v>51</v>
      </c>
    </row>
    <row r="451" spans="1:23" hidden="1" x14ac:dyDescent="0.25">
      <c r="A451" t="s">
        <v>74</v>
      </c>
      <c r="B451">
        <v>2018</v>
      </c>
      <c r="C451">
        <v>3</v>
      </c>
      <c r="D451">
        <v>2</v>
      </c>
      <c r="E451" t="s">
        <v>49</v>
      </c>
      <c r="F451" t="s">
        <v>82</v>
      </c>
      <c r="G451" t="s">
        <v>99</v>
      </c>
      <c r="H451" t="s">
        <v>57</v>
      </c>
      <c r="I451" t="s">
        <v>55</v>
      </c>
      <c r="J451">
        <v>0</v>
      </c>
      <c r="K451">
        <v>0</v>
      </c>
      <c r="L451">
        <v>0</v>
      </c>
      <c r="M451">
        <v>0</v>
      </c>
      <c r="N451">
        <v>2</v>
      </c>
      <c r="O451">
        <v>0</v>
      </c>
      <c r="P451">
        <v>0</v>
      </c>
      <c r="Q451">
        <v>2</v>
      </c>
      <c r="R451" t="s">
        <v>56</v>
      </c>
      <c r="S451" t="b">
        <v>0</v>
      </c>
      <c r="W451" t="s">
        <v>51</v>
      </c>
    </row>
    <row r="452" spans="1:23" x14ac:dyDescent="0.25">
      <c r="A452" t="s">
        <v>74</v>
      </c>
      <c r="B452">
        <v>2018</v>
      </c>
      <c r="C452">
        <v>4</v>
      </c>
      <c r="D452">
        <v>1</v>
      </c>
      <c r="E452" t="s">
        <v>49</v>
      </c>
      <c r="F452" t="s">
        <v>52</v>
      </c>
      <c r="G452" t="s">
        <v>78</v>
      </c>
      <c r="H452" t="s">
        <v>57</v>
      </c>
      <c r="I452" t="s">
        <v>134</v>
      </c>
      <c r="J452">
        <v>0</v>
      </c>
      <c r="K452">
        <v>2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2</v>
      </c>
      <c r="R452" t="s">
        <v>56</v>
      </c>
      <c r="S452" t="b">
        <v>0</v>
      </c>
      <c r="W452" t="s">
        <v>51</v>
      </c>
    </row>
    <row r="453" spans="1:23" x14ac:dyDescent="0.25">
      <c r="A453" t="s">
        <v>69</v>
      </c>
      <c r="B453">
        <v>2018</v>
      </c>
      <c r="C453">
        <v>3</v>
      </c>
      <c r="D453">
        <v>4</v>
      </c>
      <c r="E453" t="s">
        <v>49</v>
      </c>
      <c r="F453" t="s">
        <v>64</v>
      </c>
      <c r="G453" t="s">
        <v>78</v>
      </c>
      <c r="H453" t="s">
        <v>57</v>
      </c>
      <c r="I453" t="s">
        <v>58</v>
      </c>
      <c r="J453">
        <v>0</v>
      </c>
      <c r="K453">
        <v>6</v>
      </c>
      <c r="L453">
        <v>1</v>
      </c>
      <c r="M453">
        <v>1.5</v>
      </c>
      <c r="N453">
        <v>0</v>
      </c>
      <c r="O453">
        <v>0</v>
      </c>
      <c r="P453">
        <v>0</v>
      </c>
      <c r="Q453">
        <v>8.5</v>
      </c>
      <c r="R453" t="s">
        <v>56</v>
      </c>
      <c r="S453" t="b">
        <v>0</v>
      </c>
      <c r="W453" t="s">
        <v>51</v>
      </c>
    </row>
    <row r="454" spans="1:23" hidden="1" x14ac:dyDescent="0.25">
      <c r="A454" t="s">
        <v>48</v>
      </c>
      <c r="B454">
        <v>2018</v>
      </c>
      <c r="C454">
        <v>3</v>
      </c>
      <c r="D454">
        <v>2</v>
      </c>
      <c r="E454" t="s">
        <v>49</v>
      </c>
      <c r="F454" t="s">
        <v>52</v>
      </c>
      <c r="G454" t="s">
        <v>99</v>
      </c>
      <c r="H454" t="s">
        <v>57</v>
      </c>
      <c r="I454" t="s">
        <v>85</v>
      </c>
      <c r="J454">
        <v>0</v>
      </c>
      <c r="K454">
        <v>0</v>
      </c>
      <c r="L454">
        <v>0</v>
      </c>
      <c r="M454">
        <v>0</v>
      </c>
      <c r="N454">
        <v>8</v>
      </c>
      <c r="O454">
        <v>8</v>
      </c>
      <c r="P454">
        <v>0</v>
      </c>
      <c r="Q454">
        <v>16</v>
      </c>
      <c r="R454" t="s">
        <v>56</v>
      </c>
      <c r="S454" t="b">
        <v>0</v>
      </c>
      <c r="W454" t="s">
        <v>51</v>
      </c>
    </row>
    <row r="455" spans="1:23" hidden="1" x14ac:dyDescent="0.25">
      <c r="A455" t="s">
        <v>60</v>
      </c>
      <c r="B455">
        <v>2018</v>
      </c>
      <c r="C455">
        <v>3</v>
      </c>
      <c r="D455">
        <v>2</v>
      </c>
      <c r="E455" t="s">
        <v>49</v>
      </c>
      <c r="G455" t="s">
        <v>62</v>
      </c>
      <c r="J455">
        <v>0</v>
      </c>
      <c r="K455">
        <v>8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8</v>
      </c>
      <c r="S455" t="b">
        <v>0</v>
      </c>
      <c r="W455" t="s">
        <v>51</v>
      </c>
    </row>
    <row r="456" spans="1:23" hidden="1" x14ac:dyDescent="0.25">
      <c r="A456" t="s">
        <v>60</v>
      </c>
      <c r="B456">
        <v>2018</v>
      </c>
      <c r="C456">
        <v>3</v>
      </c>
      <c r="D456">
        <v>2</v>
      </c>
      <c r="E456" t="s">
        <v>49</v>
      </c>
      <c r="F456" t="s">
        <v>52</v>
      </c>
      <c r="G456" t="s">
        <v>103</v>
      </c>
      <c r="H456" t="s">
        <v>57</v>
      </c>
      <c r="I456" t="s">
        <v>61</v>
      </c>
      <c r="J456">
        <v>0</v>
      </c>
      <c r="K456">
        <v>0</v>
      </c>
      <c r="L456">
        <v>8</v>
      </c>
      <c r="M456">
        <v>8</v>
      </c>
      <c r="N456">
        <v>8</v>
      </c>
      <c r="O456">
        <v>8</v>
      </c>
      <c r="P456">
        <v>0</v>
      </c>
      <c r="Q456">
        <v>32</v>
      </c>
      <c r="R456" t="s">
        <v>56</v>
      </c>
      <c r="S456" t="b">
        <v>0</v>
      </c>
      <c r="W456" t="s">
        <v>51</v>
      </c>
    </row>
    <row r="457" spans="1:23" hidden="1" x14ac:dyDescent="0.25">
      <c r="A457" t="s">
        <v>79</v>
      </c>
      <c r="B457">
        <v>2018</v>
      </c>
      <c r="C457">
        <v>3</v>
      </c>
      <c r="D457">
        <v>2</v>
      </c>
      <c r="E457" t="s">
        <v>49</v>
      </c>
      <c r="G457" t="s">
        <v>73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4</v>
      </c>
      <c r="P457">
        <v>0</v>
      </c>
      <c r="Q457">
        <v>4</v>
      </c>
      <c r="S457" t="b">
        <v>0</v>
      </c>
      <c r="W457" t="s">
        <v>51</v>
      </c>
    </row>
    <row r="458" spans="1:23" hidden="1" x14ac:dyDescent="0.25">
      <c r="A458" t="s">
        <v>79</v>
      </c>
      <c r="B458">
        <v>2018</v>
      </c>
      <c r="C458">
        <v>3</v>
      </c>
      <c r="D458">
        <v>2</v>
      </c>
      <c r="E458" t="s">
        <v>49</v>
      </c>
      <c r="G458" t="s">
        <v>50</v>
      </c>
      <c r="J458">
        <v>0</v>
      </c>
      <c r="K458">
        <v>0</v>
      </c>
      <c r="L458">
        <v>0</v>
      </c>
      <c r="M458">
        <v>0</v>
      </c>
      <c r="N458">
        <v>1</v>
      </c>
      <c r="O458">
        <v>0</v>
      </c>
      <c r="P458">
        <v>0</v>
      </c>
      <c r="Q458">
        <v>1</v>
      </c>
      <c r="S458" t="b">
        <v>0</v>
      </c>
      <c r="W458" t="s">
        <v>51</v>
      </c>
    </row>
    <row r="459" spans="1:23" x14ac:dyDescent="0.25">
      <c r="A459" t="s">
        <v>69</v>
      </c>
      <c r="B459">
        <v>2018</v>
      </c>
      <c r="C459">
        <v>3</v>
      </c>
      <c r="D459">
        <v>4</v>
      </c>
      <c r="E459" t="s">
        <v>49</v>
      </c>
      <c r="F459" t="s">
        <v>64</v>
      </c>
      <c r="G459" t="s">
        <v>78</v>
      </c>
      <c r="H459" t="s">
        <v>57</v>
      </c>
      <c r="I459" t="s">
        <v>68</v>
      </c>
      <c r="J459">
        <v>0</v>
      </c>
      <c r="K459">
        <v>0</v>
      </c>
      <c r="L459">
        <v>2</v>
      </c>
      <c r="M459">
        <v>1.5</v>
      </c>
      <c r="N459">
        <v>1</v>
      </c>
      <c r="O459">
        <v>0</v>
      </c>
      <c r="P459">
        <v>0</v>
      </c>
      <c r="Q459">
        <v>4.5</v>
      </c>
      <c r="R459" t="s">
        <v>56</v>
      </c>
      <c r="S459" t="b">
        <v>0</v>
      </c>
      <c r="W459" t="s">
        <v>51</v>
      </c>
    </row>
    <row r="460" spans="1:23" hidden="1" x14ac:dyDescent="0.25">
      <c r="A460" t="s">
        <v>63</v>
      </c>
      <c r="B460">
        <v>2018</v>
      </c>
      <c r="C460">
        <v>3</v>
      </c>
      <c r="D460">
        <v>1</v>
      </c>
      <c r="E460" t="s">
        <v>49</v>
      </c>
      <c r="F460" t="s">
        <v>52</v>
      </c>
      <c r="G460" t="s">
        <v>99</v>
      </c>
      <c r="H460" t="s">
        <v>57</v>
      </c>
      <c r="I460" t="s">
        <v>55</v>
      </c>
      <c r="J460">
        <v>0</v>
      </c>
      <c r="K460">
        <v>0</v>
      </c>
      <c r="L460">
        <v>0</v>
      </c>
      <c r="M460">
        <v>4</v>
      </c>
      <c r="N460">
        <v>2</v>
      </c>
      <c r="O460">
        <v>0</v>
      </c>
      <c r="P460">
        <v>0</v>
      </c>
      <c r="Q460">
        <v>6</v>
      </c>
      <c r="R460" t="s">
        <v>56</v>
      </c>
      <c r="S460" t="b">
        <v>0</v>
      </c>
      <c r="W460" t="s">
        <v>51</v>
      </c>
    </row>
    <row r="461" spans="1:23" x14ac:dyDescent="0.25">
      <c r="A461" t="s">
        <v>102</v>
      </c>
      <c r="B461">
        <v>2018</v>
      </c>
      <c r="C461">
        <v>3</v>
      </c>
      <c r="D461">
        <v>4</v>
      </c>
      <c r="E461" t="s">
        <v>49</v>
      </c>
      <c r="F461" t="s">
        <v>52</v>
      </c>
      <c r="G461" t="s">
        <v>78</v>
      </c>
      <c r="H461" t="s">
        <v>57</v>
      </c>
      <c r="I461" t="s">
        <v>87</v>
      </c>
      <c r="J461">
        <v>0</v>
      </c>
      <c r="K461">
        <v>1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</v>
      </c>
      <c r="R461" t="s">
        <v>56</v>
      </c>
      <c r="S461" t="b">
        <v>0</v>
      </c>
      <c r="W461" t="s">
        <v>51</v>
      </c>
    </row>
    <row r="462" spans="1:23" x14ac:dyDescent="0.25">
      <c r="A462" t="s">
        <v>102</v>
      </c>
      <c r="B462">
        <v>2018</v>
      </c>
      <c r="C462">
        <v>3</v>
      </c>
      <c r="D462">
        <v>4</v>
      </c>
      <c r="E462" t="s">
        <v>49</v>
      </c>
      <c r="F462" t="s">
        <v>52</v>
      </c>
      <c r="G462" t="s">
        <v>78</v>
      </c>
      <c r="H462" t="s">
        <v>57</v>
      </c>
      <c r="I462" t="s">
        <v>68</v>
      </c>
      <c r="J462">
        <v>0</v>
      </c>
      <c r="K462">
        <v>6</v>
      </c>
      <c r="L462">
        <v>4</v>
      </c>
      <c r="M462">
        <v>2</v>
      </c>
      <c r="N462">
        <v>3</v>
      </c>
      <c r="O462">
        <v>0</v>
      </c>
      <c r="P462">
        <v>0</v>
      </c>
      <c r="Q462">
        <v>15</v>
      </c>
      <c r="R462" t="s">
        <v>56</v>
      </c>
      <c r="S462" t="b">
        <v>0</v>
      </c>
      <c r="W462" t="s">
        <v>51</v>
      </c>
    </row>
    <row r="463" spans="1:23" hidden="1" x14ac:dyDescent="0.25">
      <c r="A463" t="s">
        <v>63</v>
      </c>
      <c r="B463">
        <v>2018</v>
      </c>
      <c r="C463">
        <v>3</v>
      </c>
      <c r="D463">
        <v>1</v>
      </c>
      <c r="E463" t="s">
        <v>49</v>
      </c>
      <c r="F463" t="s">
        <v>52</v>
      </c>
      <c r="G463" t="s">
        <v>53</v>
      </c>
      <c r="H463" t="s">
        <v>91</v>
      </c>
      <c r="I463" t="s">
        <v>134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8</v>
      </c>
      <c r="P463">
        <v>0</v>
      </c>
      <c r="Q463">
        <v>8</v>
      </c>
      <c r="R463" t="s">
        <v>56</v>
      </c>
      <c r="S463" t="b">
        <v>0</v>
      </c>
      <c r="W463" t="s">
        <v>51</v>
      </c>
    </row>
    <row r="464" spans="1:23" x14ac:dyDescent="0.25">
      <c r="A464" t="s">
        <v>102</v>
      </c>
      <c r="B464">
        <v>2018</v>
      </c>
      <c r="C464">
        <v>3</v>
      </c>
      <c r="D464">
        <v>4</v>
      </c>
      <c r="E464" t="s">
        <v>49</v>
      </c>
      <c r="F464" t="s">
        <v>52</v>
      </c>
      <c r="G464" t="s">
        <v>78</v>
      </c>
      <c r="H464" t="s">
        <v>57</v>
      </c>
      <c r="I464" t="s">
        <v>119</v>
      </c>
      <c r="J464">
        <v>0</v>
      </c>
      <c r="K464">
        <v>1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1</v>
      </c>
      <c r="R464" t="s">
        <v>56</v>
      </c>
      <c r="S464" t="b">
        <v>0</v>
      </c>
      <c r="W464" t="s">
        <v>51</v>
      </c>
    </row>
    <row r="465" spans="1:23" x14ac:dyDescent="0.25">
      <c r="A465" t="s">
        <v>69</v>
      </c>
      <c r="B465">
        <v>2018</v>
      </c>
      <c r="C465">
        <v>3</v>
      </c>
      <c r="D465">
        <v>3</v>
      </c>
      <c r="E465" t="s">
        <v>49</v>
      </c>
      <c r="F465" t="s">
        <v>64</v>
      </c>
      <c r="G465" t="s">
        <v>78</v>
      </c>
      <c r="H465" t="s">
        <v>57</v>
      </c>
      <c r="I465" t="s">
        <v>58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6.8</v>
      </c>
      <c r="P465">
        <v>0</v>
      </c>
      <c r="Q465">
        <v>6.8</v>
      </c>
      <c r="R465" t="s">
        <v>56</v>
      </c>
      <c r="S465" t="b">
        <v>0</v>
      </c>
      <c r="W465" t="s">
        <v>51</v>
      </c>
    </row>
    <row r="466" spans="1:23" hidden="1" x14ac:dyDescent="0.25">
      <c r="A466" t="s">
        <v>102</v>
      </c>
      <c r="B466">
        <v>2018</v>
      </c>
      <c r="C466">
        <v>3</v>
      </c>
      <c r="D466">
        <v>1</v>
      </c>
      <c r="E466" t="s">
        <v>49</v>
      </c>
      <c r="F466" t="s">
        <v>67</v>
      </c>
      <c r="G466" t="s">
        <v>99</v>
      </c>
      <c r="H466" t="s">
        <v>57</v>
      </c>
      <c r="I466" t="s">
        <v>68</v>
      </c>
      <c r="J466">
        <v>0</v>
      </c>
      <c r="K466">
        <v>2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2</v>
      </c>
      <c r="R466" t="s">
        <v>56</v>
      </c>
      <c r="S466" t="b">
        <v>0</v>
      </c>
      <c r="W466" t="s">
        <v>51</v>
      </c>
    </row>
    <row r="467" spans="1:23" x14ac:dyDescent="0.25">
      <c r="A467" t="s">
        <v>102</v>
      </c>
      <c r="B467">
        <v>2018</v>
      </c>
      <c r="C467">
        <v>3</v>
      </c>
      <c r="D467">
        <v>3</v>
      </c>
      <c r="E467" t="s">
        <v>49</v>
      </c>
      <c r="F467" t="s">
        <v>52</v>
      </c>
      <c r="G467" t="s">
        <v>78</v>
      </c>
      <c r="H467" t="s">
        <v>57</v>
      </c>
      <c r="I467" t="s">
        <v>119</v>
      </c>
      <c r="J467">
        <v>0</v>
      </c>
      <c r="K467">
        <v>1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1</v>
      </c>
      <c r="R467" t="s">
        <v>56</v>
      </c>
      <c r="S467" t="b">
        <v>0</v>
      </c>
      <c r="W467" t="s">
        <v>51</v>
      </c>
    </row>
    <row r="468" spans="1:23" hidden="1" x14ac:dyDescent="0.25">
      <c r="A468" t="s">
        <v>102</v>
      </c>
      <c r="B468">
        <v>2018</v>
      </c>
      <c r="C468">
        <v>3</v>
      </c>
      <c r="D468">
        <v>1</v>
      </c>
      <c r="E468" t="s">
        <v>49</v>
      </c>
      <c r="F468" t="s">
        <v>67</v>
      </c>
      <c r="G468" t="s">
        <v>99</v>
      </c>
      <c r="H468" t="s">
        <v>111</v>
      </c>
      <c r="I468" t="s">
        <v>87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1</v>
      </c>
      <c r="R468" t="s">
        <v>56</v>
      </c>
      <c r="S468" t="b">
        <v>0</v>
      </c>
      <c r="W468" t="s">
        <v>51</v>
      </c>
    </row>
    <row r="469" spans="1:23" x14ac:dyDescent="0.25">
      <c r="A469" t="s">
        <v>102</v>
      </c>
      <c r="B469">
        <v>2018</v>
      </c>
      <c r="C469">
        <v>3</v>
      </c>
      <c r="D469">
        <v>3</v>
      </c>
      <c r="E469" t="s">
        <v>49</v>
      </c>
      <c r="F469" t="s">
        <v>52</v>
      </c>
      <c r="G469" t="s">
        <v>78</v>
      </c>
      <c r="H469" t="s">
        <v>57</v>
      </c>
      <c r="I469" t="s">
        <v>68</v>
      </c>
      <c r="J469">
        <v>0</v>
      </c>
      <c r="K469">
        <v>7</v>
      </c>
      <c r="L469">
        <v>7</v>
      </c>
      <c r="M469">
        <v>4</v>
      </c>
      <c r="N469">
        <v>4</v>
      </c>
      <c r="O469">
        <v>0</v>
      </c>
      <c r="P469">
        <v>0</v>
      </c>
      <c r="Q469">
        <v>22</v>
      </c>
      <c r="R469" t="s">
        <v>56</v>
      </c>
      <c r="S469" t="b">
        <v>0</v>
      </c>
      <c r="W469" t="s">
        <v>51</v>
      </c>
    </row>
    <row r="470" spans="1:23" hidden="1" x14ac:dyDescent="0.25">
      <c r="A470" t="s">
        <v>102</v>
      </c>
      <c r="B470">
        <v>2018</v>
      </c>
      <c r="C470">
        <v>3</v>
      </c>
      <c r="D470">
        <v>1</v>
      </c>
      <c r="E470" t="s">
        <v>49</v>
      </c>
      <c r="F470" t="s">
        <v>52</v>
      </c>
      <c r="G470" t="s">
        <v>103</v>
      </c>
      <c r="H470" t="s">
        <v>57</v>
      </c>
      <c r="I470" t="s">
        <v>85</v>
      </c>
      <c r="J470">
        <v>0</v>
      </c>
      <c r="K470">
        <v>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4</v>
      </c>
      <c r="R470" t="s">
        <v>56</v>
      </c>
      <c r="S470" t="b">
        <v>0</v>
      </c>
      <c r="W470" t="s">
        <v>51</v>
      </c>
    </row>
    <row r="471" spans="1:23" x14ac:dyDescent="0.25">
      <c r="A471" t="s">
        <v>102</v>
      </c>
      <c r="B471">
        <v>2018</v>
      </c>
      <c r="C471">
        <v>3</v>
      </c>
      <c r="D471">
        <v>3</v>
      </c>
      <c r="E471" t="s">
        <v>49</v>
      </c>
      <c r="F471" t="s">
        <v>67</v>
      </c>
      <c r="G471" t="s">
        <v>78</v>
      </c>
      <c r="H471" t="s">
        <v>57</v>
      </c>
      <c r="I471" t="s">
        <v>108</v>
      </c>
      <c r="J471">
        <v>0</v>
      </c>
      <c r="K471">
        <v>0</v>
      </c>
      <c r="L471">
        <v>0</v>
      </c>
      <c r="M471">
        <v>0</v>
      </c>
      <c r="N471">
        <v>3</v>
      </c>
      <c r="O471">
        <v>0</v>
      </c>
      <c r="P471">
        <v>0</v>
      </c>
      <c r="Q471">
        <v>3</v>
      </c>
      <c r="R471" t="s">
        <v>56</v>
      </c>
      <c r="S471" t="b">
        <v>0</v>
      </c>
      <c r="W471" t="s">
        <v>51</v>
      </c>
    </row>
    <row r="472" spans="1:23" hidden="1" x14ac:dyDescent="0.25">
      <c r="A472" t="s">
        <v>74</v>
      </c>
      <c r="B472">
        <v>2018</v>
      </c>
      <c r="C472">
        <v>3</v>
      </c>
      <c r="D472">
        <v>1</v>
      </c>
      <c r="E472" t="s">
        <v>49</v>
      </c>
      <c r="F472" t="s">
        <v>71</v>
      </c>
      <c r="G472" t="s">
        <v>99</v>
      </c>
      <c r="H472" t="s">
        <v>139</v>
      </c>
      <c r="I472" t="s">
        <v>77</v>
      </c>
      <c r="J472">
        <v>0</v>
      </c>
      <c r="K472">
        <v>0</v>
      </c>
      <c r="L472">
        <v>1</v>
      </c>
      <c r="M472">
        <v>1</v>
      </c>
      <c r="N472">
        <v>2</v>
      </c>
      <c r="O472">
        <v>0</v>
      </c>
      <c r="P472">
        <v>0</v>
      </c>
      <c r="Q472">
        <v>4</v>
      </c>
      <c r="R472" t="s">
        <v>56</v>
      </c>
      <c r="S472" t="b">
        <v>0</v>
      </c>
      <c r="W472" t="s">
        <v>51</v>
      </c>
    </row>
    <row r="473" spans="1:23" hidden="1" x14ac:dyDescent="0.25">
      <c r="A473" t="s">
        <v>74</v>
      </c>
      <c r="B473">
        <v>2018</v>
      </c>
      <c r="C473">
        <v>3</v>
      </c>
      <c r="D473">
        <v>1</v>
      </c>
      <c r="E473" t="s">
        <v>49</v>
      </c>
      <c r="G473" t="s">
        <v>50</v>
      </c>
      <c r="J473">
        <v>0</v>
      </c>
      <c r="K473">
        <v>1</v>
      </c>
      <c r="L473">
        <v>0</v>
      </c>
      <c r="M473">
        <v>0</v>
      </c>
      <c r="N473">
        <v>2</v>
      </c>
      <c r="O473">
        <v>0</v>
      </c>
      <c r="P473">
        <v>0</v>
      </c>
      <c r="Q473">
        <v>3</v>
      </c>
      <c r="S473" t="b">
        <v>0</v>
      </c>
      <c r="W473" t="s">
        <v>51</v>
      </c>
    </row>
    <row r="474" spans="1:23" hidden="1" x14ac:dyDescent="0.25">
      <c r="A474" t="s">
        <v>74</v>
      </c>
      <c r="B474">
        <v>2018</v>
      </c>
      <c r="C474">
        <v>3</v>
      </c>
      <c r="D474">
        <v>1</v>
      </c>
      <c r="E474" t="s">
        <v>49</v>
      </c>
      <c r="F474" t="s">
        <v>52</v>
      </c>
      <c r="G474" t="s">
        <v>103</v>
      </c>
      <c r="H474" t="s">
        <v>57</v>
      </c>
      <c r="I474" t="s">
        <v>58</v>
      </c>
      <c r="J474">
        <v>0</v>
      </c>
      <c r="K474">
        <v>7</v>
      </c>
      <c r="L474">
        <v>4</v>
      </c>
      <c r="M474">
        <v>0</v>
      </c>
      <c r="N474">
        <v>0</v>
      </c>
      <c r="O474">
        <v>0</v>
      </c>
      <c r="P474">
        <v>0</v>
      </c>
      <c r="Q474">
        <v>11</v>
      </c>
      <c r="R474" t="s">
        <v>56</v>
      </c>
      <c r="S474" t="b">
        <v>0</v>
      </c>
      <c r="W474" t="s">
        <v>51</v>
      </c>
    </row>
    <row r="475" spans="1:23" x14ac:dyDescent="0.25">
      <c r="A475" t="s">
        <v>74</v>
      </c>
      <c r="B475">
        <v>2018</v>
      </c>
      <c r="C475">
        <v>3</v>
      </c>
      <c r="D475">
        <v>3</v>
      </c>
      <c r="E475" t="s">
        <v>49</v>
      </c>
      <c r="F475" t="s">
        <v>67</v>
      </c>
      <c r="G475" t="s">
        <v>78</v>
      </c>
      <c r="H475" t="s">
        <v>57</v>
      </c>
      <c r="I475" t="s">
        <v>58</v>
      </c>
      <c r="J475">
        <v>0</v>
      </c>
      <c r="K475">
        <v>0.5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0.5</v>
      </c>
      <c r="R475" t="s">
        <v>56</v>
      </c>
      <c r="S475" t="b">
        <v>0</v>
      </c>
      <c r="W475" t="s">
        <v>51</v>
      </c>
    </row>
    <row r="476" spans="1:23" hidden="1" x14ac:dyDescent="0.25">
      <c r="A476" t="s">
        <v>48</v>
      </c>
      <c r="B476">
        <v>2018</v>
      </c>
      <c r="C476">
        <v>3</v>
      </c>
      <c r="D476">
        <v>1</v>
      </c>
      <c r="E476" t="s">
        <v>49</v>
      </c>
      <c r="F476" t="s">
        <v>67</v>
      </c>
      <c r="G476" t="s">
        <v>99</v>
      </c>
      <c r="H476" t="s">
        <v>57</v>
      </c>
      <c r="I476" t="s">
        <v>85</v>
      </c>
      <c r="J476">
        <v>0</v>
      </c>
      <c r="K476">
        <v>2</v>
      </c>
      <c r="L476">
        <v>0</v>
      </c>
      <c r="M476">
        <v>8</v>
      </c>
      <c r="N476">
        <v>8</v>
      </c>
      <c r="O476">
        <v>2</v>
      </c>
      <c r="P476">
        <v>0</v>
      </c>
      <c r="Q476">
        <v>20</v>
      </c>
      <c r="R476" t="s">
        <v>56</v>
      </c>
      <c r="S476" t="b">
        <v>0</v>
      </c>
      <c r="W476" t="s">
        <v>51</v>
      </c>
    </row>
    <row r="477" spans="1:23" x14ac:dyDescent="0.25">
      <c r="A477" t="s">
        <v>69</v>
      </c>
      <c r="B477">
        <v>2018</v>
      </c>
      <c r="C477">
        <v>3</v>
      </c>
      <c r="D477">
        <v>2</v>
      </c>
      <c r="E477" t="s">
        <v>49</v>
      </c>
      <c r="F477" t="s">
        <v>64</v>
      </c>
      <c r="G477" t="s">
        <v>78</v>
      </c>
      <c r="H477" t="s">
        <v>57</v>
      </c>
      <c r="I477" t="s">
        <v>58</v>
      </c>
      <c r="J477">
        <v>0</v>
      </c>
      <c r="K477">
        <v>7</v>
      </c>
      <c r="L477">
        <v>0</v>
      </c>
      <c r="M477">
        <v>0.5</v>
      </c>
      <c r="N477">
        <v>1</v>
      </c>
      <c r="O477">
        <v>0.5</v>
      </c>
      <c r="P477">
        <v>0</v>
      </c>
      <c r="Q477">
        <v>9</v>
      </c>
      <c r="R477" t="s">
        <v>56</v>
      </c>
      <c r="S477" t="b">
        <v>0</v>
      </c>
      <c r="W477" t="s">
        <v>51</v>
      </c>
    </row>
    <row r="478" spans="1:23" x14ac:dyDescent="0.25">
      <c r="A478" t="s">
        <v>69</v>
      </c>
      <c r="B478">
        <v>2018</v>
      </c>
      <c r="C478">
        <v>3</v>
      </c>
      <c r="D478">
        <v>2</v>
      </c>
      <c r="E478" t="s">
        <v>49</v>
      </c>
      <c r="F478" t="s">
        <v>64</v>
      </c>
      <c r="G478" t="s">
        <v>78</v>
      </c>
      <c r="H478" t="s">
        <v>57</v>
      </c>
      <c r="I478" t="s">
        <v>68</v>
      </c>
      <c r="J478">
        <v>0</v>
      </c>
      <c r="K478">
        <v>2</v>
      </c>
      <c r="L478">
        <v>2</v>
      </c>
      <c r="M478">
        <v>2</v>
      </c>
      <c r="N478">
        <v>3.5</v>
      </c>
      <c r="O478">
        <v>2</v>
      </c>
      <c r="P478">
        <v>0</v>
      </c>
      <c r="Q478">
        <v>11.5</v>
      </c>
      <c r="R478" t="s">
        <v>56</v>
      </c>
      <c r="S478" t="b">
        <v>0</v>
      </c>
      <c r="W478" t="s">
        <v>51</v>
      </c>
    </row>
    <row r="479" spans="1:23" hidden="1" x14ac:dyDescent="0.25">
      <c r="A479" t="s">
        <v>48</v>
      </c>
      <c r="B479">
        <v>2018</v>
      </c>
      <c r="C479">
        <v>3</v>
      </c>
      <c r="D479">
        <v>1</v>
      </c>
      <c r="E479" t="s">
        <v>49</v>
      </c>
      <c r="G479" t="s">
        <v>140</v>
      </c>
      <c r="J479">
        <v>0</v>
      </c>
      <c r="K479">
        <v>2</v>
      </c>
      <c r="L479">
        <v>2</v>
      </c>
      <c r="M479">
        <v>0</v>
      </c>
      <c r="N479">
        <v>0</v>
      </c>
      <c r="O479">
        <v>0</v>
      </c>
      <c r="P479">
        <v>0</v>
      </c>
      <c r="Q479">
        <v>4</v>
      </c>
      <c r="S479" t="b">
        <v>0</v>
      </c>
      <c r="W479" t="s">
        <v>51</v>
      </c>
    </row>
    <row r="480" spans="1:23" hidden="1" x14ac:dyDescent="0.25">
      <c r="A480" t="s">
        <v>60</v>
      </c>
      <c r="B480">
        <v>2018</v>
      </c>
      <c r="C480">
        <v>3</v>
      </c>
      <c r="D480">
        <v>1</v>
      </c>
      <c r="E480" t="s">
        <v>49</v>
      </c>
      <c r="G480" t="s">
        <v>62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8</v>
      </c>
      <c r="P480">
        <v>0</v>
      </c>
      <c r="Q480">
        <v>8</v>
      </c>
      <c r="S480" t="b">
        <v>0</v>
      </c>
      <c r="W480" t="s">
        <v>51</v>
      </c>
    </row>
    <row r="481" spans="1:23" hidden="1" x14ac:dyDescent="0.25">
      <c r="A481" t="s">
        <v>60</v>
      </c>
      <c r="B481">
        <v>2018</v>
      </c>
      <c r="C481">
        <v>3</v>
      </c>
      <c r="D481">
        <v>1</v>
      </c>
      <c r="E481" t="s">
        <v>49</v>
      </c>
      <c r="F481" t="s">
        <v>52</v>
      </c>
      <c r="G481" t="s">
        <v>103</v>
      </c>
      <c r="H481" t="s">
        <v>57</v>
      </c>
      <c r="I481" t="s">
        <v>55</v>
      </c>
      <c r="J481">
        <v>0</v>
      </c>
      <c r="K481">
        <v>0</v>
      </c>
      <c r="L481">
        <v>0</v>
      </c>
      <c r="M481">
        <v>0</v>
      </c>
      <c r="N481">
        <v>8</v>
      </c>
      <c r="O481">
        <v>0</v>
      </c>
      <c r="P481">
        <v>0</v>
      </c>
      <c r="Q481">
        <v>8</v>
      </c>
      <c r="R481" t="s">
        <v>56</v>
      </c>
      <c r="S481" t="b">
        <v>0</v>
      </c>
      <c r="W481" t="s">
        <v>51</v>
      </c>
    </row>
    <row r="482" spans="1:23" hidden="1" x14ac:dyDescent="0.25">
      <c r="A482" t="s">
        <v>60</v>
      </c>
      <c r="B482">
        <v>2018</v>
      </c>
      <c r="C482">
        <v>3</v>
      </c>
      <c r="D482">
        <v>1</v>
      </c>
      <c r="E482" t="s">
        <v>49</v>
      </c>
      <c r="F482" t="s">
        <v>52</v>
      </c>
      <c r="G482" t="s">
        <v>103</v>
      </c>
      <c r="H482" t="s">
        <v>57</v>
      </c>
      <c r="I482" t="s">
        <v>61</v>
      </c>
      <c r="J482">
        <v>0</v>
      </c>
      <c r="K482">
        <v>8</v>
      </c>
      <c r="L482">
        <v>8</v>
      </c>
      <c r="M482">
        <v>8</v>
      </c>
      <c r="N482">
        <v>0</v>
      </c>
      <c r="O482">
        <v>0</v>
      </c>
      <c r="P482">
        <v>0</v>
      </c>
      <c r="Q482">
        <v>24</v>
      </c>
      <c r="R482" t="s">
        <v>56</v>
      </c>
      <c r="S482" t="b">
        <v>0</v>
      </c>
      <c r="W482" t="s">
        <v>51</v>
      </c>
    </row>
    <row r="483" spans="1:23" x14ac:dyDescent="0.25">
      <c r="A483" t="s">
        <v>102</v>
      </c>
      <c r="B483">
        <v>2018</v>
      </c>
      <c r="C483">
        <v>3</v>
      </c>
      <c r="D483">
        <v>2</v>
      </c>
      <c r="E483" t="s">
        <v>49</v>
      </c>
      <c r="F483" t="s">
        <v>67</v>
      </c>
      <c r="G483" t="s">
        <v>78</v>
      </c>
      <c r="H483" t="s">
        <v>57</v>
      </c>
      <c r="I483" t="s">
        <v>68</v>
      </c>
      <c r="J483">
        <v>0</v>
      </c>
      <c r="K483">
        <v>6</v>
      </c>
      <c r="L483">
        <v>5</v>
      </c>
      <c r="M483">
        <v>5</v>
      </c>
      <c r="N483">
        <v>8</v>
      </c>
      <c r="O483">
        <v>8</v>
      </c>
      <c r="P483">
        <v>0</v>
      </c>
      <c r="Q483">
        <v>32</v>
      </c>
      <c r="R483" t="s">
        <v>56</v>
      </c>
      <c r="S483" t="b">
        <v>0</v>
      </c>
      <c r="W483" t="s">
        <v>51</v>
      </c>
    </row>
    <row r="484" spans="1:23" hidden="1" x14ac:dyDescent="0.25">
      <c r="A484" t="s">
        <v>79</v>
      </c>
      <c r="B484">
        <v>2018</v>
      </c>
      <c r="C484">
        <v>3</v>
      </c>
      <c r="D484">
        <v>1</v>
      </c>
      <c r="E484" t="s">
        <v>49</v>
      </c>
      <c r="F484" t="s">
        <v>67</v>
      </c>
      <c r="G484" t="s">
        <v>99</v>
      </c>
      <c r="H484" t="s">
        <v>57</v>
      </c>
      <c r="I484" t="s">
        <v>87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1</v>
      </c>
      <c r="R484" t="s">
        <v>56</v>
      </c>
      <c r="S484" t="b">
        <v>0</v>
      </c>
      <c r="W484" t="s">
        <v>51</v>
      </c>
    </row>
    <row r="485" spans="1:23" hidden="1" x14ac:dyDescent="0.25">
      <c r="A485" t="s">
        <v>79</v>
      </c>
      <c r="B485">
        <v>2018</v>
      </c>
      <c r="C485">
        <v>3</v>
      </c>
      <c r="D485">
        <v>1</v>
      </c>
      <c r="E485" t="s">
        <v>49</v>
      </c>
      <c r="F485" t="s">
        <v>71</v>
      </c>
      <c r="G485" t="s">
        <v>103</v>
      </c>
      <c r="H485" t="s">
        <v>57</v>
      </c>
      <c r="I485" t="s">
        <v>55</v>
      </c>
      <c r="J485">
        <v>0</v>
      </c>
      <c r="K485">
        <v>2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2</v>
      </c>
      <c r="R485" t="s">
        <v>56</v>
      </c>
      <c r="S485" t="b">
        <v>0</v>
      </c>
      <c r="W485" t="s">
        <v>51</v>
      </c>
    </row>
    <row r="486" spans="1:23" hidden="1" x14ac:dyDescent="0.25">
      <c r="A486" t="s">
        <v>79</v>
      </c>
      <c r="B486">
        <v>2018</v>
      </c>
      <c r="C486">
        <v>3</v>
      </c>
      <c r="D486">
        <v>1</v>
      </c>
      <c r="E486" t="s">
        <v>49</v>
      </c>
      <c r="F486" t="s">
        <v>52</v>
      </c>
      <c r="G486" t="s">
        <v>99</v>
      </c>
      <c r="H486" t="s">
        <v>57</v>
      </c>
      <c r="I486" t="s">
        <v>55</v>
      </c>
      <c r="J486">
        <v>0</v>
      </c>
      <c r="K486">
        <v>0</v>
      </c>
      <c r="L486">
        <v>3</v>
      </c>
      <c r="M486">
        <v>2</v>
      </c>
      <c r="N486">
        <v>0</v>
      </c>
      <c r="O486">
        <v>0</v>
      </c>
      <c r="P486">
        <v>0</v>
      </c>
      <c r="Q486">
        <v>5</v>
      </c>
      <c r="R486" t="s">
        <v>56</v>
      </c>
      <c r="S486" t="b">
        <v>0</v>
      </c>
      <c r="W486" t="s">
        <v>51</v>
      </c>
    </row>
    <row r="487" spans="1:23" hidden="1" x14ac:dyDescent="0.25">
      <c r="A487" t="s">
        <v>79</v>
      </c>
      <c r="B487">
        <v>2018</v>
      </c>
      <c r="C487">
        <v>3</v>
      </c>
      <c r="D487">
        <v>1</v>
      </c>
      <c r="E487" t="s">
        <v>49</v>
      </c>
      <c r="G487" t="s">
        <v>73</v>
      </c>
      <c r="J487">
        <v>0</v>
      </c>
      <c r="K487">
        <v>1</v>
      </c>
      <c r="L487">
        <v>0</v>
      </c>
      <c r="M487">
        <v>2</v>
      </c>
      <c r="N487">
        <v>2</v>
      </c>
      <c r="O487">
        <v>0</v>
      </c>
      <c r="P487">
        <v>0</v>
      </c>
      <c r="Q487">
        <v>5</v>
      </c>
      <c r="S487" t="b">
        <v>0</v>
      </c>
      <c r="W487" t="s">
        <v>51</v>
      </c>
    </row>
    <row r="488" spans="1:23" x14ac:dyDescent="0.25">
      <c r="A488" t="s">
        <v>48</v>
      </c>
      <c r="B488">
        <v>2018</v>
      </c>
      <c r="C488">
        <v>3</v>
      </c>
      <c r="D488">
        <v>2</v>
      </c>
      <c r="E488" t="s">
        <v>49</v>
      </c>
      <c r="F488" t="s">
        <v>67</v>
      </c>
      <c r="G488" t="s">
        <v>78</v>
      </c>
      <c r="H488" t="s">
        <v>57</v>
      </c>
      <c r="I488" t="s">
        <v>58</v>
      </c>
      <c r="J488">
        <v>0</v>
      </c>
      <c r="K488">
        <v>6</v>
      </c>
      <c r="L488">
        <v>8</v>
      </c>
      <c r="M488">
        <v>8</v>
      </c>
      <c r="N488">
        <v>0</v>
      </c>
      <c r="O488">
        <v>0</v>
      </c>
      <c r="P488">
        <v>0</v>
      </c>
      <c r="Q488">
        <v>22</v>
      </c>
      <c r="R488" t="s">
        <v>56</v>
      </c>
      <c r="S488" t="b">
        <v>0</v>
      </c>
      <c r="W488" t="s">
        <v>51</v>
      </c>
    </row>
    <row r="489" spans="1:23" hidden="1" x14ac:dyDescent="0.25">
      <c r="A489" t="s">
        <v>63</v>
      </c>
      <c r="B489">
        <v>2018</v>
      </c>
      <c r="C489">
        <v>2</v>
      </c>
      <c r="D489">
        <v>4</v>
      </c>
      <c r="E489" t="s">
        <v>49</v>
      </c>
      <c r="G489" t="s">
        <v>86</v>
      </c>
      <c r="J489">
        <v>0</v>
      </c>
      <c r="K489">
        <v>0</v>
      </c>
      <c r="L489">
        <v>0</v>
      </c>
      <c r="M489">
        <v>2.5</v>
      </c>
      <c r="N489">
        <v>3</v>
      </c>
      <c r="O489">
        <v>0</v>
      </c>
      <c r="P489">
        <v>0</v>
      </c>
      <c r="Q489">
        <v>5.5</v>
      </c>
      <c r="S489" t="b">
        <v>0</v>
      </c>
      <c r="W489" t="s">
        <v>51</v>
      </c>
    </row>
    <row r="490" spans="1:23" hidden="1" x14ac:dyDescent="0.25">
      <c r="A490" t="s">
        <v>63</v>
      </c>
      <c r="B490">
        <v>2018</v>
      </c>
      <c r="C490">
        <v>2</v>
      </c>
      <c r="D490">
        <v>4</v>
      </c>
      <c r="E490" t="s">
        <v>49</v>
      </c>
      <c r="F490" t="s">
        <v>67</v>
      </c>
      <c r="G490" t="s">
        <v>53</v>
      </c>
      <c r="H490" t="s">
        <v>91</v>
      </c>
      <c r="I490" t="s">
        <v>134</v>
      </c>
      <c r="J490">
        <v>0</v>
      </c>
      <c r="K490">
        <v>7</v>
      </c>
      <c r="L490">
        <v>6.5</v>
      </c>
      <c r="M490">
        <v>5.5</v>
      </c>
      <c r="N490">
        <v>0</v>
      </c>
      <c r="O490">
        <v>0</v>
      </c>
      <c r="P490">
        <v>0</v>
      </c>
      <c r="Q490">
        <v>19</v>
      </c>
      <c r="R490" t="s">
        <v>56</v>
      </c>
      <c r="S490" t="b">
        <v>0</v>
      </c>
      <c r="W490" t="s">
        <v>51</v>
      </c>
    </row>
    <row r="491" spans="1:23" hidden="1" x14ac:dyDescent="0.25">
      <c r="A491" t="s">
        <v>69</v>
      </c>
      <c r="B491">
        <v>2018</v>
      </c>
      <c r="C491">
        <v>2</v>
      </c>
      <c r="D491">
        <v>4</v>
      </c>
      <c r="E491" t="s">
        <v>49</v>
      </c>
      <c r="F491" t="s">
        <v>52</v>
      </c>
      <c r="G491" t="s">
        <v>141</v>
      </c>
      <c r="H491" t="s">
        <v>16</v>
      </c>
      <c r="I491" t="s">
        <v>76</v>
      </c>
      <c r="J491">
        <v>0</v>
      </c>
      <c r="K491">
        <v>0</v>
      </c>
      <c r="L491">
        <v>2</v>
      </c>
      <c r="M491">
        <v>2</v>
      </c>
      <c r="N491">
        <v>2</v>
      </c>
      <c r="O491">
        <v>8</v>
      </c>
      <c r="P491">
        <v>0</v>
      </c>
      <c r="Q491">
        <v>14</v>
      </c>
      <c r="R491" t="s">
        <v>56</v>
      </c>
      <c r="S491" t="b">
        <v>0</v>
      </c>
      <c r="W491" t="s">
        <v>51</v>
      </c>
    </row>
    <row r="492" spans="1:23" hidden="1" x14ac:dyDescent="0.25">
      <c r="A492" t="s">
        <v>69</v>
      </c>
      <c r="B492">
        <v>2018</v>
      </c>
      <c r="C492">
        <v>2</v>
      </c>
      <c r="D492">
        <v>4</v>
      </c>
      <c r="E492" t="s">
        <v>49</v>
      </c>
      <c r="F492" t="s">
        <v>52</v>
      </c>
      <c r="G492" t="s">
        <v>141</v>
      </c>
      <c r="H492" t="s">
        <v>17</v>
      </c>
      <c r="I492" t="s">
        <v>76</v>
      </c>
      <c r="J492">
        <v>0</v>
      </c>
      <c r="K492">
        <v>4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4</v>
      </c>
      <c r="R492" t="s">
        <v>56</v>
      </c>
      <c r="S492" t="b">
        <v>0</v>
      </c>
      <c r="W492" t="s">
        <v>51</v>
      </c>
    </row>
    <row r="493" spans="1:23" hidden="1" x14ac:dyDescent="0.25">
      <c r="A493" t="s">
        <v>69</v>
      </c>
      <c r="B493">
        <v>2018</v>
      </c>
      <c r="C493">
        <v>2</v>
      </c>
      <c r="D493">
        <v>4</v>
      </c>
      <c r="E493" t="s">
        <v>49</v>
      </c>
      <c r="G493" t="s">
        <v>50</v>
      </c>
      <c r="J493">
        <v>0</v>
      </c>
      <c r="K493">
        <v>6</v>
      </c>
      <c r="L493">
        <v>6.5</v>
      </c>
      <c r="M493">
        <v>6.5</v>
      </c>
      <c r="N493">
        <v>6</v>
      </c>
      <c r="O493">
        <v>0</v>
      </c>
      <c r="P493">
        <v>0</v>
      </c>
      <c r="Q493">
        <v>25</v>
      </c>
      <c r="S493" t="b">
        <v>0</v>
      </c>
      <c r="W493" t="s">
        <v>51</v>
      </c>
    </row>
    <row r="494" spans="1:23" hidden="1" x14ac:dyDescent="0.25">
      <c r="A494" t="s">
        <v>102</v>
      </c>
      <c r="B494">
        <v>2018</v>
      </c>
      <c r="C494">
        <v>2</v>
      </c>
      <c r="D494">
        <v>4</v>
      </c>
      <c r="E494" t="s">
        <v>49</v>
      </c>
      <c r="G494" t="s">
        <v>73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0</v>
      </c>
      <c r="P494">
        <v>0</v>
      </c>
      <c r="Q494">
        <v>1</v>
      </c>
      <c r="S494" t="b">
        <v>0</v>
      </c>
      <c r="W494" t="s">
        <v>51</v>
      </c>
    </row>
    <row r="495" spans="1:23" hidden="1" x14ac:dyDescent="0.25">
      <c r="A495" t="s">
        <v>102</v>
      </c>
      <c r="B495">
        <v>2018</v>
      </c>
      <c r="C495">
        <v>2</v>
      </c>
      <c r="D495">
        <v>4</v>
      </c>
      <c r="E495" t="s">
        <v>49</v>
      </c>
      <c r="F495" t="s">
        <v>52</v>
      </c>
      <c r="G495" t="s">
        <v>103</v>
      </c>
      <c r="H495" t="s">
        <v>57</v>
      </c>
      <c r="I495" t="s">
        <v>85</v>
      </c>
      <c r="J495">
        <v>0</v>
      </c>
      <c r="K495">
        <v>8</v>
      </c>
      <c r="L495">
        <v>0</v>
      </c>
      <c r="M495">
        <v>0</v>
      </c>
      <c r="N495">
        <v>0</v>
      </c>
      <c r="O495">
        <v>6</v>
      </c>
      <c r="P495">
        <v>0</v>
      </c>
      <c r="Q495">
        <v>14</v>
      </c>
      <c r="R495" t="s">
        <v>56</v>
      </c>
      <c r="S495" t="b">
        <v>0</v>
      </c>
      <c r="W495" t="s">
        <v>51</v>
      </c>
    </row>
    <row r="496" spans="1:23" x14ac:dyDescent="0.25">
      <c r="A496" t="s">
        <v>69</v>
      </c>
      <c r="B496">
        <v>2018</v>
      </c>
      <c r="C496">
        <v>3</v>
      </c>
      <c r="D496">
        <v>1</v>
      </c>
      <c r="E496" t="s">
        <v>49</v>
      </c>
      <c r="F496" t="s">
        <v>64</v>
      </c>
      <c r="G496" t="s">
        <v>78</v>
      </c>
      <c r="H496" t="s">
        <v>57</v>
      </c>
      <c r="I496" t="s">
        <v>58</v>
      </c>
      <c r="J496">
        <v>0</v>
      </c>
      <c r="K496">
        <v>8</v>
      </c>
      <c r="L496">
        <v>9</v>
      </c>
      <c r="M496">
        <v>10</v>
      </c>
      <c r="N496">
        <v>5</v>
      </c>
      <c r="O496">
        <v>7</v>
      </c>
      <c r="P496">
        <v>0</v>
      </c>
      <c r="Q496">
        <v>39</v>
      </c>
      <c r="R496" t="s">
        <v>56</v>
      </c>
      <c r="S496" t="b">
        <v>0</v>
      </c>
      <c r="W496" t="s">
        <v>51</v>
      </c>
    </row>
    <row r="497" spans="1:23" hidden="1" x14ac:dyDescent="0.25">
      <c r="A497" t="s">
        <v>102</v>
      </c>
      <c r="B497">
        <v>2018</v>
      </c>
      <c r="C497">
        <v>2</v>
      </c>
      <c r="D497">
        <v>4</v>
      </c>
      <c r="E497" t="s">
        <v>49</v>
      </c>
      <c r="F497" t="s">
        <v>67</v>
      </c>
      <c r="G497" t="s">
        <v>99</v>
      </c>
      <c r="H497" t="s">
        <v>57</v>
      </c>
      <c r="I497" t="s">
        <v>68</v>
      </c>
      <c r="J497">
        <v>0</v>
      </c>
      <c r="K497">
        <v>0</v>
      </c>
      <c r="L497">
        <v>7</v>
      </c>
      <c r="M497">
        <v>8</v>
      </c>
      <c r="N497">
        <v>6</v>
      </c>
      <c r="O497">
        <v>2</v>
      </c>
      <c r="P497">
        <v>0</v>
      </c>
      <c r="Q497">
        <v>23</v>
      </c>
      <c r="R497" t="s">
        <v>56</v>
      </c>
      <c r="S497" t="b">
        <v>0</v>
      </c>
      <c r="W497" t="s">
        <v>51</v>
      </c>
    </row>
    <row r="498" spans="1:23" hidden="1" x14ac:dyDescent="0.25">
      <c r="A498" t="s">
        <v>74</v>
      </c>
      <c r="B498">
        <v>2018</v>
      </c>
      <c r="C498">
        <v>2</v>
      </c>
      <c r="D498">
        <v>4</v>
      </c>
      <c r="E498" t="s">
        <v>49</v>
      </c>
      <c r="F498" t="s">
        <v>82</v>
      </c>
      <c r="G498" t="s">
        <v>103</v>
      </c>
      <c r="H498" t="s">
        <v>57</v>
      </c>
      <c r="I498" t="s">
        <v>55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1.5</v>
      </c>
      <c r="P498">
        <v>0</v>
      </c>
      <c r="Q498">
        <v>1.5</v>
      </c>
      <c r="R498" t="s">
        <v>56</v>
      </c>
      <c r="S498" t="b">
        <v>0</v>
      </c>
      <c r="W498" t="s">
        <v>51</v>
      </c>
    </row>
    <row r="499" spans="1:23" hidden="1" x14ac:dyDescent="0.25">
      <c r="A499" t="s">
        <v>74</v>
      </c>
      <c r="B499">
        <v>2018</v>
      </c>
      <c r="C499">
        <v>2</v>
      </c>
      <c r="D499">
        <v>4</v>
      </c>
      <c r="E499" t="s">
        <v>49</v>
      </c>
      <c r="F499" t="s">
        <v>71</v>
      </c>
      <c r="G499" t="s">
        <v>99</v>
      </c>
      <c r="H499" t="s">
        <v>111</v>
      </c>
      <c r="I499" t="s">
        <v>76</v>
      </c>
      <c r="J499">
        <v>0</v>
      </c>
      <c r="K499">
        <v>0</v>
      </c>
      <c r="L499">
        <v>0</v>
      </c>
      <c r="M499">
        <v>8</v>
      </c>
      <c r="N499">
        <v>1.5</v>
      </c>
      <c r="O499">
        <v>0</v>
      </c>
      <c r="P499">
        <v>0</v>
      </c>
      <c r="Q499">
        <v>9.5</v>
      </c>
      <c r="R499" t="s">
        <v>56</v>
      </c>
      <c r="S499" t="b">
        <v>0</v>
      </c>
      <c r="W499" t="s">
        <v>51</v>
      </c>
    </row>
    <row r="500" spans="1:23" hidden="1" x14ac:dyDescent="0.25">
      <c r="A500" t="s">
        <v>74</v>
      </c>
      <c r="B500">
        <v>2018</v>
      </c>
      <c r="C500">
        <v>2</v>
      </c>
      <c r="D500">
        <v>4</v>
      </c>
      <c r="E500" t="s">
        <v>49</v>
      </c>
      <c r="F500" t="s">
        <v>71</v>
      </c>
      <c r="G500" t="s">
        <v>99</v>
      </c>
      <c r="H500" t="s">
        <v>111</v>
      </c>
      <c r="I500" t="s">
        <v>77</v>
      </c>
      <c r="J500">
        <v>0</v>
      </c>
      <c r="K500">
        <v>0</v>
      </c>
      <c r="L500">
        <v>8</v>
      </c>
      <c r="M500">
        <v>0</v>
      </c>
      <c r="N500">
        <v>1</v>
      </c>
      <c r="O500">
        <v>0</v>
      </c>
      <c r="P500">
        <v>0</v>
      </c>
      <c r="Q500">
        <v>9</v>
      </c>
      <c r="R500" t="s">
        <v>56</v>
      </c>
      <c r="S500" t="b">
        <v>0</v>
      </c>
      <c r="W500" t="s">
        <v>51</v>
      </c>
    </row>
    <row r="501" spans="1:23" hidden="1" x14ac:dyDescent="0.25">
      <c r="A501" t="s">
        <v>74</v>
      </c>
      <c r="B501">
        <v>2018</v>
      </c>
      <c r="C501">
        <v>2</v>
      </c>
      <c r="D501">
        <v>4</v>
      </c>
      <c r="E501" t="s">
        <v>49</v>
      </c>
      <c r="F501" t="s">
        <v>52</v>
      </c>
      <c r="G501" t="s">
        <v>99</v>
      </c>
      <c r="H501" t="s">
        <v>111</v>
      </c>
      <c r="I501" t="s">
        <v>76</v>
      </c>
      <c r="J501">
        <v>0</v>
      </c>
      <c r="K501">
        <v>8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8</v>
      </c>
      <c r="R501" t="s">
        <v>56</v>
      </c>
      <c r="S501" t="b">
        <v>0</v>
      </c>
      <c r="W501" t="s">
        <v>51</v>
      </c>
    </row>
    <row r="502" spans="1:23" hidden="1" x14ac:dyDescent="0.25">
      <c r="A502" t="s">
        <v>74</v>
      </c>
      <c r="B502">
        <v>2018</v>
      </c>
      <c r="C502">
        <v>2</v>
      </c>
      <c r="D502">
        <v>4</v>
      </c>
      <c r="E502" t="s">
        <v>49</v>
      </c>
      <c r="F502" t="s">
        <v>71</v>
      </c>
      <c r="G502" t="s">
        <v>142</v>
      </c>
      <c r="H502" t="s">
        <v>57</v>
      </c>
      <c r="I502" t="s">
        <v>55</v>
      </c>
      <c r="J502">
        <v>0</v>
      </c>
      <c r="K502">
        <v>0</v>
      </c>
      <c r="L502">
        <v>0</v>
      </c>
      <c r="M502">
        <v>0</v>
      </c>
      <c r="N502">
        <v>1</v>
      </c>
      <c r="O502">
        <v>0.5</v>
      </c>
      <c r="P502">
        <v>0</v>
      </c>
      <c r="Q502">
        <v>1.5</v>
      </c>
      <c r="R502" t="s">
        <v>56</v>
      </c>
      <c r="S502" t="b">
        <v>0</v>
      </c>
      <c r="W502" t="s">
        <v>51</v>
      </c>
    </row>
    <row r="503" spans="1:23" hidden="1" x14ac:dyDescent="0.25">
      <c r="A503" t="s">
        <v>74</v>
      </c>
      <c r="B503">
        <v>2018</v>
      </c>
      <c r="C503">
        <v>2</v>
      </c>
      <c r="D503">
        <v>4</v>
      </c>
      <c r="E503" t="s">
        <v>49</v>
      </c>
      <c r="F503" t="s">
        <v>52</v>
      </c>
      <c r="G503" t="s">
        <v>99</v>
      </c>
      <c r="H503" t="s">
        <v>139</v>
      </c>
      <c r="I503" t="s">
        <v>95</v>
      </c>
      <c r="J503">
        <v>0</v>
      </c>
      <c r="K503">
        <v>0</v>
      </c>
      <c r="L503">
        <v>0</v>
      </c>
      <c r="M503">
        <v>0</v>
      </c>
      <c r="N503">
        <v>2</v>
      </c>
      <c r="O503">
        <v>0</v>
      </c>
      <c r="P503">
        <v>0</v>
      </c>
      <c r="Q503">
        <v>2</v>
      </c>
      <c r="R503" t="s">
        <v>56</v>
      </c>
      <c r="S503" t="b">
        <v>0</v>
      </c>
      <c r="W503" t="s">
        <v>51</v>
      </c>
    </row>
    <row r="504" spans="1:23" hidden="1" x14ac:dyDescent="0.25">
      <c r="A504" t="s">
        <v>74</v>
      </c>
      <c r="B504">
        <v>2018</v>
      </c>
      <c r="C504">
        <v>2</v>
      </c>
      <c r="D504">
        <v>4</v>
      </c>
      <c r="E504" t="s">
        <v>49</v>
      </c>
      <c r="G504" t="s">
        <v>86</v>
      </c>
      <c r="J504">
        <v>0</v>
      </c>
      <c r="K504">
        <v>0</v>
      </c>
      <c r="L504">
        <v>0</v>
      </c>
      <c r="M504">
        <v>0</v>
      </c>
      <c r="N504">
        <v>2.5</v>
      </c>
      <c r="O504">
        <v>6</v>
      </c>
      <c r="P504">
        <v>0</v>
      </c>
      <c r="Q504">
        <v>8.5</v>
      </c>
      <c r="S504" t="b">
        <v>0</v>
      </c>
      <c r="W504" t="s">
        <v>51</v>
      </c>
    </row>
    <row r="505" spans="1:23" hidden="1" x14ac:dyDescent="0.25">
      <c r="A505" t="s">
        <v>48</v>
      </c>
      <c r="B505">
        <v>2018</v>
      </c>
      <c r="C505">
        <v>2</v>
      </c>
      <c r="D505">
        <v>4</v>
      </c>
      <c r="E505" t="s">
        <v>49</v>
      </c>
      <c r="G505" t="s">
        <v>86</v>
      </c>
      <c r="J505">
        <v>0</v>
      </c>
      <c r="K505">
        <v>0</v>
      </c>
      <c r="L505">
        <v>0</v>
      </c>
      <c r="M505">
        <v>0</v>
      </c>
      <c r="N505">
        <v>2</v>
      </c>
      <c r="O505">
        <v>0</v>
      </c>
      <c r="P505">
        <v>0</v>
      </c>
      <c r="Q505">
        <v>2</v>
      </c>
      <c r="S505" t="b">
        <v>0</v>
      </c>
      <c r="W505" t="s">
        <v>51</v>
      </c>
    </row>
    <row r="506" spans="1:23" x14ac:dyDescent="0.25">
      <c r="A506" t="s">
        <v>69</v>
      </c>
      <c r="B506">
        <v>2018</v>
      </c>
      <c r="C506">
        <v>3</v>
      </c>
      <c r="D506">
        <v>1</v>
      </c>
      <c r="E506" t="s">
        <v>49</v>
      </c>
      <c r="F506" t="s">
        <v>64</v>
      </c>
      <c r="G506" t="s">
        <v>78</v>
      </c>
      <c r="H506" t="s">
        <v>57</v>
      </c>
      <c r="I506" t="s">
        <v>68</v>
      </c>
      <c r="J506">
        <v>0</v>
      </c>
      <c r="K506">
        <v>0</v>
      </c>
      <c r="L506">
        <v>0</v>
      </c>
      <c r="M506">
        <v>0</v>
      </c>
      <c r="N506">
        <v>3</v>
      </c>
      <c r="O506">
        <v>1</v>
      </c>
      <c r="P506">
        <v>0</v>
      </c>
      <c r="Q506">
        <v>4</v>
      </c>
      <c r="R506" t="s">
        <v>56</v>
      </c>
      <c r="S506" t="b">
        <v>0</v>
      </c>
      <c r="W506" t="s">
        <v>51</v>
      </c>
    </row>
    <row r="507" spans="1:23" x14ac:dyDescent="0.25">
      <c r="A507" t="s">
        <v>102</v>
      </c>
      <c r="B507">
        <v>2018</v>
      </c>
      <c r="C507">
        <v>3</v>
      </c>
      <c r="D507">
        <v>1</v>
      </c>
      <c r="E507" t="s">
        <v>49</v>
      </c>
      <c r="F507" t="s">
        <v>52</v>
      </c>
      <c r="G507" t="s">
        <v>78</v>
      </c>
      <c r="H507" t="s">
        <v>57</v>
      </c>
      <c r="I507" t="s">
        <v>119</v>
      </c>
      <c r="J507">
        <v>0</v>
      </c>
      <c r="K507">
        <v>2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 t="s">
        <v>56</v>
      </c>
      <c r="S507" t="b">
        <v>0</v>
      </c>
      <c r="W507" t="s">
        <v>51</v>
      </c>
    </row>
    <row r="508" spans="1:23" hidden="1" x14ac:dyDescent="0.25">
      <c r="A508" t="s">
        <v>48</v>
      </c>
      <c r="B508">
        <v>2018</v>
      </c>
      <c r="C508">
        <v>2</v>
      </c>
      <c r="D508">
        <v>4</v>
      </c>
      <c r="E508" t="s">
        <v>49</v>
      </c>
      <c r="G508" t="s">
        <v>143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8</v>
      </c>
      <c r="P508">
        <v>0</v>
      </c>
      <c r="Q508">
        <v>8</v>
      </c>
      <c r="S508" t="b">
        <v>0</v>
      </c>
      <c r="W508" t="s">
        <v>51</v>
      </c>
    </row>
    <row r="509" spans="1:23" hidden="1" x14ac:dyDescent="0.25">
      <c r="A509" t="s">
        <v>48</v>
      </c>
      <c r="B509">
        <v>2018</v>
      </c>
      <c r="C509">
        <v>2</v>
      </c>
      <c r="D509">
        <v>4</v>
      </c>
      <c r="E509" t="s">
        <v>49</v>
      </c>
      <c r="G509" t="s">
        <v>140</v>
      </c>
      <c r="J509">
        <v>0</v>
      </c>
      <c r="K509">
        <v>2</v>
      </c>
      <c r="L509">
        <v>2</v>
      </c>
      <c r="M509">
        <v>2</v>
      </c>
      <c r="N509">
        <v>0</v>
      </c>
      <c r="O509">
        <v>0</v>
      </c>
      <c r="P509">
        <v>0</v>
      </c>
      <c r="Q509">
        <v>6</v>
      </c>
      <c r="S509" t="b">
        <v>0</v>
      </c>
      <c r="W509" t="s">
        <v>51</v>
      </c>
    </row>
    <row r="510" spans="1:23" x14ac:dyDescent="0.25">
      <c r="A510" t="s">
        <v>102</v>
      </c>
      <c r="B510">
        <v>2018</v>
      </c>
      <c r="C510">
        <v>3</v>
      </c>
      <c r="D510">
        <v>1</v>
      </c>
      <c r="E510" t="s">
        <v>49</v>
      </c>
      <c r="F510" t="s">
        <v>67</v>
      </c>
      <c r="G510" t="s">
        <v>78</v>
      </c>
      <c r="H510" t="s">
        <v>57</v>
      </c>
      <c r="I510" t="s">
        <v>68</v>
      </c>
      <c r="J510">
        <v>0</v>
      </c>
      <c r="K510">
        <v>0</v>
      </c>
      <c r="L510">
        <v>8</v>
      </c>
      <c r="M510">
        <v>7</v>
      </c>
      <c r="N510">
        <v>8</v>
      </c>
      <c r="O510">
        <v>8</v>
      </c>
      <c r="P510">
        <v>0</v>
      </c>
      <c r="Q510">
        <v>31</v>
      </c>
      <c r="R510" t="s">
        <v>56</v>
      </c>
      <c r="S510" t="b">
        <v>0</v>
      </c>
      <c r="W510" t="s">
        <v>51</v>
      </c>
    </row>
    <row r="511" spans="1:23" x14ac:dyDescent="0.25">
      <c r="A511" t="s">
        <v>48</v>
      </c>
      <c r="B511">
        <v>2018</v>
      </c>
      <c r="C511">
        <v>3</v>
      </c>
      <c r="D511">
        <v>1</v>
      </c>
      <c r="E511" t="s">
        <v>49</v>
      </c>
      <c r="F511" t="s">
        <v>67</v>
      </c>
      <c r="G511" t="s">
        <v>78</v>
      </c>
      <c r="H511" t="s">
        <v>57</v>
      </c>
      <c r="I511" t="s">
        <v>58</v>
      </c>
      <c r="J511">
        <v>0</v>
      </c>
      <c r="K511">
        <v>0</v>
      </c>
      <c r="L511">
        <v>2</v>
      </c>
      <c r="M511">
        <v>0</v>
      </c>
      <c r="N511">
        <v>0</v>
      </c>
      <c r="O511">
        <v>2</v>
      </c>
      <c r="P511">
        <v>0</v>
      </c>
      <c r="Q511">
        <v>4</v>
      </c>
      <c r="R511" t="s">
        <v>56</v>
      </c>
      <c r="S511" t="b">
        <v>0</v>
      </c>
      <c r="W511" t="s">
        <v>51</v>
      </c>
    </row>
    <row r="512" spans="1:23" hidden="1" x14ac:dyDescent="0.25">
      <c r="A512" t="s">
        <v>60</v>
      </c>
      <c r="B512">
        <v>2018</v>
      </c>
      <c r="C512">
        <v>2</v>
      </c>
      <c r="D512">
        <v>4</v>
      </c>
      <c r="E512" t="s">
        <v>49</v>
      </c>
      <c r="F512" t="s">
        <v>52</v>
      </c>
      <c r="G512" t="s">
        <v>103</v>
      </c>
      <c r="H512" t="s">
        <v>57</v>
      </c>
      <c r="I512" t="s">
        <v>55</v>
      </c>
      <c r="J512">
        <v>0</v>
      </c>
      <c r="K512">
        <v>0</v>
      </c>
      <c r="L512">
        <v>0</v>
      </c>
      <c r="M512">
        <v>0</v>
      </c>
      <c r="N512">
        <v>8</v>
      </c>
      <c r="O512">
        <v>8</v>
      </c>
      <c r="P512">
        <v>0</v>
      </c>
      <c r="Q512">
        <v>16</v>
      </c>
      <c r="R512" t="s">
        <v>56</v>
      </c>
      <c r="S512" t="b">
        <v>0</v>
      </c>
      <c r="W512" t="s">
        <v>51</v>
      </c>
    </row>
    <row r="513" spans="1:23" hidden="1" x14ac:dyDescent="0.25">
      <c r="A513" t="s">
        <v>60</v>
      </c>
      <c r="B513">
        <v>2018</v>
      </c>
      <c r="C513">
        <v>2</v>
      </c>
      <c r="D513">
        <v>4</v>
      </c>
      <c r="E513" t="s">
        <v>49</v>
      </c>
      <c r="F513" t="s">
        <v>52</v>
      </c>
      <c r="G513" t="s">
        <v>103</v>
      </c>
      <c r="H513" t="s">
        <v>57</v>
      </c>
      <c r="I513" t="s">
        <v>61</v>
      </c>
      <c r="J513">
        <v>0</v>
      </c>
      <c r="K513">
        <v>8</v>
      </c>
      <c r="L513">
        <v>8</v>
      </c>
      <c r="M513">
        <v>8</v>
      </c>
      <c r="N513">
        <v>0</v>
      </c>
      <c r="O513">
        <v>0</v>
      </c>
      <c r="P513">
        <v>0</v>
      </c>
      <c r="Q513">
        <v>24</v>
      </c>
      <c r="R513" t="s">
        <v>56</v>
      </c>
      <c r="S513" t="b">
        <v>0</v>
      </c>
      <c r="W513" t="s">
        <v>51</v>
      </c>
    </row>
    <row r="514" spans="1:23" hidden="1" x14ac:dyDescent="0.25">
      <c r="A514" t="s">
        <v>79</v>
      </c>
      <c r="B514">
        <v>2018</v>
      </c>
      <c r="C514">
        <v>2</v>
      </c>
      <c r="D514">
        <v>4</v>
      </c>
      <c r="E514" t="s">
        <v>49</v>
      </c>
      <c r="F514" t="s">
        <v>71</v>
      </c>
      <c r="G514" t="s">
        <v>103</v>
      </c>
      <c r="H514" t="s">
        <v>57</v>
      </c>
      <c r="I514" t="s">
        <v>81</v>
      </c>
      <c r="J514">
        <v>0</v>
      </c>
      <c r="K514">
        <v>0</v>
      </c>
      <c r="L514">
        <v>0</v>
      </c>
      <c r="M514">
        <v>0</v>
      </c>
      <c r="N514">
        <v>8</v>
      </c>
      <c r="O514">
        <v>1</v>
      </c>
      <c r="P514">
        <v>0</v>
      </c>
      <c r="Q514">
        <v>9</v>
      </c>
      <c r="R514" t="s">
        <v>56</v>
      </c>
      <c r="S514" t="b">
        <v>0</v>
      </c>
      <c r="W514" t="s">
        <v>51</v>
      </c>
    </row>
    <row r="515" spans="1:23" hidden="1" x14ac:dyDescent="0.25">
      <c r="A515" t="s">
        <v>79</v>
      </c>
      <c r="B515">
        <v>2018</v>
      </c>
      <c r="C515">
        <v>2</v>
      </c>
      <c r="D515">
        <v>4</v>
      </c>
      <c r="E515" t="s">
        <v>49</v>
      </c>
      <c r="F515" t="s">
        <v>71</v>
      </c>
      <c r="G515" t="s">
        <v>99</v>
      </c>
      <c r="H515" t="s">
        <v>106</v>
      </c>
      <c r="I515" t="s">
        <v>76</v>
      </c>
      <c r="J515">
        <v>0</v>
      </c>
      <c r="K515">
        <v>8</v>
      </c>
      <c r="L515">
        <v>7</v>
      </c>
      <c r="M515">
        <v>1</v>
      </c>
      <c r="N515">
        <v>0</v>
      </c>
      <c r="O515">
        <v>0</v>
      </c>
      <c r="P515">
        <v>0</v>
      </c>
      <c r="Q515">
        <v>16</v>
      </c>
      <c r="R515" t="s">
        <v>56</v>
      </c>
      <c r="S515" t="b">
        <v>0</v>
      </c>
      <c r="W515" t="s">
        <v>51</v>
      </c>
    </row>
    <row r="516" spans="1:23" hidden="1" x14ac:dyDescent="0.25">
      <c r="A516" t="s">
        <v>79</v>
      </c>
      <c r="B516">
        <v>2018</v>
      </c>
      <c r="C516">
        <v>2</v>
      </c>
      <c r="D516">
        <v>4</v>
      </c>
      <c r="E516" t="s">
        <v>49</v>
      </c>
      <c r="G516" t="s">
        <v>86</v>
      </c>
      <c r="J516">
        <v>0</v>
      </c>
      <c r="K516">
        <v>0</v>
      </c>
      <c r="L516">
        <v>1</v>
      </c>
      <c r="M516">
        <v>2</v>
      </c>
      <c r="N516">
        <v>0</v>
      </c>
      <c r="O516">
        <v>0</v>
      </c>
      <c r="P516">
        <v>0</v>
      </c>
      <c r="Q516">
        <v>3</v>
      </c>
      <c r="S516" t="b">
        <v>0</v>
      </c>
      <c r="W516" t="s">
        <v>51</v>
      </c>
    </row>
    <row r="517" spans="1:23" x14ac:dyDescent="0.25">
      <c r="A517" t="s">
        <v>102</v>
      </c>
      <c r="B517">
        <v>2018</v>
      </c>
      <c r="C517">
        <v>2</v>
      </c>
      <c r="D517">
        <v>4</v>
      </c>
      <c r="E517" t="s">
        <v>49</v>
      </c>
      <c r="F517" t="s">
        <v>67</v>
      </c>
      <c r="G517" t="s">
        <v>78</v>
      </c>
      <c r="H517" t="s">
        <v>57</v>
      </c>
      <c r="I517" t="s">
        <v>68</v>
      </c>
      <c r="J517">
        <v>0</v>
      </c>
      <c r="K517">
        <v>0</v>
      </c>
      <c r="L517">
        <v>0</v>
      </c>
      <c r="M517">
        <v>0</v>
      </c>
      <c r="N517">
        <v>2</v>
      </c>
      <c r="O517">
        <v>0</v>
      </c>
      <c r="P517">
        <v>0</v>
      </c>
      <c r="Q517">
        <v>2</v>
      </c>
      <c r="R517" t="s">
        <v>56</v>
      </c>
      <c r="S517" t="b">
        <v>0</v>
      </c>
      <c r="W517" t="s">
        <v>51</v>
      </c>
    </row>
    <row r="518" spans="1:23" hidden="1" x14ac:dyDescent="0.25">
      <c r="A518" t="s">
        <v>63</v>
      </c>
      <c r="B518">
        <v>2018</v>
      </c>
      <c r="C518">
        <v>2</v>
      </c>
      <c r="D518">
        <v>3</v>
      </c>
      <c r="E518" t="s">
        <v>49</v>
      </c>
      <c r="F518" t="s">
        <v>67</v>
      </c>
      <c r="G518" t="s">
        <v>53</v>
      </c>
      <c r="H518" t="s">
        <v>91</v>
      </c>
      <c r="I518" t="s">
        <v>134</v>
      </c>
      <c r="J518">
        <v>0</v>
      </c>
      <c r="K518">
        <v>0</v>
      </c>
      <c r="L518">
        <v>0</v>
      </c>
      <c r="M518">
        <v>2</v>
      </c>
      <c r="N518">
        <v>5</v>
      </c>
      <c r="O518">
        <v>6</v>
      </c>
      <c r="P518">
        <v>0</v>
      </c>
      <c r="Q518">
        <v>13</v>
      </c>
      <c r="R518" t="s">
        <v>56</v>
      </c>
      <c r="S518" t="b">
        <v>0</v>
      </c>
      <c r="W518" t="s">
        <v>51</v>
      </c>
    </row>
    <row r="519" spans="1:23" hidden="1" x14ac:dyDescent="0.25">
      <c r="A519" t="s">
        <v>63</v>
      </c>
      <c r="B519">
        <v>2018</v>
      </c>
      <c r="C519">
        <v>2</v>
      </c>
      <c r="D519">
        <v>3</v>
      </c>
      <c r="E519" t="s">
        <v>49</v>
      </c>
      <c r="G519" t="s">
        <v>86</v>
      </c>
      <c r="J519">
        <v>0</v>
      </c>
      <c r="K519">
        <v>2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2</v>
      </c>
      <c r="S519" t="b">
        <v>0</v>
      </c>
      <c r="W519" t="s">
        <v>51</v>
      </c>
    </row>
    <row r="520" spans="1:23" x14ac:dyDescent="0.25">
      <c r="A520" t="s">
        <v>48</v>
      </c>
      <c r="B520">
        <v>2018</v>
      </c>
      <c r="C520">
        <v>2</v>
      </c>
      <c r="D520">
        <v>4</v>
      </c>
      <c r="E520" t="s">
        <v>49</v>
      </c>
      <c r="F520" t="s">
        <v>67</v>
      </c>
      <c r="G520" t="s">
        <v>78</v>
      </c>
      <c r="H520" t="s">
        <v>57</v>
      </c>
      <c r="I520" t="s">
        <v>58</v>
      </c>
      <c r="J520">
        <v>0</v>
      </c>
      <c r="K520">
        <v>6</v>
      </c>
      <c r="L520">
        <v>0</v>
      </c>
      <c r="M520">
        <v>6</v>
      </c>
      <c r="N520">
        <v>0</v>
      </c>
      <c r="O520">
        <v>0</v>
      </c>
      <c r="P520">
        <v>0</v>
      </c>
      <c r="Q520">
        <v>12</v>
      </c>
      <c r="R520" t="s">
        <v>56</v>
      </c>
      <c r="S520" t="b">
        <v>0</v>
      </c>
      <c r="W520" t="s">
        <v>51</v>
      </c>
    </row>
    <row r="521" spans="1:23" x14ac:dyDescent="0.25">
      <c r="A521" t="s">
        <v>102</v>
      </c>
      <c r="B521">
        <v>2018</v>
      </c>
      <c r="C521">
        <v>2</v>
      </c>
      <c r="D521">
        <v>3</v>
      </c>
      <c r="E521" t="s">
        <v>49</v>
      </c>
      <c r="F521" t="s">
        <v>67</v>
      </c>
      <c r="G521" t="s">
        <v>78</v>
      </c>
      <c r="H521" t="s">
        <v>57</v>
      </c>
      <c r="I521" t="s">
        <v>87</v>
      </c>
      <c r="J521">
        <v>0</v>
      </c>
      <c r="K521">
        <v>1</v>
      </c>
      <c r="L521">
        <v>0</v>
      </c>
      <c r="M521">
        <v>1</v>
      </c>
      <c r="N521">
        <v>0</v>
      </c>
      <c r="O521">
        <v>1</v>
      </c>
      <c r="P521">
        <v>0</v>
      </c>
      <c r="Q521">
        <v>3</v>
      </c>
      <c r="R521" t="s">
        <v>56</v>
      </c>
      <c r="S521" t="b">
        <v>0</v>
      </c>
      <c r="W521" t="s">
        <v>51</v>
      </c>
    </row>
    <row r="522" spans="1:23" hidden="1" x14ac:dyDescent="0.25">
      <c r="A522" t="s">
        <v>69</v>
      </c>
      <c r="B522">
        <v>2018</v>
      </c>
      <c r="C522">
        <v>2</v>
      </c>
      <c r="D522">
        <v>3</v>
      </c>
      <c r="E522" t="s">
        <v>49</v>
      </c>
      <c r="G522" t="s">
        <v>62</v>
      </c>
      <c r="J522">
        <v>0</v>
      </c>
      <c r="K522">
        <v>0</v>
      </c>
      <c r="L522">
        <v>0</v>
      </c>
      <c r="M522">
        <v>0</v>
      </c>
      <c r="N522">
        <v>8</v>
      </c>
      <c r="O522">
        <v>0</v>
      </c>
      <c r="P522">
        <v>0</v>
      </c>
      <c r="Q522">
        <v>8</v>
      </c>
      <c r="S522" t="b">
        <v>0</v>
      </c>
      <c r="W522" t="s">
        <v>51</v>
      </c>
    </row>
    <row r="523" spans="1:23" hidden="1" x14ac:dyDescent="0.25">
      <c r="A523" t="s">
        <v>69</v>
      </c>
      <c r="B523">
        <v>2018</v>
      </c>
      <c r="C523">
        <v>2</v>
      </c>
      <c r="D523">
        <v>3</v>
      </c>
      <c r="E523" t="s">
        <v>49</v>
      </c>
      <c r="F523" t="s">
        <v>52</v>
      </c>
      <c r="G523" t="s">
        <v>141</v>
      </c>
      <c r="H523" t="s">
        <v>16</v>
      </c>
      <c r="I523" t="s">
        <v>76</v>
      </c>
      <c r="J523">
        <v>0</v>
      </c>
      <c r="K523">
        <v>0</v>
      </c>
      <c r="L523">
        <v>0</v>
      </c>
      <c r="M523">
        <v>8</v>
      </c>
      <c r="N523">
        <v>0</v>
      </c>
      <c r="O523">
        <v>5.5</v>
      </c>
      <c r="P523">
        <v>8.5</v>
      </c>
      <c r="Q523">
        <v>22</v>
      </c>
      <c r="R523" t="s">
        <v>56</v>
      </c>
      <c r="S523" t="b">
        <v>0</v>
      </c>
      <c r="W523" t="s">
        <v>51</v>
      </c>
    </row>
    <row r="524" spans="1:23" hidden="1" x14ac:dyDescent="0.25">
      <c r="A524" t="s">
        <v>69</v>
      </c>
      <c r="B524">
        <v>2018</v>
      </c>
      <c r="C524">
        <v>2</v>
      </c>
      <c r="D524">
        <v>3</v>
      </c>
      <c r="E524" t="s">
        <v>49</v>
      </c>
      <c r="F524" t="s">
        <v>52</v>
      </c>
      <c r="G524" t="s">
        <v>141</v>
      </c>
      <c r="H524" t="s">
        <v>17</v>
      </c>
      <c r="I524" t="s">
        <v>76</v>
      </c>
      <c r="J524">
        <v>0</v>
      </c>
      <c r="K524">
        <v>8.5</v>
      </c>
      <c r="L524">
        <v>8.5</v>
      </c>
      <c r="M524">
        <v>0</v>
      </c>
      <c r="N524">
        <v>0</v>
      </c>
      <c r="O524">
        <v>0</v>
      </c>
      <c r="P524">
        <v>0</v>
      </c>
      <c r="Q524">
        <v>17</v>
      </c>
      <c r="R524" t="s">
        <v>56</v>
      </c>
      <c r="S524" t="b">
        <v>0</v>
      </c>
      <c r="W524" t="s">
        <v>51</v>
      </c>
    </row>
    <row r="525" spans="1:23" hidden="1" x14ac:dyDescent="0.25">
      <c r="A525" t="s">
        <v>69</v>
      </c>
      <c r="B525">
        <v>2018</v>
      </c>
      <c r="C525">
        <v>2</v>
      </c>
      <c r="D525">
        <v>3</v>
      </c>
      <c r="E525" t="s">
        <v>49</v>
      </c>
      <c r="G525" t="s">
        <v>50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2.5</v>
      </c>
      <c r="P525">
        <v>0</v>
      </c>
      <c r="Q525">
        <v>3.5</v>
      </c>
      <c r="S525" t="b">
        <v>0</v>
      </c>
      <c r="W525" t="s">
        <v>51</v>
      </c>
    </row>
    <row r="526" spans="1:23" hidden="1" x14ac:dyDescent="0.25">
      <c r="A526" t="s">
        <v>102</v>
      </c>
      <c r="B526">
        <v>2018</v>
      </c>
      <c r="C526">
        <v>2</v>
      </c>
      <c r="D526">
        <v>3</v>
      </c>
      <c r="E526" t="s">
        <v>49</v>
      </c>
      <c r="G526" t="s">
        <v>86</v>
      </c>
      <c r="J526">
        <v>0</v>
      </c>
      <c r="K526">
        <v>4</v>
      </c>
      <c r="L526">
        <v>5</v>
      </c>
      <c r="M526">
        <v>6</v>
      </c>
      <c r="N526">
        <v>5</v>
      </c>
      <c r="O526">
        <v>6</v>
      </c>
      <c r="P526">
        <v>0</v>
      </c>
      <c r="Q526">
        <v>26</v>
      </c>
      <c r="S526" t="b">
        <v>0</v>
      </c>
      <c r="W526" t="s">
        <v>51</v>
      </c>
    </row>
    <row r="527" spans="1:23" hidden="1" x14ac:dyDescent="0.25">
      <c r="A527" t="s">
        <v>102</v>
      </c>
      <c r="B527">
        <v>2018</v>
      </c>
      <c r="C527">
        <v>2</v>
      </c>
      <c r="D527">
        <v>3</v>
      </c>
      <c r="E527" t="s">
        <v>49</v>
      </c>
      <c r="F527" t="s">
        <v>67</v>
      </c>
      <c r="G527" t="s">
        <v>103</v>
      </c>
      <c r="H527" t="s">
        <v>57</v>
      </c>
      <c r="I527" t="s">
        <v>68</v>
      </c>
      <c r="J527">
        <v>0</v>
      </c>
      <c r="K527">
        <v>1</v>
      </c>
      <c r="L527">
        <v>2</v>
      </c>
      <c r="M527">
        <v>1</v>
      </c>
      <c r="N527">
        <v>1</v>
      </c>
      <c r="O527">
        <v>1</v>
      </c>
      <c r="P527">
        <v>0</v>
      </c>
      <c r="Q527">
        <v>6</v>
      </c>
      <c r="R527" t="s">
        <v>56</v>
      </c>
      <c r="S527" t="b">
        <v>0</v>
      </c>
      <c r="W527" t="s">
        <v>51</v>
      </c>
    </row>
    <row r="528" spans="1:23" hidden="1" x14ac:dyDescent="0.25">
      <c r="A528" t="s">
        <v>102</v>
      </c>
      <c r="B528">
        <v>2018</v>
      </c>
      <c r="C528">
        <v>2</v>
      </c>
      <c r="D528">
        <v>3</v>
      </c>
      <c r="E528" t="s">
        <v>49</v>
      </c>
      <c r="F528" t="s">
        <v>52</v>
      </c>
      <c r="G528" t="s">
        <v>103</v>
      </c>
      <c r="H528" t="s">
        <v>57</v>
      </c>
      <c r="I528" t="s">
        <v>119</v>
      </c>
      <c r="J528">
        <v>0</v>
      </c>
      <c r="K528">
        <v>2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2</v>
      </c>
      <c r="R528" t="s">
        <v>56</v>
      </c>
      <c r="S528" t="b">
        <v>0</v>
      </c>
      <c r="W528" t="s">
        <v>51</v>
      </c>
    </row>
    <row r="529" spans="1:23" hidden="1" x14ac:dyDescent="0.25">
      <c r="A529" t="s">
        <v>102</v>
      </c>
      <c r="B529">
        <v>2018</v>
      </c>
      <c r="C529">
        <v>2</v>
      </c>
      <c r="D529">
        <v>3</v>
      </c>
      <c r="E529" t="s">
        <v>49</v>
      </c>
      <c r="F529" t="s">
        <v>67</v>
      </c>
      <c r="G529" t="s">
        <v>103</v>
      </c>
      <c r="H529" t="s">
        <v>57</v>
      </c>
      <c r="I529" t="s">
        <v>87</v>
      </c>
      <c r="J529">
        <v>0</v>
      </c>
      <c r="K529">
        <v>0</v>
      </c>
      <c r="L529">
        <v>0</v>
      </c>
      <c r="M529">
        <v>0</v>
      </c>
      <c r="N529">
        <v>1</v>
      </c>
      <c r="O529">
        <v>0</v>
      </c>
      <c r="P529">
        <v>0</v>
      </c>
      <c r="Q529">
        <v>1</v>
      </c>
      <c r="R529" t="s">
        <v>56</v>
      </c>
      <c r="S529" t="b">
        <v>0</v>
      </c>
      <c r="W529" t="s">
        <v>51</v>
      </c>
    </row>
    <row r="530" spans="1:23" x14ac:dyDescent="0.25">
      <c r="A530" t="s">
        <v>48</v>
      </c>
      <c r="B530">
        <v>2018</v>
      </c>
      <c r="C530">
        <v>2</v>
      </c>
      <c r="D530">
        <v>3</v>
      </c>
      <c r="E530" t="s">
        <v>49</v>
      </c>
      <c r="F530" t="s">
        <v>67</v>
      </c>
      <c r="G530" t="s">
        <v>78</v>
      </c>
      <c r="H530" t="s">
        <v>57</v>
      </c>
      <c r="I530" t="s">
        <v>58</v>
      </c>
      <c r="J530">
        <v>0</v>
      </c>
      <c r="K530">
        <v>8</v>
      </c>
      <c r="L530">
        <v>8</v>
      </c>
      <c r="M530">
        <v>8</v>
      </c>
      <c r="N530">
        <v>0</v>
      </c>
      <c r="O530">
        <v>0</v>
      </c>
      <c r="P530">
        <v>0</v>
      </c>
      <c r="Q530">
        <v>24</v>
      </c>
      <c r="R530" t="s">
        <v>56</v>
      </c>
      <c r="S530" t="b">
        <v>0</v>
      </c>
      <c r="W530" t="s">
        <v>51</v>
      </c>
    </row>
    <row r="531" spans="1:23" hidden="1" x14ac:dyDescent="0.25">
      <c r="A531" t="s">
        <v>102</v>
      </c>
      <c r="B531">
        <v>2018</v>
      </c>
      <c r="C531">
        <v>2</v>
      </c>
      <c r="D531">
        <v>3</v>
      </c>
      <c r="E531" t="s">
        <v>49</v>
      </c>
      <c r="F531" t="s">
        <v>67</v>
      </c>
      <c r="G531" t="s">
        <v>99</v>
      </c>
      <c r="H531" t="s">
        <v>57</v>
      </c>
      <c r="I531" t="s">
        <v>87</v>
      </c>
      <c r="J531">
        <v>0</v>
      </c>
      <c r="K531">
        <v>0</v>
      </c>
      <c r="L531">
        <v>1</v>
      </c>
      <c r="M531">
        <v>0</v>
      </c>
      <c r="N531">
        <v>1</v>
      </c>
      <c r="O531">
        <v>0</v>
      </c>
      <c r="P531">
        <v>0</v>
      </c>
      <c r="Q531">
        <v>2</v>
      </c>
      <c r="R531" t="s">
        <v>56</v>
      </c>
      <c r="S531" t="b">
        <v>0</v>
      </c>
      <c r="W531" t="s">
        <v>51</v>
      </c>
    </row>
    <row r="532" spans="1:23" hidden="1" x14ac:dyDescent="0.25">
      <c r="A532" t="s">
        <v>74</v>
      </c>
      <c r="B532">
        <v>2018</v>
      </c>
      <c r="C532">
        <v>2</v>
      </c>
      <c r="D532">
        <v>3</v>
      </c>
      <c r="E532" t="s">
        <v>49</v>
      </c>
      <c r="F532" t="s">
        <v>52</v>
      </c>
      <c r="G532" t="s">
        <v>99</v>
      </c>
      <c r="H532" t="s">
        <v>139</v>
      </c>
      <c r="I532" t="s">
        <v>76</v>
      </c>
      <c r="J532">
        <v>0</v>
      </c>
      <c r="K532">
        <v>0</v>
      </c>
      <c r="L532">
        <v>0</v>
      </c>
      <c r="M532">
        <v>0</v>
      </c>
      <c r="N532">
        <v>2</v>
      </c>
      <c r="O532">
        <v>8</v>
      </c>
      <c r="P532">
        <v>0</v>
      </c>
      <c r="Q532">
        <v>10</v>
      </c>
      <c r="R532" t="s">
        <v>56</v>
      </c>
      <c r="S532" t="b">
        <v>0</v>
      </c>
      <c r="W532" t="s">
        <v>51</v>
      </c>
    </row>
    <row r="533" spans="1:23" hidden="1" x14ac:dyDescent="0.25">
      <c r="A533" t="s">
        <v>74</v>
      </c>
      <c r="B533">
        <v>2018</v>
      </c>
      <c r="C533">
        <v>2</v>
      </c>
      <c r="D533">
        <v>3</v>
      </c>
      <c r="E533" t="s">
        <v>49</v>
      </c>
      <c r="F533" t="s">
        <v>52</v>
      </c>
      <c r="G533" t="s">
        <v>99</v>
      </c>
      <c r="H533" t="s">
        <v>139</v>
      </c>
      <c r="I533" t="s">
        <v>77</v>
      </c>
      <c r="J533">
        <v>0</v>
      </c>
      <c r="K533">
        <v>0</v>
      </c>
      <c r="L533">
        <v>8</v>
      </c>
      <c r="M533">
        <v>8</v>
      </c>
      <c r="N533">
        <v>6</v>
      </c>
      <c r="O533">
        <v>0</v>
      </c>
      <c r="P533">
        <v>0</v>
      </c>
      <c r="Q533">
        <v>22</v>
      </c>
      <c r="R533" t="s">
        <v>56</v>
      </c>
      <c r="S533" t="b">
        <v>0</v>
      </c>
      <c r="W533" t="s">
        <v>51</v>
      </c>
    </row>
    <row r="534" spans="1:23" hidden="1" x14ac:dyDescent="0.25">
      <c r="A534" t="s">
        <v>74</v>
      </c>
      <c r="B534">
        <v>2018</v>
      </c>
      <c r="C534">
        <v>2</v>
      </c>
      <c r="D534">
        <v>3</v>
      </c>
      <c r="E534" t="s">
        <v>49</v>
      </c>
      <c r="G534" t="s">
        <v>62</v>
      </c>
      <c r="J534">
        <v>0</v>
      </c>
      <c r="K534">
        <v>8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8</v>
      </c>
      <c r="S534" t="b">
        <v>0</v>
      </c>
      <c r="W534" t="s">
        <v>51</v>
      </c>
    </row>
    <row r="535" spans="1:23" hidden="1" x14ac:dyDescent="0.25">
      <c r="A535" t="s">
        <v>48</v>
      </c>
      <c r="B535">
        <v>2018</v>
      </c>
      <c r="C535">
        <v>2</v>
      </c>
      <c r="D535">
        <v>3</v>
      </c>
      <c r="E535" t="s">
        <v>49</v>
      </c>
      <c r="G535" t="s">
        <v>140</v>
      </c>
      <c r="J535">
        <v>0</v>
      </c>
      <c r="K535">
        <v>0</v>
      </c>
      <c r="L535">
        <v>0</v>
      </c>
      <c r="M535">
        <v>0</v>
      </c>
      <c r="N535">
        <v>8</v>
      </c>
      <c r="O535">
        <v>8</v>
      </c>
      <c r="P535">
        <v>0</v>
      </c>
      <c r="Q535">
        <v>16</v>
      </c>
      <c r="S535" t="b">
        <v>0</v>
      </c>
      <c r="W535" t="s">
        <v>51</v>
      </c>
    </row>
    <row r="536" spans="1:23" x14ac:dyDescent="0.25">
      <c r="A536" t="s">
        <v>102</v>
      </c>
      <c r="B536">
        <v>2018</v>
      </c>
      <c r="C536">
        <v>2</v>
      </c>
      <c r="D536">
        <v>2</v>
      </c>
      <c r="E536" t="s">
        <v>49</v>
      </c>
      <c r="F536" t="s">
        <v>67</v>
      </c>
      <c r="G536" t="s">
        <v>78</v>
      </c>
      <c r="H536" t="s">
        <v>57</v>
      </c>
      <c r="I536" t="s">
        <v>68</v>
      </c>
      <c r="J536">
        <v>0</v>
      </c>
      <c r="K536">
        <v>0</v>
      </c>
      <c r="L536">
        <v>2</v>
      </c>
      <c r="M536">
        <v>0</v>
      </c>
      <c r="N536">
        <v>1</v>
      </c>
      <c r="O536">
        <v>1</v>
      </c>
      <c r="P536">
        <v>0</v>
      </c>
      <c r="Q536">
        <v>4</v>
      </c>
      <c r="R536" t="s">
        <v>56</v>
      </c>
      <c r="S536" t="b">
        <v>0</v>
      </c>
      <c r="W536" t="s">
        <v>51</v>
      </c>
    </row>
    <row r="537" spans="1:23" hidden="1" x14ac:dyDescent="0.25">
      <c r="A537" t="s">
        <v>60</v>
      </c>
      <c r="B537">
        <v>2018</v>
      </c>
      <c r="C537">
        <v>2</v>
      </c>
      <c r="D537">
        <v>3</v>
      </c>
      <c r="E537" t="s">
        <v>49</v>
      </c>
      <c r="F537" t="s">
        <v>52</v>
      </c>
      <c r="G537" t="s">
        <v>103</v>
      </c>
      <c r="H537" t="s">
        <v>57</v>
      </c>
      <c r="I537" t="s">
        <v>61</v>
      </c>
      <c r="J537">
        <v>0</v>
      </c>
      <c r="K537">
        <v>8</v>
      </c>
      <c r="L537">
        <v>8</v>
      </c>
      <c r="M537">
        <v>8</v>
      </c>
      <c r="N537">
        <v>0</v>
      </c>
      <c r="O537">
        <v>0</v>
      </c>
      <c r="P537">
        <v>0</v>
      </c>
      <c r="Q537">
        <v>24</v>
      </c>
      <c r="R537" t="s">
        <v>56</v>
      </c>
      <c r="S537" t="b">
        <v>0</v>
      </c>
      <c r="W537" t="s">
        <v>51</v>
      </c>
    </row>
    <row r="538" spans="1:23" hidden="1" x14ac:dyDescent="0.25">
      <c r="A538" t="s">
        <v>60</v>
      </c>
      <c r="B538">
        <v>2018</v>
      </c>
      <c r="C538">
        <v>2</v>
      </c>
      <c r="D538">
        <v>3</v>
      </c>
      <c r="E538" t="s">
        <v>49</v>
      </c>
      <c r="F538" t="s">
        <v>64</v>
      </c>
      <c r="G538" t="s">
        <v>103</v>
      </c>
      <c r="H538" t="s">
        <v>137</v>
      </c>
      <c r="I538" t="s">
        <v>134</v>
      </c>
      <c r="J538">
        <v>0</v>
      </c>
      <c r="K538">
        <v>0</v>
      </c>
      <c r="L538">
        <v>0</v>
      </c>
      <c r="M538">
        <v>0</v>
      </c>
      <c r="N538">
        <v>8</v>
      </c>
      <c r="O538">
        <v>8</v>
      </c>
      <c r="P538">
        <v>0</v>
      </c>
      <c r="Q538">
        <v>16</v>
      </c>
      <c r="R538" t="s">
        <v>56</v>
      </c>
      <c r="S538" t="b">
        <v>0</v>
      </c>
      <c r="W538" t="s">
        <v>51</v>
      </c>
    </row>
    <row r="539" spans="1:23" x14ac:dyDescent="0.25">
      <c r="A539" t="s">
        <v>102</v>
      </c>
      <c r="B539">
        <v>2018</v>
      </c>
      <c r="C539">
        <v>2</v>
      </c>
      <c r="D539">
        <v>1</v>
      </c>
      <c r="E539" t="s">
        <v>49</v>
      </c>
      <c r="F539" t="s">
        <v>67</v>
      </c>
      <c r="G539" t="s">
        <v>78</v>
      </c>
      <c r="H539" t="s">
        <v>57</v>
      </c>
      <c r="I539" t="s">
        <v>68</v>
      </c>
      <c r="J539">
        <v>0</v>
      </c>
      <c r="K539">
        <v>0</v>
      </c>
      <c r="L539">
        <v>0</v>
      </c>
      <c r="M539">
        <v>0</v>
      </c>
      <c r="N539">
        <v>2</v>
      </c>
      <c r="O539">
        <v>0</v>
      </c>
      <c r="P539">
        <v>0</v>
      </c>
      <c r="Q539">
        <v>2</v>
      </c>
      <c r="R539" t="s">
        <v>56</v>
      </c>
      <c r="S539" t="b">
        <v>0</v>
      </c>
      <c r="W539" t="s">
        <v>51</v>
      </c>
    </row>
    <row r="540" spans="1:23" hidden="1" x14ac:dyDescent="0.25">
      <c r="A540" t="s">
        <v>79</v>
      </c>
      <c r="B540">
        <v>2018</v>
      </c>
      <c r="C540">
        <v>2</v>
      </c>
      <c r="D540">
        <v>3</v>
      </c>
      <c r="E540" t="s">
        <v>49</v>
      </c>
      <c r="G540" t="s">
        <v>86</v>
      </c>
      <c r="J540">
        <v>0</v>
      </c>
      <c r="K540">
        <v>0</v>
      </c>
      <c r="L540">
        <v>3</v>
      </c>
      <c r="M540">
        <v>5</v>
      </c>
      <c r="N540">
        <v>0</v>
      </c>
      <c r="O540">
        <v>4</v>
      </c>
      <c r="P540">
        <v>0</v>
      </c>
      <c r="Q540">
        <v>12</v>
      </c>
      <c r="S540" t="b">
        <v>0</v>
      </c>
      <c r="W540" t="s">
        <v>51</v>
      </c>
    </row>
    <row r="541" spans="1:23" hidden="1" x14ac:dyDescent="0.25">
      <c r="A541" t="s">
        <v>79</v>
      </c>
      <c r="B541">
        <v>2018</v>
      </c>
      <c r="C541">
        <v>2</v>
      </c>
      <c r="D541">
        <v>3</v>
      </c>
      <c r="E541" t="s">
        <v>49</v>
      </c>
      <c r="F541" t="s">
        <v>52</v>
      </c>
      <c r="G541" t="s">
        <v>99</v>
      </c>
      <c r="H541" t="s">
        <v>106</v>
      </c>
      <c r="I541" t="s">
        <v>76</v>
      </c>
      <c r="J541">
        <v>0</v>
      </c>
      <c r="K541">
        <v>8</v>
      </c>
      <c r="L541">
        <v>4</v>
      </c>
      <c r="M541">
        <v>1</v>
      </c>
      <c r="N541">
        <v>8</v>
      </c>
      <c r="O541">
        <v>0</v>
      </c>
      <c r="P541">
        <v>0</v>
      </c>
      <c r="Q541">
        <v>21</v>
      </c>
      <c r="R541" t="s">
        <v>56</v>
      </c>
      <c r="S541" t="b">
        <v>0</v>
      </c>
      <c r="W541" t="s">
        <v>51</v>
      </c>
    </row>
    <row r="542" spans="1:23" hidden="1" x14ac:dyDescent="0.25">
      <c r="A542" t="s">
        <v>63</v>
      </c>
      <c r="B542">
        <v>2018</v>
      </c>
      <c r="C542">
        <v>2</v>
      </c>
      <c r="D542">
        <v>2</v>
      </c>
      <c r="E542" t="s">
        <v>49</v>
      </c>
      <c r="G542" t="s">
        <v>86</v>
      </c>
      <c r="J542">
        <v>0</v>
      </c>
      <c r="K542">
        <v>0</v>
      </c>
      <c r="L542">
        <v>0</v>
      </c>
      <c r="M542">
        <v>0</v>
      </c>
      <c r="N542">
        <v>1</v>
      </c>
      <c r="O542">
        <v>0</v>
      </c>
      <c r="P542">
        <v>0</v>
      </c>
      <c r="Q542">
        <v>1</v>
      </c>
      <c r="S542" t="b">
        <v>0</v>
      </c>
      <c r="W542" t="s">
        <v>51</v>
      </c>
    </row>
    <row r="543" spans="1:23" hidden="1" x14ac:dyDescent="0.25">
      <c r="A543" t="s">
        <v>69</v>
      </c>
      <c r="B543">
        <v>2018</v>
      </c>
      <c r="C543">
        <v>2</v>
      </c>
      <c r="D543">
        <v>2</v>
      </c>
      <c r="E543" t="s">
        <v>49</v>
      </c>
      <c r="G543" t="s">
        <v>50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1.6</v>
      </c>
      <c r="P543">
        <v>0</v>
      </c>
      <c r="Q543">
        <v>1.6</v>
      </c>
      <c r="S543" t="b">
        <v>0</v>
      </c>
      <c r="W543" t="s">
        <v>51</v>
      </c>
    </row>
    <row r="544" spans="1:23" hidden="1" x14ac:dyDescent="0.25">
      <c r="A544" t="s">
        <v>69</v>
      </c>
      <c r="B544">
        <v>2018</v>
      </c>
      <c r="C544">
        <v>2</v>
      </c>
      <c r="D544">
        <v>2</v>
      </c>
      <c r="E544" t="s">
        <v>49</v>
      </c>
      <c r="F544" t="s">
        <v>52</v>
      </c>
      <c r="G544" t="s">
        <v>141</v>
      </c>
      <c r="H544" t="s">
        <v>16</v>
      </c>
      <c r="I544" t="s">
        <v>72</v>
      </c>
      <c r="J544">
        <v>0</v>
      </c>
      <c r="K544">
        <v>9</v>
      </c>
      <c r="L544">
        <v>8.5</v>
      </c>
      <c r="M544">
        <v>9</v>
      </c>
      <c r="N544">
        <v>8.5</v>
      </c>
      <c r="O544">
        <v>0</v>
      </c>
      <c r="P544">
        <v>0</v>
      </c>
      <c r="Q544">
        <v>35</v>
      </c>
      <c r="R544" t="s">
        <v>56</v>
      </c>
      <c r="S544" t="b">
        <v>0</v>
      </c>
      <c r="W544" t="s">
        <v>51</v>
      </c>
    </row>
    <row r="545" spans="1:23" hidden="1" x14ac:dyDescent="0.25">
      <c r="A545" t="s">
        <v>69</v>
      </c>
      <c r="B545">
        <v>2018</v>
      </c>
      <c r="C545">
        <v>2</v>
      </c>
      <c r="D545">
        <v>2</v>
      </c>
      <c r="E545" t="s">
        <v>49</v>
      </c>
      <c r="F545" t="s">
        <v>52</v>
      </c>
      <c r="G545" t="s">
        <v>141</v>
      </c>
      <c r="H545" t="s">
        <v>16</v>
      </c>
      <c r="I545" t="s">
        <v>77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6.5</v>
      </c>
      <c r="P545">
        <v>8.5</v>
      </c>
      <c r="Q545">
        <v>15</v>
      </c>
      <c r="R545" t="s">
        <v>56</v>
      </c>
      <c r="S545" t="b">
        <v>0</v>
      </c>
      <c r="W545" t="s">
        <v>51</v>
      </c>
    </row>
    <row r="546" spans="1:23" hidden="1" x14ac:dyDescent="0.25">
      <c r="A546" t="s">
        <v>102</v>
      </c>
      <c r="B546">
        <v>2018</v>
      </c>
      <c r="C546">
        <v>2</v>
      </c>
      <c r="D546">
        <v>2</v>
      </c>
      <c r="E546" t="s">
        <v>49</v>
      </c>
      <c r="G546" t="s">
        <v>86</v>
      </c>
      <c r="J546">
        <v>0</v>
      </c>
      <c r="K546">
        <v>5</v>
      </c>
      <c r="L546">
        <v>5</v>
      </c>
      <c r="M546">
        <v>0</v>
      </c>
      <c r="N546">
        <v>6</v>
      </c>
      <c r="O546">
        <v>6</v>
      </c>
      <c r="P546">
        <v>7</v>
      </c>
      <c r="Q546">
        <v>29</v>
      </c>
      <c r="S546" t="b">
        <v>0</v>
      </c>
      <c r="W546" t="s">
        <v>51</v>
      </c>
    </row>
    <row r="547" spans="1:23" hidden="1" x14ac:dyDescent="0.25">
      <c r="A547" t="s">
        <v>102</v>
      </c>
      <c r="B547">
        <v>2018</v>
      </c>
      <c r="C547">
        <v>2</v>
      </c>
      <c r="D547">
        <v>2</v>
      </c>
      <c r="E547" t="s">
        <v>49</v>
      </c>
      <c r="F547" t="s">
        <v>64</v>
      </c>
      <c r="G547" t="s">
        <v>103</v>
      </c>
      <c r="H547" t="s">
        <v>57</v>
      </c>
      <c r="I547" t="s">
        <v>68</v>
      </c>
      <c r="J547">
        <v>0</v>
      </c>
      <c r="K547">
        <v>3</v>
      </c>
      <c r="L547">
        <v>1</v>
      </c>
      <c r="M547">
        <v>0</v>
      </c>
      <c r="N547">
        <v>1</v>
      </c>
      <c r="O547">
        <v>2</v>
      </c>
      <c r="P547">
        <v>0</v>
      </c>
      <c r="Q547">
        <v>7</v>
      </c>
      <c r="R547" t="s">
        <v>56</v>
      </c>
      <c r="S547" t="b">
        <v>0</v>
      </c>
      <c r="W547" t="s">
        <v>51</v>
      </c>
    </row>
    <row r="548" spans="1:23" x14ac:dyDescent="0.25">
      <c r="A548" t="s">
        <v>74</v>
      </c>
      <c r="B548">
        <v>2018</v>
      </c>
      <c r="C548">
        <v>5</v>
      </c>
      <c r="D548">
        <v>2</v>
      </c>
      <c r="E548" t="s">
        <v>49</v>
      </c>
      <c r="F548" t="s">
        <v>82</v>
      </c>
      <c r="G548" t="s">
        <v>78</v>
      </c>
      <c r="H548" t="s">
        <v>54</v>
      </c>
      <c r="I548" t="s">
        <v>55</v>
      </c>
      <c r="J548">
        <v>0</v>
      </c>
      <c r="K548">
        <v>0</v>
      </c>
      <c r="L548">
        <v>0</v>
      </c>
      <c r="M548">
        <v>5</v>
      </c>
      <c r="N548">
        <v>0</v>
      </c>
      <c r="O548">
        <v>0</v>
      </c>
      <c r="P548">
        <v>0</v>
      </c>
      <c r="Q548">
        <v>5</v>
      </c>
      <c r="R548" t="s">
        <v>56</v>
      </c>
      <c r="S548" t="b">
        <v>0</v>
      </c>
      <c r="W548" t="s">
        <v>51</v>
      </c>
    </row>
    <row r="549" spans="1:23" hidden="1" x14ac:dyDescent="0.25">
      <c r="A549" t="s">
        <v>102</v>
      </c>
      <c r="B549">
        <v>2018</v>
      </c>
      <c r="C549">
        <v>2</v>
      </c>
      <c r="D549">
        <v>2</v>
      </c>
      <c r="E549" t="s">
        <v>49</v>
      </c>
      <c r="G549" t="s">
        <v>62</v>
      </c>
      <c r="J549">
        <v>0</v>
      </c>
      <c r="K549">
        <v>0</v>
      </c>
      <c r="L549">
        <v>0</v>
      </c>
      <c r="M549">
        <v>8</v>
      </c>
      <c r="N549">
        <v>0</v>
      </c>
      <c r="O549">
        <v>0</v>
      </c>
      <c r="P549">
        <v>0</v>
      </c>
      <c r="Q549">
        <v>8</v>
      </c>
      <c r="S549" t="b">
        <v>0</v>
      </c>
      <c r="W549" t="s">
        <v>51</v>
      </c>
    </row>
    <row r="550" spans="1:23" hidden="1" x14ac:dyDescent="0.25">
      <c r="A550" t="s">
        <v>74</v>
      </c>
      <c r="B550">
        <v>2018</v>
      </c>
      <c r="C550">
        <v>2</v>
      </c>
      <c r="D550">
        <v>2</v>
      </c>
      <c r="E550" t="s">
        <v>49</v>
      </c>
      <c r="F550" t="s">
        <v>82</v>
      </c>
      <c r="G550" t="s">
        <v>103</v>
      </c>
      <c r="H550" t="s">
        <v>57</v>
      </c>
      <c r="I550" t="s">
        <v>55</v>
      </c>
      <c r="J550">
        <v>0</v>
      </c>
      <c r="K550">
        <v>0</v>
      </c>
      <c r="L550">
        <v>8</v>
      </c>
      <c r="M550">
        <v>0</v>
      </c>
      <c r="N550">
        <v>4</v>
      </c>
      <c r="O550">
        <v>0</v>
      </c>
      <c r="P550">
        <v>0</v>
      </c>
      <c r="Q550">
        <v>12</v>
      </c>
      <c r="R550" t="s">
        <v>56</v>
      </c>
      <c r="S550" t="b">
        <v>0</v>
      </c>
      <c r="W550" t="s">
        <v>51</v>
      </c>
    </row>
    <row r="551" spans="1:23" x14ac:dyDescent="0.25">
      <c r="A551" t="s">
        <v>48</v>
      </c>
      <c r="B551">
        <v>2018</v>
      </c>
      <c r="C551">
        <v>5</v>
      </c>
      <c r="D551">
        <v>2</v>
      </c>
      <c r="E551" t="s">
        <v>49</v>
      </c>
      <c r="F551" t="s">
        <v>52</v>
      </c>
      <c r="G551" t="s">
        <v>78</v>
      </c>
      <c r="H551" t="s">
        <v>54</v>
      </c>
      <c r="I551" t="s">
        <v>55</v>
      </c>
      <c r="J551">
        <v>0</v>
      </c>
      <c r="K551">
        <v>4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4</v>
      </c>
      <c r="R551" t="s">
        <v>56</v>
      </c>
      <c r="S551" t="b">
        <v>0</v>
      </c>
      <c r="W551" t="s">
        <v>51</v>
      </c>
    </row>
    <row r="552" spans="1:23" hidden="1" x14ac:dyDescent="0.25">
      <c r="A552" t="s">
        <v>74</v>
      </c>
      <c r="B552">
        <v>2018</v>
      </c>
      <c r="C552">
        <v>2</v>
      </c>
      <c r="D552">
        <v>2</v>
      </c>
      <c r="E552" t="s">
        <v>49</v>
      </c>
      <c r="G552" t="s">
        <v>86</v>
      </c>
      <c r="J552">
        <v>0</v>
      </c>
      <c r="K552">
        <v>0</v>
      </c>
      <c r="L552">
        <v>0</v>
      </c>
      <c r="M552">
        <v>8</v>
      </c>
      <c r="N552">
        <v>4</v>
      </c>
      <c r="O552">
        <v>8</v>
      </c>
      <c r="P552">
        <v>0</v>
      </c>
      <c r="Q552">
        <v>20</v>
      </c>
      <c r="S552" t="b">
        <v>0</v>
      </c>
      <c r="W552" t="s">
        <v>51</v>
      </c>
    </row>
    <row r="553" spans="1:23" hidden="1" x14ac:dyDescent="0.25">
      <c r="A553" t="s">
        <v>48</v>
      </c>
      <c r="B553">
        <v>2018</v>
      </c>
      <c r="C553">
        <v>2</v>
      </c>
      <c r="D553">
        <v>2</v>
      </c>
      <c r="E553" t="s">
        <v>49</v>
      </c>
      <c r="G553" t="s">
        <v>86</v>
      </c>
      <c r="J553">
        <v>0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48</v>
      </c>
      <c r="S553" t="b">
        <v>0</v>
      </c>
      <c r="W553" t="s">
        <v>51</v>
      </c>
    </row>
    <row r="554" spans="1:23" hidden="1" x14ac:dyDescent="0.25">
      <c r="A554" t="s">
        <v>60</v>
      </c>
      <c r="B554">
        <v>2018</v>
      </c>
      <c r="C554">
        <v>2</v>
      </c>
      <c r="D554">
        <v>2</v>
      </c>
      <c r="E554" t="s">
        <v>49</v>
      </c>
      <c r="F554" t="s">
        <v>82</v>
      </c>
      <c r="G554" t="s">
        <v>142</v>
      </c>
      <c r="H554" t="s">
        <v>57</v>
      </c>
      <c r="I554" t="s">
        <v>61</v>
      </c>
      <c r="J554">
        <v>0</v>
      </c>
      <c r="K554">
        <v>8</v>
      </c>
      <c r="L554">
        <v>8</v>
      </c>
      <c r="M554">
        <v>8</v>
      </c>
      <c r="N554">
        <v>8</v>
      </c>
      <c r="O554">
        <v>8</v>
      </c>
      <c r="P554">
        <v>0</v>
      </c>
      <c r="Q554">
        <v>40</v>
      </c>
      <c r="R554" t="s">
        <v>56</v>
      </c>
      <c r="S554" t="b">
        <v>0</v>
      </c>
      <c r="W554" t="s">
        <v>51</v>
      </c>
    </row>
    <row r="555" spans="1:23" hidden="1" x14ac:dyDescent="0.25">
      <c r="A555" t="s">
        <v>79</v>
      </c>
      <c r="B555">
        <v>2018</v>
      </c>
      <c r="C555">
        <v>2</v>
      </c>
      <c r="D555">
        <v>2</v>
      </c>
      <c r="E555" t="s">
        <v>49</v>
      </c>
      <c r="F555" t="s">
        <v>52</v>
      </c>
      <c r="G555" t="s">
        <v>99</v>
      </c>
      <c r="H555" t="s">
        <v>106</v>
      </c>
      <c r="I555" t="s">
        <v>77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8</v>
      </c>
      <c r="P555">
        <v>8</v>
      </c>
      <c r="Q555">
        <v>16</v>
      </c>
      <c r="R555" t="s">
        <v>56</v>
      </c>
      <c r="S555" t="b">
        <v>0</v>
      </c>
      <c r="W555" t="s">
        <v>51</v>
      </c>
    </row>
    <row r="556" spans="1:23" hidden="1" x14ac:dyDescent="0.25">
      <c r="A556" t="s">
        <v>79</v>
      </c>
      <c r="B556">
        <v>2018</v>
      </c>
      <c r="C556">
        <v>2</v>
      </c>
      <c r="D556">
        <v>2</v>
      </c>
      <c r="E556" t="s">
        <v>49</v>
      </c>
      <c r="G556" t="s">
        <v>62</v>
      </c>
      <c r="J556">
        <v>0</v>
      </c>
      <c r="K556">
        <v>8</v>
      </c>
      <c r="L556">
        <v>8</v>
      </c>
      <c r="M556">
        <v>8</v>
      </c>
      <c r="N556">
        <v>0</v>
      </c>
      <c r="O556">
        <v>0</v>
      </c>
      <c r="P556">
        <v>0</v>
      </c>
      <c r="Q556">
        <v>24</v>
      </c>
      <c r="S556" t="b">
        <v>0</v>
      </c>
      <c r="W556" t="s">
        <v>51</v>
      </c>
    </row>
    <row r="557" spans="1:23" hidden="1" x14ac:dyDescent="0.25">
      <c r="A557" t="s">
        <v>79</v>
      </c>
      <c r="B557">
        <v>2018</v>
      </c>
      <c r="C557">
        <v>2</v>
      </c>
      <c r="D557">
        <v>2</v>
      </c>
      <c r="E557" t="s">
        <v>49</v>
      </c>
      <c r="G557" t="s">
        <v>86</v>
      </c>
      <c r="J557">
        <v>0</v>
      </c>
      <c r="K557">
        <v>0</v>
      </c>
      <c r="L557">
        <v>0</v>
      </c>
      <c r="M557">
        <v>0</v>
      </c>
      <c r="N557">
        <v>8</v>
      </c>
      <c r="O557">
        <v>0</v>
      </c>
      <c r="P557">
        <v>0</v>
      </c>
      <c r="Q557">
        <v>8</v>
      </c>
      <c r="S557" t="b">
        <v>0</v>
      </c>
      <c r="W557" t="s">
        <v>51</v>
      </c>
    </row>
    <row r="558" spans="1:23" hidden="1" x14ac:dyDescent="0.25">
      <c r="A558" t="s">
        <v>69</v>
      </c>
      <c r="B558">
        <v>2018</v>
      </c>
      <c r="C558">
        <v>2</v>
      </c>
      <c r="D558">
        <v>1</v>
      </c>
      <c r="E558" t="s">
        <v>49</v>
      </c>
      <c r="G558" t="s">
        <v>50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1</v>
      </c>
      <c r="S558" t="b">
        <v>0</v>
      </c>
      <c r="W558" t="s">
        <v>51</v>
      </c>
    </row>
    <row r="559" spans="1:23" hidden="1" x14ac:dyDescent="0.25">
      <c r="A559" t="s">
        <v>69</v>
      </c>
      <c r="B559">
        <v>2018</v>
      </c>
      <c r="C559">
        <v>2</v>
      </c>
      <c r="D559">
        <v>1</v>
      </c>
      <c r="E559" t="s">
        <v>49</v>
      </c>
      <c r="F559" t="s">
        <v>52</v>
      </c>
      <c r="G559" t="s">
        <v>141</v>
      </c>
      <c r="H559" t="s">
        <v>16</v>
      </c>
      <c r="I559" t="s">
        <v>72</v>
      </c>
      <c r="J559">
        <v>0</v>
      </c>
      <c r="K559">
        <v>0</v>
      </c>
      <c r="L559">
        <v>0</v>
      </c>
      <c r="M559">
        <v>0</v>
      </c>
      <c r="N559">
        <v>8.5</v>
      </c>
      <c r="O559">
        <v>7</v>
      </c>
      <c r="P559">
        <v>0</v>
      </c>
      <c r="Q559">
        <v>15.5</v>
      </c>
      <c r="R559" t="s">
        <v>56</v>
      </c>
      <c r="S559" t="b">
        <v>0</v>
      </c>
      <c r="W559" t="s">
        <v>51</v>
      </c>
    </row>
    <row r="560" spans="1:23" hidden="1" x14ac:dyDescent="0.25">
      <c r="A560" t="s">
        <v>69</v>
      </c>
      <c r="B560">
        <v>2018</v>
      </c>
      <c r="C560">
        <v>2</v>
      </c>
      <c r="D560">
        <v>1</v>
      </c>
      <c r="E560" t="s">
        <v>49</v>
      </c>
      <c r="F560" t="s">
        <v>52</v>
      </c>
      <c r="G560" t="s">
        <v>141</v>
      </c>
      <c r="H560" t="s">
        <v>16</v>
      </c>
      <c r="I560" t="s">
        <v>77</v>
      </c>
      <c r="J560">
        <v>0</v>
      </c>
      <c r="K560">
        <v>8</v>
      </c>
      <c r="L560">
        <v>8</v>
      </c>
      <c r="M560">
        <v>8</v>
      </c>
      <c r="N560">
        <v>0</v>
      </c>
      <c r="O560">
        <v>0</v>
      </c>
      <c r="P560">
        <v>0</v>
      </c>
      <c r="Q560">
        <v>24</v>
      </c>
      <c r="R560" t="s">
        <v>56</v>
      </c>
      <c r="S560" t="b">
        <v>0</v>
      </c>
      <c r="W560" t="s">
        <v>51</v>
      </c>
    </row>
    <row r="561" spans="1:23" x14ac:dyDescent="0.25">
      <c r="A561" t="s">
        <v>48</v>
      </c>
      <c r="B561">
        <v>2018</v>
      </c>
      <c r="C561">
        <v>5</v>
      </c>
      <c r="D561">
        <v>1</v>
      </c>
      <c r="E561" t="s">
        <v>49</v>
      </c>
      <c r="F561" t="s">
        <v>52</v>
      </c>
      <c r="G561" t="s">
        <v>78</v>
      </c>
      <c r="H561" t="s">
        <v>54</v>
      </c>
      <c r="I561" t="s">
        <v>55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4</v>
      </c>
      <c r="Q561">
        <v>4</v>
      </c>
      <c r="R561" t="s">
        <v>56</v>
      </c>
      <c r="S561" t="b">
        <v>0</v>
      </c>
      <c r="W561" t="s">
        <v>51</v>
      </c>
    </row>
    <row r="562" spans="1:23" hidden="1" x14ac:dyDescent="0.25">
      <c r="A562" t="s">
        <v>102</v>
      </c>
      <c r="B562">
        <v>2018</v>
      </c>
      <c r="C562">
        <v>2</v>
      </c>
      <c r="D562">
        <v>1</v>
      </c>
      <c r="E562" t="s">
        <v>49</v>
      </c>
      <c r="G562" t="s">
        <v>121</v>
      </c>
      <c r="J562">
        <v>0</v>
      </c>
      <c r="K562">
        <v>8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8</v>
      </c>
      <c r="S562" t="b">
        <v>0</v>
      </c>
      <c r="W562" t="s">
        <v>51</v>
      </c>
    </row>
    <row r="563" spans="1:23" hidden="1" x14ac:dyDescent="0.25">
      <c r="A563" t="s">
        <v>102</v>
      </c>
      <c r="B563">
        <v>2018</v>
      </c>
      <c r="C563">
        <v>2</v>
      </c>
      <c r="D563">
        <v>1</v>
      </c>
      <c r="E563" t="s">
        <v>49</v>
      </c>
      <c r="F563" t="s">
        <v>64</v>
      </c>
      <c r="G563" t="s">
        <v>103</v>
      </c>
      <c r="H563" t="s">
        <v>57</v>
      </c>
      <c r="I563" t="s">
        <v>58</v>
      </c>
      <c r="J563">
        <v>0</v>
      </c>
      <c r="K563">
        <v>0</v>
      </c>
      <c r="L563">
        <v>1</v>
      </c>
      <c r="M563">
        <v>0</v>
      </c>
      <c r="N563">
        <v>0</v>
      </c>
      <c r="O563">
        <v>0</v>
      </c>
      <c r="P563">
        <v>0</v>
      </c>
      <c r="Q563">
        <v>1</v>
      </c>
      <c r="R563" t="s">
        <v>56</v>
      </c>
      <c r="S563" t="b">
        <v>0</v>
      </c>
      <c r="W563" t="s">
        <v>51</v>
      </c>
    </row>
    <row r="564" spans="1:23" hidden="1" x14ac:dyDescent="0.25">
      <c r="A564" t="s">
        <v>102</v>
      </c>
      <c r="B564">
        <v>2018</v>
      </c>
      <c r="C564">
        <v>2</v>
      </c>
      <c r="D564">
        <v>1</v>
      </c>
      <c r="E564" t="s">
        <v>49</v>
      </c>
      <c r="F564" t="s">
        <v>52</v>
      </c>
      <c r="G564" t="s">
        <v>103</v>
      </c>
      <c r="H564" t="s">
        <v>14</v>
      </c>
      <c r="I564" t="s">
        <v>87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1</v>
      </c>
      <c r="R564" t="s">
        <v>56</v>
      </c>
      <c r="S564" t="b">
        <v>0</v>
      </c>
      <c r="W564" t="s">
        <v>51</v>
      </c>
    </row>
    <row r="565" spans="1:23" hidden="1" x14ac:dyDescent="0.25">
      <c r="A565" t="s">
        <v>102</v>
      </c>
      <c r="B565">
        <v>2018</v>
      </c>
      <c r="C565">
        <v>2</v>
      </c>
      <c r="D565">
        <v>1</v>
      </c>
      <c r="E565" t="s">
        <v>49</v>
      </c>
      <c r="F565" t="s">
        <v>64</v>
      </c>
      <c r="G565" t="s">
        <v>103</v>
      </c>
      <c r="H565" t="s">
        <v>57</v>
      </c>
      <c r="I565" t="s">
        <v>68</v>
      </c>
      <c r="J565">
        <v>0</v>
      </c>
      <c r="K565">
        <v>0</v>
      </c>
      <c r="L565">
        <v>4</v>
      </c>
      <c r="M565">
        <v>3</v>
      </c>
      <c r="N565">
        <v>3</v>
      </c>
      <c r="O565">
        <v>2</v>
      </c>
      <c r="P565">
        <v>0</v>
      </c>
      <c r="Q565">
        <v>12</v>
      </c>
      <c r="R565" t="s">
        <v>56</v>
      </c>
      <c r="S565" t="b">
        <v>0</v>
      </c>
      <c r="W565" t="s">
        <v>51</v>
      </c>
    </row>
    <row r="566" spans="1:23" hidden="1" x14ac:dyDescent="0.25">
      <c r="A566" t="s">
        <v>102</v>
      </c>
      <c r="B566">
        <v>2018</v>
      </c>
      <c r="C566">
        <v>2</v>
      </c>
      <c r="D566">
        <v>1</v>
      </c>
      <c r="E566" t="s">
        <v>49</v>
      </c>
      <c r="G566" t="s">
        <v>86</v>
      </c>
      <c r="J566">
        <v>0</v>
      </c>
      <c r="K566">
        <v>0</v>
      </c>
      <c r="L566">
        <v>3</v>
      </c>
      <c r="M566">
        <v>4</v>
      </c>
      <c r="N566">
        <v>3</v>
      </c>
      <c r="O566">
        <v>6</v>
      </c>
      <c r="P566">
        <v>0</v>
      </c>
      <c r="Q566">
        <v>16</v>
      </c>
      <c r="S566" t="b">
        <v>0</v>
      </c>
      <c r="W566" t="s">
        <v>51</v>
      </c>
    </row>
    <row r="567" spans="1:23" hidden="1" x14ac:dyDescent="0.25">
      <c r="A567" t="s">
        <v>74</v>
      </c>
      <c r="B567">
        <v>2018</v>
      </c>
      <c r="C567">
        <v>2</v>
      </c>
      <c r="D567">
        <v>1</v>
      </c>
      <c r="E567" t="s">
        <v>49</v>
      </c>
      <c r="F567" t="s">
        <v>52</v>
      </c>
      <c r="G567" t="s">
        <v>103</v>
      </c>
      <c r="H567" t="s">
        <v>146</v>
      </c>
      <c r="I567" t="s">
        <v>87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1</v>
      </c>
      <c r="R567" t="s">
        <v>56</v>
      </c>
      <c r="S567" t="b">
        <v>0</v>
      </c>
      <c r="W567" t="s">
        <v>51</v>
      </c>
    </row>
    <row r="568" spans="1:23" hidden="1" x14ac:dyDescent="0.25">
      <c r="A568" t="s">
        <v>74</v>
      </c>
      <c r="B568">
        <v>2018</v>
      </c>
      <c r="C568">
        <v>2</v>
      </c>
      <c r="D568">
        <v>1</v>
      </c>
      <c r="E568" t="s">
        <v>49</v>
      </c>
      <c r="F568" t="s">
        <v>52</v>
      </c>
      <c r="G568" t="s">
        <v>103</v>
      </c>
      <c r="H568" t="s">
        <v>147</v>
      </c>
      <c r="I568" t="s">
        <v>76</v>
      </c>
      <c r="J568">
        <v>0</v>
      </c>
      <c r="K568">
        <v>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8</v>
      </c>
      <c r="R568" t="s">
        <v>56</v>
      </c>
      <c r="S568" t="b">
        <v>0</v>
      </c>
      <c r="W568" t="s">
        <v>51</v>
      </c>
    </row>
    <row r="569" spans="1:23" hidden="1" x14ac:dyDescent="0.25">
      <c r="A569" t="s">
        <v>74</v>
      </c>
      <c r="B569">
        <v>2018</v>
      </c>
      <c r="C569">
        <v>2</v>
      </c>
      <c r="D569">
        <v>1</v>
      </c>
      <c r="E569" t="s">
        <v>49</v>
      </c>
      <c r="G569" t="s">
        <v>86</v>
      </c>
      <c r="J569">
        <v>0</v>
      </c>
      <c r="K569">
        <v>0</v>
      </c>
      <c r="L569">
        <v>7</v>
      </c>
      <c r="M569">
        <v>7</v>
      </c>
      <c r="N569">
        <v>8</v>
      </c>
      <c r="O569">
        <v>8</v>
      </c>
      <c r="P569">
        <v>0</v>
      </c>
      <c r="Q569">
        <v>30</v>
      </c>
      <c r="S569" t="b">
        <v>0</v>
      </c>
      <c r="W569" t="s">
        <v>51</v>
      </c>
    </row>
    <row r="570" spans="1:23" hidden="1" x14ac:dyDescent="0.25">
      <c r="A570" t="s">
        <v>74</v>
      </c>
      <c r="B570">
        <v>2018</v>
      </c>
      <c r="C570">
        <v>2</v>
      </c>
      <c r="D570">
        <v>1</v>
      </c>
      <c r="E570" t="s">
        <v>49</v>
      </c>
      <c r="G570" t="s">
        <v>148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0</v>
      </c>
      <c r="P570">
        <v>0</v>
      </c>
      <c r="Q570">
        <v>1</v>
      </c>
      <c r="S570" t="b">
        <v>0</v>
      </c>
      <c r="W570" t="s">
        <v>51</v>
      </c>
    </row>
    <row r="571" spans="1:23" hidden="1" x14ac:dyDescent="0.25">
      <c r="A571" t="s">
        <v>48</v>
      </c>
      <c r="B571">
        <v>2018</v>
      </c>
      <c r="C571">
        <v>2</v>
      </c>
      <c r="D571">
        <v>1</v>
      </c>
      <c r="E571" t="s">
        <v>49</v>
      </c>
      <c r="G571" t="s">
        <v>86</v>
      </c>
      <c r="J571">
        <v>0</v>
      </c>
      <c r="K571">
        <v>8</v>
      </c>
      <c r="L571">
        <v>8</v>
      </c>
      <c r="M571">
        <v>8</v>
      </c>
      <c r="N571">
        <v>8</v>
      </c>
      <c r="O571">
        <v>8</v>
      </c>
      <c r="P571">
        <v>0</v>
      </c>
      <c r="Q571">
        <v>40</v>
      </c>
      <c r="S571" t="b">
        <v>0</v>
      </c>
      <c r="W571" t="s">
        <v>51</v>
      </c>
    </row>
    <row r="572" spans="1:23" hidden="1" x14ac:dyDescent="0.25">
      <c r="A572" t="s">
        <v>60</v>
      </c>
      <c r="B572">
        <v>2018</v>
      </c>
      <c r="C572">
        <v>2</v>
      </c>
      <c r="D572">
        <v>1</v>
      </c>
      <c r="E572" t="s">
        <v>49</v>
      </c>
      <c r="F572" t="s">
        <v>82</v>
      </c>
      <c r="G572" t="s">
        <v>142</v>
      </c>
      <c r="H572" t="s">
        <v>57</v>
      </c>
      <c r="I572" t="s">
        <v>61</v>
      </c>
      <c r="J572">
        <v>0</v>
      </c>
      <c r="K572">
        <v>8</v>
      </c>
      <c r="L572">
        <v>8</v>
      </c>
      <c r="M572">
        <v>8</v>
      </c>
      <c r="N572">
        <v>8</v>
      </c>
      <c r="O572">
        <v>8</v>
      </c>
      <c r="P572">
        <v>0</v>
      </c>
      <c r="Q572">
        <v>40</v>
      </c>
      <c r="R572" t="s">
        <v>56</v>
      </c>
      <c r="S572" t="b">
        <v>0</v>
      </c>
      <c r="W572" t="s">
        <v>51</v>
      </c>
    </row>
    <row r="573" spans="1:23" hidden="1" x14ac:dyDescent="0.25">
      <c r="A573" t="s">
        <v>79</v>
      </c>
      <c r="B573">
        <v>2018</v>
      </c>
      <c r="C573">
        <v>2</v>
      </c>
      <c r="D573">
        <v>1</v>
      </c>
      <c r="E573" t="s">
        <v>49</v>
      </c>
      <c r="F573" t="s">
        <v>52</v>
      </c>
      <c r="G573" t="s">
        <v>103</v>
      </c>
      <c r="H573" t="s">
        <v>57</v>
      </c>
      <c r="I573" t="s">
        <v>81</v>
      </c>
      <c r="J573">
        <v>0</v>
      </c>
      <c r="K573">
        <v>0</v>
      </c>
      <c r="L573">
        <v>0</v>
      </c>
      <c r="M573">
        <v>8</v>
      </c>
      <c r="N573">
        <v>8</v>
      </c>
      <c r="O573">
        <v>0</v>
      </c>
      <c r="P573">
        <v>0</v>
      </c>
      <c r="Q573">
        <v>16</v>
      </c>
      <c r="R573" t="s">
        <v>56</v>
      </c>
      <c r="S573" t="b">
        <v>0</v>
      </c>
      <c r="W573" t="s">
        <v>51</v>
      </c>
    </row>
    <row r="574" spans="1:23" hidden="1" x14ac:dyDescent="0.25">
      <c r="A574" t="s">
        <v>79</v>
      </c>
      <c r="B574">
        <v>2018</v>
      </c>
      <c r="C574">
        <v>2</v>
      </c>
      <c r="D574">
        <v>1</v>
      </c>
      <c r="E574" t="s">
        <v>49</v>
      </c>
      <c r="G574" t="s">
        <v>86</v>
      </c>
      <c r="J574">
        <v>0</v>
      </c>
      <c r="K574">
        <v>0</v>
      </c>
      <c r="L574">
        <v>8</v>
      </c>
      <c r="M574">
        <v>0</v>
      </c>
      <c r="N574">
        <v>0</v>
      </c>
      <c r="O574">
        <v>0</v>
      </c>
      <c r="P574">
        <v>0</v>
      </c>
      <c r="Q574">
        <v>8</v>
      </c>
      <c r="S574" t="b">
        <v>0</v>
      </c>
      <c r="W574" t="s">
        <v>51</v>
      </c>
    </row>
    <row r="575" spans="1:23" hidden="1" x14ac:dyDescent="0.25">
      <c r="A575" t="s">
        <v>79</v>
      </c>
      <c r="B575">
        <v>2018</v>
      </c>
      <c r="C575">
        <v>2</v>
      </c>
      <c r="D575">
        <v>1</v>
      </c>
      <c r="E575" t="s">
        <v>49</v>
      </c>
      <c r="G575" t="s">
        <v>62</v>
      </c>
      <c r="J575">
        <v>0</v>
      </c>
      <c r="K575">
        <v>8</v>
      </c>
      <c r="L575">
        <v>0</v>
      </c>
      <c r="M575">
        <v>0</v>
      </c>
      <c r="N575">
        <v>0</v>
      </c>
      <c r="O575">
        <v>8</v>
      </c>
      <c r="P575">
        <v>0</v>
      </c>
      <c r="Q575">
        <v>16</v>
      </c>
      <c r="S575" t="b">
        <v>0</v>
      </c>
      <c r="W575" t="s">
        <v>51</v>
      </c>
    </row>
    <row r="576" spans="1:23" hidden="1" x14ac:dyDescent="0.25">
      <c r="A576" t="s">
        <v>69</v>
      </c>
      <c r="B576">
        <v>2018</v>
      </c>
      <c r="C576">
        <v>1</v>
      </c>
      <c r="D576">
        <v>5</v>
      </c>
      <c r="E576" t="s">
        <v>49</v>
      </c>
      <c r="F576" t="s">
        <v>52</v>
      </c>
      <c r="G576" t="s">
        <v>141</v>
      </c>
      <c r="H576" t="s">
        <v>93</v>
      </c>
      <c r="I576" t="s">
        <v>76</v>
      </c>
      <c r="J576">
        <v>0</v>
      </c>
      <c r="K576">
        <v>6</v>
      </c>
      <c r="L576">
        <v>8.5</v>
      </c>
      <c r="M576">
        <v>7</v>
      </c>
      <c r="N576">
        <v>8.5</v>
      </c>
      <c r="O576">
        <v>8</v>
      </c>
      <c r="P576">
        <v>0</v>
      </c>
      <c r="Q576">
        <v>38</v>
      </c>
      <c r="R576" t="s">
        <v>56</v>
      </c>
      <c r="S576" t="b">
        <v>0</v>
      </c>
      <c r="W576" t="s">
        <v>51</v>
      </c>
    </row>
    <row r="577" spans="1:23" hidden="1" x14ac:dyDescent="0.25">
      <c r="A577" t="s">
        <v>69</v>
      </c>
      <c r="B577">
        <v>2018</v>
      </c>
      <c r="C577">
        <v>1</v>
      </c>
      <c r="D577">
        <v>5</v>
      </c>
      <c r="E577" t="s">
        <v>49</v>
      </c>
      <c r="G577" t="s">
        <v>149</v>
      </c>
      <c r="J577">
        <v>0</v>
      </c>
      <c r="K577">
        <v>2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</v>
      </c>
      <c r="S577" t="b">
        <v>0</v>
      </c>
      <c r="W577" t="s">
        <v>51</v>
      </c>
    </row>
    <row r="578" spans="1:23" hidden="1" x14ac:dyDescent="0.25">
      <c r="A578" t="s">
        <v>102</v>
      </c>
      <c r="B578">
        <v>2018</v>
      </c>
      <c r="C578">
        <v>1</v>
      </c>
      <c r="D578">
        <v>5</v>
      </c>
      <c r="E578" t="s">
        <v>49</v>
      </c>
      <c r="F578" t="s">
        <v>71</v>
      </c>
      <c r="G578" t="s">
        <v>103</v>
      </c>
      <c r="H578" t="s">
        <v>57</v>
      </c>
      <c r="I578" t="s">
        <v>150</v>
      </c>
      <c r="J578">
        <v>0</v>
      </c>
      <c r="K578">
        <v>0</v>
      </c>
      <c r="L578">
        <v>4</v>
      </c>
      <c r="M578">
        <v>0</v>
      </c>
      <c r="N578">
        <v>0</v>
      </c>
      <c r="O578">
        <v>0</v>
      </c>
      <c r="P578">
        <v>0</v>
      </c>
      <c r="Q578">
        <v>4</v>
      </c>
      <c r="R578" t="s">
        <v>56</v>
      </c>
      <c r="S578" t="b">
        <v>0</v>
      </c>
      <c r="W578" t="s">
        <v>51</v>
      </c>
    </row>
    <row r="579" spans="1:23" hidden="1" x14ac:dyDescent="0.25">
      <c r="A579" t="s">
        <v>102</v>
      </c>
      <c r="B579">
        <v>2018</v>
      </c>
      <c r="C579">
        <v>1</v>
      </c>
      <c r="D579">
        <v>5</v>
      </c>
      <c r="E579" t="s">
        <v>49</v>
      </c>
      <c r="F579" t="s">
        <v>71</v>
      </c>
      <c r="G579" t="s">
        <v>103</v>
      </c>
      <c r="H579" t="s">
        <v>14</v>
      </c>
      <c r="I579" t="s">
        <v>77</v>
      </c>
      <c r="J579">
        <v>0</v>
      </c>
      <c r="K579">
        <v>7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7</v>
      </c>
      <c r="R579" t="s">
        <v>56</v>
      </c>
      <c r="S579" t="b">
        <v>0</v>
      </c>
      <c r="W579" t="s">
        <v>51</v>
      </c>
    </row>
    <row r="580" spans="1:23" hidden="1" x14ac:dyDescent="0.25">
      <c r="A580" t="s">
        <v>102</v>
      </c>
      <c r="B580">
        <v>2018</v>
      </c>
      <c r="C580">
        <v>1</v>
      </c>
      <c r="D580">
        <v>5</v>
      </c>
      <c r="E580" t="s">
        <v>49</v>
      </c>
      <c r="F580" t="s">
        <v>64</v>
      </c>
      <c r="G580" t="s">
        <v>103</v>
      </c>
      <c r="H580" t="s">
        <v>57</v>
      </c>
      <c r="I580" t="s">
        <v>68</v>
      </c>
      <c r="J580">
        <v>0</v>
      </c>
      <c r="K580">
        <v>1</v>
      </c>
      <c r="L580">
        <v>1</v>
      </c>
      <c r="M580">
        <v>1</v>
      </c>
      <c r="N580">
        <v>7</v>
      </c>
      <c r="O580">
        <v>7</v>
      </c>
      <c r="P580">
        <v>0</v>
      </c>
      <c r="Q580">
        <v>17</v>
      </c>
      <c r="R580" t="s">
        <v>56</v>
      </c>
      <c r="S580" t="b">
        <v>0</v>
      </c>
      <c r="W580" t="s">
        <v>51</v>
      </c>
    </row>
    <row r="581" spans="1:23" hidden="1" x14ac:dyDescent="0.25">
      <c r="A581" t="s">
        <v>102</v>
      </c>
      <c r="B581">
        <v>2018</v>
      </c>
      <c r="C581">
        <v>1</v>
      </c>
      <c r="D581">
        <v>5</v>
      </c>
      <c r="E581" t="s">
        <v>49</v>
      </c>
      <c r="G581" t="s">
        <v>86</v>
      </c>
      <c r="J581">
        <v>0</v>
      </c>
      <c r="K581">
        <v>0</v>
      </c>
      <c r="L581">
        <v>3</v>
      </c>
      <c r="M581">
        <v>7</v>
      </c>
      <c r="N581">
        <v>1</v>
      </c>
      <c r="O581">
        <v>1</v>
      </c>
      <c r="P581">
        <v>0</v>
      </c>
      <c r="Q581">
        <v>12</v>
      </c>
      <c r="S581" t="b">
        <v>0</v>
      </c>
      <c r="W581" t="s">
        <v>51</v>
      </c>
    </row>
    <row r="582" spans="1:23" hidden="1" x14ac:dyDescent="0.25">
      <c r="A582" t="s">
        <v>74</v>
      </c>
      <c r="B582">
        <v>2018</v>
      </c>
      <c r="C582">
        <v>1</v>
      </c>
      <c r="D582">
        <v>5</v>
      </c>
      <c r="E582" t="s">
        <v>49</v>
      </c>
      <c r="G582" t="s">
        <v>62</v>
      </c>
      <c r="J582">
        <v>0</v>
      </c>
      <c r="K582">
        <v>0</v>
      </c>
      <c r="L582">
        <v>0</v>
      </c>
      <c r="M582">
        <v>0</v>
      </c>
      <c r="N582">
        <v>8</v>
      </c>
      <c r="O582">
        <v>8</v>
      </c>
      <c r="P582">
        <v>0</v>
      </c>
      <c r="Q582">
        <v>16</v>
      </c>
      <c r="S582" t="b">
        <v>0</v>
      </c>
      <c r="W582" t="s">
        <v>51</v>
      </c>
    </row>
    <row r="583" spans="1:23" hidden="1" x14ac:dyDescent="0.25">
      <c r="A583" t="s">
        <v>74</v>
      </c>
      <c r="B583">
        <v>2018</v>
      </c>
      <c r="C583">
        <v>1</v>
      </c>
      <c r="D583">
        <v>5</v>
      </c>
      <c r="E583" t="s">
        <v>49</v>
      </c>
      <c r="F583" t="s">
        <v>52</v>
      </c>
      <c r="G583" t="s">
        <v>103</v>
      </c>
      <c r="H583" t="s">
        <v>147</v>
      </c>
      <c r="I583" t="s">
        <v>134</v>
      </c>
      <c r="J583">
        <v>0</v>
      </c>
      <c r="K583">
        <v>0</v>
      </c>
      <c r="L583">
        <v>1</v>
      </c>
      <c r="M583">
        <v>6</v>
      </c>
      <c r="N583">
        <v>0</v>
      </c>
      <c r="O583">
        <v>0</v>
      </c>
      <c r="P583">
        <v>0</v>
      </c>
      <c r="Q583">
        <v>7</v>
      </c>
      <c r="R583" t="s">
        <v>56</v>
      </c>
      <c r="S583" t="b">
        <v>0</v>
      </c>
      <c r="W583" t="s">
        <v>51</v>
      </c>
    </row>
    <row r="584" spans="1:23" hidden="1" x14ac:dyDescent="0.25">
      <c r="A584" t="s">
        <v>74</v>
      </c>
      <c r="B584">
        <v>2018</v>
      </c>
      <c r="C584">
        <v>1</v>
      </c>
      <c r="D584">
        <v>5</v>
      </c>
      <c r="E584" t="s">
        <v>49</v>
      </c>
      <c r="G584" t="s">
        <v>73</v>
      </c>
      <c r="J584">
        <v>0</v>
      </c>
      <c r="K584">
        <v>1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</v>
      </c>
      <c r="S584" t="b">
        <v>0</v>
      </c>
      <c r="W584" t="s">
        <v>51</v>
      </c>
    </row>
    <row r="585" spans="1:23" hidden="1" x14ac:dyDescent="0.25">
      <c r="A585" t="s">
        <v>74</v>
      </c>
      <c r="B585">
        <v>2018</v>
      </c>
      <c r="C585">
        <v>1</v>
      </c>
      <c r="D585">
        <v>5</v>
      </c>
      <c r="E585" t="s">
        <v>49</v>
      </c>
      <c r="F585" t="s">
        <v>52</v>
      </c>
      <c r="G585" t="s">
        <v>142</v>
      </c>
      <c r="H585" t="s">
        <v>57</v>
      </c>
      <c r="I585" t="s">
        <v>55</v>
      </c>
      <c r="J585">
        <v>0</v>
      </c>
      <c r="K585">
        <v>7</v>
      </c>
      <c r="L585">
        <v>7</v>
      </c>
      <c r="M585">
        <v>2</v>
      </c>
      <c r="N585">
        <v>0</v>
      </c>
      <c r="O585">
        <v>0</v>
      </c>
      <c r="P585">
        <v>0</v>
      </c>
      <c r="Q585">
        <v>16</v>
      </c>
      <c r="R585" t="s">
        <v>56</v>
      </c>
      <c r="S585" t="b">
        <v>0</v>
      </c>
      <c r="W585" t="s">
        <v>51</v>
      </c>
    </row>
    <row r="586" spans="1:23" hidden="1" x14ac:dyDescent="0.25">
      <c r="A586" t="s">
        <v>48</v>
      </c>
      <c r="B586">
        <v>2018</v>
      </c>
      <c r="C586">
        <v>1</v>
      </c>
      <c r="D586">
        <v>5</v>
      </c>
      <c r="E586" t="s">
        <v>49</v>
      </c>
      <c r="G586" t="s">
        <v>86</v>
      </c>
      <c r="J586">
        <v>0</v>
      </c>
      <c r="K586">
        <v>8</v>
      </c>
      <c r="L586">
        <v>8</v>
      </c>
      <c r="M586">
        <v>8</v>
      </c>
      <c r="N586">
        <v>8</v>
      </c>
      <c r="O586">
        <v>8</v>
      </c>
      <c r="P586">
        <v>0</v>
      </c>
      <c r="Q586">
        <v>40</v>
      </c>
      <c r="S586" t="b">
        <v>0</v>
      </c>
      <c r="W586" t="s">
        <v>51</v>
      </c>
    </row>
    <row r="587" spans="1:23" hidden="1" x14ac:dyDescent="0.25">
      <c r="A587" t="s">
        <v>60</v>
      </c>
      <c r="B587">
        <v>2018</v>
      </c>
      <c r="C587">
        <v>1</v>
      </c>
      <c r="D587">
        <v>5</v>
      </c>
      <c r="E587" t="s">
        <v>49</v>
      </c>
      <c r="F587" t="s">
        <v>82</v>
      </c>
      <c r="G587" t="s">
        <v>142</v>
      </c>
      <c r="H587" t="s">
        <v>57</v>
      </c>
      <c r="I587" t="s">
        <v>61</v>
      </c>
      <c r="J587">
        <v>0</v>
      </c>
      <c r="K587">
        <v>8</v>
      </c>
      <c r="L587">
        <v>8</v>
      </c>
      <c r="M587">
        <v>8</v>
      </c>
      <c r="N587">
        <v>8</v>
      </c>
      <c r="O587">
        <v>8</v>
      </c>
      <c r="P587">
        <v>0</v>
      </c>
      <c r="Q587">
        <v>40</v>
      </c>
      <c r="R587" t="s">
        <v>56</v>
      </c>
      <c r="S587" t="b">
        <v>0</v>
      </c>
      <c r="W587" t="s">
        <v>51</v>
      </c>
    </row>
    <row r="588" spans="1:23" hidden="1" x14ac:dyDescent="0.25">
      <c r="A588" t="s">
        <v>79</v>
      </c>
      <c r="B588">
        <v>2018</v>
      </c>
      <c r="C588">
        <v>1</v>
      </c>
      <c r="D588">
        <v>5</v>
      </c>
      <c r="E588" t="s">
        <v>49</v>
      </c>
      <c r="F588" t="s">
        <v>71</v>
      </c>
      <c r="G588" t="s">
        <v>142</v>
      </c>
      <c r="H588" t="s">
        <v>57</v>
      </c>
      <c r="I588" t="s">
        <v>110</v>
      </c>
      <c r="J588">
        <v>0</v>
      </c>
      <c r="K588">
        <v>4</v>
      </c>
      <c r="L588">
        <v>1</v>
      </c>
      <c r="M588">
        <v>0</v>
      </c>
      <c r="N588">
        <v>0</v>
      </c>
      <c r="O588">
        <v>0</v>
      </c>
      <c r="P588">
        <v>0</v>
      </c>
      <c r="Q588">
        <v>5</v>
      </c>
      <c r="R588" t="s">
        <v>56</v>
      </c>
      <c r="S588" t="b">
        <v>0</v>
      </c>
      <c r="W588" t="s">
        <v>51</v>
      </c>
    </row>
    <row r="589" spans="1:23" hidden="1" x14ac:dyDescent="0.25">
      <c r="A589" t="s">
        <v>79</v>
      </c>
      <c r="B589">
        <v>2018</v>
      </c>
      <c r="C589">
        <v>1</v>
      </c>
      <c r="D589">
        <v>5</v>
      </c>
      <c r="E589" t="s">
        <v>49</v>
      </c>
      <c r="F589" t="s">
        <v>71</v>
      </c>
      <c r="G589" t="s">
        <v>142</v>
      </c>
      <c r="H589" t="s">
        <v>57</v>
      </c>
      <c r="I589" t="s">
        <v>113</v>
      </c>
      <c r="J589">
        <v>0</v>
      </c>
      <c r="K589">
        <v>4</v>
      </c>
      <c r="L589">
        <v>5</v>
      </c>
      <c r="M589">
        <v>0</v>
      </c>
      <c r="N589">
        <v>0</v>
      </c>
      <c r="O589">
        <v>0</v>
      </c>
      <c r="P589">
        <v>0</v>
      </c>
      <c r="Q589">
        <v>9</v>
      </c>
      <c r="R589" t="s">
        <v>56</v>
      </c>
      <c r="S589" t="b">
        <v>0</v>
      </c>
      <c r="W589" t="s">
        <v>51</v>
      </c>
    </row>
    <row r="590" spans="1:23" hidden="1" x14ac:dyDescent="0.25">
      <c r="A590" t="s">
        <v>79</v>
      </c>
      <c r="B590">
        <v>2018</v>
      </c>
      <c r="C590">
        <v>1</v>
      </c>
      <c r="D590">
        <v>5</v>
      </c>
      <c r="E590" t="s">
        <v>49</v>
      </c>
      <c r="G590" t="s">
        <v>86</v>
      </c>
      <c r="J590">
        <v>0</v>
      </c>
      <c r="K590">
        <v>0</v>
      </c>
      <c r="L590">
        <v>2</v>
      </c>
      <c r="M590">
        <v>8</v>
      </c>
      <c r="N590">
        <v>8</v>
      </c>
      <c r="O590">
        <v>8</v>
      </c>
      <c r="P590">
        <v>0</v>
      </c>
      <c r="Q590">
        <v>26</v>
      </c>
      <c r="S590" t="b">
        <v>0</v>
      </c>
      <c r="W590" t="s">
        <v>51</v>
      </c>
    </row>
    <row r="591" spans="1:23" hidden="1" x14ac:dyDescent="0.25">
      <c r="A591" t="s">
        <v>69</v>
      </c>
      <c r="B591">
        <v>2018</v>
      </c>
      <c r="C591">
        <v>1</v>
      </c>
      <c r="D591">
        <v>4</v>
      </c>
      <c r="E591" t="s">
        <v>49</v>
      </c>
      <c r="F591" t="s">
        <v>52</v>
      </c>
      <c r="G591" t="s">
        <v>141</v>
      </c>
      <c r="H591" t="s">
        <v>93</v>
      </c>
      <c r="I591" t="s">
        <v>76</v>
      </c>
      <c r="J591">
        <v>0</v>
      </c>
      <c r="K591">
        <v>8</v>
      </c>
      <c r="L591">
        <v>8</v>
      </c>
      <c r="M591">
        <v>8</v>
      </c>
      <c r="N591">
        <v>8</v>
      </c>
      <c r="O591">
        <v>0</v>
      </c>
      <c r="P591">
        <v>0</v>
      </c>
      <c r="Q591">
        <v>32</v>
      </c>
      <c r="R591" t="s">
        <v>56</v>
      </c>
      <c r="S591" t="b">
        <v>0</v>
      </c>
      <c r="W591" t="s">
        <v>51</v>
      </c>
    </row>
    <row r="592" spans="1:23" hidden="1" x14ac:dyDescent="0.25">
      <c r="A592" t="s">
        <v>69</v>
      </c>
      <c r="B592">
        <v>2018</v>
      </c>
      <c r="C592">
        <v>1</v>
      </c>
      <c r="D592">
        <v>4</v>
      </c>
      <c r="E592" t="s">
        <v>49</v>
      </c>
      <c r="G592" t="s">
        <v>121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8</v>
      </c>
      <c r="P592">
        <v>0</v>
      </c>
      <c r="Q592">
        <v>8</v>
      </c>
      <c r="S592" t="b">
        <v>0</v>
      </c>
      <c r="W592" t="s">
        <v>51</v>
      </c>
    </row>
    <row r="593" spans="1:23" hidden="1" x14ac:dyDescent="0.25">
      <c r="A593" t="s">
        <v>102</v>
      </c>
      <c r="B593">
        <v>2018</v>
      </c>
      <c r="C593">
        <v>1</v>
      </c>
      <c r="D593">
        <v>4</v>
      </c>
      <c r="E593" t="s">
        <v>49</v>
      </c>
      <c r="G593" t="s">
        <v>86</v>
      </c>
      <c r="J593">
        <v>0</v>
      </c>
      <c r="K593">
        <v>4</v>
      </c>
      <c r="L593">
        <v>7</v>
      </c>
      <c r="M593">
        <v>7</v>
      </c>
      <c r="N593">
        <v>0</v>
      </c>
      <c r="O593">
        <v>0</v>
      </c>
      <c r="P593">
        <v>0</v>
      </c>
      <c r="Q593">
        <v>18</v>
      </c>
      <c r="S593" t="b">
        <v>0</v>
      </c>
      <c r="W593" t="s">
        <v>51</v>
      </c>
    </row>
    <row r="594" spans="1:23" hidden="1" x14ac:dyDescent="0.25">
      <c r="A594" t="s">
        <v>102</v>
      </c>
      <c r="B594">
        <v>2018</v>
      </c>
      <c r="C594">
        <v>1</v>
      </c>
      <c r="D594">
        <v>4</v>
      </c>
      <c r="E594" t="s">
        <v>49</v>
      </c>
      <c r="F594" t="s">
        <v>64</v>
      </c>
      <c r="G594" t="s">
        <v>103</v>
      </c>
      <c r="H594" t="s">
        <v>57</v>
      </c>
      <c r="I594" t="s">
        <v>68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0</v>
      </c>
      <c r="P594">
        <v>0</v>
      </c>
      <c r="Q594">
        <v>3</v>
      </c>
      <c r="R594" t="s">
        <v>56</v>
      </c>
      <c r="S594" t="b">
        <v>0</v>
      </c>
      <c r="W594" t="s">
        <v>51</v>
      </c>
    </row>
    <row r="595" spans="1:23" hidden="1" x14ac:dyDescent="0.25">
      <c r="A595" t="s">
        <v>102</v>
      </c>
      <c r="B595">
        <v>2018</v>
      </c>
      <c r="C595">
        <v>1</v>
      </c>
      <c r="D595">
        <v>4</v>
      </c>
      <c r="E595" t="s">
        <v>49</v>
      </c>
      <c r="F595" t="s">
        <v>52</v>
      </c>
      <c r="G595" t="s">
        <v>103</v>
      </c>
      <c r="H595" t="s">
        <v>14</v>
      </c>
      <c r="I595" t="s">
        <v>76</v>
      </c>
      <c r="J595">
        <v>0</v>
      </c>
      <c r="K595">
        <v>3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3</v>
      </c>
      <c r="R595" t="s">
        <v>56</v>
      </c>
      <c r="S595" t="b">
        <v>0</v>
      </c>
      <c r="W595" t="s">
        <v>51</v>
      </c>
    </row>
    <row r="596" spans="1:23" hidden="1" x14ac:dyDescent="0.25">
      <c r="A596" t="s">
        <v>102</v>
      </c>
      <c r="B596">
        <v>2018</v>
      </c>
      <c r="C596">
        <v>1</v>
      </c>
      <c r="D596">
        <v>4</v>
      </c>
      <c r="E596" t="s">
        <v>49</v>
      </c>
      <c r="G596" t="s">
        <v>121</v>
      </c>
      <c r="J596">
        <v>0</v>
      </c>
      <c r="K596">
        <v>0</v>
      </c>
      <c r="L596">
        <v>0</v>
      </c>
      <c r="M596">
        <v>0</v>
      </c>
      <c r="N596">
        <v>8</v>
      </c>
      <c r="O596">
        <v>8</v>
      </c>
      <c r="P596">
        <v>0</v>
      </c>
      <c r="Q596">
        <v>16</v>
      </c>
      <c r="S596" t="b">
        <v>0</v>
      </c>
      <c r="W596" t="s">
        <v>51</v>
      </c>
    </row>
    <row r="597" spans="1:23" hidden="1" x14ac:dyDescent="0.25">
      <c r="A597" t="s">
        <v>74</v>
      </c>
      <c r="B597">
        <v>2018</v>
      </c>
      <c r="C597">
        <v>1</v>
      </c>
      <c r="D597">
        <v>4</v>
      </c>
      <c r="E597" t="s">
        <v>49</v>
      </c>
      <c r="G597" t="s">
        <v>120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8</v>
      </c>
      <c r="P597">
        <v>0</v>
      </c>
      <c r="Q597">
        <v>8</v>
      </c>
      <c r="S597" t="b">
        <v>0</v>
      </c>
      <c r="W597" t="s">
        <v>51</v>
      </c>
    </row>
    <row r="598" spans="1:23" hidden="1" x14ac:dyDescent="0.25">
      <c r="A598" t="s">
        <v>74</v>
      </c>
      <c r="B598">
        <v>2018</v>
      </c>
      <c r="C598">
        <v>1</v>
      </c>
      <c r="D598">
        <v>4</v>
      </c>
      <c r="E598" t="s">
        <v>49</v>
      </c>
      <c r="G598" t="s">
        <v>62</v>
      </c>
      <c r="J598">
        <v>0</v>
      </c>
      <c r="K598">
        <v>8</v>
      </c>
      <c r="L598">
        <v>0</v>
      </c>
      <c r="M598">
        <v>8</v>
      </c>
      <c r="N598">
        <v>8</v>
      </c>
      <c r="O598">
        <v>0</v>
      </c>
      <c r="P598">
        <v>0</v>
      </c>
      <c r="Q598">
        <v>24</v>
      </c>
      <c r="S598" t="b">
        <v>0</v>
      </c>
      <c r="W598" t="s">
        <v>51</v>
      </c>
    </row>
    <row r="599" spans="1:23" hidden="1" x14ac:dyDescent="0.25">
      <c r="A599" t="s">
        <v>74</v>
      </c>
      <c r="B599">
        <v>2018</v>
      </c>
      <c r="C599">
        <v>1</v>
      </c>
      <c r="D599">
        <v>4</v>
      </c>
      <c r="E599" t="s">
        <v>49</v>
      </c>
      <c r="F599" t="s">
        <v>52</v>
      </c>
      <c r="G599" t="s">
        <v>103</v>
      </c>
      <c r="H599" t="s">
        <v>147</v>
      </c>
      <c r="I599" t="s">
        <v>134</v>
      </c>
      <c r="J599">
        <v>0</v>
      </c>
      <c r="K599">
        <v>0</v>
      </c>
      <c r="L599">
        <v>8</v>
      </c>
      <c r="M599">
        <v>0</v>
      </c>
      <c r="N599">
        <v>0</v>
      </c>
      <c r="O599">
        <v>0</v>
      </c>
      <c r="P599">
        <v>0</v>
      </c>
      <c r="Q599">
        <v>8</v>
      </c>
      <c r="R599" t="s">
        <v>56</v>
      </c>
      <c r="S599" t="b">
        <v>0</v>
      </c>
      <c r="W599" t="s">
        <v>51</v>
      </c>
    </row>
    <row r="600" spans="1:23" hidden="1" x14ac:dyDescent="0.25">
      <c r="A600" t="s">
        <v>48</v>
      </c>
      <c r="B600">
        <v>2018</v>
      </c>
      <c r="C600">
        <v>1</v>
      </c>
      <c r="D600">
        <v>4</v>
      </c>
      <c r="E600" t="s">
        <v>49</v>
      </c>
      <c r="G600" t="s">
        <v>86</v>
      </c>
      <c r="J600">
        <v>0</v>
      </c>
      <c r="K600">
        <v>8</v>
      </c>
      <c r="L600">
        <v>8</v>
      </c>
      <c r="M600">
        <v>8</v>
      </c>
      <c r="N600">
        <v>0</v>
      </c>
      <c r="O600">
        <v>0</v>
      </c>
      <c r="P600">
        <v>0</v>
      </c>
      <c r="Q600">
        <v>24</v>
      </c>
      <c r="S600" t="b">
        <v>0</v>
      </c>
      <c r="W600" t="s">
        <v>51</v>
      </c>
    </row>
    <row r="601" spans="1:23" hidden="1" x14ac:dyDescent="0.25">
      <c r="A601" t="s">
        <v>48</v>
      </c>
      <c r="B601">
        <v>2018</v>
      </c>
      <c r="C601">
        <v>1</v>
      </c>
      <c r="D601">
        <v>4</v>
      </c>
      <c r="E601" t="s">
        <v>49</v>
      </c>
      <c r="G601" t="s">
        <v>121</v>
      </c>
      <c r="J601">
        <v>0</v>
      </c>
      <c r="K601">
        <v>0</v>
      </c>
      <c r="L601">
        <v>0</v>
      </c>
      <c r="M601">
        <v>0</v>
      </c>
      <c r="N601">
        <v>8</v>
      </c>
      <c r="O601">
        <v>8</v>
      </c>
      <c r="P601">
        <v>0</v>
      </c>
      <c r="Q601">
        <v>16</v>
      </c>
      <c r="S601" t="b">
        <v>0</v>
      </c>
      <c r="W601" t="s">
        <v>51</v>
      </c>
    </row>
    <row r="602" spans="1:23" hidden="1" x14ac:dyDescent="0.25">
      <c r="A602" t="s">
        <v>60</v>
      </c>
      <c r="B602">
        <v>2018</v>
      </c>
      <c r="C602">
        <v>1</v>
      </c>
      <c r="D602">
        <v>4</v>
      </c>
      <c r="E602" t="s">
        <v>49</v>
      </c>
      <c r="G602" t="s">
        <v>121</v>
      </c>
      <c r="J602">
        <v>0</v>
      </c>
      <c r="K602">
        <v>0</v>
      </c>
      <c r="L602">
        <v>0</v>
      </c>
      <c r="M602">
        <v>0</v>
      </c>
      <c r="N602">
        <v>8</v>
      </c>
      <c r="O602">
        <v>8</v>
      </c>
      <c r="P602">
        <v>0</v>
      </c>
      <c r="Q602">
        <v>16</v>
      </c>
      <c r="S602" t="b">
        <v>0</v>
      </c>
      <c r="W602" t="s">
        <v>51</v>
      </c>
    </row>
    <row r="603" spans="1:23" hidden="1" x14ac:dyDescent="0.25">
      <c r="A603" t="s">
        <v>60</v>
      </c>
      <c r="B603">
        <v>2018</v>
      </c>
      <c r="C603">
        <v>1</v>
      </c>
      <c r="D603">
        <v>4</v>
      </c>
      <c r="E603" t="s">
        <v>49</v>
      </c>
      <c r="F603" t="s">
        <v>82</v>
      </c>
      <c r="G603" t="s">
        <v>142</v>
      </c>
      <c r="H603" t="s">
        <v>57</v>
      </c>
      <c r="I603" t="s">
        <v>61</v>
      </c>
      <c r="J603">
        <v>0</v>
      </c>
      <c r="K603">
        <v>8</v>
      </c>
      <c r="L603">
        <v>8</v>
      </c>
      <c r="M603">
        <v>8</v>
      </c>
      <c r="N603">
        <v>0</v>
      </c>
      <c r="O603">
        <v>0</v>
      </c>
      <c r="P603">
        <v>0</v>
      </c>
      <c r="Q603">
        <v>24</v>
      </c>
      <c r="R603" t="s">
        <v>56</v>
      </c>
      <c r="S603" t="b">
        <v>0</v>
      </c>
      <c r="W603" t="s">
        <v>51</v>
      </c>
    </row>
    <row r="604" spans="1:23" hidden="1" x14ac:dyDescent="0.25">
      <c r="A604" t="s">
        <v>79</v>
      </c>
      <c r="B604">
        <v>2018</v>
      </c>
      <c r="C604">
        <v>1</v>
      </c>
      <c r="D604">
        <v>4</v>
      </c>
      <c r="E604" t="s">
        <v>49</v>
      </c>
      <c r="G604" t="s">
        <v>121</v>
      </c>
      <c r="J604">
        <v>0</v>
      </c>
      <c r="K604">
        <v>0</v>
      </c>
      <c r="L604">
        <v>0</v>
      </c>
      <c r="M604">
        <v>0</v>
      </c>
      <c r="N604">
        <v>8</v>
      </c>
      <c r="O604">
        <v>8</v>
      </c>
      <c r="P604">
        <v>0</v>
      </c>
      <c r="Q604">
        <v>16</v>
      </c>
      <c r="S604" t="b">
        <v>0</v>
      </c>
      <c r="W604" t="s">
        <v>51</v>
      </c>
    </row>
    <row r="605" spans="1:23" hidden="1" x14ac:dyDescent="0.25">
      <c r="A605" t="s">
        <v>79</v>
      </c>
      <c r="B605">
        <v>2018</v>
      </c>
      <c r="C605">
        <v>1</v>
      </c>
      <c r="D605">
        <v>4</v>
      </c>
      <c r="E605" t="s">
        <v>49</v>
      </c>
      <c r="G605" t="s">
        <v>86</v>
      </c>
      <c r="J605">
        <v>0</v>
      </c>
      <c r="K605">
        <v>0</v>
      </c>
      <c r="L605">
        <v>0</v>
      </c>
      <c r="M605">
        <v>8</v>
      </c>
      <c r="N605">
        <v>0</v>
      </c>
      <c r="O605">
        <v>0</v>
      </c>
      <c r="P605">
        <v>0</v>
      </c>
      <c r="Q605">
        <v>8</v>
      </c>
      <c r="S605" t="b">
        <v>0</v>
      </c>
      <c r="W605" t="s">
        <v>51</v>
      </c>
    </row>
    <row r="606" spans="1:23" hidden="1" x14ac:dyDescent="0.25">
      <c r="A606" t="s">
        <v>79</v>
      </c>
      <c r="B606">
        <v>2018</v>
      </c>
      <c r="C606">
        <v>1</v>
      </c>
      <c r="D606">
        <v>4</v>
      </c>
      <c r="E606" t="s">
        <v>49</v>
      </c>
      <c r="F606" t="s">
        <v>52</v>
      </c>
      <c r="G606" t="s">
        <v>103</v>
      </c>
      <c r="H606" t="s">
        <v>129</v>
      </c>
      <c r="I606" t="s">
        <v>76</v>
      </c>
      <c r="J606">
        <v>0</v>
      </c>
      <c r="K606">
        <v>8</v>
      </c>
      <c r="L606">
        <v>8</v>
      </c>
      <c r="M606">
        <v>0</v>
      </c>
      <c r="N606">
        <v>0</v>
      </c>
      <c r="O606">
        <v>0</v>
      </c>
      <c r="P606">
        <v>0</v>
      </c>
      <c r="Q606">
        <v>16</v>
      </c>
      <c r="R606" t="s">
        <v>56</v>
      </c>
      <c r="S606" t="b">
        <v>0</v>
      </c>
      <c r="W606" t="s">
        <v>51</v>
      </c>
    </row>
    <row r="607" spans="1:23" hidden="1" x14ac:dyDescent="0.25">
      <c r="A607" t="s">
        <v>69</v>
      </c>
      <c r="B607">
        <v>2018</v>
      </c>
      <c r="C607">
        <v>1</v>
      </c>
      <c r="D607">
        <v>3</v>
      </c>
      <c r="E607" t="s">
        <v>49</v>
      </c>
      <c r="F607" t="s">
        <v>52</v>
      </c>
      <c r="G607" t="s">
        <v>141</v>
      </c>
      <c r="H607" t="s">
        <v>93</v>
      </c>
      <c r="I607" t="s">
        <v>77</v>
      </c>
      <c r="J607">
        <v>0</v>
      </c>
      <c r="K607">
        <v>0</v>
      </c>
      <c r="L607">
        <v>0</v>
      </c>
      <c r="M607">
        <v>0</v>
      </c>
      <c r="N607">
        <v>6.5</v>
      </c>
      <c r="O607">
        <v>8</v>
      </c>
      <c r="P607">
        <v>0</v>
      </c>
      <c r="Q607">
        <v>14.5</v>
      </c>
      <c r="R607" t="s">
        <v>56</v>
      </c>
      <c r="S607" t="b">
        <v>0</v>
      </c>
      <c r="W607" t="s">
        <v>51</v>
      </c>
    </row>
    <row r="608" spans="1:23" hidden="1" x14ac:dyDescent="0.25">
      <c r="A608" t="s">
        <v>69</v>
      </c>
      <c r="B608">
        <v>2018</v>
      </c>
      <c r="C608">
        <v>1</v>
      </c>
      <c r="D608">
        <v>3</v>
      </c>
      <c r="E608" t="s">
        <v>49</v>
      </c>
      <c r="F608" t="s">
        <v>52</v>
      </c>
      <c r="G608" t="s">
        <v>141</v>
      </c>
      <c r="H608" t="s">
        <v>93</v>
      </c>
      <c r="I608" t="s">
        <v>72</v>
      </c>
      <c r="J608">
        <v>0</v>
      </c>
      <c r="K608">
        <v>9</v>
      </c>
      <c r="L608">
        <v>8.5</v>
      </c>
      <c r="M608">
        <v>9</v>
      </c>
      <c r="N608">
        <v>0</v>
      </c>
      <c r="O608">
        <v>0</v>
      </c>
      <c r="P608">
        <v>0</v>
      </c>
      <c r="Q608">
        <v>26.5</v>
      </c>
      <c r="R608" t="s">
        <v>56</v>
      </c>
      <c r="S608" t="b">
        <v>0</v>
      </c>
      <c r="W608" t="s">
        <v>51</v>
      </c>
    </row>
    <row r="609" spans="1:23" hidden="1" x14ac:dyDescent="0.25">
      <c r="A609" t="s">
        <v>69</v>
      </c>
      <c r="B609">
        <v>2018</v>
      </c>
      <c r="C609">
        <v>1</v>
      </c>
      <c r="D609">
        <v>3</v>
      </c>
      <c r="E609" t="s">
        <v>49</v>
      </c>
      <c r="G609" t="s">
        <v>50</v>
      </c>
      <c r="J609">
        <v>0</v>
      </c>
      <c r="K609">
        <v>0</v>
      </c>
      <c r="L609">
        <v>0</v>
      </c>
      <c r="M609">
        <v>0</v>
      </c>
      <c r="N609">
        <v>1.6</v>
      </c>
      <c r="O609">
        <v>0</v>
      </c>
      <c r="P609">
        <v>0</v>
      </c>
      <c r="Q609">
        <v>1.6</v>
      </c>
      <c r="S609" t="b">
        <v>0</v>
      </c>
      <c r="W609" t="s">
        <v>51</v>
      </c>
    </row>
    <row r="610" spans="1:23" hidden="1" x14ac:dyDescent="0.25">
      <c r="A610" t="s">
        <v>102</v>
      </c>
      <c r="B610">
        <v>2018</v>
      </c>
      <c r="C610">
        <v>1</v>
      </c>
      <c r="D610">
        <v>3</v>
      </c>
      <c r="E610" t="s">
        <v>49</v>
      </c>
      <c r="G610" t="s">
        <v>62</v>
      </c>
      <c r="J610">
        <v>0</v>
      </c>
      <c r="K610">
        <v>8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8</v>
      </c>
      <c r="S610" t="b">
        <v>0</v>
      </c>
      <c r="W610" t="s">
        <v>51</v>
      </c>
    </row>
    <row r="611" spans="1:23" hidden="1" x14ac:dyDescent="0.25">
      <c r="A611" t="s">
        <v>102</v>
      </c>
      <c r="B611">
        <v>2018</v>
      </c>
      <c r="C611">
        <v>1</v>
      </c>
      <c r="D611">
        <v>3</v>
      </c>
      <c r="E611" t="s">
        <v>49</v>
      </c>
      <c r="F611" t="s">
        <v>52</v>
      </c>
      <c r="G611" t="s">
        <v>103</v>
      </c>
      <c r="H611" t="s">
        <v>14</v>
      </c>
      <c r="I611" t="s">
        <v>76</v>
      </c>
      <c r="J611">
        <v>0</v>
      </c>
      <c r="K611">
        <v>0</v>
      </c>
      <c r="L611">
        <v>0</v>
      </c>
      <c r="M611">
        <v>0</v>
      </c>
      <c r="N611">
        <v>5</v>
      </c>
      <c r="O611">
        <v>0</v>
      </c>
      <c r="P611">
        <v>0</v>
      </c>
      <c r="Q611">
        <v>5</v>
      </c>
      <c r="R611" t="s">
        <v>56</v>
      </c>
      <c r="S611" t="b">
        <v>0</v>
      </c>
      <c r="W611" t="s">
        <v>51</v>
      </c>
    </row>
    <row r="612" spans="1:23" hidden="1" x14ac:dyDescent="0.25">
      <c r="A612" t="s">
        <v>102</v>
      </c>
      <c r="B612">
        <v>2018</v>
      </c>
      <c r="C612">
        <v>1</v>
      </c>
      <c r="D612">
        <v>3</v>
      </c>
      <c r="E612" t="s">
        <v>49</v>
      </c>
      <c r="F612" t="s">
        <v>64</v>
      </c>
      <c r="G612" t="s">
        <v>103</v>
      </c>
      <c r="H612" t="s">
        <v>57</v>
      </c>
      <c r="I612" t="s">
        <v>68</v>
      </c>
      <c r="J612">
        <v>0</v>
      </c>
      <c r="K612">
        <v>0</v>
      </c>
      <c r="L612">
        <v>1</v>
      </c>
      <c r="M612">
        <v>1</v>
      </c>
      <c r="N612">
        <v>1</v>
      </c>
      <c r="O612">
        <v>1</v>
      </c>
      <c r="P612">
        <v>0</v>
      </c>
      <c r="Q612">
        <v>4</v>
      </c>
      <c r="R612" t="s">
        <v>56</v>
      </c>
      <c r="S612" t="b">
        <v>0</v>
      </c>
      <c r="W612" t="s">
        <v>51</v>
      </c>
    </row>
    <row r="613" spans="1:23" hidden="1" x14ac:dyDescent="0.25">
      <c r="A613" t="s">
        <v>102</v>
      </c>
      <c r="B613">
        <v>2018</v>
      </c>
      <c r="C613">
        <v>1</v>
      </c>
      <c r="D613">
        <v>3</v>
      </c>
      <c r="E613" t="s">
        <v>49</v>
      </c>
      <c r="F613" t="s">
        <v>52</v>
      </c>
      <c r="G613" t="s">
        <v>103</v>
      </c>
      <c r="H613" t="s">
        <v>14</v>
      </c>
      <c r="I613" t="s">
        <v>77</v>
      </c>
      <c r="J613">
        <v>0</v>
      </c>
      <c r="K613">
        <v>0</v>
      </c>
      <c r="L613">
        <v>0</v>
      </c>
      <c r="M613">
        <v>4</v>
      </c>
      <c r="N613">
        <v>2</v>
      </c>
      <c r="O613">
        <v>0</v>
      </c>
      <c r="P613">
        <v>0</v>
      </c>
      <c r="Q613">
        <v>6</v>
      </c>
      <c r="R613" t="s">
        <v>56</v>
      </c>
      <c r="S613" t="b">
        <v>0</v>
      </c>
      <c r="W613" t="s">
        <v>51</v>
      </c>
    </row>
    <row r="614" spans="1:23" hidden="1" x14ac:dyDescent="0.25">
      <c r="A614" t="s">
        <v>102</v>
      </c>
      <c r="B614">
        <v>2018</v>
      </c>
      <c r="C614">
        <v>1</v>
      </c>
      <c r="D614">
        <v>3</v>
      </c>
      <c r="E614" t="s">
        <v>49</v>
      </c>
      <c r="F614" t="s">
        <v>52</v>
      </c>
      <c r="G614" t="s">
        <v>151</v>
      </c>
      <c r="H614" t="s">
        <v>14</v>
      </c>
      <c r="I614" t="s">
        <v>72</v>
      </c>
      <c r="J614">
        <v>0</v>
      </c>
      <c r="K614">
        <v>0</v>
      </c>
      <c r="L614">
        <v>2</v>
      </c>
      <c r="M614">
        <v>3</v>
      </c>
      <c r="N614">
        <v>0</v>
      </c>
      <c r="O614">
        <v>0</v>
      </c>
      <c r="P614">
        <v>0</v>
      </c>
      <c r="Q614">
        <v>5</v>
      </c>
      <c r="R614" t="s">
        <v>56</v>
      </c>
      <c r="S614" t="b">
        <v>0</v>
      </c>
      <c r="W614" t="s">
        <v>51</v>
      </c>
    </row>
    <row r="615" spans="1:23" hidden="1" x14ac:dyDescent="0.25">
      <c r="A615" t="s">
        <v>102</v>
      </c>
      <c r="B615">
        <v>2018</v>
      </c>
      <c r="C615">
        <v>1</v>
      </c>
      <c r="D615">
        <v>3</v>
      </c>
      <c r="E615" t="s">
        <v>49</v>
      </c>
      <c r="G615" t="s">
        <v>86</v>
      </c>
      <c r="J615">
        <v>0</v>
      </c>
      <c r="K615">
        <v>0</v>
      </c>
      <c r="L615">
        <v>5</v>
      </c>
      <c r="M615">
        <v>0</v>
      </c>
      <c r="N615">
        <v>1</v>
      </c>
      <c r="O615">
        <v>7</v>
      </c>
      <c r="P615">
        <v>0</v>
      </c>
      <c r="Q615">
        <v>13</v>
      </c>
      <c r="S615" t="b">
        <v>0</v>
      </c>
      <c r="W615" t="s">
        <v>51</v>
      </c>
    </row>
    <row r="616" spans="1:23" hidden="1" x14ac:dyDescent="0.25">
      <c r="A616" t="s">
        <v>74</v>
      </c>
      <c r="B616">
        <v>2018</v>
      </c>
      <c r="C616">
        <v>1</v>
      </c>
      <c r="D616">
        <v>3</v>
      </c>
      <c r="E616" t="s">
        <v>49</v>
      </c>
      <c r="G616" t="s">
        <v>86</v>
      </c>
      <c r="J616">
        <v>0</v>
      </c>
      <c r="K616">
        <v>7</v>
      </c>
      <c r="L616">
        <v>8</v>
      </c>
      <c r="M616">
        <v>8</v>
      </c>
      <c r="N616">
        <v>8</v>
      </c>
      <c r="O616">
        <v>0</v>
      </c>
      <c r="P616">
        <v>0</v>
      </c>
      <c r="Q616">
        <v>31</v>
      </c>
      <c r="S616" t="b">
        <v>0</v>
      </c>
      <c r="W616" t="s">
        <v>51</v>
      </c>
    </row>
    <row r="617" spans="1:23" hidden="1" x14ac:dyDescent="0.25">
      <c r="A617" t="s">
        <v>74</v>
      </c>
      <c r="B617">
        <v>2018</v>
      </c>
      <c r="C617">
        <v>1</v>
      </c>
      <c r="D617">
        <v>3</v>
      </c>
      <c r="E617" t="s">
        <v>49</v>
      </c>
      <c r="F617" t="s">
        <v>71</v>
      </c>
      <c r="G617" t="s">
        <v>103</v>
      </c>
      <c r="H617" t="s">
        <v>146</v>
      </c>
      <c r="I617" t="s">
        <v>77</v>
      </c>
      <c r="J617">
        <v>0</v>
      </c>
      <c r="K617">
        <v>1</v>
      </c>
      <c r="L617">
        <v>0</v>
      </c>
      <c r="M617">
        <v>0</v>
      </c>
      <c r="N617">
        <v>0</v>
      </c>
      <c r="O617">
        <v>8</v>
      </c>
      <c r="P617">
        <v>0</v>
      </c>
      <c r="Q617">
        <v>9</v>
      </c>
      <c r="R617" t="s">
        <v>56</v>
      </c>
      <c r="S617" t="b">
        <v>0</v>
      </c>
      <c r="W617" t="s">
        <v>51</v>
      </c>
    </row>
    <row r="618" spans="1:23" hidden="1" x14ac:dyDescent="0.25">
      <c r="A618" t="s">
        <v>48</v>
      </c>
      <c r="B618">
        <v>2018</v>
      </c>
      <c r="C618">
        <v>1</v>
      </c>
      <c r="D618">
        <v>3</v>
      </c>
      <c r="E618" t="s">
        <v>49</v>
      </c>
      <c r="G618" t="s">
        <v>86</v>
      </c>
      <c r="J618">
        <v>0</v>
      </c>
      <c r="K618">
        <v>8</v>
      </c>
      <c r="L618">
        <v>8</v>
      </c>
      <c r="M618">
        <v>8</v>
      </c>
      <c r="N618">
        <v>8</v>
      </c>
      <c r="O618">
        <v>8</v>
      </c>
      <c r="P618">
        <v>0</v>
      </c>
      <c r="Q618">
        <v>40</v>
      </c>
      <c r="S618" t="b">
        <v>0</v>
      </c>
      <c r="W618" t="s">
        <v>51</v>
      </c>
    </row>
    <row r="619" spans="1:23" hidden="1" x14ac:dyDescent="0.25">
      <c r="A619" t="s">
        <v>60</v>
      </c>
      <c r="B619">
        <v>2018</v>
      </c>
      <c r="C619">
        <v>1</v>
      </c>
      <c r="D619">
        <v>3</v>
      </c>
      <c r="E619" t="s">
        <v>49</v>
      </c>
      <c r="F619" t="s">
        <v>82</v>
      </c>
      <c r="G619" t="s">
        <v>142</v>
      </c>
      <c r="H619" t="s">
        <v>57</v>
      </c>
      <c r="I619" t="s">
        <v>61</v>
      </c>
      <c r="J619">
        <v>0</v>
      </c>
      <c r="K619">
        <v>8</v>
      </c>
      <c r="L619">
        <v>8</v>
      </c>
      <c r="M619">
        <v>8</v>
      </c>
      <c r="N619">
        <v>8</v>
      </c>
      <c r="O619">
        <v>8</v>
      </c>
      <c r="P619">
        <v>0</v>
      </c>
      <c r="Q619">
        <v>40</v>
      </c>
      <c r="R619" t="s">
        <v>56</v>
      </c>
      <c r="S619" t="b">
        <v>0</v>
      </c>
      <c r="W619" t="s">
        <v>51</v>
      </c>
    </row>
    <row r="620" spans="1:23" hidden="1" x14ac:dyDescent="0.25">
      <c r="A620" t="s">
        <v>79</v>
      </c>
      <c r="B620">
        <v>2018</v>
      </c>
      <c r="C620">
        <v>1</v>
      </c>
      <c r="D620">
        <v>3</v>
      </c>
      <c r="E620" t="s">
        <v>49</v>
      </c>
      <c r="G620" t="s">
        <v>86</v>
      </c>
      <c r="J620">
        <v>0</v>
      </c>
      <c r="K620">
        <v>8</v>
      </c>
      <c r="L620">
        <v>8</v>
      </c>
      <c r="M620">
        <v>8</v>
      </c>
      <c r="N620">
        <v>8</v>
      </c>
      <c r="O620">
        <v>8</v>
      </c>
      <c r="P620">
        <v>0</v>
      </c>
      <c r="Q620">
        <v>40</v>
      </c>
      <c r="S620" t="b">
        <v>0</v>
      </c>
      <c r="W620" t="s">
        <v>51</v>
      </c>
    </row>
    <row r="621" spans="1:23" hidden="1" x14ac:dyDescent="0.25">
      <c r="A621" t="s">
        <v>63</v>
      </c>
      <c r="B621">
        <v>2018</v>
      </c>
      <c r="C621">
        <v>1</v>
      </c>
      <c r="D621">
        <v>2</v>
      </c>
      <c r="E621" t="s">
        <v>49</v>
      </c>
      <c r="G621" t="s">
        <v>73</v>
      </c>
      <c r="J621">
        <v>0</v>
      </c>
      <c r="K621">
        <v>0</v>
      </c>
      <c r="L621">
        <v>0</v>
      </c>
      <c r="M621">
        <v>0</v>
      </c>
      <c r="N621">
        <v>1</v>
      </c>
      <c r="O621">
        <v>0</v>
      </c>
      <c r="P621">
        <v>0</v>
      </c>
      <c r="Q621">
        <v>1</v>
      </c>
      <c r="S621" t="b">
        <v>0</v>
      </c>
      <c r="W621" t="s">
        <v>51</v>
      </c>
    </row>
    <row r="622" spans="1:23" hidden="1" x14ac:dyDescent="0.25">
      <c r="A622" t="s">
        <v>69</v>
      </c>
      <c r="B622">
        <v>2018</v>
      </c>
      <c r="C622">
        <v>1</v>
      </c>
      <c r="D622">
        <v>2</v>
      </c>
      <c r="E622" t="s">
        <v>49</v>
      </c>
      <c r="G622" t="s">
        <v>62</v>
      </c>
      <c r="J622">
        <v>0</v>
      </c>
      <c r="K622">
        <v>8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8</v>
      </c>
      <c r="S622" t="b">
        <v>0</v>
      </c>
      <c r="W622" t="s">
        <v>51</v>
      </c>
    </row>
    <row r="623" spans="1:23" hidden="1" x14ac:dyDescent="0.25">
      <c r="A623" t="s">
        <v>69</v>
      </c>
      <c r="B623">
        <v>2018</v>
      </c>
      <c r="C623">
        <v>1</v>
      </c>
      <c r="D623">
        <v>2</v>
      </c>
      <c r="E623" t="s">
        <v>49</v>
      </c>
      <c r="G623" t="s">
        <v>86</v>
      </c>
      <c r="J623">
        <v>0</v>
      </c>
      <c r="K623">
        <v>0</v>
      </c>
      <c r="L623">
        <v>8</v>
      </c>
      <c r="M623">
        <v>8</v>
      </c>
      <c r="N623">
        <v>8</v>
      </c>
      <c r="O623">
        <v>8</v>
      </c>
      <c r="P623">
        <v>0</v>
      </c>
      <c r="Q623">
        <v>32</v>
      </c>
      <c r="S623" t="b">
        <v>0</v>
      </c>
      <c r="W623" t="s">
        <v>51</v>
      </c>
    </row>
    <row r="624" spans="1:23" hidden="1" x14ac:dyDescent="0.25">
      <c r="A624" t="s">
        <v>102</v>
      </c>
      <c r="B624">
        <v>2018</v>
      </c>
      <c r="C624">
        <v>1</v>
      </c>
      <c r="D624">
        <v>2</v>
      </c>
      <c r="E624" t="s">
        <v>49</v>
      </c>
      <c r="G624" t="s">
        <v>86</v>
      </c>
      <c r="J624">
        <v>0</v>
      </c>
      <c r="K624">
        <v>7</v>
      </c>
      <c r="L624">
        <v>0</v>
      </c>
      <c r="M624">
        <v>4</v>
      </c>
      <c r="N624">
        <v>0</v>
      </c>
      <c r="O624">
        <v>0</v>
      </c>
      <c r="P624">
        <v>0</v>
      </c>
      <c r="Q624">
        <v>11</v>
      </c>
      <c r="S624" t="b">
        <v>0</v>
      </c>
      <c r="W624" t="s">
        <v>51</v>
      </c>
    </row>
    <row r="625" spans="1:23" hidden="1" x14ac:dyDescent="0.25">
      <c r="A625" t="s">
        <v>102</v>
      </c>
      <c r="B625">
        <v>2018</v>
      </c>
      <c r="C625">
        <v>1</v>
      </c>
      <c r="D625">
        <v>2</v>
      </c>
      <c r="E625" t="s">
        <v>49</v>
      </c>
      <c r="G625" t="s">
        <v>73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</v>
      </c>
      <c r="P625">
        <v>0</v>
      </c>
      <c r="Q625">
        <v>1</v>
      </c>
      <c r="S625" t="b">
        <v>0</v>
      </c>
      <c r="W625" t="s">
        <v>51</v>
      </c>
    </row>
    <row r="626" spans="1:23" hidden="1" x14ac:dyDescent="0.25">
      <c r="A626" t="s">
        <v>102</v>
      </c>
      <c r="B626">
        <v>2018</v>
      </c>
      <c r="C626">
        <v>1</v>
      </c>
      <c r="D626">
        <v>2</v>
      </c>
      <c r="E626" t="s">
        <v>49</v>
      </c>
      <c r="F626" t="s">
        <v>52</v>
      </c>
      <c r="G626" t="s">
        <v>142</v>
      </c>
      <c r="H626" t="s">
        <v>57</v>
      </c>
      <c r="I626" t="s">
        <v>152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2</v>
      </c>
      <c r="P626">
        <v>0</v>
      </c>
      <c r="Q626">
        <v>2</v>
      </c>
      <c r="R626" t="s">
        <v>56</v>
      </c>
      <c r="S626" t="b">
        <v>0</v>
      </c>
      <c r="W626" t="s">
        <v>51</v>
      </c>
    </row>
    <row r="627" spans="1:23" hidden="1" x14ac:dyDescent="0.25">
      <c r="A627" t="s">
        <v>102</v>
      </c>
      <c r="B627">
        <v>2018</v>
      </c>
      <c r="C627">
        <v>1</v>
      </c>
      <c r="D627">
        <v>2</v>
      </c>
      <c r="E627" t="s">
        <v>49</v>
      </c>
      <c r="F627" t="s">
        <v>71</v>
      </c>
      <c r="G627" t="s">
        <v>142</v>
      </c>
      <c r="H627" t="s">
        <v>57</v>
      </c>
      <c r="I627" t="s">
        <v>61</v>
      </c>
      <c r="J627">
        <v>0</v>
      </c>
      <c r="K627">
        <v>0</v>
      </c>
      <c r="L627">
        <v>0</v>
      </c>
      <c r="M627">
        <v>0</v>
      </c>
      <c r="N627">
        <v>2</v>
      </c>
      <c r="O627">
        <v>0</v>
      </c>
      <c r="P627">
        <v>0</v>
      </c>
      <c r="Q627">
        <v>2</v>
      </c>
      <c r="R627" t="s">
        <v>56</v>
      </c>
      <c r="S627" t="b">
        <v>0</v>
      </c>
      <c r="W627" t="s">
        <v>51</v>
      </c>
    </row>
    <row r="628" spans="1:23" hidden="1" x14ac:dyDescent="0.25">
      <c r="A628" t="s">
        <v>102</v>
      </c>
      <c r="B628">
        <v>2018</v>
      </c>
      <c r="C628">
        <v>1</v>
      </c>
      <c r="D628">
        <v>2</v>
      </c>
      <c r="E628" t="s">
        <v>49</v>
      </c>
      <c r="F628" t="s">
        <v>64</v>
      </c>
      <c r="G628" t="s">
        <v>103</v>
      </c>
      <c r="H628" t="s">
        <v>57</v>
      </c>
      <c r="I628" t="s">
        <v>68</v>
      </c>
      <c r="J628">
        <v>0</v>
      </c>
      <c r="K628">
        <v>1</v>
      </c>
      <c r="L628">
        <v>0</v>
      </c>
      <c r="M628">
        <v>1</v>
      </c>
      <c r="N628">
        <v>1</v>
      </c>
      <c r="O628">
        <v>2</v>
      </c>
      <c r="P628">
        <v>0</v>
      </c>
      <c r="Q628">
        <v>5</v>
      </c>
      <c r="R628" t="s">
        <v>56</v>
      </c>
      <c r="S628" t="b">
        <v>0</v>
      </c>
      <c r="W628" t="s">
        <v>51</v>
      </c>
    </row>
    <row r="629" spans="1:23" hidden="1" x14ac:dyDescent="0.25">
      <c r="A629" t="s">
        <v>102</v>
      </c>
      <c r="B629">
        <v>2018</v>
      </c>
      <c r="C629">
        <v>1</v>
      </c>
      <c r="D629">
        <v>2</v>
      </c>
      <c r="E629" t="s">
        <v>49</v>
      </c>
      <c r="F629" t="s">
        <v>52</v>
      </c>
      <c r="G629" t="s">
        <v>142</v>
      </c>
      <c r="H629" t="s">
        <v>57</v>
      </c>
      <c r="I629" t="s">
        <v>59</v>
      </c>
      <c r="J629">
        <v>0</v>
      </c>
      <c r="K629">
        <v>0</v>
      </c>
      <c r="L629">
        <v>0</v>
      </c>
      <c r="M629">
        <v>3</v>
      </c>
      <c r="N629">
        <v>5</v>
      </c>
      <c r="O629">
        <v>3</v>
      </c>
      <c r="P629">
        <v>0</v>
      </c>
      <c r="Q629">
        <v>11</v>
      </c>
      <c r="R629" t="s">
        <v>56</v>
      </c>
      <c r="S629" t="b">
        <v>0</v>
      </c>
      <c r="W629" t="s">
        <v>51</v>
      </c>
    </row>
    <row r="630" spans="1:23" hidden="1" x14ac:dyDescent="0.25">
      <c r="A630" t="s">
        <v>102</v>
      </c>
      <c r="B630">
        <v>2018</v>
      </c>
      <c r="C630">
        <v>1</v>
      </c>
      <c r="D630">
        <v>2</v>
      </c>
      <c r="E630" t="s">
        <v>49</v>
      </c>
      <c r="G630" t="s">
        <v>62</v>
      </c>
      <c r="J630">
        <v>0</v>
      </c>
      <c r="K630">
        <v>0</v>
      </c>
      <c r="L630">
        <v>8</v>
      </c>
      <c r="M630">
        <v>0</v>
      </c>
      <c r="N630">
        <v>0</v>
      </c>
      <c r="O630">
        <v>0</v>
      </c>
      <c r="P630">
        <v>0</v>
      </c>
      <c r="Q630">
        <v>8</v>
      </c>
      <c r="S630" t="b">
        <v>0</v>
      </c>
      <c r="W630" t="s">
        <v>51</v>
      </c>
    </row>
    <row r="631" spans="1:23" hidden="1" x14ac:dyDescent="0.25">
      <c r="A631" t="s">
        <v>74</v>
      </c>
      <c r="B631">
        <v>2018</v>
      </c>
      <c r="C631">
        <v>1</v>
      </c>
      <c r="D631">
        <v>2</v>
      </c>
      <c r="E631" t="s">
        <v>49</v>
      </c>
      <c r="G631" t="s">
        <v>73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1</v>
      </c>
      <c r="P631">
        <v>0</v>
      </c>
      <c r="Q631">
        <v>1</v>
      </c>
      <c r="S631" t="b">
        <v>0</v>
      </c>
      <c r="W631" t="s">
        <v>51</v>
      </c>
    </row>
    <row r="632" spans="1:23" hidden="1" x14ac:dyDescent="0.25">
      <c r="A632" t="s">
        <v>74</v>
      </c>
      <c r="B632">
        <v>2018</v>
      </c>
      <c r="C632">
        <v>1</v>
      </c>
      <c r="D632">
        <v>2</v>
      </c>
      <c r="E632" t="s">
        <v>49</v>
      </c>
      <c r="G632" t="s">
        <v>86</v>
      </c>
      <c r="J632">
        <v>0</v>
      </c>
      <c r="K632">
        <v>5</v>
      </c>
      <c r="L632">
        <v>3</v>
      </c>
      <c r="M632">
        <v>3</v>
      </c>
      <c r="N632">
        <v>5</v>
      </c>
      <c r="O632">
        <v>5</v>
      </c>
      <c r="P632">
        <v>0</v>
      </c>
      <c r="Q632">
        <v>21</v>
      </c>
      <c r="S632" t="b">
        <v>0</v>
      </c>
      <c r="W632" t="s">
        <v>51</v>
      </c>
    </row>
    <row r="633" spans="1:23" hidden="1" x14ac:dyDescent="0.25">
      <c r="A633" t="s">
        <v>74</v>
      </c>
      <c r="B633">
        <v>2018</v>
      </c>
      <c r="C633">
        <v>1</v>
      </c>
      <c r="D633">
        <v>2</v>
      </c>
      <c r="E633" t="s">
        <v>49</v>
      </c>
      <c r="F633" t="s">
        <v>52</v>
      </c>
      <c r="G633" t="s">
        <v>142</v>
      </c>
      <c r="H633" t="s">
        <v>57</v>
      </c>
      <c r="I633" t="s">
        <v>55</v>
      </c>
      <c r="J633">
        <v>0</v>
      </c>
      <c r="K633">
        <v>0</v>
      </c>
      <c r="L633">
        <v>5</v>
      </c>
      <c r="M633">
        <v>0</v>
      </c>
      <c r="N633">
        <v>0</v>
      </c>
      <c r="O633">
        <v>1</v>
      </c>
      <c r="P633">
        <v>0</v>
      </c>
      <c r="Q633">
        <v>6</v>
      </c>
      <c r="R633" t="s">
        <v>56</v>
      </c>
      <c r="S633" t="b">
        <v>0</v>
      </c>
      <c r="W633" t="s">
        <v>51</v>
      </c>
    </row>
    <row r="634" spans="1:23" hidden="1" x14ac:dyDescent="0.25">
      <c r="A634" t="s">
        <v>74</v>
      </c>
      <c r="B634">
        <v>2018</v>
      </c>
      <c r="C634">
        <v>1</v>
      </c>
      <c r="D634">
        <v>2</v>
      </c>
      <c r="E634" t="s">
        <v>49</v>
      </c>
      <c r="F634" t="s">
        <v>71</v>
      </c>
      <c r="G634" t="s">
        <v>103</v>
      </c>
      <c r="H634" t="s">
        <v>146</v>
      </c>
      <c r="I634" t="s">
        <v>76</v>
      </c>
      <c r="J634">
        <v>0</v>
      </c>
      <c r="K634">
        <v>3</v>
      </c>
      <c r="L634">
        <v>0</v>
      </c>
      <c r="M634">
        <v>5</v>
      </c>
      <c r="N634">
        <v>3</v>
      </c>
      <c r="O634">
        <v>1</v>
      </c>
      <c r="P634">
        <v>0</v>
      </c>
      <c r="Q634">
        <v>12</v>
      </c>
      <c r="R634" t="s">
        <v>56</v>
      </c>
      <c r="S634" t="b">
        <v>0</v>
      </c>
      <c r="W634" t="s">
        <v>51</v>
      </c>
    </row>
    <row r="635" spans="1:23" hidden="1" x14ac:dyDescent="0.25">
      <c r="A635" t="s">
        <v>48</v>
      </c>
      <c r="B635">
        <v>2018</v>
      </c>
      <c r="C635">
        <v>1</v>
      </c>
      <c r="D635">
        <v>2</v>
      </c>
      <c r="E635" t="s">
        <v>49</v>
      </c>
      <c r="G635" t="s">
        <v>86</v>
      </c>
      <c r="J635">
        <v>0</v>
      </c>
      <c r="K635">
        <v>8</v>
      </c>
      <c r="L635">
        <v>8</v>
      </c>
      <c r="M635">
        <v>8</v>
      </c>
      <c r="N635">
        <v>8</v>
      </c>
      <c r="O635">
        <v>8</v>
      </c>
      <c r="P635">
        <v>0</v>
      </c>
      <c r="Q635">
        <v>40</v>
      </c>
      <c r="S635" t="b">
        <v>0</v>
      </c>
      <c r="W635" t="s">
        <v>51</v>
      </c>
    </row>
    <row r="636" spans="1:23" hidden="1" x14ac:dyDescent="0.25">
      <c r="A636" t="s">
        <v>60</v>
      </c>
      <c r="B636">
        <v>2018</v>
      </c>
      <c r="C636">
        <v>1</v>
      </c>
      <c r="D636">
        <v>2</v>
      </c>
      <c r="E636" t="s">
        <v>49</v>
      </c>
      <c r="F636" t="s">
        <v>52</v>
      </c>
      <c r="G636" t="s">
        <v>142</v>
      </c>
      <c r="H636" t="s">
        <v>57</v>
      </c>
      <c r="I636" t="s">
        <v>61</v>
      </c>
      <c r="J636">
        <v>0</v>
      </c>
      <c r="K636">
        <v>8</v>
      </c>
      <c r="L636">
        <v>8</v>
      </c>
      <c r="M636">
        <v>8</v>
      </c>
      <c r="N636">
        <v>8</v>
      </c>
      <c r="O636">
        <v>8</v>
      </c>
      <c r="P636">
        <v>0</v>
      </c>
      <c r="Q636">
        <v>40</v>
      </c>
      <c r="R636" t="s">
        <v>56</v>
      </c>
      <c r="S636" t="b">
        <v>0</v>
      </c>
      <c r="W636" t="s">
        <v>51</v>
      </c>
    </row>
    <row r="637" spans="1:23" hidden="1" x14ac:dyDescent="0.25">
      <c r="A637" t="s">
        <v>79</v>
      </c>
      <c r="B637">
        <v>2018</v>
      </c>
      <c r="C637">
        <v>1</v>
      </c>
      <c r="D637">
        <v>2</v>
      </c>
      <c r="E637" t="s">
        <v>49</v>
      </c>
      <c r="G637" t="s">
        <v>86</v>
      </c>
      <c r="J637">
        <v>0</v>
      </c>
      <c r="K637">
        <v>0</v>
      </c>
      <c r="L637">
        <v>0</v>
      </c>
      <c r="M637">
        <v>8</v>
      </c>
      <c r="N637">
        <v>8</v>
      </c>
      <c r="O637">
        <v>8</v>
      </c>
      <c r="P637">
        <v>0</v>
      </c>
      <c r="Q637">
        <v>24</v>
      </c>
      <c r="S637" t="b">
        <v>0</v>
      </c>
      <c r="W637" t="s">
        <v>51</v>
      </c>
    </row>
    <row r="638" spans="1:23" hidden="1" x14ac:dyDescent="0.25">
      <c r="A638" t="s">
        <v>79</v>
      </c>
      <c r="B638">
        <v>2018</v>
      </c>
      <c r="C638">
        <v>1</v>
      </c>
      <c r="D638">
        <v>2</v>
      </c>
      <c r="E638" t="s">
        <v>49</v>
      </c>
      <c r="G638" t="s">
        <v>62</v>
      </c>
      <c r="J638">
        <v>0</v>
      </c>
      <c r="K638">
        <v>8</v>
      </c>
      <c r="L638">
        <v>8</v>
      </c>
      <c r="M638">
        <v>0</v>
      </c>
      <c r="N638">
        <v>0</v>
      </c>
      <c r="O638">
        <v>0</v>
      </c>
      <c r="P638">
        <v>0</v>
      </c>
      <c r="Q638">
        <v>16</v>
      </c>
      <c r="S638" t="b">
        <v>0</v>
      </c>
      <c r="W638" t="s">
        <v>51</v>
      </c>
    </row>
    <row r="639" spans="1:23" hidden="1" x14ac:dyDescent="0.25">
      <c r="A639" t="s">
        <v>69</v>
      </c>
      <c r="B639">
        <v>2018</v>
      </c>
      <c r="C639">
        <v>1</v>
      </c>
      <c r="D639">
        <v>1</v>
      </c>
      <c r="E639" t="s">
        <v>49</v>
      </c>
      <c r="G639" t="s">
        <v>86</v>
      </c>
      <c r="J639">
        <v>0</v>
      </c>
      <c r="K639">
        <v>0</v>
      </c>
      <c r="L639">
        <v>8</v>
      </c>
      <c r="M639">
        <v>0</v>
      </c>
      <c r="N639">
        <v>8.5</v>
      </c>
      <c r="O639">
        <v>7.5</v>
      </c>
      <c r="P639">
        <v>0</v>
      </c>
      <c r="Q639">
        <v>24</v>
      </c>
      <c r="S639" t="b">
        <v>0</v>
      </c>
      <c r="W639" t="s">
        <v>51</v>
      </c>
    </row>
    <row r="640" spans="1:23" hidden="1" x14ac:dyDescent="0.25">
      <c r="A640" t="s">
        <v>69</v>
      </c>
      <c r="B640">
        <v>2018</v>
      </c>
      <c r="C640">
        <v>1</v>
      </c>
      <c r="D640">
        <v>1</v>
      </c>
      <c r="E640" t="s">
        <v>49</v>
      </c>
      <c r="G640" t="s">
        <v>121</v>
      </c>
      <c r="J640">
        <v>0</v>
      </c>
      <c r="K640">
        <v>8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8</v>
      </c>
      <c r="S640" t="b">
        <v>0</v>
      </c>
      <c r="W640" t="s">
        <v>51</v>
      </c>
    </row>
    <row r="641" spans="1:23" hidden="1" x14ac:dyDescent="0.25">
      <c r="A641" t="s">
        <v>69</v>
      </c>
      <c r="B641">
        <v>2018</v>
      </c>
      <c r="C641">
        <v>1</v>
      </c>
      <c r="D641">
        <v>1</v>
      </c>
      <c r="E641" t="s">
        <v>49</v>
      </c>
      <c r="G641" t="s">
        <v>62</v>
      </c>
      <c r="J641">
        <v>0</v>
      </c>
      <c r="K641">
        <v>0</v>
      </c>
      <c r="L641">
        <v>0</v>
      </c>
      <c r="M641">
        <v>8</v>
      </c>
      <c r="N641">
        <v>0</v>
      </c>
      <c r="O641">
        <v>0</v>
      </c>
      <c r="P641">
        <v>0</v>
      </c>
      <c r="Q641">
        <v>8</v>
      </c>
      <c r="S641" t="b">
        <v>0</v>
      </c>
      <c r="W641" t="s">
        <v>51</v>
      </c>
    </row>
    <row r="642" spans="1:23" hidden="1" x14ac:dyDescent="0.25">
      <c r="A642" t="s">
        <v>102</v>
      </c>
      <c r="B642">
        <v>2018</v>
      </c>
      <c r="C642">
        <v>1</v>
      </c>
      <c r="D642">
        <v>1</v>
      </c>
      <c r="E642" t="s">
        <v>49</v>
      </c>
      <c r="G642" t="s">
        <v>121</v>
      </c>
      <c r="J642">
        <v>0</v>
      </c>
      <c r="K642">
        <v>8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8</v>
      </c>
      <c r="S642" t="b">
        <v>0</v>
      </c>
      <c r="W642" t="s">
        <v>51</v>
      </c>
    </row>
    <row r="643" spans="1:23" hidden="1" x14ac:dyDescent="0.25">
      <c r="A643" t="s">
        <v>102</v>
      </c>
      <c r="B643">
        <v>2018</v>
      </c>
      <c r="C643">
        <v>1</v>
      </c>
      <c r="D643">
        <v>1</v>
      </c>
      <c r="E643" t="s">
        <v>49</v>
      </c>
      <c r="F643" t="s">
        <v>52</v>
      </c>
      <c r="G643" t="s">
        <v>103</v>
      </c>
      <c r="H643" t="s">
        <v>14</v>
      </c>
      <c r="I643" t="s">
        <v>76</v>
      </c>
      <c r="J643">
        <v>0</v>
      </c>
      <c r="K643">
        <v>0</v>
      </c>
      <c r="L643">
        <v>7</v>
      </c>
      <c r="M643">
        <v>7</v>
      </c>
      <c r="N643">
        <v>0</v>
      </c>
      <c r="O643">
        <v>0</v>
      </c>
      <c r="P643">
        <v>0</v>
      </c>
      <c r="Q643">
        <v>14</v>
      </c>
      <c r="R643" t="s">
        <v>56</v>
      </c>
      <c r="S643" t="b">
        <v>0</v>
      </c>
      <c r="W643" t="s">
        <v>51</v>
      </c>
    </row>
    <row r="644" spans="1:23" hidden="1" x14ac:dyDescent="0.25">
      <c r="A644" t="s">
        <v>102</v>
      </c>
      <c r="B644">
        <v>2018</v>
      </c>
      <c r="C644">
        <v>1</v>
      </c>
      <c r="D644">
        <v>1</v>
      </c>
      <c r="E644" t="s">
        <v>49</v>
      </c>
      <c r="F644" t="s">
        <v>64</v>
      </c>
      <c r="G644" t="s">
        <v>103</v>
      </c>
      <c r="H644" t="s">
        <v>57</v>
      </c>
      <c r="I644" t="s">
        <v>68</v>
      </c>
      <c r="J644">
        <v>0</v>
      </c>
      <c r="K644">
        <v>0</v>
      </c>
      <c r="L644">
        <v>1</v>
      </c>
      <c r="M644">
        <v>1</v>
      </c>
      <c r="N644">
        <v>1</v>
      </c>
      <c r="O644">
        <v>1</v>
      </c>
      <c r="P644">
        <v>0</v>
      </c>
      <c r="Q644">
        <v>4</v>
      </c>
      <c r="R644" t="s">
        <v>56</v>
      </c>
      <c r="S644" t="b">
        <v>0</v>
      </c>
      <c r="W644" t="s">
        <v>51</v>
      </c>
    </row>
    <row r="645" spans="1:23" hidden="1" x14ac:dyDescent="0.25">
      <c r="A645" t="s">
        <v>102</v>
      </c>
      <c r="B645">
        <v>2018</v>
      </c>
      <c r="C645">
        <v>1</v>
      </c>
      <c r="D645">
        <v>1</v>
      </c>
      <c r="E645" t="s">
        <v>49</v>
      </c>
      <c r="F645" t="s">
        <v>52</v>
      </c>
      <c r="G645" t="s">
        <v>142</v>
      </c>
      <c r="H645" t="s">
        <v>57</v>
      </c>
      <c r="I645" t="s">
        <v>61</v>
      </c>
      <c r="J645">
        <v>0</v>
      </c>
      <c r="K645">
        <v>0</v>
      </c>
      <c r="L645">
        <v>0</v>
      </c>
      <c r="M645">
        <v>0</v>
      </c>
      <c r="N645">
        <v>7</v>
      </c>
      <c r="O645">
        <v>7</v>
      </c>
      <c r="P645">
        <v>0</v>
      </c>
      <c r="Q645">
        <v>14</v>
      </c>
      <c r="R645" t="s">
        <v>56</v>
      </c>
      <c r="S645" t="b">
        <v>0</v>
      </c>
      <c r="W645" t="s">
        <v>51</v>
      </c>
    </row>
    <row r="646" spans="1:23" hidden="1" x14ac:dyDescent="0.25">
      <c r="A646" t="s">
        <v>74</v>
      </c>
      <c r="B646">
        <v>2018</v>
      </c>
      <c r="C646">
        <v>1</v>
      </c>
      <c r="D646">
        <v>1</v>
      </c>
      <c r="E646" t="s">
        <v>49</v>
      </c>
      <c r="F646" t="s">
        <v>52</v>
      </c>
      <c r="G646" t="s">
        <v>103</v>
      </c>
      <c r="H646" t="s">
        <v>146</v>
      </c>
      <c r="I646" t="s">
        <v>87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6</v>
      </c>
      <c r="P646">
        <v>0</v>
      </c>
      <c r="Q646">
        <v>6</v>
      </c>
      <c r="R646" t="s">
        <v>56</v>
      </c>
      <c r="S646" t="b">
        <v>0</v>
      </c>
      <c r="W646" t="s">
        <v>51</v>
      </c>
    </row>
    <row r="647" spans="1:23" hidden="1" x14ac:dyDescent="0.25">
      <c r="A647" t="s">
        <v>74</v>
      </c>
      <c r="B647">
        <v>2018</v>
      </c>
      <c r="C647">
        <v>1</v>
      </c>
      <c r="D647">
        <v>1</v>
      </c>
      <c r="E647" t="s">
        <v>49</v>
      </c>
      <c r="F647" t="s">
        <v>52</v>
      </c>
      <c r="G647" t="s">
        <v>103</v>
      </c>
      <c r="H647" t="s">
        <v>146</v>
      </c>
      <c r="I647" t="s">
        <v>61</v>
      </c>
      <c r="J647">
        <v>0</v>
      </c>
      <c r="K647">
        <v>0</v>
      </c>
      <c r="L647">
        <v>3</v>
      </c>
      <c r="M647">
        <v>1</v>
      </c>
      <c r="N647">
        <v>0</v>
      </c>
      <c r="O647">
        <v>0</v>
      </c>
      <c r="P647">
        <v>0</v>
      </c>
      <c r="Q647">
        <v>4</v>
      </c>
      <c r="R647" t="s">
        <v>56</v>
      </c>
      <c r="S647" t="b">
        <v>0</v>
      </c>
      <c r="W647" t="s">
        <v>51</v>
      </c>
    </row>
    <row r="648" spans="1:23" hidden="1" x14ac:dyDescent="0.25">
      <c r="A648" t="s">
        <v>74</v>
      </c>
      <c r="B648">
        <v>2018</v>
      </c>
      <c r="C648">
        <v>1</v>
      </c>
      <c r="D648">
        <v>1</v>
      </c>
      <c r="E648" t="s">
        <v>49</v>
      </c>
      <c r="F648" t="s">
        <v>52</v>
      </c>
      <c r="G648" t="s">
        <v>103</v>
      </c>
      <c r="H648" t="s">
        <v>146</v>
      </c>
      <c r="I648" t="s">
        <v>76</v>
      </c>
      <c r="J648">
        <v>0</v>
      </c>
      <c r="K648">
        <v>0</v>
      </c>
      <c r="L648">
        <v>5</v>
      </c>
      <c r="M648">
        <v>7</v>
      </c>
      <c r="N648">
        <v>0</v>
      </c>
      <c r="O648">
        <v>0</v>
      </c>
      <c r="P648">
        <v>0</v>
      </c>
      <c r="Q648">
        <v>12</v>
      </c>
      <c r="R648" t="s">
        <v>56</v>
      </c>
      <c r="S648" t="b">
        <v>0</v>
      </c>
      <c r="W648" t="s">
        <v>51</v>
      </c>
    </row>
    <row r="649" spans="1:23" hidden="1" x14ac:dyDescent="0.25">
      <c r="A649" t="s">
        <v>74</v>
      </c>
      <c r="B649">
        <v>2018</v>
      </c>
      <c r="C649">
        <v>1</v>
      </c>
      <c r="D649">
        <v>1</v>
      </c>
      <c r="E649" t="s">
        <v>49</v>
      </c>
      <c r="G649" t="s">
        <v>86</v>
      </c>
      <c r="J649">
        <v>0</v>
      </c>
      <c r="K649">
        <v>0</v>
      </c>
      <c r="L649">
        <v>0</v>
      </c>
      <c r="M649">
        <v>0</v>
      </c>
      <c r="N649">
        <v>8</v>
      </c>
      <c r="O649">
        <v>2</v>
      </c>
      <c r="P649">
        <v>0</v>
      </c>
      <c r="Q649">
        <v>10</v>
      </c>
      <c r="S649" t="b">
        <v>0</v>
      </c>
      <c r="W649" t="s">
        <v>51</v>
      </c>
    </row>
    <row r="650" spans="1:23" hidden="1" x14ac:dyDescent="0.25">
      <c r="A650" t="s">
        <v>74</v>
      </c>
      <c r="B650">
        <v>2018</v>
      </c>
      <c r="C650">
        <v>1</v>
      </c>
      <c r="D650">
        <v>1</v>
      </c>
      <c r="E650" t="s">
        <v>49</v>
      </c>
      <c r="G650" t="s">
        <v>121</v>
      </c>
      <c r="J650">
        <v>0</v>
      </c>
      <c r="K650">
        <v>8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8</v>
      </c>
      <c r="S650" t="b">
        <v>0</v>
      </c>
      <c r="W650" t="s">
        <v>51</v>
      </c>
    </row>
    <row r="651" spans="1:23" hidden="1" x14ac:dyDescent="0.25">
      <c r="A651" t="s">
        <v>60</v>
      </c>
      <c r="B651">
        <v>2018</v>
      </c>
      <c r="C651">
        <v>1</v>
      </c>
      <c r="D651">
        <v>1</v>
      </c>
      <c r="E651" t="s">
        <v>49</v>
      </c>
      <c r="F651" t="s">
        <v>52</v>
      </c>
      <c r="G651" t="s">
        <v>142</v>
      </c>
      <c r="H651" t="s">
        <v>57</v>
      </c>
      <c r="I651" t="s">
        <v>61</v>
      </c>
      <c r="J651">
        <v>0</v>
      </c>
      <c r="K651">
        <v>0</v>
      </c>
      <c r="L651">
        <v>8</v>
      </c>
      <c r="M651">
        <v>8</v>
      </c>
      <c r="N651">
        <v>8</v>
      </c>
      <c r="O651">
        <v>8</v>
      </c>
      <c r="P651">
        <v>0</v>
      </c>
      <c r="Q651">
        <v>32</v>
      </c>
      <c r="R651" t="s">
        <v>56</v>
      </c>
      <c r="S651" t="b">
        <v>0</v>
      </c>
      <c r="W651" t="s">
        <v>51</v>
      </c>
    </row>
    <row r="652" spans="1:23" hidden="1" x14ac:dyDescent="0.25">
      <c r="A652" t="s">
        <v>60</v>
      </c>
      <c r="B652">
        <v>2018</v>
      </c>
      <c r="C652">
        <v>1</v>
      </c>
      <c r="D652">
        <v>1</v>
      </c>
      <c r="E652" t="s">
        <v>49</v>
      </c>
      <c r="G652" t="s">
        <v>121</v>
      </c>
      <c r="J652">
        <v>0</v>
      </c>
      <c r="K652">
        <v>8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8</v>
      </c>
      <c r="S652" t="b">
        <v>0</v>
      </c>
      <c r="W652" t="s">
        <v>51</v>
      </c>
    </row>
    <row r="653" spans="1:23" hidden="1" x14ac:dyDescent="0.25">
      <c r="A653" t="s">
        <v>79</v>
      </c>
      <c r="B653">
        <v>2018</v>
      </c>
      <c r="C653">
        <v>1</v>
      </c>
      <c r="D653">
        <v>1</v>
      </c>
      <c r="E653" t="s">
        <v>49</v>
      </c>
      <c r="G653" t="s">
        <v>121</v>
      </c>
      <c r="J653">
        <v>0</v>
      </c>
      <c r="K653">
        <v>8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8</v>
      </c>
      <c r="S653" t="b">
        <v>0</v>
      </c>
      <c r="W653" t="s">
        <v>51</v>
      </c>
    </row>
    <row r="654" spans="1:23" hidden="1" x14ac:dyDescent="0.25">
      <c r="A654" t="s">
        <v>79</v>
      </c>
      <c r="B654">
        <v>2018</v>
      </c>
      <c r="C654">
        <v>1</v>
      </c>
      <c r="D654">
        <v>1</v>
      </c>
      <c r="E654" t="s">
        <v>49</v>
      </c>
      <c r="G654" t="s">
        <v>86</v>
      </c>
      <c r="J654">
        <v>0</v>
      </c>
      <c r="K654">
        <v>0</v>
      </c>
      <c r="L654">
        <v>8</v>
      </c>
      <c r="M654">
        <v>8</v>
      </c>
      <c r="N654">
        <v>8</v>
      </c>
      <c r="O654">
        <v>8</v>
      </c>
      <c r="P654">
        <v>0</v>
      </c>
      <c r="Q654">
        <v>32</v>
      </c>
      <c r="S654" t="b">
        <v>0</v>
      </c>
      <c r="W654" t="s">
        <v>51</v>
      </c>
    </row>
  </sheetData>
  <autoFilter ref="A1:W654">
    <filterColumn colId="6">
      <filters>
        <filter val="XWB 6.0"/>
      </filters>
    </filterColumn>
    <sortState ref="A29:W561">
      <sortCondition ref="H2:H65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23"/>
  <sheetViews>
    <sheetView workbookViewId="0">
      <selection activeCell="C24" sqref="C24"/>
    </sheetView>
  </sheetViews>
  <sheetFormatPr defaultRowHeight="15" x14ac:dyDescent="0.25"/>
  <cols>
    <col min="1" max="1" width="79" customWidth="1"/>
  </cols>
  <sheetData>
    <row r="1" spans="1:10" x14ac:dyDescent="0.25">
      <c r="A1" t="s">
        <v>0</v>
      </c>
      <c r="B1" t="s">
        <v>1</v>
      </c>
      <c r="C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C2" t="s">
        <v>9</v>
      </c>
      <c r="D2" t="s">
        <v>10</v>
      </c>
    </row>
    <row r="3" spans="1:10" x14ac:dyDescent="0.25">
      <c r="A3" t="s">
        <v>11</v>
      </c>
      <c r="B3">
        <v>4.8</v>
      </c>
      <c r="C3">
        <v>0.5</v>
      </c>
      <c r="D3">
        <v>1</v>
      </c>
      <c r="E3">
        <v>1</v>
      </c>
      <c r="F3">
        <v>2</v>
      </c>
      <c r="G3">
        <v>4.8099999999999996</v>
      </c>
      <c r="H3">
        <v>4.8</v>
      </c>
      <c r="I3">
        <v>1</v>
      </c>
      <c r="J3">
        <v>2.41</v>
      </c>
    </row>
    <row r="4" spans="1:10" x14ac:dyDescent="0.25">
      <c r="A4" t="s">
        <v>12</v>
      </c>
      <c r="B4">
        <v>52.1</v>
      </c>
      <c r="C4">
        <v>0.6</v>
      </c>
      <c r="D4">
        <v>1</v>
      </c>
      <c r="E4">
        <v>1</v>
      </c>
      <c r="F4">
        <v>68.599999999999994</v>
      </c>
      <c r="G4">
        <v>52.13</v>
      </c>
      <c r="H4">
        <v>52.1</v>
      </c>
      <c r="I4">
        <v>1</v>
      </c>
      <c r="J4">
        <v>0.76</v>
      </c>
    </row>
    <row r="5" spans="1:10" x14ac:dyDescent="0.25">
      <c r="A5" t="s">
        <v>13</v>
      </c>
      <c r="B5">
        <v>74</v>
      </c>
      <c r="C5">
        <v>0.7</v>
      </c>
      <c r="D5">
        <v>1</v>
      </c>
      <c r="E5">
        <v>1</v>
      </c>
      <c r="F5">
        <v>6</v>
      </c>
      <c r="G5">
        <v>74</v>
      </c>
      <c r="H5">
        <v>74</v>
      </c>
      <c r="I5">
        <v>1</v>
      </c>
      <c r="J5">
        <v>12.33</v>
      </c>
    </row>
    <row r="6" spans="1:10" x14ac:dyDescent="0.25">
      <c r="A6" t="s">
        <v>14</v>
      </c>
      <c r="B6">
        <v>96.8</v>
      </c>
      <c r="C6">
        <v>0.7</v>
      </c>
      <c r="D6">
        <v>1</v>
      </c>
      <c r="E6">
        <v>1</v>
      </c>
      <c r="F6">
        <v>129.6</v>
      </c>
      <c r="G6">
        <v>96.77</v>
      </c>
      <c r="H6">
        <v>96.8</v>
      </c>
      <c r="I6">
        <v>1</v>
      </c>
      <c r="J6">
        <v>0.75</v>
      </c>
    </row>
    <row r="7" spans="1:10" x14ac:dyDescent="0.25">
      <c r="A7" t="s">
        <v>15</v>
      </c>
      <c r="B7">
        <v>17.600000000000001</v>
      </c>
      <c r="C7">
        <v>0.7</v>
      </c>
      <c r="D7">
        <v>1</v>
      </c>
      <c r="E7">
        <v>1</v>
      </c>
      <c r="F7">
        <v>69</v>
      </c>
      <c r="G7">
        <v>17.62</v>
      </c>
      <c r="H7">
        <v>17.600000000000001</v>
      </c>
      <c r="I7">
        <v>1</v>
      </c>
      <c r="J7">
        <v>0.26</v>
      </c>
    </row>
    <row r="8" spans="1:10" x14ac:dyDescent="0.25">
      <c r="A8" t="s">
        <v>16</v>
      </c>
      <c r="B8">
        <v>34.200000000000003</v>
      </c>
      <c r="C8">
        <v>0.7</v>
      </c>
      <c r="D8">
        <v>1</v>
      </c>
      <c r="E8">
        <v>1</v>
      </c>
      <c r="F8">
        <v>34.299999999999997</v>
      </c>
      <c r="G8">
        <v>34.15</v>
      </c>
      <c r="H8">
        <v>34.200000000000003</v>
      </c>
      <c r="I8">
        <v>1</v>
      </c>
      <c r="J8">
        <v>1</v>
      </c>
    </row>
    <row r="9" spans="1:10" x14ac:dyDescent="0.25">
      <c r="A9" t="s">
        <v>17</v>
      </c>
      <c r="B9">
        <v>34.200000000000003</v>
      </c>
      <c r="C9">
        <v>0.7</v>
      </c>
      <c r="D9">
        <v>1</v>
      </c>
      <c r="E9">
        <v>1</v>
      </c>
      <c r="F9">
        <v>1.2</v>
      </c>
      <c r="G9">
        <v>34.15</v>
      </c>
      <c r="H9">
        <v>34.200000000000003</v>
      </c>
      <c r="I9">
        <v>1</v>
      </c>
      <c r="J9">
        <v>28.46</v>
      </c>
    </row>
    <row r="10" spans="1:10" x14ac:dyDescent="0.25">
      <c r="A10" t="s">
        <v>18</v>
      </c>
      <c r="B10">
        <v>34.200000000000003</v>
      </c>
      <c r="C10">
        <v>0.7</v>
      </c>
      <c r="D10">
        <v>1</v>
      </c>
      <c r="E10">
        <v>1</v>
      </c>
      <c r="F10">
        <v>29</v>
      </c>
      <c r="G10">
        <v>34.15</v>
      </c>
      <c r="H10">
        <v>34.200000000000003</v>
      </c>
      <c r="I10">
        <v>1</v>
      </c>
      <c r="J10">
        <v>1.18</v>
      </c>
    </row>
    <row r="11" spans="1:10" x14ac:dyDescent="0.25">
      <c r="A11" t="s">
        <v>19</v>
      </c>
      <c r="B11">
        <v>32</v>
      </c>
      <c r="C11">
        <v>0.7</v>
      </c>
      <c r="D11">
        <v>1</v>
      </c>
      <c r="E11">
        <v>1</v>
      </c>
      <c r="F11">
        <v>12.5</v>
      </c>
      <c r="G11">
        <v>32.020000000000003</v>
      </c>
      <c r="H11">
        <v>32</v>
      </c>
      <c r="I11">
        <v>1</v>
      </c>
      <c r="J11">
        <v>2.56</v>
      </c>
    </row>
    <row r="12" spans="1:10" x14ac:dyDescent="0.25">
      <c r="A12" t="s">
        <v>20</v>
      </c>
      <c r="B12">
        <v>120.3</v>
      </c>
      <c r="C12">
        <v>0.7</v>
      </c>
      <c r="D12">
        <v>1</v>
      </c>
      <c r="E12">
        <v>1</v>
      </c>
      <c r="F12">
        <v>54</v>
      </c>
      <c r="G12">
        <v>120.25</v>
      </c>
      <c r="H12">
        <v>120.3</v>
      </c>
      <c r="I12">
        <v>1</v>
      </c>
      <c r="J12">
        <v>2.23</v>
      </c>
    </row>
    <row r="13" spans="1:10" x14ac:dyDescent="0.25">
      <c r="B13">
        <v>500.1</v>
      </c>
      <c r="E13">
        <v>1</v>
      </c>
      <c r="F13">
        <v>406.2</v>
      </c>
      <c r="H13">
        <v>500.1</v>
      </c>
      <c r="J13">
        <v>1.23</v>
      </c>
    </row>
    <row r="17" spans="1:6" x14ac:dyDescent="0.25">
      <c r="A17" t="s">
        <v>21</v>
      </c>
    </row>
    <row r="18" spans="1:6" x14ac:dyDescent="0.25">
      <c r="A18" t="s">
        <v>22</v>
      </c>
    </row>
    <row r="19" spans="1:6" x14ac:dyDescent="0.25">
      <c r="A19" t="s">
        <v>23</v>
      </c>
    </row>
    <row r="21" spans="1:6" x14ac:dyDescent="0.25">
      <c r="F21" t="s">
        <v>6</v>
      </c>
    </row>
    <row r="22" spans="1:6" x14ac:dyDescent="0.25">
      <c r="F22" t="s">
        <v>24</v>
      </c>
    </row>
    <row r="23" spans="1:6" x14ac:dyDescent="0.25">
      <c r="F23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4"/>
  <sheetViews>
    <sheetView workbookViewId="0">
      <selection sqref="A1:W164"/>
    </sheetView>
  </sheetViews>
  <sheetFormatPr defaultRowHeight="15" x14ac:dyDescent="0.25"/>
  <sheetData>
    <row r="1" spans="1:23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</row>
    <row r="2" spans="1:23" x14ac:dyDescent="0.25">
      <c r="A2" t="s">
        <v>74</v>
      </c>
      <c r="B2">
        <v>2018</v>
      </c>
      <c r="C2">
        <v>5</v>
      </c>
      <c r="D2">
        <v>2</v>
      </c>
      <c r="E2" t="s">
        <v>49</v>
      </c>
      <c r="F2" t="s">
        <v>52</v>
      </c>
      <c r="G2" t="s">
        <v>78</v>
      </c>
      <c r="H2" t="s">
        <v>111</v>
      </c>
      <c r="I2" t="s">
        <v>112</v>
      </c>
      <c r="J2">
        <v>0</v>
      </c>
      <c r="K2">
        <v>0</v>
      </c>
      <c r="L2">
        <v>0</v>
      </c>
      <c r="M2">
        <v>2</v>
      </c>
      <c r="N2">
        <v>0</v>
      </c>
      <c r="O2">
        <v>0</v>
      </c>
      <c r="P2">
        <v>0</v>
      </c>
      <c r="Q2">
        <v>2</v>
      </c>
      <c r="R2" t="s">
        <v>56</v>
      </c>
      <c r="S2" t="b">
        <v>0</v>
      </c>
      <c r="W2" t="s">
        <v>51</v>
      </c>
    </row>
    <row r="3" spans="1:23" x14ac:dyDescent="0.25">
      <c r="A3" t="s">
        <v>79</v>
      </c>
      <c r="B3">
        <v>2018</v>
      </c>
      <c r="C3">
        <v>3</v>
      </c>
      <c r="D3">
        <v>4</v>
      </c>
      <c r="E3" t="s">
        <v>49</v>
      </c>
      <c r="F3" t="s">
        <v>64</v>
      </c>
      <c r="G3" t="s">
        <v>78</v>
      </c>
      <c r="H3" t="s">
        <v>135</v>
      </c>
      <c r="I3" t="s">
        <v>119</v>
      </c>
      <c r="J3">
        <v>0</v>
      </c>
      <c r="K3">
        <v>0</v>
      </c>
      <c r="L3">
        <v>0</v>
      </c>
      <c r="M3">
        <v>0</v>
      </c>
      <c r="N3">
        <v>5</v>
      </c>
      <c r="O3">
        <v>0</v>
      </c>
      <c r="P3">
        <v>0</v>
      </c>
      <c r="Q3">
        <v>5</v>
      </c>
      <c r="R3" t="s">
        <v>56</v>
      </c>
      <c r="S3" t="b">
        <v>0</v>
      </c>
      <c r="W3" t="s">
        <v>51</v>
      </c>
    </row>
    <row r="4" spans="1:23" x14ac:dyDescent="0.25">
      <c r="A4" t="s">
        <v>74</v>
      </c>
      <c r="B4">
        <v>2018</v>
      </c>
      <c r="C4">
        <v>5</v>
      </c>
      <c r="D4">
        <v>3</v>
      </c>
      <c r="E4" t="s">
        <v>49</v>
      </c>
      <c r="F4" t="s">
        <v>64</v>
      </c>
      <c r="G4" t="s">
        <v>78</v>
      </c>
      <c r="H4" t="s">
        <v>109</v>
      </c>
      <c r="I4" t="s">
        <v>108</v>
      </c>
      <c r="J4">
        <v>0</v>
      </c>
      <c r="K4">
        <v>6</v>
      </c>
      <c r="L4">
        <v>4</v>
      </c>
      <c r="M4">
        <v>4</v>
      </c>
      <c r="N4">
        <v>2</v>
      </c>
      <c r="O4">
        <v>0</v>
      </c>
      <c r="P4">
        <v>0</v>
      </c>
      <c r="Q4">
        <v>16</v>
      </c>
      <c r="R4" t="s">
        <v>56</v>
      </c>
      <c r="S4" t="b">
        <v>0</v>
      </c>
      <c r="W4" t="s">
        <v>51</v>
      </c>
    </row>
    <row r="5" spans="1:23" x14ac:dyDescent="0.25">
      <c r="A5" t="s">
        <v>69</v>
      </c>
      <c r="B5">
        <v>2018</v>
      </c>
      <c r="C5">
        <v>5</v>
      </c>
      <c r="D5">
        <v>1</v>
      </c>
      <c r="E5" t="s">
        <v>49</v>
      </c>
      <c r="F5" t="s">
        <v>82</v>
      </c>
      <c r="G5" t="s">
        <v>78</v>
      </c>
      <c r="H5" t="s">
        <v>109</v>
      </c>
      <c r="I5" t="s">
        <v>87</v>
      </c>
      <c r="J5">
        <v>0</v>
      </c>
      <c r="K5">
        <v>0</v>
      </c>
      <c r="L5">
        <v>3.5</v>
      </c>
      <c r="M5">
        <v>2</v>
      </c>
      <c r="N5">
        <v>0</v>
      </c>
      <c r="O5">
        <v>0</v>
      </c>
      <c r="P5">
        <v>0</v>
      </c>
      <c r="Q5">
        <v>5.5</v>
      </c>
      <c r="R5" t="s">
        <v>56</v>
      </c>
      <c r="S5" t="b">
        <v>0</v>
      </c>
      <c r="W5" t="s">
        <v>51</v>
      </c>
    </row>
    <row r="6" spans="1:23" x14ac:dyDescent="0.25">
      <c r="A6" t="s">
        <v>74</v>
      </c>
      <c r="B6">
        <v>2018</v>
      </c>
      <c r="C6">
        <v>5</v>
      </c>
      <c r="D6">
        <v>1</v>
      </c>
      <c r="E6" t="s">
        <v>49</v>
      </c>
      <c r="F6" t="s">
        <v>117</v>
      </c>
      <c r="G6" t="s">
        <v>78</v>
      </c>
      <c r="H6" t="s">
        <v>109</v>
      </c>
      <c r="I6" t="s">
        <v>118</v>
      </c>
      <c r="J6">
        <v>0</v>
      </c>
      <c r="K6">
        <v>8</v>
      </c>
      <c r="L6">
        <v>0</v>
      </c>
      <c r="M6">
        <v>1.5</v>
      </c>
      <c r="N6">
        <v>1</v>
      </c>
      <c r="O6">
        <v>0</v>
      </c>
      <c r="P6">
        <v>0</v>
      </c>
      <c r="Q6">
        <v>10.5</v>
      </c>
      <c r="R6" t="s">
        <v>56</v>
      </c>
      <c r="S6" t="b">
        <v>0</v>
      </c>
      <c r="W6" t="s">
        <v>51</v>
      </c>
    </row>
    <row r="7" spans="1:23" x14ac:dyDescent="0.25">
      <c r="A7" t="s">
        <v>102</v>
      </c>
      <c r="B7">
        <v>2018</v>
      </c>
      <c r="C7">
        <v>4</v>
      </c>
      <c r="D7">
        <v>5</v>
      </c>
      <c r="E7" t="s">
        <v>49</v>
      </c>
      <c r="F7" t="s">
        <v>82</v>
      </c>
      <c r="G7" t="s">
        <v>78</v>
      </c>
      <c r="H7" t="s">
        <v>109</v>
      </c>
      <c r="I7" t="s">
        <v>87</v>
      </c>
      <c r="J7">
        <v>0</v>
      </c>
      <c r="K7">
        <v>2</v>
      </c>
      <c r="L7">
        <v>0</v>
      </c>
      <c r="M7">
        <v>0</v>
      </c>
      <c r="N7">
        <v>0</v>
      </c>
      <c r="O7">
        <v>0</v>
      </c>
      <c r="P7">
        <v>0</v>
      </c>
      <c r="Q7">
        <v>2</v>
      </c>
      <c r="R7" t="s">
        <v>56</v>
      </c>
      <c r="S7" t="b">
        <v>0</v>
      </c>
      <c r="W7" t="s">
        <v>51</v>
      </c>
    </row>
    <row r="8" spans="1:23" x14ac:dyDescent="0.25">
      <c r="A8" t="s">
        <v>102</v>
      </c>
      <c r="B8">
        <v>2018</v>
      </c>
      <c r="C8">
        <v>4</v>
      </c>
      <c r="D8">
        <v>5</v>
      </c>
      <c r="E8" t="s">
        <v>49</v>
      </c>
      <c r="F8" t="s">
        <v>67</v>
      </c>
      <c r="G8" t="s">
        <v>78</v>
      </c>
      <c r="H8" t="s">
        <v>109</v>
      </c>
      <c r="I8" t="s">
        <v>87</v>
      </c>
      <c r="J8">
        <v>0</v>
      </c>
      <c r="K8">
        <v>0</v>
      </c>
      <c r="L8">
        <v>0</v>
      </c>
      <c r="M8">
        <v>2</v>
      </c>
      <c r="N8">
        <v>0</v>
      </c>
      <c r="O8">
        <v>0</v>
      </c>
      <c r="P8">
        <v>0</v>
      </c>
      <c r="Q8">
        <v>2</v>
      </c>
      <c r="R8" t="s">
        <v>56</v>
      </c>
      <c r="S8" t="b">
        <v>0</v>
      </c>
      <c r="W8" t="s">
        <v>51</v>
      </c>
    </row>
    <row r="9" spans="1:23" x14ac:dyDescent="0.25">
      <c r="A9" t="s">
        <v>74</v>
      </c>
      <c r="B9">
        <v>2018</v>
      </c>
      <c r="C9">
        <v>4</v>
      </c>
      <c r="D9">
        <v>5</v>
      </c>
      <c r="E9" t="s">
        <v>49</v>
      </c>
      <c r="F9" t="s">
        <v>71</v>
      </c>
      <c r="G9" t="s">
        <v>78</v>
      </c>
      <c r="H9" t="s">
        <v>109</v>
      </c>
      <c r="I9" t="s">
        <v>76</v>
      </c>
      <c r="J9">
        <v>0</v>
      </c>
      <c r="K9">
        <v>0</v>
      </c>
      <c r="L9">
        <v>0</v>
      </c>
      <c r="M9">
        <v>0</v>
      </c>
      <c r="N9">
        <v>0</v>
      </c>
      <c r="O9">
        <v>8</v>
      </c>
      <c r="P9">
        <v>0</v>
      </c>
      <c r="Q9">
        <v>8</v>
      </c>
      <c r="R9" t="s">
        <v>56</v>
      </c>
      <c r="S9" t="b">
        <v>0</v>
      </c>
      <c r="W9" t="s">
        <v>51</v>
      </c>
    </row>
    <row r="10" spans="1:23" x14ac:dyDescent="0.25">
      <c r="A10" t="s">
        <v>74</v>
      </c>
      <c r="B10">
        <v>2018</v>
      </c>
      <c r="C10">
        <v>4</v>
      </c>
      <c r="D10">
        <v>5</v>
      </c>
      <c r="E10" t="s">
        <v>49</v>
      </c>
      <c r="F10" t="s">
        <v>71</v>
      </c>
      <c r="G10" t="s">
        <v>78</v>
      </c>
      <c r="H10" t="s">
        <v>109</v>
      </c>
      <c r="I10" t="s">
        <v>77</v>
      </c>
      <c r="J10">
        <v>0</v>
      </c>
      <c r="K10">
        <v>0</v>
      </c>
      <c r="L10">
        <v>0</v>
      </c>
      <c r="M10">
        <v>0</v>
      </c>
      <c r="N10">
        <v>4</v>
      </c>
      <c r="O10">
        <v>0</v>
      </c>
      <c r="P10">
        <v>0</v>
      </c>
      <c r="Q10">
        <v>4</v>
      </c>
      <c r="R10" t="s">
        <v>56</v>
      </c>
      <c r="S10" t="b">
        <v>0</v>
      </c>
      <c r="W10" t="s">
        <v>51</v>
      </c>
    </row>
    <row r="11" spans="1:23" x14ac:dyDescent="0.25">
      <c r="A11" t="s">
        <v>74</v>
      </c>
      <c r="B11">
        <v>2018</v>
      </c>
      <c r="C11">
        <v>4</v>
      </c>
      <c r="D11">
        <v>5</v>
      </c>
      <c r="E11" t="s">
        <v>49</v>
      </c>
      <c r="F11" t="s">
        <v>123</v>
      </c>
      <c r="G11" t="s">
        <v>78</v>
      </c>
      <c r="H11" t="s">
        <v>109</v>
      </c>
      <c r="I11" t="s">
        <v>87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1</v>
      </c>
      <c r="R11" t="s">
        <v>56</v>
      </c>
      <c r="S11" t="b">
        <v>0</v>
      </c>
      <c r="W11" t="s">
        <v>51</v>
      </c>
    </row>
    <row r="12" spans="1:23" x14ac:dyDescent="0.25">
      <c r="A12" t="s">
        <v>74</v>
      </c>
      <c r="B12">
        <v>2018</v>
      </c>
      <c r="C12">
        <v>4</v>
      </c>
      <c r="D12">
        <v>3</v>
      </c>
      <c r="E12" t="s">
        <v>49</v>
      </c>
      <c r="F12" t="s">
        <v>71</v>
      </c>
      <c r="G12" t="s">
        <v>78</v>
      </c>
      <c r="H12" t="s">
        <v>109</v>
      </c>
      <c r="I12" t="s">
        <v>77</v>
      </c>
      <c r="J12">
        <v>0</v>
      </c>
      <c r="K12">
        <v>0</v>
      </c>
      <c r="L12">
        <v>0</v>
      </c>
      <c r="M12">
        <v>8</v>
      </c>
      <c r="N12">
        <v>4</v>
      </c>
      <c r="O12">
        <v>0</v>
      </c>
      <c r="P12">
        <v>0</v>
      </c>
      <c r="Q12">
        <v>12</v>
      </c>
      <c r="R12" t="s">
        <v>56</v>
      </c>
      <c r="S12" t="b">
        <v>0</v>
      </c>
      <c r="W12" t="s">
        <v>51</v>
      </c>
    </row>
    <row r="13" spans="1:23" x14ac:dyDescent="0.25">
      <c r="A13" t="s">
        <v>74</v>
      </c>
      <c r="B13">
        <v>2018</v>
      </c>
      <c r="C13">
        <v>4</v>
      </c>
      <c r="D13">
        <v>3</v>
      </c>
      <c r="E13" t="s">
        <v>49</v>
      </c>
      <c r="F13" t="s">
        <v>52</v>
      </c>
      <c r="G13" t="s">
        <v>78</v>
      </c>
      <c r="H13" t="s">
        <v>109</v>
      </c>
      <c r="I13" t="s">
        <v>87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1</v>
      </c>
      <c r="R13" t="s">
        <v>56</v>
      </c>
      <c r="S13" t="b">
        <v>0</v>
      </c>
      <c r="W13" t="s">
        <v>51</v>
      </c>
    </row>
    <row r="14" spans="1:23" x14ac:dyDescent="0.25">
      <c r="A14" t="s">
        <v>102</v>
      </c>
      <c r="B14">
        <v>2018</v>
      </c>
      <c r="C14">
        <v>4</v>
      </c>
      <c r="D14">
        <v>2</v>
      </c>
      <c r="E14" t="s">
        <v>49</v>
      </c>
      <c r="F14" t="s">
        <v>64</v>
      </c>
      <c r="G14" t="s">
        <v>78</v>
      </c>
      <c r="H14" t="s">
        <v>109</v>
      </c>
      <c r="I14" t="s">
        <v>87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1</v>
      </c>
      <c r="R14" t="s">
        <v>56</v>
      </c>
      <c r="S14" t="b">
        <v>0</v>
      </c>
      <c r="W14" t="s">
        <v>51</v>
      </c>
    </row>
    <row r="15" spans="1:23" x14ac:dyDescent="0.25">
      <c r="A15" t="s">
        <v>74</v>
      </c>
      <c r="B15">
        <v>2018</v>
      </c>
      <c r="C15">
        <v>4</v>
      </c>
      <c r="D15">
        <v>2</v>
      </c>
      <c r="E15" t="s">
        <v>49</v>
      </c>
      <c r="F15" t="s">
        <v>71</v>
      </c>
      <c r="G15" t="s">
        <v>78</v>
      </c>
      <c r="H15" t="s">
        <v>109</v>
      </c>
      <c r="I15" t="s">
        <v>76</v>
      </c>
      <c r="J15">
        <v>0</v>
      </c>
      <c r="K15">
        <v>0</v>
      </c>
      <c r="L15">
        <v>3.5</v>
      </c>
      <c r="M15">
        <v>1</v>
      </c>
      <c r="N15">
        <v>0</v>
      </c>
      <c r="O15">
        <v>1</v>
      </c>
      <c r="P15">
        <v>0</v>
      </c>
      <c r="Q15">
        <v>5.5</v>
      </c>
      <c r="R15" t="s">
        <v>56</v>
      </c>
      <c r="S15" t="b">
        <v>0</v>
      </c>
      <c r="W15" t="s">
        <v>51</v>
      </c>
    </row>
    <row r="16" spans="1:23" x14ac:dyDescent="0.25">
      <c r="A16" t="s">
        <v>74</v>
      </c>
      <c r="B16">
        <v>2018</v>
      </c>
      <c r="C16">
        <v>4</v>
      </c>
      <c r="D16">
        <v>2</v>
      </c>
      <c r="E16" t="s">
        <v>49</v>
      </c>
      <c r="F16" t="s">
        <v>71</v>
      </c>
      <c r="G16" t="s">
        <v>78</v>
      </c>
      <c r="H16" t="s">
        <v>109</v>
      </c>
      <c r="I16" t="s">
        <v>77</v>
      </c>
      <c r="J16">
        <v>0</v>
      </c>
      <c r="K16">
        <v>0</v>
      </c>
      <c r="L16">
        <v>1.5</v>
      </c>
      <c r="M16">
        <v>1.5</v>
      </c>
      <c r="N16">
        <v>0</v>
      </c>
      <c r="O16">
        <v>0</v>
      </c>
      <c r="P16">
        <v>0</v>
      </c>
      <c r="Q16">
        <v>3</v>
      </c>
      <c r="R16" t="s">
        <v>56</v>
      </c>
      <c r="S16" t="b">
        <v>0</v>
      </c>
      <c r="W16" t="s">
        <v>51</v>
      </c>
    </row>
    <row r="17" spans="1:23" x14ac:dyDescent="0.25">
      <c r="A17" t="s">
        <v>74</v>
      </c>
      <c r="B17">
        <v>2018</v>
      </c>
      <c r="C17">
        <v>4</v>
      </c>
      <c r="D17">
        <v>2</v>
      </c>
      <c r="E17" t="s">
        <v>49</v>
      </c>
      <c r="F17" t="s">
        <v>71</v>
      </c>
      <c r="G17" t="s">
        <v>78</v>
      </c>
      <c r="H17" t="s">
        <v>109</v>
      </c>
      <c r="I17" t="s">
        <v>72</v>
      </c>
      <c r="J17">
        <v>0</v>
      </c>
      <c r="K17">
        <v>0</v>
      </c>
      <c r="L17">
        <v>1.5</v>
      </c>
      <c r="M17">
        <v>1.5</v>
      </c>
      <c r="N17">
        <v>0</v>
      </c>
      <c r="O17">
        <v>0</v>
      </c>
      <c r="P17">
        <v>0</v>
      </c>
      <c r="Q17">
        <v>3</v>
      </c>
      <c r="R17" t="s">
        <v>56</v>
      </c>
      <c r="S17" t="b">
        <v>0</v>
      </c>
      <c r="W17" t="s">
        <v>51</v>
      </c>
    </row>
    <row r="18" spans="1:23" x14ac:dyDescent="0.25">
      <c r="A18" t="s">
        <v>74</v>
      </c>
      <c r="B18">
        <v>2018</v>
      </c>
      <c r="C18">
        <v>4</v>
      </c>
      <c r="D18">
        <v>2</v>
      </c>
      <c r="E18" t="s">
        <v>49</v>
      </c>
      <c r="F18" t="s">
        <v>52</v>
      </c>
      <c r="G18" t="s">
        <v>78</v>
      </c>
      <c r="H18" t="s">
        <v>109</v>
      </c>
      <c r="I18" t="s">
        <v>87</v>
      </c>
      <c r="J18">
        <v>0</v>
      </c>
      <c r="K18">
        <v>3</v>
      </c>
      <c r="L18">
        <v>1.5</v>
      </c>
      <c r="M18">
        <v>0</v>
      </c>
      <c r="N18">
        <v>0</v>
      </c>
      <c r="O18">
        <v>0</v>
      </c>
      <c r="P18">
        <v>0</v>
      </c>
      <c r="Q18">
        <v>4.5</v>
      </c>
      <c r="R18" t="s">
        <v>56</v>
      </c>
      <c r="S18" t="b">
        <v>0</v>
      </c>
      <c r="W18" t="s">
        <v>51</v>
      </c>
    </row>
    <row r="19" spans="1:23" x14ac:dyDescent="0.25">
      <c r="A19" t="s">
        <v>74</v>
      </c>
      <c r="B19">
        <v>2018</v>
      </c>
      <c r="C19">
        <v>4</v>
      </c>
      <c r="D19">
        <v>1</v>
      </c>
      <c r="E19" t="s">
        <v>49</v>
      </c>
      <c r="F19" t="s">
        <v>52</v>
      </c>
      <c r="G19" t="s">
        <v>78</v>
      </c>
      <c r="H19" t="s">
        <v>109</v>
      </c>
      <c r="I19" t="s">
        <v>76</v>
      </c>
      <c r="J19">
        <v>0</v>
      </c>
      <c r="K19">
        <v>0</v>
      </c>
      <c r="L19">
        <v>4</v>
      </c>
      <c r="M19">
        <v>7</v>
      </c>
      <c r="N19">
        <v>0</v>
      </c>
      <c r="O19">
        <v>0</v>
      </c>
      <c r="P19">
        <v>0</v>
      </c>
      <c r="Q19">
        <v>11</v>
      </c>
      <c r="R19" t="s">
        <v>56</v>
      </c>
      <c r="S19" t="b">
        <v>0</v>
      </c>
      <c r="W19" t="s">
        <v>51</v>
      </c>
    </row>
    <row r="20" spans="1:23" x14ac:dyDescent="0.25">
      <c r="A20" t="s">
        <v>74</v>
      </c>
      <c r="B20">
        <v>2018</v>
      </c>
      <c r="C20">
        <v>4</v>
      </c>
      <c r="D20">
        <v>1</v>
      </c>
      <c r="E20" t="s">
        <v>49</v>
      </c>
      <c r="F20" t="s">
        <v>52</v>
      </c>
      <c r="G20" t="s">
        <v>78</v>
      </c>
      <c r="H20" t="s">
        <v>109</v>
      </c>
      <c r="I20" t="s">
        <v>77</v>
      </c>
      <c r="J20">
        <v>0</v>
      </c>
      <c r="K20">
        <v>6</v>
      </c>
      <c r="L20">
        <v>2.5</v>
      </c>
      <c r="M20">
        <v>1</v>
      </c>
      <c r="N20">
        <v>5</v>
      </c>
      <c r="O20">
        <v>0</v>
      </c>
      <c r="P20">
        <v>0</v>
      </c>
      <c r="Q20">
        <v>14.5</v>
      </c>
      <c r="R20" t="s">
        <v>56</v>
      </c>
      <c r="S20" t="b">
        <v>0</v>
      </c>
      <c r="W20" t="s">
        <v>51</v>
      </c>
    </row>
    <row r="21" spans="1:23" x14ac:dyDescent="0.25">
      <c r="A21" t="s">
        <v>74</v>
      </c>
      <c r="B21">
        <v>2018</v>
      </c>
      <c r="C21">
        <v>4</v>
      </c>
      <c r="D21">
        <v>1</v>
      </c>
      <c r="E21" t="s">
        <v>49</v>
      </c>
      <c r="F21" t="s">
        <v>52</v>
      </c>
      <c r="G21" t="s">
        <v>78</v>
      </c>
      <c r="H21" t="s">
        <v>109</v>
      </c>
      <c r="I21" t="s">
        <v>95</v>
      </c>
      <c r="J21">
        <v>0</v>
      </c>
      <c r="K21">
        <v>0</v>
      </c>
      <c r="L21">
        <v>0</v>
      </c>
      <c r="M21">
        <v>0</v>
      </c>
      <c r="N21">
        <v>0</v>
      </c>
      <c r="O21">
        <v>7</v>
      </c>
      <c r="P21">
        <v>0</v>
      </c>
      <c r="Q21">
        <v>7</v>
      </c>
      <c r="R21" t="s">
        <v>56</v>
      </c>
      <c r="S21" t="b">
        <v>0</v>
      </c>
      <c r="W21" t="s">
        <v>51</v>
      </c>
    </row>
    <row r="22" spans="1:23" x14ac:dyDescent="0.25">
      <c r="A22" t="s">
        <v>74</v>
      </c>
      <c r="B22">
        <v>2018</v>
      </c>
      <c r="C22">
        <v>3</v>
      </c>
      <c r="D22">
        <v>4</v>
      </c>
      <c r="E22" t="s">
        <v>49</v>
      </c>
      <c r="F22" t="s">
        <v>52</v>
      </c>
      <c r="G22" t="s">
        <v>78</v>
      </c>
      <c r="H22" t="s">
        <v>109</v>
      </c>
      <c r="I22" t="s">
        <v>72</v>
      </c>
      <c r="J22">
        <v>0</v>
      </c>
      <c r="K22">
        <v>7</v>
      </c>
      <c r="L22">
        <v>8</v>
      </c>
      <c r="M22">
        <v>7</v>
      </c>
      <c r="N22">
        <v>8</v>
      </c>
      <c r="O22">
        <v>0</v>
      </c>
      <c r="P22">
        <v>0</v>
      </c>
      <c r="Q22">
        <v>30</v>
      </c>
      <c r="R22" t="s">
        <v>56</v>
      </c>
      <c r="S22" t="b">
        <v>0</v>
      </c>
      <c r="W22" t="s">
        <v>51</v>
      </c>
    </row>
    <row r="23" spans="1:23" x14ac:dyDescent="0.25">
      <c r="A23" t="s">
        <v>74</v>
      </c>
      <c r="B23">
        <v>2018</v>
      </c>
      <c r="C23">
        <v>3</v>
      </c>
      <c r="D23">
        <v>3</v>
      </c>
      <c r="E23" t="s">
        <v>49</v>
      </c>
      <c r="F23" t="s">
        <v>52</v>
      </c>
      <c r="G23" t="s">
        <v>78</v>
      </c>
      <c r="H23" t="s">
        <v>13</v>
      </c>
      <c r="I23" t="s">
        <v>134</v>
      </c>
      <c r="J23">
        <v>0</v>
      </c>
      <c r="K23">
        <v>0</v>
      </c>
      <c r="L23">
        <v>0</v>
      </c>
      <c r="M23">
        <v>0</v>
      </c>
      <c r="N23">
        <v>0</v>
      </c>
      <c r="O23">
        <v>6</v>
      </c>
      <c r="P23">
        <v>0</v>
      </c>
      <c r="Q23">
        <v>6</v>
      </c>
      <c r="R23" t="s">
        <v>56</v>
      </c>
      <c r="S23" t="b">
        <v>0</v>
      </c>
      <c r="W23" t="s">
        <v>51</v>
      </c>
    </row>
    <row r="24" spans="1:23" x14ac:dyDescent="0.25">
      <c r="A24" t="s">
        <v>74</v>
      </c>
      <c r="B24">
        <v>2018</v>
      </c>
      <c r="C24">
        <v>3</v>
      </c>
      <c r="D24">
        <v>2</v>
      </c>
      <c r="E24" t="s">
        <v>49</v>
      </c>
      <c r="F24" t="s">
        <v>82</v>
      </c>
      <c r="G24" t="s">
        <v>78</v>
      </c>
      <c r="H24" t="s">
        <v>137</v>
      </c>
      <c r="I24" t="s">
        <v>76</v>
      </c>
      <c r="J24">
        <v>0</v>
      </c>
      <c r="K24">
        <v>0</v>
      </c>
      <c r="L24">
        <v>1</v>
      </c>
      <c r="M24">
        <v>1</v>
      </c>
      <c r="N24">
        <v>0</v>
      </c>
      <c r="O24">
        <v>2</v>
      </c>
      <c r="P24">
        <v>0</v>
      </c>
      <c r="Q24">
        <v>4</v>
      </c>
      <c r="R24" t="s">
        <v>56</v>
      </c>
      <c r="S24" t="b">
        <v>0</v>
      </c>
      <c r="W24" t="s">
        <v>51</v>
      </c>
    </row>
    <row r="25" spans="1:23" x14ac:dyDescent="0.25">
      <c r="A25" t="s">
        <v>74</v>
      </c>
      <c r="B25">
        <v>2018</v>
      </c>
      <c r="C25">
        <v>3</v>
      </c>
      <c r="D25">
        <v>2</v>
      </c>
      <c r="E25" t="s">
        <v>49</v>
      </c>
      <c r="F25" t="s">
        <v>82</v>
      </c>
      <c r="G25" t="s">
        <v>78</v>
      </c>
      <c r="H25" t="s">
        <v>137</v>
      </c>
      <c r="I25" t="s">
        <v>77</v>
      </c>
      <c r="J25">
        <v>0</v>
      </c>
      <c r="K25">
        <v>0</v>
      </c>
      <c r="L25">
        <v>1</v>
      </c>
      <c r="M25">
        <v>0</v>
      </c>
      <c r="N25">
        <v>0</v>
      </c>
      <c r="O25">
        <v>1</v>
      </c>
      <c r="P25">
        <v>0</v>
      </c>
      <c r="Q25">
        <v>2</v>
      </c>
      <c r="R25" t="s">
        <v>56</v>
      </c>
      <c r="S25" t="b">
        <v>0</v>
      </c>
      <c r="W25" t="s">
        <v>51</v>
      </c>
    </row>
    <row r="26" spans="1:23" x14ac:dyDescent="0.25">
      <c r="A26" t="s">
        <v>74</v>
      </c>
      <c r="B26">
        <v>2018</v>
      </c>
      <c r="C26">
        <v>3</v>
      </c>
      <c r="D26">
        <v>2</v>
      </c>
      <c r="E26" t="s">
        <v>49</v>
      </c>
      <c r="F26" t="s">
        <v>82</v>
      </c>
      <c r="G26" t="s">
        <v>78</v>
      </c>
      <c r="H26" t="s">
        <v>129</v>
      </c>
      <c r="I26" t="s">
        <v>76</v>
      </c>
      <c r="J26">
        <v>0</v>
      </c>
      <c r="K26">
        <v>0</v>
      </c>
      <c r="L26">
        <v>0</v>
      </c>
      <c r="M26">
        <v>1</v>
      </c>
      <c r="N26">
        <v>0.5</v>
      </c>
      <c r="O26">
        <v>0.5</v>
      </c>
      <c r="P26">
        <v>0</v>
      </c>
      <c r="Q26">
        <v>2</v>
      </c>
      <c r="R26" t="s">
        <v>56</v>
      </c>
      <c r="S26" t="b">
        <v>0</v>
      </c>
      <c r="W26" t="s">
        <v>51</v>
      </c>
    </row>
    <row r="27" spans="1:23" x14ac:dyDescent="0.25">
      <c r="A27" t="s">
        <v>74</v>
      </c>
      <c r="B27">
        <v>2018</v>
      </c>
      <c r="C27">
        <v>3</v>
      </c>
      <c r="D27">
        <v>2</v>
      </c>
      <c r="E27" t="s">
        <v>49</v>
      </c>
      <c r="F27" t="s">
        <v>82</v>
      </c>
      <c r="G27" t="s">
        <v>78</v>
      </c>
      <c r="H27" t="s">
        <v>129</v>
      </c>
      <c r="I27" t="s">
        <v>77</v>
      </c>
      <c r="J27">
        <v>0</v>
      </c>
      <c r="K27">
        <v>0</v>
      </c>
      <c r="L27">
        <v>0</v>
      </c>
      <c r="M27">
        <v>2.5</v>
      </c>
      <c r="N27">
        <v>0</v>
      </c>
      <c r="O27">
        <v>0.5</v>
      </c>
      <c r="P27">
        <v>0</v>
      </c>
      <c r="Q27">
        <v>3</v>
      </c>
      <c r="R27" t="s">
        <v>56</v>
      </c>
      <c r="S27" t="b">
        <v>0</v>
      </c>
      <c r="W27" t="s">
        <v>51</v>
      </c>
    </row>
    <row r="28" spans="1:23" x14ac:dyDescent="0.25">
      <c r="A28" t="s">
        <v>79</v>
      </c>
      <c r="B28">
        <v>2018</v>
      </c>
      <c r="C28">
        <v>5</v>
      </c>
      <c r="D28">
        <v>2</v>
      </c>
      <c r="E28" t="s">
        <v>49</v>
      </c>
      <c r="F28" t="s">
        <v>52</v>
      </c>
      <c r="G28" t="s">
        <v>78</v>
      </c>
      <c r="H28" t="s">
        <v>14</v>
      </c>
      <c r="I28" t="s">
        <v>72</v>
      </c>
      <c r="J28">
        <v>0</v>
      </c>
      <c r="K28">
        <v>0</v>
      </c>
      <c r="L28">
        <v>0</v>
      </c>
      <c r="M28">
        <v>0</v>
      </c>
      <c r="N28">
        <v>4.5</v>
      </c>
      <c r="O28">
        <v>4</v>
      </c>
      <c r="P28">
        <v>0</v>
      </c>
      <c r="Q28">
        <v>8.5</v>
      </c>
      <c r="R28" t="s">
        <v>56</v>
      </c>
      <c r="S28" t="b">
        <v>0</v>
      </c>
      <c r="W28" t="s">
        <v>51</v>
      </c>
    </row>
    <row r="29" spans="1:23" x14ac:dyDescent="0.25">
      <c r="A29" t="s">
        <v>79</v>
      </c>
      <c r="B29">
        <v>2018</v>
      </c>
      <c r="C29">
        <v>6</v>
      </c>
      <c r="D29">
        <v>1</v>
      </c>
      <c r="E29" t="s">
        <v>49</v>
      </c>
      <c r="F29" t="s">
        <v>64</v>
      </c>
      <c r="G29" t="s">
        <v>78</v>
      </c>
      <c r="H29" t="s">
        <v>104</v>
      </c>
      <c r="I29" t="s">
        <v>58</v>
      </c>
      <c r="J29">
        <v>0</v>
      </c>
      <c r="K29">
        <v>0</v>
      </c>
      <c r="L29">
        <v>3</v>
      </c>
      <c r="M29">
        <v>2.5</v>
      </c>
      <c r="N29">
        <v>0.5</v>
      </c>
      <c r="O29">
        <v>3</v>
      </c>
      <c r="P29">
        <v>0</v>
      </c>
      <c r="Q29">
        <v>9</v>
      </c>
      <c r="R29" t="s">
        <v>56</v>
      </c>
      <c r="S29" t="b">
        <v>0</v>
      </c>
      <c r="W29" t="s">
        <v>51</v>
      </c>
    </row>
    <row r="30" spans="1:23" x14ac:dyDescent="0.25">
      <c r="A30" t="s">
        <v>79</v>
      </c>
      <c r="B30">
        <v>2018</v>
      </c>
      <c r="C30">
        <v>5</v>
      </c>
      <c r="D30">
        <v>1</v>
      </c>
      <c r="E30" t="s">
        <v>49</v>
      </c>
      <c r="F30" t="s">
        <v>71</v>
      </c>
      <c r="G30" t="s">
        <v>78</v>
      </c>
      <c r="H30" t="s">
        <v>104</v>
      </c>
      <c r="I30" t="s">
        <v>76</v>
      </c>
      <c r="J30">
        <v>0</v>
      </c>
      <c r="K30">
        <v>0</v>
      </c>
      <c r="L30">
        <v>1.5</v>
      </c>
      <c r="M30">
        <v>0</v>
      </c>
      <c r="N30">
        <v>3.4</v>
      </c>
      <c r="O30">
        <v>0</v>
      </c>
      <c r="P30">
        <v>0</v>
      </c>
      <c r="Q30">
        <v>4.9000000000000004</v>
      </c>
      <c r="R30" t="s">
        <v>56</v>
      </c>
      <c r="S30" t="b">
        <v>0</v>
      </c>
      <c r="W30" t="s">
        <v>51</v>
      </c>
    </row>
    <row r="31" spans="1:23" x14ac:dyDescent="0.25">
      <c r="A31" t="s">
        <v>79</v>
      </c>
      <c r="B31">
        <v>2018</v>
      </c>
      <c r="C31">
        <v>4</v>
      </c>
      <c r="D31">
        <v>2</v>
      </c>
      <c r="E31" t="s">
        <v>49</v>
      </c>
      <c r="F31" t="s">
        <v>67</v>
      </c>
      <c r="G31" t="s">
        <v>78</v>
      </c>
      <c r="H31" t="s">
        <v>104</v>
      </c>
      <c r="I31" t="s">
        <v>87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1</v>
      </c>
      <c r="R31" t="s">
        <v>56</v>
      </c>
      <c r="S31" t="b">
        <v>0</v>
      </c>
      <c r="W31" t="s">
        <v>51</v>
      </c>
    </row>
    <row r="32" spans="1:23" x14ac:dyDescent="0.25">
      <c r="A32" t="s">
        <v>79</v>
      </c>
      <c r="B32">
        <v>2018</v>
      </c>
      <c r="C32">
        <v>4</v>
      </c>
      <c r="D32">
        <v>2</v>
      </c>
      <c r="E32" t="s">
        <v>49</v>
      </c>
      <c r="F32" t="s">
        <v>52</v>
      </c>
      <c r="G32" t="s">
        <v>78</v>
      </c>
      <c r="H32" t="s">
        <v>104</v>
      </c>
      <c r="I32" t="s">
        <v>87</v>
      </c>
      <c r="J32">
        <v>0</v>
      </c>
      <c r="K32">
        <v>3</v>
      </c>
      <c r="L32">
        <v>0</v>
      </c>
      <c r="M32">
        <v>0</v>
      </c>
      <c r="N32">
        <v>0</v>
      </c>
      <c r="O32">
        <v>0</v>
      </c>
      <c r="P32">
        <v>0</v>
      </c>
      <c r="Q32">
        <v>3</v>
      </c>
      <c r="R32" t="s">
        <v>56</v>
      </c>
      <c r="S32" t="b">
        <v>0</v>
      </c>
      <c r="W32" t="s">
        <v>51</v>
      </c>
    </row>
    <row r="33" spans="1:23" x14ac:dyDescent="0.25">
      <c r="A33" t="s">
        <v>79</v>
      </c>
      <c r="B33">
        <v>2018</v>
      </c>
      <c r="C33">
        <v>4</v>
      </c>
      <c r="D33">
        <v>1</v>
      </c>
      <c r="E33" t="s">
        <v>49</v>
      </c>
      <c r="F33" t="s">
        <v>71</v>
      </c>
      <c r="G33" t="s">
        <v>78</v>
      </c>
      <c r="H33" t="s">
        <v>104</v>
      </c>
      <c r="I33" t="s">
        <v>76</v>
      </c>
      <c r="J33">
        <v>0</v>
      </c>
      <c r="K33">
        <v>0</v>
      </c>
      <c r="L33">
        <v>0</v>
      </c>
      <c r="M33">
        <v>0</v>
      </c>
      <c r="N33">
        <v>2</v>
      </c>
      <c r="O33">
        <v>4</v>
      </c>
      <c r="P33">
        <v>0</v>
      </c>
      <c r="Q33">
        <v>6</v>
      </c>
      <c r="R33" t="s">
        <v>56</v>
      </c>
      <c r="S33" t="b">
        <v>0</v>
      </c>
      <c r="W33" t="s">
        <v>51</v>
      </c>
    </row>
    <row r="34" spans="1:23" x14ac:dyDescent="0.25">
      <c r="A34" t="s">
        <v>79</v>
      </c>
      <c r="B34">
        <v>2018</v>
      </c>
      <c r="C34">
        <v>4</v>
      </c>
      <c r="D34">
        <v>1</v>
      </c>
      <c r="E34" t="s">
        <v>49</v>
      </c>
      <c r="F34" t="s">
        <v>71</v>
      </c>
      <c r="G34" t="s">
        <v>78</v>
      </c>
      <c r="H34" t="s">
        <v>104</v>
      </c>
      <c r="I34" t="s">
        <v>77</v>
      </c>
      <c r="J34">
        <v>0</v>
      </c>
      <c r="K34">
        <v>0</v>
      </c>
      <c r="L34">
        <v>0</v>
      </c>
      <c r="M34">
        <v>1</v>
      </c>
      <c r="N34">
        <v>1</v>
      </c>
      <c r="O34">
        <v>0</v>
      </c>
      <c r="P34">
        <v>0</v>
      </c>
      <c r="Q34">
        <v>2</v>
      </c>
      <c r="R34" t="s">
        <v>56</v>
      </c>
      <c r="S34" t="b">
        <v>0</v>
      </c>
      <c r="W34" t="s">
        <v>51</v>
      </c>
    </row>
    <row r="35" spans="1:23" x14ac:dyDescent="0.25">
      <c r="A35" t="s">
        <v>79</v>
      </c>
      <c r="B35">
        <v>2018</v>
      </c>
      <c r="C35">
        <v>3</v>
      </c>
      <c r="D35">
        <v>3</v>
      </c>
      <c r="E35" t="s">
        <v>49</v>
      </c>
      <c r="F35" t="s">
        <v>52</v>
      </c>
      <c r="G35" t="s">
        <v>78</v>
      </c>
      <c r="H35" t="s">
        <v>104</v>
      </c>
      <c r="I35" t="s">
        <v>76</v>
      </c>
      <c r="J35">
        <v>0</v>
      </c>
      <c r="K35">
        <v>0</v>
      </c>
      <c r="L35">
        <v>0</v>
      </c>
      <c r="M35">
        <v>0</v>
      </c>
      <c r="N35">
        <v>8</v>
      </c>
      <c r="O35">
        <v>8</v>
      </c>
      <c r="P35">
        <v>0</v>
      </c>
      <c r="Q35">
        <v>16</v>
      </c>
      <c r="R35" t="s">
        <v>56</v>
      </c>
      <c r="S35" t="b">
        <v>0</v>
      </c>
      <c r="W35" t="s">
        <v>51</v>
      </c>
    </row>
    <row r="36" spans="1:23" x14ac:dyDescent="0.25">
      <c r="A36" t="s">
        <v>79</v>
      </c>
      <c r="B36">
        <v>2018</v>
      </c>
      <c r="C36">
        <v>3</v>
      </c>
      <c r="D36">
        <v>3</v>
      </c>
      <c r="E36" t="s">
        <v>49</v>
      </c>
      <c r="F36" t="s">
        <v>52</v>
      </c>
      <c r="G36" t="s">
        <v>78</v>
      </c>
      <c r="H36" t="s">
        <v>104</v>
      </c>
      <c r="I36" t="s">
        <v>77</v>
      </c>
      <c r="J36">
        <v>0</v>
      </c>
      <c r="K36">
        <v>0</v>
      </c>
      <c r="L36">
        <v>0</v>
      </c>
      <c r="M36">
        <v>8</v>
      </c>
      <c r="N36">
        <v>0</v>
      </c>
      <c r="O36">
        <v>0</v>
      </c>
      <c r="P36">
        <v>0</v>
      </c>
      <c r="Q36">
        <v>8</v>
      </c>
      <c r="R36" t="s">
        <v>56</v>
      </c>
      <c r="S36" t="b">
        <v>0</v>
      </c>
      <c r="W36" t="s">
        <v>51</v>
      </c>
    </row>
    <row r="37" spans="1:23" x14ac:dyDescent="0.25">
      <c r="A37" t="s">
        <v>79</v>
      </c>
      <c r="B37">
        <v>2018</v>
      </c>
      <c r="C37">
        <v>3</v>
      </c>
      <c r="D37">
        <v>3</v>
      </c>
      <c r="E37" t="s">
        <v>49</v>
      </c>
      <c r="F37" t="s">
        <v>52</v>
      </c>
      <c r="G37" t="s">
        <v>78</v>
      </c>
      <c r="H37" t="s">
        <v>104</v>
      </c>
      <c r="I37" t="s">
        <v>72</v>
      </c>
      <c r="J37">
        <v>0</v>
      </c>
      <c r="K37">
        <v>8</v>
      </c>
      <c r="L37">
        <v>8</v>
      </c>
      <c r="M37">
        <v>0</v>
      </c>
      <c r="N37">
        <v>0</v>
      </c>
      <c r="O37">
        <v>0</v>
      </c>
      <c r="P37">
        <v>0</v>
      </c>
      <c r="Q37">
        <v>16</v>
      </c>
      <c r="R37" t="s">
        <v>56</v>
      </c>
      <c r="S37" t="b">
        <v>0</v>
      </c>
      <c r="W37" t="s">
        <v>51</v>
      </c>
    </row>
    <row r="38" spans="1:23" x14ac:dyDescent="0.25">
      <c r="A38" t="s">
        <v>74</v>
      </c>
      <c r="B38">
        <v>2018</v>
      </c>
      <c r="C38">
        <v>3</v>
      </c>
      <c r="D38">
        <v>2</v>
      </c>
      <c r="E38" t="s">
        <v>49</v>
      </c>
      <c r="F38" t="s">
        <v>52</v>
      </c>
      <c r="G38" t="s">
        <v>78</v>
      </c>
      <c r="H38" t="s">
        <v>104</v>
      </c>
      <c r="I38" t="s">
        <v>134</v>
      </c>
      <c r="J38">
        <v>0</v>
      </c>
      <c r="K38">
        <v>7</v>
      </c>
      <c r="L38">
        <v>3</v>
      </c>
      <c r="M38">
        <v>2</v>
      </c>
      <c r="N38">
        <v>3.5</v>
      </c>
      <c r="O38">
        <v>0</v>
      </c>
      <c r="P38">
        <v>0</v>
      </c>
      <c r="Q38">
        <v>15.5</v>
      </c>
      <c r="R38" t="s">
        <v>56</v>
      </c>
      <c r="S38" t="b">
        <v>0</v>
      </c>
      <c r="W38" t="s">
        <v>51</v>
      </c>
    </row>
    <row r="39" spans="1:23" x14ac:dyDescent="0.25">
      <c r="A39" t="s">
        <v>74</v>
      </c>
      <c r="B39">
        <v>2018</v>
      </c>
      <c r="C39">
        <v>3</v>
      </c>
      <c r="D39">
        <v>1</v>
      </c>
      <c r="E39" t="s">
        <v>49</v>
      </c>
      <c r="F39" t="s">
        <v>64</v>
      </c>
      <c r="G39" t="s">
        <v>78</v>
      </c>
      <c r="H39" t="s">
        <v>104</v>
      </c>
      <c r="I39" t="s">
        <v>134</v>
      </c>
      <c r="J39">
        <v>0</v>
      </c>
      <c r="K39">
        <v>0</v>
      </c>
      <c r="L39">
        <v>3</v>
      </c>
      <c r="M39">
        <v>7</v>
      </c>
      <c r="N39">
        <v>4</v>
      </c>
      <c r="O39">
        <v>8</v>
      </c>
      <c r="P39">
        <v>0</v>
      </c>
      <c r="Q39">
        <v>22</v>
      </c>
      <c r="R39" t="s">
        <v>56</v>
      </c>
      <c r="S39" t="b">
        <v>0</v>
      </c>
      <c r="W39" t="s">
        <v>51</v>
      </c>
    </row>
    <row r="40" spans="1:23" x14ac:dyDescent="0.25">
      <c r="A40" t="s">
        <v>79</v>
      </c>
      <c r="B40">
        <v>2018</v>
      </c>
      <c r="C40">
        <v>5</v>
      </c>
      <c r="D40">
        <v>4</v>
      </c>
      <c r="E40" t="s">
        <v>49</v>
      </c>
      <c r="F40" t="s">
        <v>64</v>
      </c>
      <c r="G40" t="s">
        <v>78</v>
      </c>
      <c r="H40" t="s">
        <v>106</v>
      </c>
      <c r="I40" t="s">
        <v>58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1</v>
      </c>
      <c r="R40" t="s">
        <v>56</v>
      </c>
      <c r="S40" t="b">
        <v>0</v>
      </c>
      <c r="W40" t="s">
        <v>51</v>
      </c>
    </row>
    <row r="41" spans="1:23" x14ac:dyDescent="0.25">
      <c r="A41" t="s">
        <v>102</v>
      </c>
      <c r="B41">
        <v>2018</v>
      </c>
      <c r="C41">
        <v>5</v>
      </c>
      <c r="D41">
        <v>2</v>
      </c>
      <c r="E41" t="s">
        <v>49</v>
      </c>
      <c r="F41" t="s">
        <v>64</v>
      </c>
      <c r="G41" t="s">
        <v>78</v>
      </c>
      <c r="H41" t="s">
        <v>106</v>
      </c>
      <c r="I41" t="s">
        <v>108</v>
      </c>
      <c r="J41">
        <v>0</v>
      </c>
      <c r="K41">
        <v>3</v>
      </c>
      <c r="L41">
        <v>0</v>
      </c>
      <c r="M41">
        <v>0</v>
      </c>
      <c r="N41">
        <v>0</v>
      </c>
      <c r="O41">
        <v>0</v>
      </c>
      <c r="P41">
        <v>0</v>
      </c>
      <c r="Q41">
        <v>3</v>
      </c>
      <c r="R41" t="s">
        <v>56</v>
      </c>
      <c r="S41" t="b">
        <v>0</v>
      </c>
      <c r="W41" t="s">
        <v>51</v>
      </c>
    </row>
    <row r="42" spans="1:23" x14ac:dyDescent="0.25">
      <c r="A42" t="s">
        <v>79</v>
      </c>
      <c r="B42">
        <v>2018</v>
      </c>
      <c r="C42">
        <v>5</v>
      </c>
      <c r="D42">
        <v>1</v>
      </c>
      <c r="E42" t="s">
        <v>49</v>
      </c>
      <c r="F42" t="s">
        <v>71</v>
      </c>
      <c r="G42" t="s">
        <v>78</v>
      </c>
      <c r="H42" t="s">
        <v>106</v>
      </c>
      <c r="I42" t="s">
        <v>72</v>
      </c>
      <c r="J42">
        <v>0</v>
      </c>
      <c r="K42">
        <v>0</v>
      </c>
      <c r="L42">
        <v>0</v>
      </c>
      <c r="M42">
        <v>5.2</v>
      </c>
      <c r="N42">
        <v>3.4</v>
      </c>
      <c r="O42">
        <v>0</v>
      </c>
      <c r="P42">
        <v>0</v>
      </c>
      <c r="Q42">
        <v>8.6</v>
      </c>
      <c r="R42" t="s">
        <v>56</v>
      </c>
      <c r="S42" t="b">
        <v>0</v>
      </c>
      <c r="W42" t="s">
        <v>51</v>
      </c>
    </row>
    <row r="43" spans="1:23" x14ac:dyDescent="0.25">
      <c r="A43" t="s">
        <v>79</v>
      </c>
      <c r="B43">
        <v>2018</v>
      </c>
      <c r="C43">
        <v>4</v>
      </c>
      <c r="D43">
        <v>4</v>
      </c>
      <c r="E43" t="s">
        <v>49</v>
      </c>
      <c r="F43" t="s">
        <v>71</v>
      </c>
      <c r="G43" t="s">
        <v>78</v>
      </c>
      <c r="H43" t="s">
        <v>106</v>
      </c>
      <c r="I43" t="s">
        <v>77</v>
      </c>
      <c r="J43">
        <v>0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 t="s">
        <v>56</v>
      </c>
      <c r="S43" t="b">
        <v>0</v>
      </c>
      <c r="W43" t="s">
        <v>51</v>
      </c>
    </row>
    <row r="44" spans="1:23" x14ac:dyDescent="0.25">
      <c r="A44" t="s">
        <v>79</v>
      </c>
      <c r="B44">
        <v>2018</v>
      </c>
      <c r="C44">
        <v>4</v>
      </c>
      <c r="D44">
        <v>4</v>
      </c>
      <c r="E44" t="s">
        <v>49</v>
      </c>
      <c r="F44" t="s">
        <v>71</v>
      </c>
      <c r="G44" t="s">
        <v>78</v>
      </c>
      <c r="H44" t="s">
        <v>106</v>
      </c>
      <c r="I44" t="s">
        <v>72</v>
      </c>
      <c r="J44">
        <v>0</v>
      </c>
      <c r="K44">
        <v>2</v>
      </c>
      <c r="L44">
        <v>0</v>
      </c>
      <c r="M44">
        <v>0</v>
      </c>
      <c r="N44">
        <v>0</v>
      </c>
      <c r="O44">
        <v>0</v>
      </c>
      <c r="P44">
        <v>0</v>
      </c>
      <c r="Q44">
        <v>2</v>
      </c>
      <c r="R44" t="s">
        <v>56</v>
      </c>
      <c r="S44" t="b">
        <v>0</v>
      </c>
      <c r="W44" t="s">
        <v>51</v>
      </c>
    </row>
    <row r="45" spans="1:23" x14ac:dyDescent="0.25">
      <c r="A45" t="s">
        <v>79</v>
      </c>
      <c r="B45">
        <v>2018</v>
      </c>
      <c r="C45">
        <v>4</v>
      </c>
      <c r="D45">
        <v>4</v>
      </c>
      <c r="E45" t="s">
        <v>49</v>
      </c>
      <c r="F45" t="s">
        <v>71</v>
      </c>
      <c r="G45" t="s">
        <v>78</v>
      </c>
      <c r="H45" t="s">
        <v>106</v>
      </c>
      <c r="I45" t="s">
        <v>76</v>
      </c>
      <c r="J45">
        <v>0</v>
      </c>
      <c r="K45">
        <v>2</v>
      </c>
      <c r="L45">
        <v>0</v>
      </c>
      <c r="M45">
        <v>0</v>
      </c>
      <c r="N45">
        <v>0</v>
      </c>
      <c r="O45">
        <v>0</v>
      </c>
      <c r="P45">
        <v>0</v>
      </c>
      <c r="Q45">
        <v>2</v>
      </c>
      <c r="R45" t="s">
        <v>56</v>
      </c>
      <c r="S45" t="b">
        <v>0</v>
      </c>
      <c r="W45" t="s">
        <v>51</v>
      </c>
    </row>
    <row r="46" spans="1:23" x14ac:dyDescent="0.25">
      <c r="A46" t="s">
        <v>79</v>
      </c>
      <c r="B46">
        <v>2018</v>
      </c>
      <c r="C46">
        <v>4</v>
      </c>
      <c r="D46">
        <v>3</v>
      </c>
      <c r="E46" t="s">
        <v>49</v>
      </c>
      <c r="F46" t="s">
        <v>71</v>
      </c>
      <c r="G46" t="s">
        <v>78</v>
      </c>
      <c r="H46" t="s">
        <v>106</v>
      </c>
      <c r="I46" t="s">
        <v>76</v>
      </c>
      <c r="J46">
        <v>0</v>
      </c>
      <c r="K46">
        <v>3</v>
      </c>
      <c r="L46">
        <v>0</v>
      </c>
      <c r="M46">
        <v>1</v>
      </c>
      <c r="N46">
        <v>1</v>
      </c>
      <c r="O46">
        <v>0</v>
      </c>
      <c r="P46">
        <v>0</v>
      </c>
      <c r="Q46">
        <v>5</v>
      </c>
      <c r="R46" t="s">
        <v>56</v>
      </c>
      <c r="S46" t="b">
        <v>0</v>
      </c>
      <c r="W46" t="s">
        <v>51</v>
      </c>
    </row>
    <row r="47" spans="1:23" x14ac:dyDescent="0.25">
      <c r="A47" t="s">
        <v>79</v>
      </c>
      <c r="B47">
        <v>2018</v>
      </c>
      <c r="C47">
        <v>4</v>
      </c>
      <c r="D47">
        <v>2</v>
      </c>
      <c r="E47" t="s">
        <v>49</v>
      </c>
      <c r="F47" t="s">
        <v>67</v>
      </c>
      <c r="G47" t="s">
        <v>78</v>
      </c>
      <c r="H47" t="s">
        <v>106</v>
      </c>
      <c r="I47" t="s">
        <v>87</v>
      </c>
      <c r="J47">
        <v>0</v>
      </c>
      <c r="K47">
        <v>0</v>
      </c>
      <c r="L47">
        <v>0.5</v>
      </c>
      <c r="M47">
        <v>0</v>
      </c>
      <c r="N47">
        <v>0</v>
      </c>
      <c r="O47">
        <v>0</v>
      </c>
      <c r="P47">
        <v>0</v>
      </c>
      <c r="Q47">
        <v>0.5</v>
      </c>
      <c r="R47" t="s">
        <v>56</v>
      </c>
      <c r="S47" t="b">
        <v>0</v>
      </c>
      <c r="W47" t="s">
        <v>51</v>
      </c>
    </row>
    <row r="48" spans="1:23" x14ac:dyDescent="0.25">
      <c r="A48" t="s">
        <v>79</v>
      </c>
      <c r="B48">
        <v>2018</v>
      </c>
      <c r="C48">
        <v>4</v>
      </c>
      <c r="D48">
        <v>2</v>
      </c>
      <c r="E48" t="s">
        <v>49</v>
      </c>
      <c r="F48" t="s">
        <v>71</v>
      </c>
      <c r="G48" t="s">
        <v>78</v>
      </c>
      <c r="H48" t="s">
        <v>106</v>
      </c>
      <c r="I48" t="s">
        <v>76</v>
      </c>
      <c r="J48">
        <v>0</v>
      </c>
      <c r="K48">
        <v>1.5</v>
      </c>
      <c r="L48">
        <v>1.5</v>
      </c>
      <c r="M48">
        <v>0</v>
      </c>
      <c r="N48">
        <v>0</v>
      </c>
      <c r="O48">
        <v>0</v>
      </c>
      <c r="P48">
        <v>0</v>
      </c>
      <c r="Q48">
        <v>3</v>
      </c>
      <c r="R48" t="s">
        <v>56</v>
      </c>
      <c r="S48" t="b">
        <v>0</v>
      </c>
      <c r="W48" t="s">
        <v>51</v>
      </c>
    </row>
    <row r="49" spans="1:23" x14ac:dyDescent="0.25">
      <c r="A49" t="s">
        <v>79</v>
      </c>
      <c r="B49">
        <v>2018</v>
      </c>
      <c r="C49">
        <v>4</v>
      </c>
      <c r="D49">
        <v>2</v>
      </c>
      <c r="E49" t="s">
        <v>49</v>
      </c>
      <c r="F49" t="s">
        <v>71</v>
      </c>
      <c r="G49" t="s">
        <v>78</v>
      </c>
      <c r="H49" t="s">
        <v>106</v>
      </c>
      <c r="I49" t="s">
        <v>77</v>
      </c>
      <c r="J49">
        <v>0</v>
      </c>
      <c r="K49">
        <v>1.5</v>
      </c>
      <c r="L49">
        <v>1.5</v>
      </c>
      <c r="M49">
        <v>1</v>
      </c>
      <c r="N49">
        <v>0</v>
      </c>
      <c r="O49">
        <v>0</v>
      </c>
      <c r="P49">
        <v>0</v>
      </c>
      <c r="Q49">
        <v>4</v>
      </c>
      <c r="R49" t="s">
        <v>56</v>
      </c>
      <c r="S49" t="b">
        <v>0</v>
      </c>
      <c r="W49" t="s">
        <v>51</v>
      </c>
    </row>
    <row r="50" spans="1:23" x14ac:dyDescent="0.25">
      <c r="A50" t="s">
        <v>79</v>
      </c>
      <c r="B50">
        <v>2018</v>
      </c>
      <c r="C50">
        <v>4</v>
      </c>
      <c r="D50">
        <v>1</v>
      </c>
      <c r="E50" t="s">
        <v>49</v>
      </c>
      <c r="F50" t="s">
        <v>52</v>
      </c>
      <c r="G50" t="s">
        <v>78</v>
      </c>
      <c r="H50" t="s">
        <v>106</v>
      </c>
      <c r="I50" t="s">
        <v>87</v>
      </c>
      <c r="J50">
        <v>0</v>
      </c>
      <c r="K50">
        <v>0</v>
      </c>
      <c r="L50">
        <v>0</v>
      </c>
      <c r="M50">
        <v>0</v>
      </c>
      <c r="N50">
        <v>0</v>
      </c>
      <c r="O50">
        <v>2</v>
      </c>
      <c r="P50">
        <v>0</v>
      </c>
      <c r="Q50">
        <v>2</v>
      </c>
      <c r="R50" t="s">
        <v>56</v>
      </c>
      <c r="S50" t="b">
        <v>0</v>
      </c>
      <c r="W50" t="s">
        <v>51</v>
      </c>
    </row>
    <row r="51" spans="1:23" x14ac:dyDescent="0.25">
      <c r="A51" t="s">
        <v>79</v>
      </c>
      <c r="B51">
        <v>2018</v>
      </c>
      <c r="C51">
        <v>4</v>
      </c>
      <c r="D51">
        <v>1</v>
      </c>
      <c r="E51" t="s">
        <v>49</v>
      </c>
      <c r="F51" t="s">
        <v>52</v>
      </c>
      <c r="G51" t="s">
        <v>78</v>
      </c>
      <c r="H51" t="s">
        <v>106</v>
      </c>
      <c r="I51" t="s">
        <v>87</v>
      </c>
      <c r="J51">
        <v>0</v>
      </c>
      <c r="K51">
        <v>0</v>
      </c>
      <c r="L51">
        <v>0</v>
      </c>
      <c r="M51">
        <v>2</v>
      </c>
      <c r="N51">
        <v>4</v>
      </c>
      <c r="O51">
        <v>2</v>
      </c>
      <c r="P51">
        <v>0</v>
      </c>
      <c r="Q51">
        <v>8</v>
      </c>
      <c r="R51" t="s">
        <v>56</v>
      </c>
      <c r="S51" t="b">
        <v>0</v>
      </c>
      <c r="W51" t="s">
        <v>51</v>
      </c>
    </row>
    <row r="52" spans="1:23" x14ac:dyDescent="0.25">
      <c r="A52" t="s">
        <v>79</v>
      </c>
      <c r="B52">
        <v>2018</v>
      </c>
      <c r="C52">
        <v>3</v>
      </c>
      <c r="D52">
        <v>4</v>
      </c>
      <c r="E52" t="s">
        <v>49</v>
      </c>
      <c r="F52" t="s">
        <v>52</v>
      </c>
      <c r="G52" t="s">
        <v>78</v>
      </c>
      <c r="H52" t="s">
        <v>106</v>
      </c>
      <c r="I52" t="s">
        <v>72</v>
      </c>
      <c r="J52">
        <v>0</v>
      </c>
      <c r="K52">
        <v>4</v>
      </c>
      <c r="L52">
        <v>0</v>
      </c>
      <c r="M52">
        <v>0</v>
      </c>
      <c r="N52">
        <v>0</v>
      </c>
      <c r="O52">
        <v>0</v>
      </c>
      <c r="P52">
        <v>0</v>
      </c>
      <c r="Q52">
        <v>4</v>
      </c>
      <c r="R52" t="s">
        <v>56</v>
      </c>
      <c r="S52" t="b">
        <v>0</v>
      </c>
      <c r="W52" t="s">
        <v>51</v>
      </c>
    </row>
    <row r="53" spans="1:23" x14ac:dyDescent="0.25">
      <c r="A53" t="s">
        <v>79</v>
      </c>
      <c r="B53">
        <v>2018</v>
      </c>
      <c r="C53">
        <v>3</v>
      </c>
      <c r="D53">
        <v>4</v>
      </c>
      <c r="E53" t="s">
        <v>49</v>
      </c>
      <c r="F53" t="s">
        <v>52</v>
      </c>
      <c r="G53" t="s">
        <v>78</v>
      </c>
      <c r="H53" t="s">
        <v>106</v>
      </c>
      <c r="I53" t="s">
        <v>76</v>
      </c>
      <c r="J53">
        <v>0</v>
      </c>
      <c r="K53">
        <v>0</v>
      </c>
      <c r="L53">
        <v>5</v>
      </c>
      <c r="M53">
        <v>0</v>
      </c>
      <c r="N53">
        <v>3</v>
      </c>
      <c r="O53">
        <v>0</v>
      </c>
      <c r="P53">
        <v>0</v>
      </c>
      <c r="Q53">
        <v>8</v>
      </c>
      <c r="R53" t="s">
        <v>56</v>
      </c>
      <c r="S53" t="b">
        <v>0</v>
      </c>
      <c r="W53" t="s">
        <v>51</v>
      </c>
    </row>
    <row r="54" spans="1:23" x14ac:dyDescent="0.25">
      <c r="A54" t="s">
        <v>79</v>
      </c>
      <c r="B54">
        <v>2018</v>
      </c>
      <c r="C54">
        <v>3</v>
      </c>
      <c r="D54">
        <v>4</v>
      </c>
      <c r="E54" t="s">
        <v>49</v>
      </c>
      <c r="F54" t="s">
        <v>52</v>
      </c>
      <c r="G54" t="s">
        <v>78</v>
      </c>
      <c r="H54" t="s">
        <v>106</v>
      </c>
      <c r="I54" t="s">
        <v>77</v>
      </c>
      <c r="J54">
        <v>0</v>
      </c>
      <c r="K54">
        <v>4</v>
      </c>
      <c r="L54">
        <v>2</v>
      </c>
      <c r="M54">
        <v>0</v>
      </c>
      <c r="N54">
        <v>0</v>
      </c>
      <c r="O54">
        <v>0</v>
      </c>
      <c r="P54">
        <v>0</v>
      </c>
      <c r="Q54">
        <v>6</v>
      </c>
      <c r="R54" t="s">
        <v>56</v>
      </c>
      <c r="S54" t="b">
        <v>0</v>
      </c>
      <c r="W54" t="s">
        <v>51</v>
      </c>
    </row>
    <row r="55" spans="1:23" x14ac:dyDescent="0.25">
      <c r="A55" t="s">
        <v>74</v>
      </c>
      <c r="B55">
        <v>2018</v>
      </c>
      <c r="C55">
        <v>3</v>
      </c>
      <c r="D55">
        <v>3</v>
      </c>
      <c r="E55" t="s">
        <v>49</v>
      </c>
      <c r="F55" t="s">
        <v>64</v>
      </c>
      <c r="G55" t="s">
        <v>78</v>
      </c>
      <c r="H55" t="s">
        <v>106</v>
      </c>
      <c r="I55" t="s">
        <v>134</v>
      </c>
      <c r="J55">
        <v>0</v>
      </c>
      <c r="K55">
        <v>1</v>
      </c>
      <c r="L55">
        <v>0.5</v>
      </c>
      <c r="M55">
        <v>0</v>
      </c>
      <c r="N55">
        <v>0</v>
      </c>
      <c r="O55">
        <v>0</v>
      </c>
      <c r="P55">
        <v>0</v>
      </c>
      <c r="Q55">
        <v>1.5</v>
      </c>
      <c r="R55" t="s">
        <v>56</v>
      </c>
      <c r="S55" t="b">
        <v>0</v>
      </c>
      <c r="W55" t="s">
        <v>51</v>
      </c>
    </row>
    <row r="56" spans="1:23" x14ac:dyDescent="0.25">
      <c r="A56" t="s">
        <v>79</v>
      </c>
      <c r="B56">
        <v>2018</v>
      </c>
      <c r="C56">
        <v>3</v>
      </c>
      <c r="D56">
        <v>2</v>
      </c>
      <c r="E56" t="s">
        <v>49</v>
      </c>
      <c r="F56" t="s">
        <v>64</v>
      </c>
      <c r="G56" t="s">
        <v>78</v>
      </c>
      <c r="H56" t="s">
        <v>106</v>
      </c>
      <c r="I56" t="s">
        <v>114</v>
      </c>
      <c r="J56">
        <v>0</v>
      </c>
      <c r="K56">
        <v>8</v>
      </c>
      <c r="L56">
        <v>8</v>
      </c>
      <c r="M56">
        <v>8</v>
      </c>
      <c r="N56">
        <v>7</v>
      </c>
      <c r="O56">
        <v>4</v>
      </c>
      <c r="P56">
        <v>0</v>
      </c>
      <c r="Q56">
        <v>35</v>
      </c>
      <c r="R56" t="s">
        <v>56</v>
      </c>
      <c r="S56" t="b">
        <v>0</v>
      </c>
      <c r="W56" t="s">
        <v>51</v>
      </c>
    </row>
    <row r="57" spans="1:23" x14ac:dyDescent="0.25">
      <c r="A57" t="s">
        <v>79</v>
      </c>
      <c r="B57">
        <v>2018</v>
      </c>
      <c r="C57">
        <v>3</v>
      </c>
      <c r="D57">
        <v>1</v>
      </c>
      <c r="E57" t="s">
        <v>49</v>
      </c>
      <c r="F57" t="s">
        <v>64</v>
      </c>
      <c r="G57" t="s">
        <v>78</v>
      </c>
      <c r="H57" t="s">
        <v>106</v>
      </c>
      <c r="I57" t="s">
        <v>114</v>
      </c>
      <c r="J57">
        <v>0</v>
      </c>
      <c r="K57">
        <v>5</v>
      </c>
      <c r="L57">
        <v>5</v>
      </c>
      <c r="M57">
        <v>3</v>
      </c>
      <c r="N57">
        <v>6</v>
      </c>
      <c r="O57">
        <v>8</v>
      </c>
      <c r="P57">
        <v>0</v>
      </c>
      <c r="Q57">
        <v>27</v>
      </c>
      <c r="R57" t="s">
        <v>56</v>
      </c>
      <c r="S57" t="b">
        <v>0</v>
      </c>
      <c r="W57" t="s">
        <v>51</v>
      </c>
    </row>
    <row r="58" spans="1:23" x14ac:dyDescent="0.25">
      <c r="A58" t="s">
        <v>79</v>
      </c>
      <c r="B58">
        <v>2018</v>
      </c>
      <c r="C58">
        <v>2</v>
      </c>
      <c r="D58">
        <v>4</v>
      </c>
      <c r="E58" t="s">
        <v>49</v>
      </c>
      <c r="F58" t="s">
        <v>64</v>
      </c>
      <c r="G58" t="s">
        <v>78</v>
      </c>
      <c r="H58" t="s">
        <v>106</v>
      </c>
      <c r="I58" t="s">
        <v>114</v>
      </c>
      <c r="J58">
        <v>0</v>
      </c>
      <c r="K58">
        <v>0</v>
      </c>
      <c r="L58">
        <v>0</v>
      </c>
      <c r="M58">
        <v>5</v>
      </c>
      <c r="N58">
        <v>0</v>
      </c>
      <c r="O58">
        <v>7</v>
      </c>
      <c r="P58">
        <v>0</v>
      </c>
      <c r="Q58">
        <v>12</v>
      </c>
      <c r="R58" t="s">
        <v>56</v>
      </c>
      <c r="S58" t="b">
        <v>0</v>
      </c>
      <c r="W58" t="s">
        <v>51</v>
      </c>
    </row>
    <row r="59" spans="1:23" x14ac:dyDescent="0.25">
      <c r="A59" t="s">
        <v>79</v>
      </c>
      <c r="B59">
        <v>2018</v>
      </c>
      <c r="C59">
        <v>2</v>
      </c>
      <c r="D59">
        <v>3</v>
      </c>
      <c r="E59" t="s">
        <v>49</v>
      </c>
      <c r="F59" t="s">
        <v>64</v>
      </c>
      <c r="G59" t="s">
        <v>78</v>
      </c>
      <c r="H59" t="s">
        <v>106</v>
      </c>
      <c r="I59" t="s">
        <v>114</v>
      </c>
      <c r="J59">
        <v>0</v>
      </c>
      <c r="K59">
        <v>0</v>
      </c>
      <c r="L59">
        <v>1</v>
      </c>
      <c r="M59">
        <v>2</v>
      </c>
      <c r="N59">
        <v>0</v>
      </c>
      <c r="O59">
        <v>4</v>
      </c>
      <c r="P59">
        <v>0</v>
      </c>
      <c r="Q59">
        <v>7</v>
      </c>
      <c r="R59" t="s">
        <v>56</v>
      </c>
      <c r="S59" t="b">
        <v>0</v>
      </c>
      <c r="W59" t="s">
        <v>51</v>
      </c>
    </row>
    <row r="60" spans="1:23" x14ac:dyDescent="0.25">
      <c r="A60" t="s">
        <v>74</v>
      </c>
      <c r="B60">
        <v>2018</v>
      </c>
      <c r="C60">
        <v>2</v>
      </c>
      <c r="D60">
        <v>2</v>
      </c>
      <c r="E60" t="s">
        <v>49</v>
      </c>
      <c r="F60" t="s">
        <v>82</v>
      </c>
      <c r="G60" t="s">
        <v>78</v>
      </c>
      <c r="H60" t="s">
        <v>106</v>
      </c>
      <c r="I60" t="s">
        <v>98</v>
      </c>
      <c r="J60">
        <v>0</v>
      </c>
      <c r="K60">
        <v>8</v>
      </c>
      <c r="L60">
        <v>0</v>
      </c>
      <c r="M60">
        <v>0</v>
      </c>
      <c r="N60">
        <v>0</v>
      </c>
      <c r="O60">
        <v>0</v>
      </c>
      <c r="P60">
        <v>0</v>
      </c>
      <c r="Q60">
        <v>8</v>
      </c>
      <c r="R60" t="s">
        <v>56</v>
      </c>
      <c r="S60" t="b">
        <v>0</v>
      </c>
      <c r="W60" t="s">
        <v>51</v>
      </c>
    </row>
    <row r="61" spans="1:23" x14ac:dyDescent="0.25">
      <c r="A61" t="s">
        <v>63</v>
      </c>
      <c r="B61">
        <v>2018</v>
      </c>
      <c r="C61">
        <v>5</v>
      </c>
      <c r="D61">
        <v>3</v>
      </c>
      <c r="E61" t="s">
        <v>49</v>
      </c>
      <c r="F61" t="s">
        <v>67</v>
      </c>
      <c r="G61" t="s">
        <v>78</v>
      </c>
      <c r="H61" t="s">
        <v>107</v>
      </c>
      <c r="I61" t="s">
        <v>108</v>
      </c>
      <c r="J61">
        <v>0</v>
      </c>
      <c r="K61">
        <v>7.5</v>
      </c>
      <c r="L61">
        <v>2.5</v>
      </c>
      <c r="M61">
        <v>0</v>
      </c>
      <c r="N61">
        <v>0</v>
      </c>
      <c r="O61">
        <v>0</v>
      </c>
      <c r="P61">
        <v>0</v>
      </c>
      <c r="Q61">
        <v>10</v>
      </c>
      <c r="R61" t="s">
        <v>56</v>
      </c>
      <c r="S61" t="b">
        <v>0</v>
      </c>
      <c r="W61" t="s">
        <v>51</v>
      </c>
    </row>
    <row r="62" spans="1:23" x14ac:dyDescent="0.25">
      <c r="A62" t="s">
        <v>102</v>
      </c>
      <c r="B62">
        <v>2018</v>
      </c>
      <c r="C62">
        <v>5</v>
      </c>
      <c r="D62">
        <v>2</v>
      </c>
      <c r="E62" t="s">
        <v>49</v>
      </c>
      <c r="F62" t="s">
        <v>64</v>
      </c>
      <c r="G62" t="s">
        <v>78</v>
      </c>
      <c r="H62" t="s">
        <v>107</v>
      </c>
      <c r="I62" t="s">
        <v>108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 t="s">
        <v>56</v>
      </c>
      <c r="S62" t="b">
        <v>0</v>
      </c>
      <c r="W62" t="s">
        <v>51</v>
      </c>
    </row>
    <row r="63" spans="1:23" x14ac:dyDescent="0.25">
      <c r="A63" t="s">
        <v>102</v>
      </c>
      <c r="B63">
        <v>2018</v>
      </c>
      <c r="C63">
        <v>5</v>
      </c>
      <c r="D63">
        <v>1</v>
      </c>
      <c r="E63" t="s">
        <v>49</v>
      </c>
      <c r="F63" t="s">
        <v>64</v>
      </c>
      <c r="G63" t="s">
        <v>78</v>
      </c>
      <c r="H63" t="s">
        <v>107</v>
      </c>
      <c r="I63" t="s">
        <v>108</v>
      </c>
      <c r="J63">
        <v>0</v>
      </c>
      <c r="K63">
        <v>0</v>
      </c>
      <c r="L63">
        <v>2</v>
      </c>
      <c r="M63">
        <v>0</v>
      </c>
      <c r="N63">
        <v>0</v>
      </c>
      <c r="O63">
        <v>0</v>
      </c>
      <c r="P63">
        <v>0</v>
      </c>
      <c r="Q63">
        <v>2</v>
      </c>
      <c r="R63" t="s">
        <v>56</v>
      </c>
      <c r="S63" t="b">
        <v>0</v>
      </c>
      <c r="W63" t="s">
        <v>51</v>
      </c>
    </row>
    <row r="64" spans="1:23" x14ac:dyDescent="0.25">
      <c r="A64" t="s">
        <v>63</v>
      </c>
      <c r="B64">
        <v>2018</v>
      </c>
      <c r="C64">
        <v>4</v>
      </c>
      <c r="D64">
        <v>5</v>
      </c>
      <c r="E64" t="s">
        <v>49</v>
      </c>
      <c r="F64" t="s">
        <v>71</v>
      </c>
      <c r="G64" t="s">
        <v>78</v>
      </c>
      <c r="H64" t="s">
        <v>107</v>
      </c>
      <c r="I64" t="s">
        <v>77</v>
      </c>
      <c r="J64">
        <v>0</v>
      </c>
      <c r="K64">
        <v>0</v>
      </c>
      <c r="L64">
        <v>0</v>
      </c>
      <c r="M64">
        <v>1</v>
      </c>
      <c r="N64">
        <v>0</v>
      </c>
      <c r="O64">
        <v>0</v>
      </c>
      <c r="P64">
        <v>0</v>
      </c>
      <c r="Q64">
        <v>1</v>
      </c>
      <c r="R64" t="s">
        <v>56</v>
      </c>
      <c r="S64" t="b">
        <v>0</v>
      </c>
      <c r="W64" t="s">
        <v>51</v>
      </c>
    </row>
    <row r="65" spans="1:23" x14ac:dyDescent="0.25">
      <c r="A65" t="s">
        <v>63</v>
      </c>
      <c r="B65">
        <v>2018</v>
      </c>
      <c r="C65">
        <v>3</v>
      </c>
      <c r="D65">
        <v>1</v>
      </c>
      <c r="E65" t="s">
        <v>49</v>
      </c>
      <c r="F65" t="s">
        <v>52</v>
      </c>
      <c r="G65" t="s">
        <v>78</v>
      </c>
      <c r="H65" t="s">
        <v>107</v>
      </c>
      <c r="I65" t="s">
        <v>77</v>
      </c>
      <c r="J65">
        <v>0</v>
      </c>
      <c r="K65">
        <v>7</v>
      </c>
      <c r="L65">
        <v>8</v>
      </c>
      <c r="M65">
        <v>0</v>
      </c>
      <c r="N65">
        <v>0</v>
      </c>
      <c r="O65">
        <v>0</v>
      </c>
      <c r="P65">
        <v>0</v>
      </c>
      <c r="Q65">
        <v>15</v>
      </c>
      <c r="R65" t="s">
        <v>56</v>
      </c>
      <c r="S65" t="b">
        <v>0</v>
      </c>
      <c r="W65" t="s">
        <v>51</v>
      </c>
    </row>
    <row r="66" spans="1:23" x14ac:dyDescent="0.25">
      <c r="A66" t="s">
        <v>63</v>
      </c>
      <c r="B66">
        <v>2018</v>
      </c>
      <c r="C66">
        <v>3</v>
      </c>
      <c r="D66">
        <v>1</v>
      </c>
      <c r="E66" t="s">
        <v>49</v>
      </c>
      <c r="F66" t="s">
        <v>71</v>
      </c>
      <c r="G66" t="s">
        <v>78</v>
      </c>
      <c r="H66" t="s">
        <v>107</v>
      </c>
      <c r="I66" t="s">
        <v>77</v>
      </c>
      <c r="J66">
        <v>0</v>
      </c>
      <c r="K66">
        <v>0</v>
      </c>
      <c r="L66">
        <v>0</v>
      </c>
      <c r="M66">
        <v>2</v>
      </c>
      <c r="N66">
        <v>3.5</v>
      </c>
      <c r="O66">
        <v>0</v>
      </c>
      <c r="P66">
        <v>0</v>
      </c>
      <c r="Q66">
        <v>5.5</v>
      </c>
      <c r="R66" t="s">
        <v>56</v>
      </c>
      <c r="S66" t="b">
        <v>0</v>
      </c>
      <c r="W66" t="s">
        <v>51</v>
      </c>
    </row>
    <row r="67" spans="1:23" x14ac:dyDescent="0.25">
      <c r="A67" t="s">
        <v>63</v>
      </c>
      <c r="B67">
        <v>2018</v>
      </c>
      <c r="C67">
        <v>2</v>
      </c>
      <c r="D67">
        <v>4</v>
      </c>
      <c r="E67" t="s">
        <v>49</v>
      </c>
      <c r="F67" t="s">
        <v>67</v>
      </c>
      <c r="G67" t="s">
        <v>78</v>
      </c>
      <c r="H67" t="s">
        <v>107</v>
      </c>
      <c r="I67" t="s">
        <v>134</v>
      </c>
      <c r="J67">
        <v>0</v>
      </c>
      <c r="K67">
        <v>0</v>
      </c>
      <c r="L67">
        <v>0</v>
      </c>
      <c r="M67">
        <v>0</v>
      </c>
      <c r="N67">
        <v>5</v>
      </c>
      <c r="O67">
        <v>8</v>
      </c>
      <c r="P67">
        <v>0</v>
      </c>
      <c r="Q67">
        <v>13</v>
      </c>
      <c r="R67" t="s">
        <v>56</v>
      </c>
      <c r="S67" t="b">
        <v>0</v>
      </c>
      <c r="W67" t="s">
        <v>51</v>
      </c>
    </row>
    <row r="68" spans="1:23" x14ac:dyDescent="0.25">
      <c r="A68" t="s">
        <v>63</v>
      </c>
      <c r="B68">
        <v>2018</v>
      </c>
      <c r="C68">
        <v>2</v>
      </c>
      <c r="D68">
        <v>3</v>
      </c>
      <c r="E68" t="s">
        <v>49</v>
      </c>
      <c r="F68" t="s">
        <v>67</v>
      </c>
      <c r="G68" t="s">
        <v>78</v>
      </c>
      <c r="H68" t="s">
        <v>107</v>
      </c>
      <c r="I68" t="s">
        <v>134</v>
      </c>
      <c r="J68">
        <v>0</v>
      </c>
      <c r="K68">
        <v>0</v>
      </c>
      <c r="L68">
        <v>0</v>
      </c>
      <c r="M68">
        <v>3</v>
      </c>
      <c r="N68">
        <v>3</v>
      </c>
      <c r="O68">
        <v>0</v>
      </c>
      <c r="P68">
        <v>0</v>
      </c>
      <c r="Q68">
        <v>6</v>
      </c>
      <c r="R68" t="s">
        <v>56</v>
      </c>
      <c r="S68" t="b">
        <v>0</v>
      </c>
      <c r="W68" t="s">
        <v>51</v>
      </c>
    </row>
    <row r="69" spans="1:23" x14ac:dyDescent="0.25">
      <c r="A69" t="s">
        <v>74</v>
      </c>
      <c r="B69">
        <v>2018</v>
      </c>
      <c r="C69">
        <v>3</v>
      </c>
      <c r="D69">
        <v>2</v>
      </c>
      <c r="E69" t="s">
        <v>49</v>
      </c>
      <c r="F69" t="s">
        <v>82</v>
      </c>
      <c r="G69" t="s">
        <v>78</v>
      </c>
      <c r="H69" t="s">
        <v>136</v>
      </c>
      <c r="I69" t="s">
        <v>76</v>
      </c>
      <c r="J69">
        <v>0</v>
      </c>
      <c r="K69">
        <v>0</v>
      </c>
      <c r="L69">
        <v>0</v>
      </c>
      <c r="M69">
        <v>1</v>
      </c>
      <c r="N69">
        <v>0</v>
      </c>
      <c r="O69">
        <v>2</v>
      </c>
      <c r="P69">
        <v>0</v>
      </c>
      <c r="Q69">
        <v>3</v>
      </c>
      <c r="R69" t="s">
        <v>56</v>
      </c>
      <c r="S69" t="b">
        <v>0</v>
      </c>
      <c r="W69" t="s">
        <v>51</v>
      </c>
    </row>
    <row r="70" spans="1:23" x14ac:dyDescent="0.25">
      <c r="A70" t="s">
        <v>74</v>
      </c>
      <c r="B70">
        <v>2018</v>
      </c>
      <c r="C70">
        <v>3</v>
      </c>
      <c r="D70">
        <v>2</v>
      </c>
      <c r="E70" t="s">
        <v>49</v>
      </c>
      <c r="F70" t="s">
        <v>82</v>
      </c>
      <c r="G70" t="s">
        <v>78</v>
      </c>
      <c r="H70" t="s">
        <v>136</v>
      </c>
      <c r="I70" t="s">
        <v>77</v>
      </c>
      <c r="J70">
        <v>0</v>
      </c>
      <c r="K70">
        <v>0</v>
      </c>
      <c r="L70">
        <v>1</v>
      </c>
      <c r="M70">
        <v>0.5</v>
      </c>
      <c r="N70">
        <v>0</v>
      </c>
      <c r="O70">
        <v>1</v>
      </c>
      <c r="P70">
        <v>0</v>
      </c>
      <c r="Q70">
        <v>2.5</v>
      </c>
      <c r="R70" t="s">
        <v>56</v>
      </c>
      <c r="S70" t="b">
        <v>0</v>
      </c>
      <c r="W70" t="s">
        <v>51</v>
      </c>
    </row>
    <row r="71" spans="1:23" x14ac:dyDescent="0.25">
      <c r="A71" t="s">
        <v>63</v>
      </c>
      <c r="B71">
        <v>2018</v>
      </c>
      <c r="C71">
        <v>2</v>
      </c>
      <c r="D71">
        <v>3</v>
      </c>
      <c r="E71" t="s">
        <v>49</v>
      </c>
      <c r="F71" t="s">
        <v>67</v>
      </c>
      <c r="G71" t="s">
        <v>78</v>
      </c>
      <c r="H71" t="s">
        <v>145</v>
      </c>
      <c r="I71" t="s">
        <v>134</v>
      </c>
      <c r="J71">
        <v>0</v>
      </c>
      <c r="K71">
        <v>3</v>
      </c>
      <c r="L71">
        <v>8</v>
      </c>
      <c r="M71">
        <v>2</v>
      </c>
      <c r="N71">
        <v>0</v>
      </c>
      <c r="O71">
        <v>2</v>
      </c>
      <c r="P71">
        <v>0</v>
      </c>
      <c r="Q71">
        <v>15</v>
      </c>
      <c r="R71" t="s">
        <v>56</v>
      </c>
      <c r="S71" t="b">
        <v>0</v>
      </c>
      <c r="W71" t="s">
        <v>51</v>
      </c>
    </row>
    <row r="72" spans="1:23" x14ac:dyDescent="0.25">
      <c r="A72" t="s">
        <v>48</v>
      </c>
      <c r="B72">
        <v>2018</v>
      </c>
      <c r="C72">
        <v>2</v>
      </c>
      <c r="D72">
        <v>4</v>
      </c>
      <c r="E72" t="s">
        <v>49</v>
      </c>
      <c r="F72" t="s">
        <v>52</v>
      </c>
      <c r="G72" t="s">
        <v>78</v>
      </c>
      <c r="H72" t="s">
        <v>144</v>
      </c>
      <c r="I72" t="s">
        <v>77</v>
      </c>
      <c r="J72">
        <v>0</v>
      </c>
      <c r="K72">
        <v>0</v>
      </c>
      <c r="L72">
        <v>0</v>
      </c>
      <c r="M72">
        <v>0</v>
      </c>
      <c r="N72">
        <v>2</v>
      </c>
      <c r="O72">
        <v>0</v>
      </c>
      <c r="P72">
        <v>0</v>
      </c>
      <c r="Q72">
        <v>2</v>
      </c>
      <c r="R72" t="s">
        <v>56</v>
      </c>
      <c r="S72" t="b">
        <v>0</v>
      </c>
      <c r="W72" t="s">
        <v>51</v>
      </c>
    </row>
    <row r="73" spans="1:23" x14ac:dyDescent="0.25">
      <c r="A73" t="s">
        <v>102</v>
      </c>
      <c r="B73">
        <v>2018</v>
      </c>
      <c r="C73">
        <v>5</v>
      </c>
      <c r="D73">
        <v>1</v>
      </c>
      <c r="E73" t="s">
        <v>49</v>
      </c>
      <c r="F73" t="s">
        <v>64</v>
      </c>
      <c r="G73" t="s">
        <v>78</v>
      </c>
      <c r="H73" t="s">
        <v>115</v>
      </c>
      <c r="I73" t="s">
        <v>108</v>
      </c>
      <c r="J73">
        <v>0</v>
      </c>
      <c r="K73">
        <v>0</v>
      </c>
      <c r="L73">
        <v>2</v>
      </c>
      <c r="M73">
        <v>0</v>
      </c>
      <c r="N73">
        <v>0</v>
      </c>
      <c r="O73">
        <v>0</v>
      </c>
      <c r="P73">
        <v>0</v>
      </c>
      <c r="Q73">
        <v>2</v>
      </c>
      <c r="R73" t="s">
        <v>56</v>
      </c>
      <c r="S73" t="b">
        <v>0</v>
      </c>
      <c r="W73" t="s">
        <v>51</v>
      </c>
    </row>
    <row r="74" spans="1:23" x14ac:dyDescent="0.25">
      <c r="A74" t="s">
        <v>48</v>
      </c>
      <c r="B74">
        <v>2018</v>
      </c>
      <c r="C74">
        <v>4</v>
      </c>
      <c r="D74">
        <v>1</v>
      </c>
      <c r="E74" t="s">
        <v>49</v>
      </c>
      <c r="F74" t="s">
        <v>52</v>
      </c>
      <c r="G74" t="s">
        <v>78</v>
      </c>
      <c r="H74" t="s">
        <v>115</v>
      </c>
      <c r="I74" t="s">
        <v>87</v>
      </c>
      <c r="J74">
        <v>0</v>
      </c>
      <c r="K74">
        <v>0</v>
      </c>
      <c r="L74">
        <v>0</v>
      </c>
      <c r="M74">
        <v>0</v>
      </c>
      <c r="N74">
        <v>1</v>
      </c>
      <c r="O74">
        <v>0</v>
      </c>
      <c r="P74">
        <v>0</v>
      </c>
      <c r="Q74">
        <v>1</v>
      </c>
      <c r="R74" t="s">
        <v>56</v>
      </c>
      <c r="S74" t="b">
        <v>0</v>
      </c>
      <c r="W74" t="s">
        <v>51</v>
      </c>
    </row>
    <row r="75" spans="1:23" x14ac:dyDescent="0.25">
      <c r="A75" t="s">
        <v>102</v>
      </c>
      <c r="B75">
        <v>2018</v>
      </c>
      <c r="C75">
        <v>3</v>
      </c>
      <c r="D75">
        <v>3</v>
      </c>
      <c r="E75" t="s">
        <v>49</v>
      </c>
      <c r="F75" t="s">
        <v>82</v>
      </c>
      <c r="G75" t="s">
        <v>78</v>
      </c>
      <c r="H75" t="s">
        <v>115</v>
      </c>
      <c r="I75" t="s">
        <v>87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1</v>
      </c>
      <c r="R75" t="s">
        <v>56</v>
      </c>
      <c r="S75" t="b">
        <v>0</v>
      </c>
      <c r="W75" t="s">
        <v>51</v>
      </c>
    </row>
    <row r="76" spans="1:23" x14ac:dyDescent="0.25">
      <c r="A76" t="s">
        <v>48</v>
      </c>
      <c r="B76">
        <v>2018</v>
      </c>
      <c r="C76">
        <v>3</v>
      </c>
      <c r="D76">
        <v>2</v>
      </c>
      <c r="E76" t="s">
        <v>49</v>
      </c>
      <c r="F76" t="s">
        <v>138</v>
      </c>
      <c r="G76" t="s">
        <v>78</v>
      </c>
      <c r="H76" t="s">
        <v>115</v>
      </c>
      <c r="I76" t="s">
        <v>77</v>
      </c>
      <c r="J76">
        <v>0</v>
      </c>
      <c r="K76">
        <v>2</v>
      </c>
      <c r="L76">
        <v>0</v>
      </c>
      <c r="M76">
        <v>0</v>
      </c>
      <c r="N76">
        <v>0</v>
      </c>
      <c r="O76">
        <v>0</v>
      </c>
      <c r="P76">
        <v>0</v>
      </c>
      <c r="Q76">
        <v>2</v>
      </c>
      <c r="R76" t="s">
        <v>56</v>
      </c>
      <c r="S76" t="b">
        <v>0</v>
      </c>
      <c r="W76" t="s">
        <v>51</v>
      </c>
    </row>
    <row r="77" spans="1:23" x14ac:dyDescent="0.25">
      <c r="A77" t="s">
        <v>48</v>
      </c>
      <c r="B77">
        <v>2018</v>
      </c>
      <c r="C77">
        <v>3</v>
      </c>
      <c r="D77">
        <v>1</v>
      </c>
      <c r="E77" t="s">
        <v>49</v>
      </c>
      <c r="F77" t="s">
        <v>52</v>
      </c>
      <c r="G77" t="s">
        <v>78</v>
      </c>
      <c r="H77" t="s">
        <v>115</v>
      </c>
      <c r="I77" t="s">
        <v>76</v>
      </c>
      <c r="J77">
        <v>0</v>
      </c>
      <c r="K77">
        <v>2</v>
      </c>
      <c r="L77">
        <v>3</v>
      </c>
      <c r="M77">
        <v>0</v>
      </c>
      <c r="N77">
        <v>0</v>
      </c>
      <c r="O77">
        <v>3</v>
      </c>
      <c r="P77">
        <v>0</v>
      </c>
      <c r="Q77">
        <v>8</v>
      </c>
      <c r="R77" t="s">
        <v>56</v>
      </c>
      <c r="S77" t="b">
        <v>0</v>
      </c>
      <c r="W77" t="s">
        <v>51</v>
      </c>
    </row>
    <row r="78" spans="1:23" x14ac:dyDescent="0.25">
      <c r="A78" t="s">
        <v>48</v>
      </c>
      <c r="B78">
        <v>2018</v>
      </c>
      <c r="C78">
        <v>3</v>
      </c>
      <c r="D78">
        <v>1</v>
      </c>
      <c r="E78" t="s">
        <v>49</v>
      </c>
      <c r="F78" t="s">
        <v>52</v>
      </c>
      <c r="G78" t="s">
        <v>78</v>
      </c>
      <c r="H78" t="s">
        <v>115</v>
      </c>
      <c r="I78" t="s">
        <v>77</v>
      </c>
      <c r="J78">
        <v>0</v>
      </c>
      <c r="K78">
        <v>2</v>
      </c>
      <c r="L78">
        <v>1</v>
      </c>
      <c r="M78">
        <v>0</v>
      </c>
      <c r="N78">
        <v>0</v>
      </c>
      <c r="O78">
        <v>1</v>
      </c>
      <c r="P78">
        <v>0</v>
      </c>
      <c r="Q78">
        <v>4</v>
      </c>
      <c r="R78" t="s">
        <v>56</v>
      </c>
      <c r="S78" t="b">
        <v>0</v>
      </c>
      <c r="W78" t="s">
        <v>51</v>
      </c>
    </row>
    <row r="79" spans="1:23" x14ac:dyDescent="0.25">
      <c r="A79" t="s">
        <v>48</v>
      </c>
      <c r="B79">
        <v>2018</v>
      </c>
      <c r="C79">
        <v>2</v>
      </c>
      <c r="D79">
        <v>4</v>
      </c>
      <c r="E79" t="s">
        <v>49</v>
      </c>
      <c r="F79" t="s">
        <v>52</v>
      </c>
      <c r="G79" t="s">
        <v>78</v>
      </c>
      <c r="H79" t="s">
        <v>115</v>
      </c>
      <c r="I79" t="s">
        <v>77</v>
      </c>
      <c r="J79">
        <v>0</v>
      </c>
      <c r="K79">
        <v>0</v>
      </c>
      <c r="L79">
        <v>6</v>
      </c>
      <c r="M79">
        <v>0</v>
      </c>
      <c r="N79">
        <v>0</v>
      </c>
      <c r="O79">
        <v>0</v>
      </c>
      <c r="P79">
        <v>0</v>
      </c>
      <c r="Q79">
        <v>6</v>
      </c>
      <c r="R79" t="s">
        <v>56</v>
      </c>
      <c r="S79" t="b">
        <v>0</v>
      </c>
      <c r="W79" t="s">
        <v>51</v>
      </c>
    </row>
    <row r="80" spans="1:23" x14ac:dyDescent="0.25">
      <c r="A80" t="s">
        <v>48</v>
      </c>
      <c r="B80">
        <v>2018</v>
      </c>
      <c r="C80">
        <v>2</v>
      </c>
      <c r="D80">
        <v>4</v>
      </c>
      <c r="E80" t="s">
        <v>49</v>
      </c>
      <c r="F80" t="s">
        <v>52</v>
      </c>
      <c r="G80" t="s">
        <v>78</v>
      </c>
      <c r="H80" t="s">
        <v>115</v>
      </c>
      <c r="I80" t="s">
        <v>76</v>
      </c>
      <c r="J80">
        <v>0</v>
      </c>
      <c r="K80">
        <v>0</v>
      </c>
      <c r="L80">
        <v>0</v>
      </c>
      <c r="M80">
        <v>0</v>
      </c>
      <c r="N80">
        <v>4</v>
      </c>
      <c r="O80">
        <v>0</v>
      </c>
      <c r="P80">
        <v>0</v>
      </c>
      <c r="Q80">
        <v>4</v>
      </c>
      <c r="R80" t="s">
        <v>56</v>
      </c>
      <c r="S80" t="b">
        <v>0</v>
      </c>
      <c r="W80" t="s">
        <v>51</v>
      </c>
    </row>
    <row r="81" spans="1:23" x14ac:dyDescent="0.25">
      <c r="A81" t="s">
        <v>102</v>
      </c>
      <c r="B81">
        <v>2018</v>
      </c>
      <c r="C81">
        <v>3</v>
      </c>
      <c r="D81">
        <v>2</v>
      </c>
      <c r="E81" t="s">
        <v>49</v>
      </c>
      <c r="F81" t="s">
        <v>67</v>
      </c>
      <c r="G81" t="s">
        <v>78</v>
      </c>
      <c r="H81" t="s">
        <v>20</v>
      </c>
      <c r="I81" t="s">
        <v>87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1</v>
      </c>
      <c r="R81" t="s">
        <v>56</v>
      </c>
      <c r="S81" t="b">
        <v>0</v>
      </c>
      <c r="W81" t="s">
        <v>51</v>
      </c>
    </row>
    <row r="82" spans="1:23" x14ac:dyDescent="0.25">
      <c r="A82" t="s">
        <v>60</v>
      </c>
      <c r="B82">
        <v>2018</v>
      </c>
      <c r="C82">
        <v>7</v>
      </c>
      <c r="D82">
        <v>1</v>
      </c>
      <c r="E82" t="s">
        <v>49</v>
      </c>
      <c r="F82" t="s">
        <v>64</v>
      </c>
      <c r="G82" t="s">
        <v>78</v>
      </c>
      <c r="H82" t="s">
        <v>57</v>
      </c>
      <c r="I82" t="s">
        <v>61</v>
      </c>
      <c r="J82">
        <v>0</v>
      </c>
      <c r="K82">
        <v>8</v>
      </c>
      <c r="L82">
        <v>8</v>
      </c>
      <c r="M82">
        <v>0</v>
      </c>
      <c r="N82">
        <v>0</v>
      </c>
      <c r="O82">
        <v>0</v>
      </c>
      <c r="P82">
        <v>0</v>
      </c>
      <c r="Q82">
        <v>16</v>
      </c>
      <c r="R82" t="s">
        <v>56</v>
      </c>
      <c r="S82" t="b">
        <v>0</v>
      </c>
      <c r="W82" t="s">
        <v>51</v>
      </c>
    </row>
    <row r="83" spans="1:23" x14ac:dyDescent="0.25">
      <c r="A83" t="s">
        <v>60</v>
      </c>
      <c r="B83">
        <v>2018</v>
      </c>
      <c r="C83">
        <v>6</v>
      </c>
      <c r="D83">
        <v>4</v>
      </c>
      <c r="E83" t="s">
        <v>49</v>
      </c>
      <c r="F83" t="s">
        <v>64</v>
      </c>
      <c r="G83" t="s">
        <v>78</v>
      </c>
      <c r="H83" t="s">
        <v>57</v>
      </c>
      <c r="I83" t="s">
        <v>61</v>
      </c>
      <c r="J83">
        <v>0</v>
      </c>
      <c r="K83">
        <v>8</v>
      </c>
      <c r="L83">
        <v>8</v>
      </c>
      <c r="M83">
        <v>8</v>
      </c>
      <c r="N83">
        <v>8</v>
      </c>
      <c r="O83">
        <v>8</v>
      </c>
      <c r="P83">
        <v>0</v>
      </c>
      <c r="Q83">
        <v>40</v>
      </c>
      <c r="R83" t="s">
        <v>56</v>
      </c>
      <c r="S83" t="b">
        <v>0</v>
      </c>
      <c r="W83" t="s">
        <v>51</v>
      </c>
    </row>
    <row r="84" spans="1:23" x14ac:dyDescent="0.25">
      <c r="A84" t="s">
        <v>63</v>
      </c>
      <c r="B84">
        <v>2018</v>
      </c>
      <c r="C84">
        <v>6</v>
      </c>
      <c r="D84">
        <v>3</v>
      </c>
      <c r="E84" t="s">
        <v>49</v>
      </c>
      <c r="F84" t="s">
        <v>82</v>
      </c>
      <c r="G84" t="s">
        <v>78</v>
      </c>
      <c r="H84" t="s">
        <v>57</v>
      </c>
      <c r="I84" t="s">
        <v>61</v>
      </c>
      <c r="J84">
        <v>0</v>
      </c>
      <c r="K84">
        <v>3</v>
      </c>
      <c r="L84">
        <v>5</v>
      </c>
      <c r="M84">
        <v>0</v>
      </c>
      <c r="N84">
        <v>0</v>
      </c>
      <c r="O84">
        <v>0</v>
      </c>
      <c r="P84">
        <v>0</v>
      </c>
      <c r="Q84">
        <v>8</v>
      </c>
      <c r="R84" t="s">
        <v>56</v>
      </c>
      <c r="S84" t="b">
        <v>0</v>
      </c>
      <c r="W84" t="s">
        <v>51</v>
      </c>
    </row>
    <row r="85" spans="1:23" x14ac:dyDescent="0.25">
      <c r="A85" t="s">
        <v>69</v>
      </c>
      <c r="B85">
        <v>2018</v>
      </c>
      <c r="C85">
        <v>6</v>
      </c>
      <c r="D85">
        <v>3</v>
      </c>
      <c r="E85" t="s">
        <v>49</v>
      </c>
      <c r="F85" t="s">
        <v>82</v>
      </c>
      <c r="G85" t="s">
        <v>78</v>
      </c>
      <c r="H85" t="s">
        <v>57</v>
      </c>
      <c r="I85" t="s">
        <v>61</v>
      </c>
      <c r="J85">
        <v>0</v>
      </c>
      <c r="K85">
        <v>0</v>
      </c>
      <c r="L85">
        <v>0</v>
      </c>
      <c r="M85">
        <v>4</v>
      </c>
      <c r="N85">
        <v>4</v>
      </c>
      <c r="O85">
        <v>3.2</v>
      </c>
      <c r="P85">
        <v>0</v>
      </c>
      <c r="Q85">
        <v>11.2</v>
      </c>
      <c r="R85" t="s">
        <v>56</v>
      </c>
      <c r="S85" t="b">
        <v>0</v>
      </c>
      <c r="W85" t="s">
        <v>51</v>
      </c>
    </row>
    <row r="86" spans="1:23" x14ac:dyDescent="0.25">
      <c r="A86" t="s">
        <v>60</v>
      </c>
      <c r="B86">
        <v>2018</v>
      </c>
      <c r="C86">
        <v>6</v>
      </c>
      <c r="D86">
        <v>3</v>
      </c>
      <c r="E86" t="s">
        <v>49</v>
      </c>
      <c r="F86" t="s">
        <v>64</v>
      </c>
      <c r="G86" t="s">
        <v>78</v>
      </c>
      <c r="H86" t="s">
        <v>57</v>
      </c>
      <c r="I86" t="s">
        <v>61</v>
      </c>
      <c r="J86">
        <v>0</v>
      </c>
      <c r="K86">
        <v>8</v>
      </c>
      <c r="L86">
        <v>8</v>
      </c>
      <c r="M86">
        <v>8</v>
      </c>
      <c r="N86">
        <v>8</v>
      </c>
      <c r="O86">
        <v>8</v>
      </c>
      <c r="P86">
        <v>0</v>
      </c>
      <c r="Q86">
        <v>40</v>
      </c>
      <c r="R86" t="s">
        <v>56</v>
      </c>
      <c r="S86" t="b">
        <v>0</v>
      </c>
      <c r="W86" t="s">
        <v>51</v>
      </c>
    </row>
    <row r="87" spans="1:23" x14ac:dyDescent="0.25">
      <c r="A87" t="s">
        <v>74</v>
      </c>
      <c r="B87">
        <v>2018</v>
      </c>
      <c r="C87">
        <v>6</v>
      </c>
      <c r="D87">
        <v>2</v>
      </c>
      <c r="E87" t="s">
        <v>49</v>
      </c>
      <c r="F87" t="s">
        <v>52</v>
      </c>
      <c r="G87" t="s">
        <v>78</v>
      </c>
      <c r="H87" t="s">
        <v>57</v>
      </c>
      <c r="I87" t="s">
        <v>61</v>
      </c>
      <c r="J87">
        <v>0</v>
      </c>
      <c r="K87">
        <v>0</v>
      </c>
      <c r="L87">
        <v>0</v>
      </c>
      <c r="M87">
        <v>0</v>
      </c>
      <c r="N87">
        <v>4</v>
      </c>
      <c r="O87">
        <v>8</v>
      </c>
      <c r="P87">
        <v>0</v>
      </c>
      <c r="Q87">
        <v>12</v>
      </c>
      <c r="R87" t="s">
        <v>56</v>
      </c>
      <c r="S87" t="b">
        <v>0</v>
      </c>
      <c r="W87" t="s">
        <v>51</v>
      </c>
    </row>
    <row r="88" spans="1:23" x14ac:dyDescent="0.25">
      <c r="A88" t="s">
        <v>74</v>
      </c>
      <c r="B88">
        <v>2018</v>
      </c>
      <c r="C88">
        <v>6</v>
      </c>
      <c r="D88">
        <v>2</v>
      </c>
      <c r="E88" t="s">
        <v>49</v>
      </c>
      <c r="F88" t="s">
        <v>52</v>
      </c>
      <c r="G88" t="s">
        <v>78</v>
      </c>
      <c r="H88" t="s">
        <v>57</v>
      </c>
      <c r="I88" t="s">
        <v>88</v>
      </c>
      <c r="J88">
        <v>0</v>
      </c>
      <c r="K88">
        <v>6</v>
      </c>
      <c r="L88">
        <v>6</v>
      </c>
      <c r="M88">
        <v>0</v>
      </c>
      <c r="N88">
        <v>0</v>
      </c>
      <c r="O88">
        <v>0</v>
      </c>
      <c r="P88">
        <v>0</v>
      </c>
      <c r="Q88">
        <v>12</v>
      </c>
      <c r="R88" t="s">
        <v>56</v>
      </c>
      <c r="S88" t="b">
        <v>0</v>
      </c>
      <c r="W88" t="s">
        <v>51</v>
      </c>
    </row>
    <row r="89" spans="1:23" x14ac:dyDescent="0.25">
      <c r="A89" t="s">
        <v>60</v>
      </c>
      <c r="B89">
        <v>2018</v>
      </c>
      <c r="C89">
        <v>6</v>
      </c>
      <c r="D89">
        <v>2</v>
      </c>
      <c r="E89" t="s">
        <v>49</v>
      </c>
      <c r="F89" t="s">
        <v>64</v>
      </c>
      <c r="G89" t="s">
        <v>78</v>
      </c>
      <c r="H89" t="s">
        <v>57</v>
      </c>
      <c r="I89" t="s">
        <v>61</v>
      </c>
      <c r="J89">
        <v>0</v>
      </c>
      <c r="K89">
        <v>8</v>
      </c>
      <c r="L89">
        <v>8</v>
      </c>
      <c r="M89">
        <v>8</v>
      </c>
      <c r="N89">
        <v>8</v>
      </c>
      <c r="O89">
        <v>8</v>
      </c>
      <c r="P89">
        <v>0</v>
      </c>
      <c r="Q89">
        <v>40</v>
      </c>
      <c r="R89" t="s">
        <v>56</v>
      </c>
      <c r="S89" t="b">
        <v>0</v>
      </c>
      <c r="W89" t="s">
        <v>51</v>
      </c>
    </row>
    <row r="90" spans="1:23" x14ac:dyDescent="0.25">
      <c r="A90" t="s">
        <v>60</v>
      </c>
      <c r="B90">
        <v>2018</v>
      </c>
      <c r="C90">
        <v>6</v>
      </c>
      <c r="D90">
        <v>1</v>
      </c>
      <c r="E90" t="s">
        <v>49</v>
      </c>
      <c r="F90" t="s">
        <v>64</v>
      </c>
      <c r="G90" t="s">
        <v>78</v>
      </c>
      <c r="H90" t="s">
        <v>57</v>
      </c>
      <c r="I90" t="s">
        <v>61</v>
      </c>
      <c r="J90">
        <v>0</v>
      </c>
      <c r="K90">
        <v>8</v>
      </c>
      <c r="L90">
        <v>8</v>
      </c>
      <c r="M90">
        <v>8</v>
      </c>
      <c r="N90">
        <v>8</v>
      </c>
      <c r="O90">
        <v>8</v>
      </c>
      <c r="P90">
        <v>0</v>
      </c>
      <c r="Q90">
        <v>40</v>
      </c>
      <c r="R90" t="s">
        <v>56</v>
      </c>
      <c r="S90" t="b">
        <v>0</v>
      </c>
      <c r="W90" t="s">
        <v>51</v>
      </c>
    </row>
    <row r="91" spans="1:23" x14ac:dyDescent="0.25">
      <c r="A91" t="s">
        <v>74</v>
      </c>
      <c r="B91">
        <v>2018</v>
      </c>
      <c r="C91">
        <v>5</v>
      </c>
      <c r="D91">
        <v>4</v>
      </c>
      <c r="E91" t="s">
        <v>49</v>
      </c>
      <c r="F91" t="s">
        <v>52</v>
      </c>
      <c r="G91" t="s">
        <v>78</v>
      </c>
      <c r="H91" t="s">
        <v>57</v>
      </c>
      <c r="I91" t="s">
        <v>88</v>
      </c>
      <c r="J91">
        <v>0</v>
      </c>
      <c r="K91">
        <v>4</v>
      </c>
      <c r="L91">
        <v>4</v>
      </c>
      <c r="M91">
        <v>0</v>
      </c>
      <c r="N91">
        <v>8</v>
      </c>
      <c r="O91">
        <v>0</v>
      </c>
      <c r="P91">
        <v>0</v>
      </c>
      <c r="Q91">
        <v>16</v>
      </c>
      <c r="R91" t="s">
        <v>56</v>
      </c>
      <c r="S91" t="b">
        <v>0</v>
      </c>
      <c r="W91" t="s">
        <v>51</v>
      </c>
    </row>
    <row r="92" spans="1:23" x14ac:dyDescent="0.25">
      <c r="A92" t="s">
        <v>60</v>
      </c>
      <c r="B92">
        <v>2018</v>
      </c>
      <c r="C92">
        <v>5</v>
      </c>
      <c r="D92">
        <v>4</v>
      </c>
      <c r="E92" t="s">
        <v>49</v>
      </c>
      <c r="F92" t="s">
        <v>64</v>
      </c>
      <c r="G92" t="s">
        <v>78</v>
      </c>
      <c r="H92" t="s">
        <v>57</v>
      </c>
      <c r="I92" t="s">
        <v>61</v>
      </c>
      <c r="J92">
        <v>0</v>
      </c>
      <c r="K92">
        <v>8</v>
      </c>
      <c r="L92">
        <v>8</v>
      </c>
      <c r="M92">
        <v>8</v>
      </c>
      <c r="N92">
        <v>8</v>
      </c>
      <c r="O92">
        <v>8</v>
      </c>
      <c r="P92">
        <v>0</v>
      </c>
      <c r="Q92">
        <v>40</v>
      </c>
      <c r="R92" t="s">
        <v>56</v>
      </c>
      <c r="S92" t="b">
        <v>0</v>
      </c>
      <c r="W92" t="s">
        <v>51</v>
      </c>
    </row>
    <row r="93" spans="1:23" x14ac:dyDescent="0.25">
      <c r="A93" t="s">
        <v>69</v>
      </c>
      <c r="B93">
        <v>2018</v>
      </c>
      <c r="C93">
        <v>5</v>
      </c>
      <c r="D93">
        <v>3</v>
      </c>
      <c r="E93" t="s">
        <v>49</v>
      </c>
      <c r="F93" t="s">
        <v>64</v>
      </c>
      <c r="G93" t="s">
        <v>78</v>
      </c>
      <c r="H93" t="s">
        <v>57</v>
      </c>
      <c r="I93" t="s">
        <v>108</v>
      </c>
      <c r="J93">
        <v>0</v>
      </c>
      <c r="K93">
        <v>6.5</v>
      </c>
      <c r="L93">
        <v>4.5</v>
      </c>
      <c r="M93">
        <v>0</v>
      </c>
      <c r="N93">
        <v>0</v>
      </c>
      <c r="O93">
        <v>0</v>
      </c>
      <c r="P93">
        <v>0</v>
      </c>
      <c r="Q93">
        <v>11</v>
      </c>
      <c r="R93" t="s">
        <v>56</v>
      </c>
      <c r="S93" t="b">
        <v>0</v>
      </c>
      <c r="W93" t="s">
        <v>51</v>
      </c>
    </row>
    <row r="94" spans="1:23" x14ac:dyDescent="0.25">
      <c r="A94" t="s">
        <v>74</v>
      </c>
      <c r="B94">
        <v>2018</v>
      </c>
      <c r="C94">
        <v>5</v>
      </c>
      <c r="D94">
        <v>3</v>
      </c>
      <c r="E94" t="s">
        <v>49</v>
      </c>
      <c r="F94" t="s">
        <v>52</v>
      </c>
      <c r="G94" t="s">
        <v>78</v>
      </c>
      <c r="H94" t="s">
        <v>57</v>
      </c>
      <c r="I94" t="s">
        <v>88</v>
      </c>
      <c r="J94">
        <v>0</v>
      </c>
      <c r="K94">
        <v>0</v>
      </c>
      <c r="L94">
        <v>0</v>
      </c>
      <c r="M94">
        <v>0</v>
      </c>
      <c r="N94">
        <v>6</v>
      </c>
      <c r="O94">
        <v>8</v>
      </c>
      <c r="P94">
        <v>0</v>
      </c>
      <c r="Q94">
        <v>14</v>
      </c>
      <c r="R94" t="s">
        <v>56</v>
      </c>
      <c r="S94" t="b">
        <v>0</v>
      </c>
      <c r="W94" t="s">
        <v>51</v>
      </c>
    </row>
    <row r="95" spans="1:23" x14ac:dyDescent="0.25">
      <c r="A95" t="s">
        <v>60</v>
      </c>
      <c r="B95">
        <v>2018</v>
      </c>
      <c r="C95">
        <v>5</v>
      </c>
      <c r="D95">
        <v>3</v>
      </c>
      <c r="E95" t="s">
        <v>49</v>
      </c>
      <c r="F95" t="s">
        <v>64</v>
      </c>
      <c r="G95" t="s">
        <v>78</v>
      </c>
      <c r="H95" t="s">
        <v>57</v>
      </c>
      <c r="I95" t="s">
        <v>61</v>
      </c>
      <c r="J95">
        <v>0</v>
      </c>
      <c r="K95">
        <v>8</v>
      </c>
      <c r="L95">
        <v>8</v>
      </c>
      <c r="M95">
        <v>0</v>
      </c>
      <c r="N95">
        <v>0</v>
      </c>
      <c r="O95">
        <v>0</v>
      </c>
      <c r="P95">
        <v>0</v>
      </c>
      <c r="Q95">
        <v>16</v>
      </c>
      <c r="R95" t="s">
        <v>56</v>
      </c>
      <c r="S95" t="b">
        <v>0</v>
      </c>
      <c r="W95" t="s">
        <v>51</v>
      </c>
    </row>
    <row r="96" spans="1:23" x14ac:dyDescent="0.25">
      <c r="A96" t="s">
        <v>79</v>
      </c>
      <c r="B96">
        <v>2018</v>
      </c>
      <c r="C96">
        <v>5</v>
      </c>
      <c r="D96">
        <v>3</v>
      </c>
      <c r="E96" t="s">
        <v>49</v>
      </c>
      <c r="F96" t="s">
        <v>82</v>
      </c>
      <c r="G96" t="s">
        <v>78</v>
      </c>
      <c r="H96" t="s">
        <v>57</v>
      </c>
      <c r="I96" t="s">
        <v>81</v>
      </c>
      <c r="J96">
        <v>0</v>
      </c>
      <c r="K96">
        <v>2</v>
      </c>
      <c r="L96">
        <v>1</v>
      </c>
      <c r="M96">
        <v>1</v>
      </c>
      <c r="N96">
        <v>0</v>
      </c>
      <c r="O96">
        <v>0</v>
      </c>
      <c r="P96">
        <v>0</v>
      </c>
      <c r="Q96">
        <v>4</v>
      </c>
      <c r="R96" t="s">
        <v>56</v>
      </c>
      <c r="S96" t="b">
        <v>0</v>
      </c>
      <c r="W96" t="s">
        <v>51</v>
      </c>
    </row>
    <row r="97" spans="1:23" x14ac:dyDescent="0.25">
      <c r="A97" t="s">
        <v>69</v>
      </c>
      <c r="B97">
        <v>2018</v>
      </c>
      <c r="C97">
        <v>5</v>
      </c>
      <c r="D97">
        <v>2</v>
      </c>
      <c r="E97" t="s">
        <v>49</v>
      </c>
      <c r="F97" t="s">
        <v>64</v>
      </c>
      <c r="G97" t="s">
        <v>78</v>
      </c>
      <c r="H97" t="s">
        <v>57</v>
      </c>
      <c r="I97" t="s">
        <v>108</v>
      </c>
      <c r="J97">
        <v>0</v>
      </c>
      <c r="K97">
        <v>0</v>
      </c>
      <c r="L97">
        <v>0</v>
      </c>
      <c r="M97">
        <v>0</v>
      </c>
      <c r="N97">
        <v>0</v>
      </c>
      <c r="O97">
        <v>2</v>
      </c>
      <c r="P97">
        <v>0</v>
      </c>
      <c r="Q97">
        <v>2</v>
      </c>
      <c r="R97" t="s">
        <v>56</v>
      </c>
      <c r="S97" t="b">
        <v>0</v>
      </c>
      <c r="W97" t="s">
        <v>51</v>
      </c>
    </row>
    <row r="98" spans="1:23" x14ac:dyDescent="0.25">
      <c r="A98" t="s">
        <v>102</v>
      </c>
      <c r="B98">
        <v>2018</v>
      </c>
      <c r="C98">
        <v>5</v>
      </c>
      <c r="D98">
        <v>2</v>
      </c>
      <c r="E98" t="s">
        <v>49</v>
      </c>
      <c r="F98" t="s">
        <v>52</v>
      </c>
      <c r="G98" t="s">
        <v>78</v>
      </c>
      <c r="H98" t="s">
        <v>57</v>
      </c>
      <c r="I98" t="s">
        <v>58</v>
      </c>
      <c r="J98">
        <v>0</v>
      </c>
      <c r="K98">
        <v>0</v>
      </c>
      <c r="L98">
        <v>0</v>
      </c>
      <c r="M98">
        <v>0</v>
      </c>
      <c r="N98">
        <v>5</v>
      </c>
      <c r="O98">
        <v>6</v>
      </c>
      <c r="P98">
        <v>0</v>
      </c>
      <c r="Q98">
        <v>11</v>
      </c>
      <c r="R98" t="s">
        <v>56</v>
      </c>
      <c r="S98" t="b">
        <v>0</v>
      </c>
      <c r="W98" t="s">
        <v>51</v>
      </c>
    </row>
    <row r="99" spans="1:23" x14ac:dyDescent="0.25">
      <c r="A99" t="s">
        <v>102</v>
      </c>
      <c r="B99">
        <v>2018</v>
      </c>
      <c r="C99">
        <v>5</v>
      </c>
      <c r="D99">
        <v>2</v>
      </c>
      <c r="E99" t="s">
        <v>49</v>
      </c>
      <c r="F99" t="s">
        <v>82</v>
      </c>
      <c r="G99" t="s">
        <v>78</v>
      </c>
      <c r="H99" t="s">
        <v>57</v>
      </c>
      <c r="I99" t="s">
        <v>110</v>
      </c>
      <c r="J99">
        <v>0</v>
      </c>
      <c r="K99">
        <v>0</v>
      </c>
      <c r="L99">
        <v>4</v>
      </c>
      <c r="M99">
        <v>0</v>
      </c>
      <c r="N99">
        <v>0</v>
      </c>
      <c r="O99">
        <v>0</v>
      </c>
      <c r="P99">
        <v>0</v>
      </c>
      <c r="Q99">
        <v>4</v>
      </c>
      <c r="R99" t="s">
        <v>56</v>
      </c>
      <c r="S99" t="b">
        <v>0</v>
      </c>
      <c r="W99" t="s">
        <v>51</v>
      </c>
    </row>
    <row r="100" spans="1:23" x14ac:dyDescent="0.25">
      <c r="A100" t="s">
        <v>102</v>
      </c>
      <c r="B100">
        <v>2018</v>
      </c>
      <c r="C100">
        <v>5</v>
      </c>
      <c r="D100">
        <v>2</v>
      </c>
      <c r="E100" t="s">
        <v>49</v>
      </c>
      <c r="F100" t="s">
        <v>67</v>
      </c>
      <c r="G100" t="s">
        <v>78</v>
      </c>
      <c r="H100" t="s">
        <v>57</v>
      </c>
      <c r="I100" t="s">
        <v>55</v>
      </c>
      <c r="J100">
        <v>0</v>
      </c>
      <c r="K100">
        <v>0</v>
      </c>
      <c r="L100">
        <v>1</v>
      </c>
      <c r="M100">
        <v>8</v>
      </c>
      <c r="N100">
        <v>1</v>
      </c>
      <c r="O100">
        <v>0</v>
      </c>
      <c r="P100">
        <v>0</v>
      </c>
      <c r="Q100">
        <v>10</v>
      </c>
      <c r="R100" t="s">
        <v>56</v>
      </c>
      <c r="S100" t="b">
        <v>0</v>
      </c>
      <c r="W100" t="s">
        <v>51</v>
      </c>
    </row>
    <row r="101" spans="1:23" x14ac:dyDescent="0.25">
      <c r="A101" t="s">
        <v>74</v>
      </c>
      <c r="B101">
        <v>2018</v>
      </c>
      <c r="C101">
        <v>5</v>
      </c>
      <c r="D101">
        <v>2</v>
      </c>
      <c r="E101" t="s">
        <v>49</v>
      </c>
      <c r="F101" t="s">
        <v>52</v>
      </c>
      <c r="G101" t="s">
        <v>78</v>
      </c>
      <c r="H101" t="s">
        <v>57</v>
      </c>
      <c r="I101" t="s">
        <v>55</v>
      </c>
      <c r="J101">
        <v>0</v>
      </c>
      <c r="K101">
        <v>6.5</v>
      </c>
      <c r="L101">
        <v>0</v>
      </c>
      <c r="M101">
        <v>0</v>
      </c>
      <c r="N101">
        <v>3</v>
      </c>
      <c r="O101">
        <v>0</v>
      </c>
      <c r="P101">
        <v>0</v>
      </c>
      <c r="Q101">
        <v>9.5</v>
      </c>
      <c r="R101" t="s">
        <v>56</v>
      </c>
      <c r="S101" t="b">
        <v>0</v>
      </c>
      <c r="W101" t="s">
        <v>51</v>
      </c>
    </row>
    <row r="102" spans="1:23" x14ac:dyDescent="0.25">
      <c r="A102" t="s">
        <v>74</v>
      </c>
      <c r="B102">
        <v>2018</v>
      </c>
      <c r="C102">
        <v>5</v>
      </c>
      <c r="D102">
        <v>2</v>
      </c>
      <c r="E102" t="s">
        <v>49</v>
      </c>
      <c r="F102" t="s">
        <v>82</v>
      </c>
      <c r="G102" t="s">
        <v>78</v>
      </c>
      <c r="H102" t="s">
        <v>57</v>
      </c>
      <c r="I102" t="s">
        <v>68</v>
      </c>
      <c r="J102">
        <v>0</v>
      </c>
      <c r="K102">
        <v>0</v>
      </c>
      <c r="L102">
        <v>0</v>
      </c>
      <c r="M102">
        <v>0</v>
      </c>
      <c r="N102">
        <v>5</v>
      </c>
      <c r="O102">
        <v>8</v>
      </c>
      <c r="P102">
        <v>0</v>
      </c>
      <c r="Q102">
        <v>13</v>
      </c>
      <c r="R102" t="s">
        <v>56</v>
      </c>
      <c r="S102" t="b">
        <v>0</v>
      </c>
      <c r="W102" t="s">
        <v>51</v>
      </c>
    </row>
    <row r="103" spans="1:23" x14ac:dyDescent="0.25">
      <c r="A103" t="s">
        <v>48</v>
      </c>
      <c r="B103">
        <v>2018</v>
      </c>
      <c r="C103">
        <v>5</v>
      </c>
      <c r="D103">
        <v>2</v>
      </c>
      <c r="E103" t="s">
        <v>49</v>
      </c>
      <c r="F103" t="s">
        <v>52</v>
      </c>
      <c r="G103" t="s">
        <v>78</v>
      </c>
      <c r="H103" t="s">
        <v>57</v>
      </c>
      <c r="I103" t="s">
        <v>59</v>
      </c>
      <c r="J103">
        <v>0</v>
      </c>
      <c r="K103">
        <v>4</v>
      </c>
      <c r="L103">
        <v>2</v>
      </c>
      <c r="M103">
        <v>8</v>
      </c>
      <c r="N103">
        <v>1</v>
      </c>
      <c r="O103">
        <v>0</v>
      </c>
      <c r="P103">
        <v>0</v>
      </c>
      <c r="Q103">
        <v>15</v>
      </c>
      <c r="R103" t="s">
        <v>56</v>
      </c>
      <c r="S103" t="b">
        <v>0</v>
      </c>
      <c r="W103" t="s">
        <v>51</v>
      </c>
    </row>
    <row r="104" spans="1:23" x14ac:dyDescent="0.25">
      <c r="A104" t="s">
        <v>60</v>
      </c>
      <c r="B104">
        <v>2018</v>
      </c>
      <c r="C104">
        <v>5</v>
      </c>
      <c r="D104">
        <v>2</v>
      </c>
      <c r="E104" t="s">
        <v>49</v>
      </c>
      <c r="F104" t="s">
        <v>64</v>
      </c>
      <c r="G104" t="s">
        <v>78</v>
      </c>
      <c r="H104" t="s">
        <v>57</v>
      </c>
      <c r="I104" t="s">
        <v>61</v>
      </c>
      <c r="J104">
        <v>0</v>
      </c>
      <c r="K104">
        <v>0</v>
      </c>
      <c r="L104">
        <v>0</v>
      </c>
      <c r="M104">
        <v>8</v>
      </c>
      <c r="N104">
        <v>8</v>
      </c>
      <c r="O104">
        <v>8</v>
      </c>
      <c r="P104">
        <v>0</v>
      </c>
      <c r="Q104">
        <v>24</v>
      </c>
      <c r="R104" t="s">
        <v>56</v>
      </c>
      <c r="S104" t="b">
        <v>0</v>
      </c>
      <c r="W104" t="s">
        <v>51</v>
      </c>
    </row>
    <row r="105" spans="1:23" x14ac:dyDescent="0.25">
      <c r="A105" t="s">
        <v>79</v>
      </c>
      <c r="B105">
        <v>2018</v>
      </c>
      <c r="C105">
        <v>5</v>
      </c>
      <c r="D105">
        <v>2</v>
      </c>
      <c r="E105" t="s">
        <v>49</v>
      </c>
      <c r="F105" t="s">
        <v>82</v>
      </c>
      <c r="G105" t="s">
        <v>78</v>
      </c>
      <c r="H105" t="s">
        <v>57</v>
      </c>
      <c r="I105" t="s">
        <v>55</v>
      </c>
      <c r="J105">
        <v>0</v>
      </c>
      <c r="K105">
        <v>0</v>
      </c>
      <c r="L105">
        <v>0</v>
      </c>
      <c r="M105">
        <v>0</v>
      </c>
      <c r="N105">
        <v>3</v>
      </c>
      <c r="O105">
        <v>4</v>
      </c>
      <c r="P105">
        <v>0</v>
      </c>
      <c r="Q105">
        <v>7</v>
      </c>
      <c r="R105" t="s">
        <v>56</v>
      </c>
      <c r="S105" t="b">
        <v>0</v>
      </c>
      <c r="W105" t="s">
        <v>51</v>
      </c>
    </row>
    <row r="106" spans="1:23" x14ac:dyDescent="0.25">
      <c r="A106" t="s">
        <v>79</v>
      </c>
      <c r="B106">
        <v>2018</v>
      </c>
      <c r="C106">
        <v>5</v>
      </c>
      <c r="D106">
        <v>2</v>
      </c>
      <c r="E106" t="s">
        <v>49</v>
      </c>
      <c r="F106" t="s">
        <v>82</v>
      </c>
      <c r="G106" t="s">
        <v>78</v>
      </c>
      <c r="H106" t="s">
        <v>57</v>
      </c>
      <c r="I106" t="s">
        <v>113</v>
      </c>
      <c r="J106">
        <v>0</v>
      </c>
      <c r="K106">
        <v>0</v>
      </c>
      <c r="L106">
        <v>4</v>
      </c>
      <c r="M106">
        <v>6</v>
      </c>
      <c r="N106">
        <v>0</v>
      </c>
      <c r="O106">
        <v>0</v>
      </c>
      <c r="P106">
        <v>0</v>
      </c>
      <c r="Q106">
        <v>10</v>
      </c>
      <c r="R106" t="s">
        <v>56</v>
      </c>
      <c r="S106" t="b">
        <v>0</v>
      </c>
      <c r="W106" t="s">
        <v>51</v>
      </c>
    </row>
    <row r="107" spans="1:23" x14ac:dyDescent="0.25">
      <c r="A107" t="s">
        <v>79</v>
      </c>
      <c r="B107">
        <v>2018</v>
      </c>
      <c r="C107">
        <v>5</v>
      </c>
      <c r="D107">
        <v>2</v>
      </c>
      <c r="E107" t="s">
        <v>49</v>
      </c>
      <c r="F107" t="s">
        <v>71</v>
      </c>
      <c r="G107" t="s">
        <v>78</v>
      </c>
      <c r="H107" t="s">
        <v>57</v>
      </c>
      <c r="I107" t="s">
        <v>55</v>
      </c>
      <c r="J107">
        <v>0</v>
      </c>
      <c r="K107">
        <v>0</v>
      </c>
      <c r="L107">
        <v>4</v>
      </c>
      <c r="M107">
        <v>0.5</v>
      </c>
      <c r="N107">
        <v>0</v>
      </c>
      <c r="O107">
        <v>0</v>
      </c>
      <c r="P107">
        <v>0</v>
      </c>
      <c r="Q107">
        <v>4.5</v>
      </c>
      <c r="R107" t="s">
        <v>56</v>
      </c>
      <c r="S107" t="b">
        <v>0</v>
      </c>
      <c r="W107" t="s">
        <v>51</v>
      </c>
    </row>
    <row r="108" spans="1:23" x14ac:dyDescent="0.25">
      <c r="A108" t="s">
        <v>69</v>
      </c>
      <c r="B108">
        <v>2018</v>
      </c>
      <c r="C108">
        <v>5</v>
      </c>
      <c r="D108">
        <v>1</v>
      </c>
      <c r="E108" t="s">
        <v>49</v>
      </c>
      <c r="F108" t="s">
        <v>64</v>
      </c>
      <c r="G108" t="s">
        <v>78</v>
      </c>
      <c r="H108" t="s">
        <v>57</v>
      </c>
      <c r="I108" t="s">
        <v>68</v>
      </c>
      <c r="J108">
        <v>0</v>
      </c>
      <c r="K108">
        <v>6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6</v>
      </c>
      <c r="R108" t="s">
        <v>56</v>
      </c>
      <c r="S108" t="b">
        <v>0</v>
      </c>
      <c r="W108" t="s">
        <v>51</v>
      </c>
    </row>
    <row r="109" spans="1:23" x14ac:dyDescent="0.25">
      <c r="A109" t="s">
        <v>102</v>
      </c>
      <c r="B109">
        <v>2018</v>
      </c>
      <c r="C109">
        <v>5</v>
      </c>
      <c r="D109">
        <v>1</v>
      </c>
      <c r="E109" t="s">
        <v>49</v>
      </c>
      <c r="F109" t="s">
        <v>52</v>
      </c>
      <c r="G109" t="s">
        <v>78</v>
      </c>
      <c r="H109" t="s">
        <v>57</v>
      </c>
      <c r="I109" t="s">
        <v>68</v>
      </c>
      <c r="J109">
        <v>0</v>
      </c>
      <c r="K109">
        <v>2</v>
      </c>
      <c r="L109">
        <v>4</v>
      </c>
      <c r="M109">
        <v>8</v>
      </c>
      <c r="N109">
        <v>7</v>
      </c>
      <c r="O109">
        <v>0</v>
      </c>
      <c r="P109">
        <v>0</v>
      </c>
      <c r="Q109">
        <v>21</v>
      </c>
      <c r="R109" t="s">
        <v>56</v>
      </c>
      <c r="S109" t="b">
        <v>0</v>
      </c>
      <c r="W109" t="s">
        <v>51</v>
      </c>
    </row>
    <row r="110" spans="1:23" x14ac:dyDescent="0.25">
      <c r="A110" t="s">
        <v>74</v>
      </c>
      <c r="B110">
        <v>2018</v>
      </c>
      <c r="C110">
        <v>5</v>
      </c>
      <c r="D110">
        <v>1</v>
      </c>
      <c r="E110" t="s">
        <v>49</v>
      </c>
      <c r="F110" t="s">
        <v>52</v>
      </c>
      <c r="G110" t="s">
        <v>78</v>
      </c>
      <c r="H110" t="s">
        <v>57</v>
      </c>
      <c r="I110" t="s">
        <v>112</v>
      </c>
      <c r="J110">
        <v>0</v>
      </c>
      <c r="K110">
        <v>0</v>
      </c>
      <c r="L110">
        <v>3</v>
      </c>
      <c r="M110">
        <v>2.5</v>
      </c>
      <c r="N110">
        <v>2.5</v>
      </c>
      <c r="O110">
        <v>4</v>
      </c>
      <c r="P110">
        <v>0</v>
      </c>
      <c r="Q110">
        <v>12</v>
      </c>
      <c r="R110" t="s">
        <v>56</v>
      </c>
      <c r="S110" t="b">
        <v>0</v>
      </c>
      <c r="W110" t="s">
        <v>51</v>
      </c>
    </row>
    <row r="111" spans="1:23" x14ac:dyDescent="0.25">
      <c r="A111" t="s">
        <v>48</v>
      </c>
      <c r="B111">
        <v>2018</v>
      </c>
      <c r="C111">
        <v>5</v>
      </c>
      <c r="D111">
        <v>1</v>
      </c>
      <c r="E111" t="s">
        <v>49</v>
      </c>
      <c r="F111" t="s">
        <v>52</v>
      </c>
      <c r="G111" t="s">
        <v>78</v>
      </c>
      <c r="H111" t="s">
        <v>57</v>
      </c>
      <c r="I111" t="s">
        <v>59</v>
      </c>
      <c r="J111">
        <v>0</v>
      </c>
      <c r="K111">
        <v>0</v>
      </c>
      <c r="L111">
        <v>4</v>
      </c>
      <c r="M111">
        <v>0</v>
      </c>
      <c r="N111">
        <v>0</v>
      </c>
      <c r="O111">
        <v>0</v>
      </c>
      <c r="P111">
        <v>4</v>
      </c>
      <c r="Q111">
        <v>8</v>
      </c>
      <c r="R111" t="s">
        <v>56</v>
      </c>
      <c r="S111" t="b">
        <v>0</v>
      </c>
      <c r="W111" t="s">
        <v>51</v>
      </c>
    </row>
    <row r="112" spans="1:23" x14ac:dyDescent="0.25">
      <c r="A112" t="s">
        <v>48</v>
      </c>
      <c r="B112">
        <v>2018</v>
      </c>
      <c r="C112">
        <v>5</v>
      </c>
      <c r="D112">
        <v>1</v>
      </c>
      <c r="E112" t="s">
        <v>49</v>
      </c>
      <c r="F112" t="s">
        <v>67</v>
      </c>
      <c r="G112" t="s">
        <v>78</v>
      </c>
      <c r="H112" t="s">
        <v>57</v>
      </c>
      <c r="I112" t="s">
        <v>58</v>
      </c>
      <c r="J112">
        <v>0</v>
      </c>
      <c r="K112">
        <v>4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5</v>
      </c>
      <c r="R112" t="s">
        <v>56</v>
      </c>
      <c r="S112" t="b">
        <v>0</v>
      </c>
      <c r="W112" t="s">
        <v>51</v>
      </c>
    </row>
    <row r="113" spans="1:23" x14ac:dyDescent="0.25">
      <c r="A113" t="s">
        <v>79</v>
      </c>
      <c r="B113">
        <v>2018</v>
      </c>
      <c r="C113">
        <v>5</v>
      </c>
      <c r="D113">
        <v>1</v>
      </c>
      <c r="E113" t="s">
        <v>49</v>
      </c>
      <c r="F113" t="s">
        <v>52</v>
      </c>
      <c r="G113" t="s">
        <v>78</v>
      </c>
      <c r="H113" t="s">
        <v>57</v>
      </c>
      <c r="I113" t="s">
        <v>58</v>
      </c>
      <c r="J113">
        <v>0</v>
      </c>
      <c r="K113">
        <v>0</v>
      </c>
      <c r="L113">
        <v>6</v>
      </c>
      <c r="M113">
        <v>0</v>
      </c>
      <c r="N113">
        <v>0</v>
      </c>
      <c r="O113">
        <v>2</v>
      </c>
      <c r="P113">
        <v>0</v>
      </c>
      <c r="Q113">
        <v>8</v>
      </c>
      <c r="R113" t="s">
        <v>56</v>
      </c>
      <c r="S113" t="b">
        <v>0</v>
      </c>
      <c r="W113" t="s">
        <v>51</v>
      </c>
    </row>
    <row r="114" spans="1:23" x14ac:dyDescent="0.25">
      <c r="A114" t="s">
        <v>69</v>
      </c>
      <c r="B114">
        <v>2018</v>
      </c>
      <c r="C114">
        <v>4</v>
      </c>
      <c r="D114">
        <v>5</v>
      </c>
      <c r="E114" t="s">
        <v>49</v>
      </c>
      <c r="F114" t="s">
        <v>64</v>
      </c>
      <c r="G114" t="s">
        <v>78</v>
      </c>
      <c r="H114" t="s">
        <v>57</v>
      </c>
      <c r="I114" t="s">
        <v>68</v>
      </c>
      <c r="J114">
        <v>0</v>
      </c>
      <c r="K114">
        <v>0</v>
      </c>
      <c r="L114">
        <v>8</v>
      </c>
      <c r="M114">
        <v>8</v>
      </c>
      <c r="N114">
        <v>0</v>
      </c>
      <c r="O114">
        <v>0</v>
      </c>
      <c r="P114">
        <v>0</v>
      </c>
      <c r="Q114">
        <v>16</v>
      </c>
      <c r="R114" t="s">
        <v>56</v>
      </c>
      <c r="S114" t="b">
        <v>0</v>
      </c>
      <c r="W114" t="s">
        <v>51</v>
      </c>
    </row>
    <row r="115" spans="1:23" x14ac:dyDescent="0.25">
      <c r="A115" t="s">
        <v>102</v>
      </c>
      <c r="B115">
        <v>2018</v>
      </c>
      <c r="C115">
        <v>4</v>
      </c>
      <c r="D115">
        <v>5</v>
      </c>
      <c r="E115" t="s">
        <v>49</v>
      </c>
      <c r="F115" t="s">
        <v>52</v>
      </c>
      <c r="G115" t="s">
        <v>78</v>
      </c>
      <c r="H115" t="s">
        <v>57</v>
      </c>
      <c r="I115" t="s">
        <v>55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>
        <v>0</v>
      </c>
      <c r="Q115">
        <v>1</v>
      </c>
      <c r="R115" t="s">
        <v>56</v>
      </c>
      <c r="S115" t="b">
        <v>0</v>
      </c>
      <c r="W115" t="s">
        <v>51</v>
      </c>
    </row>
    <row r="116" spans="1:23" x14ac:dyDescent="0.25">
      <c r="A116" t="s">
        <v>102</v>
      </c>
      <c r="B116">
        <v>2018</v>
      </c>
      <c r="C116">
        <v>4</v>
      </c>
      <c r="D116">
        <v>5</v>
      </c>
      <c r="E116" t="s">
        <v>49</v>
      </c>
      <c r="F116" t="s">
        <v>52</v>
      </c>
      <c r="G116" t="s">
        <v>78</v>
      </c>
      <c r="H116" t="s">
        <v>57</v>
      </c>
      <c r="I116" t="s">
        <v>68</v>
      </c>
      <c r="J116">
        <v>0</v>
      </c>
      <c r="K116">
        <v>4</v>
      </c>
      <c r="L116">
        <v>0</v>
      </c>
      <c r="M116">
        <v>4</v>
      </c>
      <c r="N116">
        <v>4</v>
      </c>
      <c r="O116">
        <v>5</v>
      </c>
      <c r="P116">
        <v>0</v>
      </c>
      <c r="Q116">
        <v>17</v>
      </c>
      <c r="R116" t="s">
        <v>56</v>
      </c>
      <c r="S116" t="b">
        <v>0</v>
      </c>
      <c r="W116" t="s">
        <v>51</v>
      </c>
    </row>
    <row r="117" spans="1:23" x14ac:dyDescent="0.25">
      <c r="A117" t="s">
        <v>102</v>
      </c>
      <c r="B117">
        <v>2018</v>
      </c>
      <c r="C117">
        <v>4</v>
      </c>
      <c r="D117">
        <v>5</v>
      </c>
      <c r="E117" t="s">
        <v>49</v>
      </c>
      <c r="F117" t="s">
        <v>52</v>
      </c>
      <c r="G117" t="s">
        <v>78</v>
      </c>
      <c r="H117" t="s">
        <v>57</v>
      </c>
      <c r="I117" t="s">
        <v>119</v>
      </c>
      <c r="J117">
        <v>0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 t="s">
        <v>56</v>
      </c>
      <c r="S117" t="b">
        <v>0</v>
      </c>
      <c r="W117" t="s">
        <v>51</v>
      </c>
    </row>
    <row r="118" spans="1:23" x14ac:dyDescent="0.25">
      <c r="A118" t="s">
        <v>48</v>
      </c>
      <c r="B118">
        <v>2018</v>
      </c>
      <c r="C118">
        <v>4</v>
      </c>
      <c r="D118">
        <v>5</v>
      </c>
      <c r="E118" t="s">
        <v>49</v>
      </c>
      <c r="F118" t="s">
        <v>52</v>
      </c>
      <c r="G118" t="s">
        <v>78</v>
      </c>
      <c r="H118" t="s">
        <v>57</v>
      </c>
      <c r="I118" t="s">
        <v>59</v>
      </c>
      <c r="J118">
        <v>0</v>
      </c>
      <c r="K118">
        <v>6</v>
      </c>
      <c r="L118">
        <v>0</v>
      </c>
      <c r="M118">
        <v>3</v>
      </c>
      <c r="N118">
        <v>5</v>
      </c>
      <c r="O118">
        <v>4</v>
      </c>
      <c r="P118">
        <v>0</v>
      </c>
      <c r="Q118">
        <v>18</v>
      </c>
      <c r="R118" t="s">
        <v>56</v>
      </c>
      <c r="S118" t="b">
        <v>0</v>
      </c>
      <c r="W118" t="s">
        <v>51</v>
      </c>
    </row>
    <row r="119" spans="1:23" x14ac:dyDescent="0.25">
      <c r="A119" t="s">
        <v>79</v>
      </c>
      <c r="B119">
        <v>2018</v>
      </c>
      <c r="C119">
        <v>4</v>
      </c>
      <c r="D119">
        <v>5</v>
      </c>
      <c r="E119" t="s">
        <v>49</v>
      </c>
      <c r="F119" t="s">
        <v>52</v>
      </c>
      <c r="G119" t="s">
        <v>78</v>
      </c>
      <c r="H119" t="s">
        <v>57</v>
      </c>
      <c r="I119" t="s">
        <v>55</v>
      </c>
      <c r="J119">
        <v>0</v>
      </c>
      <c r="K119">
        <v>0</v>
      </c>
      <c r="L119">
        <v>0</v>
      </c>
      <c r="M119">
        <v>3</v>
      </c>
      <c r="N119">
        <v>0</v>
      </c>
      <c r="O119">
        <v>0</v>
      </c>
      <c r="P119">
        <v>0</v>
      </c>
      <c r="Q119">
        <v>3</v>
      </c>
      <c r="R119" t="s">
        <v>56</v>
      </c>
      <c r="S119" t="b">
        <v>0</v>
      </c>
      <c r="W119" t="s">
        <v>51</v>
      </c>
    </row>
    <row r="120" spans="1:23" x14ac:dyDescent="0.25">
      <c r="A120" t="s">
        <v>69</v>
      </c>
      <c r="B120">
        <v>2018</v>
      </c>
      <c r="C120">
        <v>4</v>
      </c>
      <c r="D120">
        <v>4</v>
      </c>
      <c r="E120" t="s">
        <v>49</v>
      </c>
      <c r="F120" t="s">
        <v>64</v>
      </c>
      <c r="G120" t="s">
        <v>78</v>
      </c>
      <c r="H120" t="s">
        <v>57</v>
      </c>
      <c r="I120" t="s">
        <v>68</v>
      </c>
      <c r="J120">
        <v>0</v>
      </c>
      <c r="K120">
        <v>9</v>
      </c>
      <c r="L120">
        <v>9</v>
      </c>
      <c r="M120">
        <v>8</v>
      </c>
      <c r="N120">
        <v>5</v>
      </c>
      <c r="O120">
        <v>4.5</v>
      </c>
      <c r="P120">
        <v>0</v>
      </c>
      <c r="Q120">
        <v>35.5</v>
      </c>
      <c r="R120" t="s">
        <v>56</v>
      </c>
      <c r="S120" t="b">
        <v>0</v>
      </c>
      <c r="W120" t="s">
        <v>51</v>
      </c>
    </row>
    <row r="121" spans="1:23" x14ac:dyDescent="0.25">
      <c r="A121" t="s">
        <v>102</v>
      </c>
      <c r="B121">
        <v>2018</v>
      </c>
      <c r="C121">
        <v>4</v>
      </c>
      <c r="D121">
        <v>4</v>
      </c>
      <c r="E121" t="s">
        <v>49</v>
      </c>
      <c r="F121" t="s">
        <v>52</v>
      </c>
      <c r="G121" t="s">
        <v>78</v>
      </c>
      <c r="H121" t="s">
        <v>57</v>
      </c>
      <c r="I121" t="s">
        <v>68</v>
      </c>
      <c r="J121">
        <v>0</v>
      </c>
      <c r="K121">
        <v>0</v>
      </c>
      <c r="L121">
        <v>7</v>
      </c>
      <c r="M121">
        <v>0</v>
      </c>
      <c r="N121">
        <v>0</v>
      </c>
      <c r="O121">
        <v>5</v>
      </c>
      <c r="P121">
        <v>0</v>
      </c>
      <c r="Q121">
        <v>12</v>
      </c>
      <c r="R121" t="s">
        <v>56</v>
      </c>
      <c r="S121" t="b">
        <v>0</v>
      </c>
      <c r="W121" t="s">
        <v>51</v>
      </c>
    </row>
    <row r="122" spans="1:23" x14ac:dyDescent="0.25">
      <c r="A122" t="s">
        <v>48</v>
      </c>
      <c r="B122">
        <v>2018</v>
      </c>
      <c r="C122">
        <v>4</v>
      </c>
      <c r="D122">
        <v>4</v>
      </c>
      <c r="E122" t="s">
        <v>49</v>
      </c>
      <c r="F122" t="s">
        <v>67</v>
      </c>
      <c r="G122" t="s">
        <v>78</v>
      </c>
      <c r="H122" t="s">
        <v>57</v>
      </c>
      <c r="I122" t="s">
        <v>58</v>
      </c>
      <c r="J122">
        <v>0</v>
      </c>
      <c r="K122">
        <v>6</v>
      </c>
      <c r="L122">
        <v>1</v>
      </c>
      <c r="M122">
        <v>3</v>
      </c>
      <c r="N122">
        <v>0</v>
      </c>
      <c r="O122">
        <v>0</v>
      </c>
      <c r="P122">
        <v>0</v>
      </c>
      <c r="Q122">
        <v>10</v>
      </c>
      <c r="R122" t="s">
        <v>56</v>
      </c>
      <c r="S122" t="b">
        <v>0</v>
      </c>
      <c r="W122" t="s">
        <v>51</v>
      </c>
    </row>
    <row r="123" spans="1:23" x14ac:dyDescent="0.25">
      <c r="A123" t="s">
        <v>48</v>
      </c>
      <c r="B123">
        <v>2018</v>
      </c>
      <c r="C123">
        <v>4</v>
      </c>
      <c r="D123">
        <v>4</v>
      </c>
      <c r="E123" t="s">
        <v>49</v>
      </c>
      <c r="F123" t="s">
        <v>52</v>
      </c>
      <c r="G123" t="s">
        <v>78</v>
      </c>
      <c r="H123" t="s">
        <v>57</v>
      </c>
      <c r="I123" t="s">
        <v>55</v>
      </c>
      <c r="J123">
        <v>0</v>
      </c>
      <c r="K123">
        <v>0</v>
      </c>
      <c r="L123">
        <v>0</v>
      </c>
      <c r="M123">
        <v>0</v>
      </c>
      <c r="N123">
        <v>2</v>
      </c>
      <c r="O123">
        <v>0</v>
      </c>
      <c r="P123">
        <v>0</v>
      </c>
      <c r="Q123">
        <v>2</v>
      </c>
      <c r="R123" t="s">
        <v>56</v>
      </c>
      <c r="S123" t="b">
        <v>0</v>
      </c>
      <c r="W123" t="s">
        <v>51</v>
      </c>
    </row>
    <row r="124" spans="1:23" x14ac:dyDescent="0.25">
      <c r="A124" t="s">
        <v>79</v>
      </c>
      <c r="B124">
        <v>2018</v>
      </c>
      <c r="C124">
        <v>4</v>
      </c>
      <c r="D124">
        <v>4</v>
      </c>
      <c r="E124" t="s">
        <v>49</v>
      </c>
      <c r="F124" t="s">
        <v>52</v>
      </c>
      <c r="G124" t="s">
        <v>78</v>
      </c>
      <c r="H124" t="s">
        <v>57</v>
      </c>
      <c r="I124" t="s">
        <v>55</v>
      </c>
      <c r="J124">
        <v>0</v>
      </c>
      <c r="K124">
        <v>0</v>
      </c>
      <c r="L124">
        <v>5</v>
      </c>
      <c r="M124">
        <v>0</v>
      </c>
      <c r="N124">
        <v>0</v>
      </c>
      <c r="O124">
        <v>0</v>
      </c>
      <c r="P124">
        <v>0</v>
      </c>
      <c r="Q124">
        <v>5</v>
      </c>
      <c r="R124" t="s">
        <v>56</v>
      </c>
      <c r="S124" t="b">
        <v>0</v>
      </c>
      <c r="W124" t="s">
        <v>51</v>
      </c>
    </row>
    <row r="125" spans="1:23" x14ac:dyDescent="0.25">
      <c r="A125" t="s">
        <v>69</v>
      </c>
      <c r="B125">
        <v>2018</v>
      </c>
      <c r="C125">
        <v>4</v>
      </c>
      <c r="D125">
        <v>3</v>
      </c>
      <c r="E125" t="s">
        <v>49</v>
      </c>
      <c r="F125" t="s">
        <v>64</v>
      </c>
      <c r="G125" t="s">
        <v>78</v>
      </c>
      <c r="H125" t="s">
        <v>57</v>
      </c>
      <c r="I125" t="s">
        <v>68</v>
      </c>
      <c r="J125">
        <v>0</v>
      </c>
      <c r="K125">
        <v>1.5</v>
      </c>
      <c r="L125">
        <v>0</v>
      </c>
      <c r="M125">
        <v>0</v>
      </c>
      <c r="N125">
        <v>0.2</v>
      </c>
      <c r="O125">
        <v>0.3</v>
      </c>
      <c r="P125">
        <v>0</v>
      </c>
      <c r="Q125">
        <v>2</v>
      </c>
      <c r="R125" t="s">
        <v>56</v>
      </c>
      <c r="S125" t="b">
        <v>0</v>
      </c>
      <c r="W125" t="s">
        <v>51</v>
      </c>
    </row>
    <row r="126" spans="1:23" x14ac:dyDescent="0.25">
      <c r="A126" t="s">
        <v>102</v>
      </c>
      <c r="B126">
        <v>2018</v>
      </c>
      <c r="C126">
        <v>4</v>
      </c>
      <c r="D126">
        <v>3</v>
      </c>
      <c r="E126" t="s">
        <v>49</v>
      </c>
      <c r="F126" t="s">
        <v>52</v>
      </c>
      <c r="G126" t="s">
        <v>78</v>
      </c>
      <c r="H126" t="s">
        <v>57</v>
      </c>
      <c r="I126" t="s">
        <v>68</v>
      </c>
      <c r="J126">
        <v>0</v>
      </c>
      <c r="K126">
        <v>5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5</v>
      </c>
      <c r="R126" t="s">
        <v>56</v>
      </c>
      <c r="S126" t="b">
        <v>0</v>
      </c>
      <c r="W126" t="s">
        <v>51</v>
      </c>
    </row>
    <row r="127" spans="1:23" x14ac:dyDescent="0.25">
      <c r="A127" t="s">
        <v>79</v>
      </c>
      <c r="B127">
        <v>2018</v>
      </c>
      <c r="C127">
        <v>4</v>
      </c>
      <c r="D127">
        <v>3</v>
      </c>
      <c r="E127" t="s">
        <v>49</v>
      </c>
      <c r="F127" t="s">
        <v>52</v>
      </c>
      <c r="G127" t="s">
        <v>78</v>
      </c>
      <c r="H127" t="s">
        <v>57</v>
      </c>
      <c r="I127" t="s">
        <v>58</v>
      </c>
      <c r="J127">
        <v>0</v>
      </c>
      <c r="K127">
        <v>2.5</v>
      </c>
      <c r="L127">
        <v>6</v>
      </c>
      <c r="M127">
        <v>0</v>
      </c>
      <c r="N127">
        <v>0</v>
      </c>
      <c r="O127">
        <v>0</v>
      </c>
      <c r="P127">
        <v>0</v>
      </c>
      <c r="Q127">
        <v>8.5</v>
      </c>
      <c r="R127" t="s">
        <v>56</v>
      </c>
      <c r="S127" t="b">
        <v>0</v>
      </c>
      <c r="W127" t="s">
        <v>51</v>
      </c>
    </row>
    <row r="128" spans="1:23" x14ac:dyDescent="0.25">
      <c r="A128" t="s">
        <v>69</v>
      </c>
      <c r="B128">
        <v>2018</v>
      </c>
      <c r="C128">
        <v>4</v>
      </c>
      <c r="D128">
        <v>2</v>
      </c>
      <c r="E128" t="s">
        <v>49</v>
      </c>
      <c r="F128" t="s">
        <v>64</v>
      </c>
      <c r="G128" t="s">
        <v>78</v>
      </c>
      <c r="H128" t="s">
        <v>57</v>
      </c>
      <c r="I128" t="s">
        <v>68</v>
      </c>
      <c r="J128">
        <v>0</v>
      </c>
      <c r="K128">
        <v>0.5</v>
      </c>
      <c r="L128">
        <v>0.5</v>
      </c>
      <c r="M128">
        <v>0</v>
      </c>
      <c r="N128">
        <v>1</v>
      </c>
      <c r="O128">
        <v>1</v>
      </c>
      <c r="P128">
        <v>0</v>
      </c>
      <c r="Q128">
        <v>3</v>
      </c>
      <c r="R128" t="s">
        <v>56</v>
      </c>
      <c r="S128" t="b">
        <v>0</v>
      </c>
      <c r="W128" t="s">
        <v>51</v>
      </c>
    </row>
    <row r="129" spans="1:23" x14ac:dyDescent="0.25">
      <c r="A129" t="s">
        <v>102</v>
      </c>
      <c r="B129">
        <v>2018</v>
      </c>
      <c r="C129">
        <v>4</v>
      </c>
      <c r="D129">
        <v>2</v>
      </c>
      <c r="E129" t="s">
        <v>49</v>
      </c>
      <c r="F129" t="s">
        <v>52</v>
      </c>
      <c r="G129" t="s">
        <v>78</v>
      </c>
      <c r="H129" t="s">
        <v>57</v>
      </c>
      <c r="I129" t="s">
        <v>87</v>
      </c>
      <c r="J129">
        <v>0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1</v>
      </c>
      <c r="R129" t="s">
        <v>56</v>
      </c>
      <c r="S129" t="b">
        <v>0</v>
      </c>
      <c r="W129" t="s">
        <v>51</v>
      </c>
    </row>
    <row r="130" spans="1:23" x14ac:dyDescent="0.25">
      <c r="A130" t="s">
        <v>102</v>
      </c>
      <c r="B130">
        <v>2018</v>
      </c>
      <c r="C130">
        <v>4</v>
      </c>
      <c r="D130">
        <v>2</v>
      </c>
      <c r="E130" t="s">
        <v>49</v>
      </c>
      <c r="F130" t="s">
        <v>52</v>
      </c>
      <c r="G130" t="s">
        <v>78</v>
      </c>
      <c r="H130" t="s">
        <v>57</v>
      </c>
      <c r="I130" t="s">
        <v>119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 t="s">
        <v>56</v>
      </c>
      <c r="S130" t="b">
        <v>0</v>
      </c>
      <c r="W130" t="s">
        <v>51</v>
      </c>
    </row>
    <row r="131" spans="1:23" x14ac:dyDescent="0.25">
      <c r="A131" t="s">
        <v>102</v>
      </c>
      <c r="B131">
        <v>2018</v>
      </c>
      <c r="C131">
        <v>4</v>
      </c>
      <c r="D131">
        <v>2</v>
      </c>
      <c r="E131" t="s">
        <v>49</v>
      </c>
      <c r="F131" t="s">
        <v>52</v>
      </c>
      <c r="G131" t="s">
        <v>78</v>
      </c>
      <c r="H131" t="s">
        <v>57</v>
      </c>
      <c r="I131" t="s">
        <v>68</v>
      </c>
      <c r="J131">
        <v>0</v>
      </c>
      <c r="K131">
        <v>3</v>
      </c>
      <c r="L131">
        <v>5</v>
      </c>
      <c r="M131">
        <v>4</v>
      </c>
      <c r="N131">
        <v>4</v>
      </c>
      <c r="O131">
        <v>0</v>
      </c>
      <c r="P131">
        <v>0</v>
      </c>
      <c r="Q131">
        <v>16</v>
      </c>
      <c r="R131" t="s">
        <v>56</v>
      </c>
      <c r="S131" t="b">
        <v>0</v>
      </c>
      <c r="W131" t="s">
        <v>51</v>
      </c>
    </row>
    <row r="132" spans="1:23" x14ac:dyDescent="0.25">
      <c r="A132" t="s">
        <v>69</v>
      </c>
      <c r="B132">
        <v>2018</v>
      </c>
      <c r="C132">
        <v>4</v>
      </c>
      <c r="D132">
        <v>1</v>
      </c>
      <c r="E132" t="s">
        <v>49</v>
      </c>
      <c r="F132" t="s">
        <v>64</v>
      </c>
      <c r="G132" t="s">
        <v>78</v>
      </c>
      <c r="H132" t="s">
        <v>57</v>
      </c>
      <c r="I132" t="s">
        <v>68</v>
      </c>
      <c r="J132">
        <v>0</v>
      </c>
      <c r="K132">
        <v>0.5</v>
      </c>
      <c r="L132">
        <v>3.2</v>
      </c>
      <c r="M132">
        <v>2.5</v>
      </c>
      <c r="N132">
        <v>2.2999999999999998</v>
      </c>
      <c r="O132">
        <v>4.9000000000000004</v>
      </c>
      <c r="P132">
        <v>0</v>
      </c>
      <c r="Q132">
        <v>13.4</v>
      </c>
      <c r="R132" t="s">
        <v>56</v>
      </c>
      <c r="S132" t="b">
        <v>0</v>
      </c>
      <c r="W132" t="s">
        <v>51</v>
      </c>
    </row>
    <row r="133" spans="1:23" x14ac:dyDescent="0.25">
      <c r="A133" t="s">
        <v>102</v>
      </c>
      <c r="B133">
        <v>2018</v>
      </c>
      <c r="C133">
        <v>4</v>
      </c>
      <c r="D133">
        <v>1</v>
      </c>
      <c r="E133" t="s">
        <v>49</v>
      </c>
      <c r="F133" t="s">
        <v>52</v>
      </c>
      <c r="G133" t="s">
        <v>78</v>
      </c>
      <c r="H133" t="s">
        <v>57</v>
      </c>
      <c r="I133" t="s">
        <v>87</v>
      </c>
      <c r="J133">
        <v>0</v>
      </c>
      <c r="K133">
        <v>0</v>
      </c>
      <c r="L133">
        <v>0</v>
      </c>
      <c r="M133">
        <v>0</v>
      </c>
      <c r="N133">
        <v>1</v>
      </c>
      <c r="O133">
        <v>0</v>
      </c>
      <c r="P133">
        <v>0</v>
      </c>
      <c r="Q133">
        <v>1</v>
      </c>
      <c r="R133" t="s">
        <v>56</v>
      </c>
      <c r="S133" t="b">
        <v>0</v>
      </c>
      <c r="W133" t="s">
        <v>51</v>
      </c>
    </row>
    <row r="134" spans="1:23" x14ac:dyDescent="0.25">
      <c r="A134" t="s">
        <v>102</v>
      </c>
      <c r="B134">
        <v>2018</v>
      </c>
      <c r="C134">
        <v>4</v>
      </c>
      <c r="D134">
        <v>1</v>
      </c>
      <c r="E134" t="s">
        <v>49</v>
      </c>
      <c r="F134" t="s">
        <v>52</v>
      </c>
      <c r="G134" t="s">
        <v>78</v>
      </c>
      <c r="H134" t="s">
        <v>57</v>
      </c>
      <c r="I134" t="s">
        <v>68</v>
      </c>
      <c r="J134">
        <v>0</v>
      </c>
      <c r="K134">
        <v>4</v>
      </c>
      <c r="L134">
        <v>1</v>
      </c>
      <c r="M134">
        <v>2</v>
      </c>
      <c r="N134">
        <v>3</v>
      </c>
      <c r="O134">
        <v>5</v>
      </c>
      <c r="P134">
        <v>0</v>
      </c>
      <c r="Q134">
        <v>15</v>
      </c>
      <c r="R134" t="s">
        <v>56</v>
      </c>
      <c r="S134" t="b">
        <v>0</v>
      </c>
      <c r="W134" t="s">
        <v>51</v>
      </c>
    </row>
    <row r="135" spans="1:23" x14ac:dyDescent="0.25">
      <c r="A135" t="s">
        <v>102</v>
      </c>
      <c r="B135">
        <v>2018</v>
      </c>
      <c r="C135">
        <v>4</v>
      </c>
      <c r="D135">
        <v>1</v>
      </c>
      <c r="E135" t="s">
        <v>49</v>
      </c>
      <c r="F135" t="s">
        <v>52</v>
      </c>
      <c r="G135" t="s">
        <v>78</v>
      </c>
      <c r="H135" t="s">
        <v>57</v>
      </c>
      <c r="I135" t="s">
        <v>119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1</v>
      </c>
      <c r="R135" t="s">
        <v>56</v>
      </c>
      <c r="S135" t="b">
        <v>0</v>
      </c>
      <c r="W135" t="s">
        <v>51</v>
      </c>
    </row>
    <row r="136" spans="1:23" x14ac:dyDescent="0.25">
      <c r="A136" t="s">
        <v>74</v>
      </c>
      <c r="B136">
        <v>2018</v>
      </c>
      <c r="C136">
        <v>4</v>
      </c>
      <c r="D136">
        <v>1</v>
      </c>
      <c r="E136" t="s">
        <v>49</v>
      </c>
      <c r="F136" t="s">
        <v>52</v>
      </c>
      <c r="G136" t="s">
        <v>78</v>
      </c>
      <c r="H136" t="s">
        <v>57</v>
      </c>
      <c r="I136" t="s">
        <v>134</v>
      </c>
      <c r="J136">
        <v>0</v>
      </c>
      <c r="K136">
        <v>2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2</v>
      </c>
      <c r="R136" t="s">
        <v>56</v>
      </c>
      <c r="S136" t="b">
        <v>0</v>
      </c>
      <c r="W136" t="s">
        <v>51</v>
      </c>
    </row>
    <row r="137" spans="1:23" x14ac:dyDescent="0.25">
      <c r="A137" t="s">
        <v>69</v>
      </c>
      <c r="B137">
        <v>2018</v>
      </c>
      <c r="C137">
        <v>3</v>
      </c>
      <c r="D137">
        <v>4</v>
      </c>
      <c r="E137" t="s">
        <v>49</v>
      </c>
      <c r="F137" t="s">
        <v>64</v>
      </c>
      <c r="G137" t="s">
        <v>78</v>
      </c>
      <c r="H137" t="s">
        <v>57</v>
      </c>
      <c r="I137" t="s">
        <v>58</v>
      </c>
      <c r="J137">
        <v>0</v>
      </c>
      <c r="K137">
        <v>6</v>
      </c>
      <c r="L137">
        <v>1</v>
      </c>
      <c r="M137">
        <v>1.5</v>
      </c>
      <c r="N137">
        <v>0</v>
      </c>
      <c r="O137">
        <v>0</v>
      </c>
      <c r="P137">
        <v>0</v>
      </c>
      <c r="Q137">
        <v>8.5</v>
      </c>
      <c r="R137" t="s">
        <v>56</v>
      </c>
      <c r="S137" t="b">
        <v>0</v>
      </c>
      <c r="W137" t="s">
        <v>51</v>
      </c>
    </row>
    <row r="138" spans="1:23" x14ac:dyDescent="0.25">
      <c r="A138" t="s">
        <v>69</v>
      </c>
      <c r="B138">
        <v>2018</v>
      </c>
      <c r="C138">
        <v>3</v>
      </c>
      <c r="D138">
        <v>4</v>
      </c>
      <c r="E138" t="s">
        <v>49</v>
      </c>
      <c r="F138" t="s">
        <v>64</v>
      </c>
      <c r="G138" t="s">
        <v>78</v>
      </c>
      <c r="H138" t="s">
        <v>57</v>
      </c>
      <c r="I138" t="s">
        <v>68</v>
      </c>
      <c r="J138">
        <v>0</v>
      </c>
      <c r="K138">
        <v>0</v>
      </c>
      <c r="L138">
        <v>2</v>
      </c>
      <c r="M138">
        <v>1.5</v>
      </c>
      <c r="N138">
        <v>1</v>
      </c>
      <c r="O138">
        <v>0</v>
      </c>
      <c r="P138">
        <v>0</v>
      </c>
      <c r="Q138">
        <v>4.5</v>
      </c>
      <c r="R138" t="s">
        <v>56</v>
      </c>
      <c r="S138" t="b">
        <v>0</v>
      </c>
      <c r="W138" t="s">
        <v>51</v>
      </c>
    </row>
    <row r="139" spans="1:23" x14ac:dyDescent="0.25">
      <c r="A139" t="s">
        <v>102</v>
      </c>
      <c r="B139">
        <v>2018</v>
      </c>
      <c r="C139">
        <v>3</v>
      </c>
      <c r="D139">
        <v>4</v>
      </c>
      <c r="E139" t="s">
        <v>49</v>
      </c>
      <c r="F139" t="s">
        <v>52</v>
      </c>
      <c r="G139" t="s">
        <v>78</v>
      </c>
      <c r="H139" t="s">
        <v>57</v>
      </c>
      <c r="I139" t="s">
        <v>87</v>
      </c>
      <c r="J139">
        <v>0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1</v>
      </c>
      <c r="R139" t="s">
        <v>56</v>
      </c>
      <c r="S139" t="b">
        <v>0</v>
      </c>
      <c r="W139" t="s">
        <v>51</v>
      </c>
    </row>
    <row r="140" spans="1:23" x14ac:dyDescent="0.25">
      <c r="A140" t="s">
        <v>102</v>
      </c>
      <c r="B140">
        <v>2018</v>
      </c>
      <c r="C140">
        <v>3</v>
      </c>
      <c r="D140">
        <v>4</v>
      </c>
      <c r="E140" t="s">
        <v>49</v>
      </c>
      <c r="F140" t="s">
        <v>52</v>
      </c>
      <c r="G140" t="s">
        <v>78</v>
      </c>
      <c r="H140" t="s">
        <v>57</v>
      </c>
      <c r="I140" t="s">
        <v>68</v>
      </c>
      <c r="J140">
        <v>0</v>
      </c>
      <c r="K140">
        <v>6</v>
      </c>
      <c r="L140">
        <v>4</v>
      </c>
      <c r="M140">
        <v>2</v>
      </c>
      <c r="N140">
        <v>3</v>
      </c>
      <c r="O140">
        <v>0</v>
      </c>
      <c r="P140">
        <v>0</v>
      </c>
      <c r="Q140">
        <v>15</v>
      </c>
      <c r="R140" t="s">
        <v>56</v>
      </c>
      <c r="S140" t="b">
        <v>0</v>
      </c>
      <c r="W140" t="s">
        <v>51</v>
      </c>
    </row>
    <row r="141" spans="1:23" x14ac:dyDescent="0.25">
      <c r="A141" t="s">
        <v>102</v>
      </c>
      <c r="B141">
        <v>2018</v>
      </c>
      <c r="C141">
        <v>3</v>
      </c>
      <c r="D141">
        <v>4</v>
      </c>
      <c r="E141" t="s">
        <v>49</v>
      </c>
      <c r="F141" t="s">
        <v>52</v>
      </c>
      <c r="G141" t="s">
        <v>78</v>
      </c>
      <c r="H141" t="s">
        <v>57</v>
      </c>
      <c r="I141" t="s">
        <v>119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1</v>
      </c>
      <c r="R141" t="s">
        <v>56</v>
      </c>
      <c r="S141" t="b">
        <v>0</v>
      </c>
      <c r="W141" t="s">
        <v>51</v>
      </c>
    </row>
    <row r="142" spans="1:23" x14ac:dyDescent="0.25">
      <c r="A142" t="s">
        <v>69</v>
      </c>
      <c r="B142">
        <v>2018</v>
      </c>
      <c r="C142">
        <v>3</v>
      </c>
      <c r="D142">
        <v>3</v>
      </c>
      <c r="E142" t="s">
        <v>49</v>
      </c>
      <c r="F142" t="s">
        <v>64</v>
      </c>
      <c r="G142" t="s">
        <v>78</v>
      </c>
      <c r="H142" t="s">
        <v>57</v>
      </c>
      <c r="I142" t="s">
        <v>58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6.8</v>
      </c>
      <c r="P142">
        <v>0</v>
      </c>
      <c r="Q142">
        <v>6.8</v>
      </c>
      <c r="R142" t="s">
        <v>56</v>
      </c>
      <c r="S142" t="b">
        <v>0</v>
      </c>
      <c r="W142" t="s">
        <v>51</v>
      </c>
    </row>
    <row r="143" spans="1:23" x14ac:dyDescent="0.25">
      <c r="A143" t="s">
        <v>102</v>
      </c>
      <c r="B143">
        <v>2018</v>
      </c>
      <c r="C143">
        <v>3</v>
      </c>
      <c r="D143">
        <v>3</v>
      </c>
      <c r="E143" t="s">
        <v>49</v>
      </c>
      <c r="F143" t="s">
        <v>52</v>
      </c>
      <c r="G143" t="s">
        <v>78</v>
      </c>
      <c r="H143" t="s">
        <v>57</v>
      </c>
      <c r="I143" t="s">
        <v>119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1</v>
      </c>
      <c r="R143" t="s">
        <v>56</v>
      </c>
      <c r="S143" t="b">
        <v>0</v>
      </c>
      <c r="W143" t="s">
        <v>51</v>
      </c>
    </row>
    <row r="144" spans="1:23" x14ac:dyDescent="0.25">
      <c r="A144" t="s">
        <v>102</v>
      </c>
      <c r="B144">
        <v>2018</v>
      </c>
      <c r="C144">
        <v>3</v>
      </c>
      <c r="D144">
        <v>3</v>
      </c>
      <c r="E144" t="s">
        <v>49</v>
      </c>
      <c r="F144" t="s">
        <v>52</v>
      </c>
      <c r="G144" t="s">
        <v>78</v>
      </c>
      <c r="H144" t="s">
        <v>57</v>
      </c>
      <c r="I144" t="s">
        <v>68</v>
      </c>
      <c r="J144">
        <v>0</v>
      </c>
      <c r="K144">
        <v>7</v>
      </c>
      <c r="L144">
        <v>7</v>
      </c>
      <c r="M144">
        <v>4</v>
      </c>
      <c r="N144">
        <v>4</v>
      </c>
      <c r="O144">
        <v>0</v>
      </c>
      <c r="P144">
        <v>0</v>
      </c>
      <c r="Q144">
        <v>22</v>
      </c>
      <c r="R144" t="s">
        <v>56</v>
      </c>
      <c r="S144" t="b">
        <v>0</v>
      </c>
      <c r="W144" t="s">
        <v>51</v>
      </c>
    </row>
    <row r="145" spans="1:23" x14ac:dyDescent="0.25">
      <c r="A145" t="s">
        <v>102</v>
      </c>
      <c r="B145">
        <v>2018</v>
      </c>
      <c r="C145">
        <v>3</v>
      </c>
      <c r="D145">
        <v>3</v>
      </c>
      <c r="E145" t="s">
        <v>49</v>
      </c>
      <c r="F145" t="s">
        <v>67</v>
      </c>
      <c r="G145" t="s">
        <v>78</v>
      </c>
      <c r="H145" t="s">
        <v>57</v>
      </c>
      <c r="I145" t="s">
        <v>108</v>
      </c>
      <c r="J145">
        <v>0</v>
      </c>
      <c r="K145">
        <v>0</v>
      </c>
      <c r="L145">
        <v>0</v>
      </c>
      <c r="M145">
        <v>0</v>
      </c>
      <c r="N145">
        <v>3</v>
      </c>
      <c r="O145">
        <v>0</v>
      </c>
      <c r="P145">
        <v>0</v>
      </c>
      <c r="Q145">
        <v>3</v>
      </c>
      <c r="R145" t="s">
        <v>56</v>
      </c>
      <c r="S145" t="b">
        <v>0</v>
      </c>
      <c r="W145" t="s">
        <v>51</v>
      </c>
    </row>
    <row r="146" spans="1:23" x14ac:dyDescent="0.25">
      <c r="A146" t="s">
        <v>74</v>
      </c>
      <c r="B146">
        <v>2018</v>
      </c>
      <c r="C146">
        <v>3</v>
      </c>
      <c r="D146">
        <v>3</v>
      </c>
      <c r="E146" t="s">
        <v>49</v>
      </c>
      <c r="F146" t="s">
        <v>67</v>
      </c>
      <c r="G146" t="s">
        <v>78</v>
      </c>
      <c r="H146" t="s">
        <v>57</v>
      </c>
      <c r="I146" t="s">
        <v>58</v>
      </c>
      <c r="J146">
        <v>0</v>
      </c>
      <c r="K146">
        <v>0.5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0.5</v>
      </c>
      <c r="R146" t="s">
        <v>56</v>
      </c>
      <c r="S146" t="b">
        <v>0</v>
      </c>
      <c r="W146" t="s">
        <v>51</v>
      </c>
    </row>
    <row r="147" spans="1:23" x14ac:dyDescent="0.25">
      <c r="A147" t="s">
        <v>69</v>
      </c>
      <c r="B147">
        <v>2018</v>
      </c>
      <c r="C147">
        <v>3</v>
      </c>
      <c r="D147">
        <v>2</v>
      </c>
      <c r="E147" t="s">
        <v>49</v>
      </c>
      <c r="F147" t="s">
        <v>64</v>
      </c>
      <c r="G147" t="s">
        <v>78</v>
      </c>
      <c r="H147" t="s">
        <v>57</v>
      </c>
      <c r="I147" t="s">
        <v>58</v>
      </c>
      <c r="J147">
        <v>0</v>
      </c>
      <c r="K147">
        <v>7</v>
      </c>
      <c r="L147">
        <v>0</v>
      </c>
      <c r="M147">
        <v>0.5</v>
      </c>
      <c r="N147">
        <v>1</v>
      </c>
      <c r="O147">
        <v>0.5</v>
      </c>
      <c r="P147">
        <v>0</v>
      </c>
      <c r="Q147">
        <v>9</v>
      </c>
      <c r="R147" t="s">
        <v>56</v>
      </c>
      <c r="S147" t="b">
        <v>0</v>
      </c>
      <c r="W147" t="s">
        <v>51</v>
      </c>
    </row>
    <row r="148" spans="1:23" x14ac:dyDescent="0.25">
      <c r="A148" t="s">
        <v>69</v>
      </c>
      <c r="B148">
        <v>2018</v>
      </c>
      <c r="C148">
        <v>3</v>
      </c>
      <c r="D148">
        <v>2</v>
      </c>
      <c r="E148" t="s">
        <v>49</v>
      </c>
      <c r="F148" t="s">
        <v>64</v>
      </c>
      <c r="G148" t="s">
        <v>78</v>
      </c>
      <c r="H148" t="s">
        <v>57</v>
      </c>
      <c r="I148" t="s">
        <v>68</v>
      </c>
      <c r="J148">
        <v>0</v>
      </c>
      <c r="K148">
        <v>2</v>
      </c>
      <c r="L148">
        <v>2</v>
      </c>
      <c r="M148">
        <v>2</v>
      </c>
      <c r="N148">
        <v>3.5</v>
      </c>
      <c r="O148">
        <v>2</v>
      </c>
      <c r="P148">
        <v>0</v>
      </c>
      <c r="Q148">
        <v>11.5</v>
      </c>
      <c r="R148" t="s">
        <v>56</v>
      </c>
      <c r="S148" t="b">
        <v>0</v>
      </c>
      <c r="W148" t="s">
        <v>51</v>
      </c>
    </row>
    <row r="149" spans="1:23" x14ac:dyDescent="0.25">
      <c r="A149" t="s">
        <v>102</v>
      </c>
      <c r="B149">
        <v>2018</v>
      </c>
      <c r="C149">
        <v>3</v>
      </c>
      <c r="D149">
        <v>2</v>
      </c>
      <c r="E149" t="s">
        <v>49</v>
      </c>
      <c r="F149" t="s">
        <v>67</v>
      </c>
      <c r="G149" t="s">
        <v>78</v>
      </c>
      <c r="H149" t="s">
        <v>57</v>
      </c>
      <c r="I149" t="s">
        <v>68</v>
      </c>
      <c r="J149">
        <v>0</v>
      </c>
      <c r="K149">
        <v>6</v>
      </c>
      <c r="L149">
        <v>5</v>
      </c>
      <c r="M149">
        <v>5</v>
      </c>
      <c r="N149">
        <v>8</v>
      </c>
      <c r="O149">
        <v>8</v>
      </c>
      <c r="P149">
        <v>0</v>
      </c>
      <c r="Q149">
        <v>32</v>
      </c>
      <c r="R149" t="s">
        <v>56</v>
      </c>
      <c r="S149" t="b">
        <v>0</v>
      </c>
      <c r="W149" t="s">
        <v>51</v>
      </c>
    </row>
    <row r="150" spans="1:23" x14ac:dyDescent="0.25">
      <c r="A150" t="s">
        <v>48</v>
      </c>
      <c r="B150">
        <v>2018</v>
      </c>
      <c r="C150">
        <v>3</v>
      </c>
      <c r="D150">
        <v>2</v>
      </c>
      <c r="E150" t="s">
        <v>49</v>
      </c>
      <c r="F150" t="s">
        <v>67</v>
      </c>
      <c r="G150" t="s">
        <v>78</v>
      </c>
      <c r="H150" t="s">
        <v>57</v>
      </c>
      <c r="I150" t="s">
        <v>58</v>
      </c>
      <c r="J150">
        <v>0</v>
      </c>
      <c r="K150">
        <v>6</v>
      </c>
      <c r="L150">
        <v>8</v>
      </c>
      <c r="M150">
        <v>8</v>
      </c>
      <c r="N150">
        <v>0</v>
      </c>
      <c r="O150">
        <v>0</v>
      </c>
      <c r="P150">
        <v>0</v>
      </c>
      <c r="Q150">
        <v>22</v>
      </c>
      <c r="R150" t="s">
        <v>56</v>
      </c>
      <c r="S150" t="b">
        <v>0</v>
      </c>
      <c r="W150" t="s">
        <v>51</v>
      </c>
    </row>
    <row r="151" spans="1:23" x14ac:dyDescent="0.25">
      <c r="A151" t="s">
        <v>69</v>
      </c>
      <c r="B151">
        <v>2018</v>
      </c>
      <c r="C151">
        <v>3</v>
      </c>
      <c r="D151">
        <v>1</v>
      </c>
      <c r="E151" t="s">
        <v>49</v>
      </c>
      <c r="F151" t="s">
        <v>64</v>
      </c>
      <c r="G151" t="s">
        <v>78</v>
      </c>
      <c r="H151" t="s">
        <v>57</v>
      </c>
      <c r="I151" t="s">
        <v>58</v>
      </c>
      <c r="J151">
        <v>0</v>
      </c>
      <c r="K151">
        <v>8</v>
      </c>
      <c r="L151">
        <v>9</v>
      </c>
      <c r="M151">
        <v>10</v>
      </c>
      <c r="N151">
        <v>5</v>
      </c>
      <c r="O151">
        <v>7</v>
      </c>
      <c r="P151">
        <v>0</v>
      </c>
      <c r="Q151">
        <v>39</v>
      </c>
      <c r="R151" t="s">
        <v>56</v>
      </c>
      <c r="S151" t="b">
        <v>0</v>
      </c>
      <c r="W151" t="s">
        <v>51</v>
      </c>
    </row>
    <row r="152" spans="1:23" x14ac:dyDescent="0.25">
      <c r="A152" t="s">
        <v>69</v>
      </c>
      <c r="B152">
        <v>2018</v>
      </c>
      <c r="C152">
        <v>3</v>
      </c>
      <c r="D152">
        <v>1</v>
      </c>
      <c r="E152" t="s">
        <v>49</v>
      </c>
      <c r="F152" t="s">
        <v>64</v>
      </c>
      <c r="G152" t="s">
        <v>78</v>
      </c>
      <c r="H152" t="s">
        <v>57</v>
      </c>
      <c r="I152" t="s">
        <v>68</v>
      </c>
      <c r="J152">
        <v>0</v>
      </c>
      <c r="K152">
        <v>0</v>
      </c>
      <c r="L152">
        <v>0</v>
      </c>
      <c r="M152">
        <v>0</v>
      </c>
      <c r="N152">
        <v>3</v>
      </c>
      <c r="O152">
        <v>1</v>
      </c>
      <c r="P152">
        <v>0</v>
      </c>
      <c r="Q152">
        <v>4</v>
      </c>
      <c r="R152" t="s">
        <v>56</v>
      </c>
      <c r="S152" t="b">
        <v>0</v>
      </c>
      <c r="W152" t="s">
        <v>51</v>
      </c>
    </row>
    <row r="153" spans="1:23" x14ac:dyDescent="0.25">
      <c r="A153" t="s">
        <v>102</v>
      </c>
      <c r="B153">
        <v>2018</v>
      </c>
      <c r="C153">
        <v>3</v>
      </c>
      <c r="D153">
        <v>1</v>
      </c>
      <c r="E153" t="s">
        <v>49</v>
      </c>
      <c r="F153" t="s">
        <v>52</v>
      </c>
      <c r="G153" t="s">
        <v>78</v>
      </c>
      <c r="H153" t="s">
        <v>57</v>
      </c>
      <c r="I153" t="s">
        <v>119</v>
      </c>
      <c r="J153">
        <v>0</v>
      </c>
      <c r="K153">
        <v>2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2</v>
      </c>
      <c r="R153" t="s">
        <v>56</v>
      </c>
      <c r="S153" t="b">
        <v>0</v>
      </c>
      <c r="W153" t="s">
        <v>51</v>
      </c>
    </row>
    <row r="154" spans="1:23" x14ac:dyDescent="0.25">
      <c r="A154" t="s">
        <v>102</v>
      </c>
      <c r="B154">
        <v>2018</v>
      </c>
      <c r="C154">
        <v>3</v>
      </c>
      <c r="D154">
        <v>1</v>
      </c>
      <c r="E154" t="s">
        <v>49</v>
      </c>
      <c r="F154" t="s">
        <v>67</v>
      </c>
      <c r="G154" t="s">
        <v>78</v>
      </c>
      <c r="H154" t="s">
        <v>57</v>
      </c>
      <c r="I154" t="s">
        <v>68</v>
      </c>
      <c r="J154">
        <v>0</v>
      </c>
      <c r="K154">
        <v>0</v>
      </c>
      <c r="L154">
        <v>8</v>
      </c>
      <c r="M154">
        <v>7</v>
      </c>
      <c r="N154">
        <v>8</v>
      </c>
      <c r="O154">
        <v>8</v>
      </c>
      <c r="P154">
        <v>0</v>
      </c>
      <c r="Q154">
        <v>31</v>
      </c>
      <c r="R154" t="s">
        <v>56</v>
      </c>
      <c r="S154" t="b">
        <v>0</v>
      </c>
      <c r="W154" t="s">
        <v>51</v>
      </c>
    </row>
    <row r="155" spans="1:23" x14ac:dyDescent="0.25">
      <c r="A155" t="s">
        <v>48</v>
      </c>
      <c r="B155">
        <v>2018</v>
      </c>
      <c r="C155">
        <v>3</v>
      </c>
      <c r="D155">
        <v>1</v>
      </c>
      <c r="E155" t="s">
        <v>49</v>
      </c>
      <c r="F155" t="s">
        <v>67</v>
      </c>
      <c r="G155" t="s">
        <v>78</v>
      </c>
      <c r="H155" t="s">
        <v>57</v>
      </c>
      <c r="I155" t="s">
        <v>58</v>
      </c>
      <c r="J155">
        <v>0</v>
      </c>
      <c r="K155">
        <v>0</v>
      </c>
      <c r="L155">
        <v>2</v>
      </c>
      <c r="M155">
        <v>0</v>
      </c>
      <c r="N155">
        <v>0</v>
      </c>
      <c r="O155">
        <v>2</v>
      </c>
      <c r="P155">
        <v>0</v>
      </c>
      <c r="Q155">
        <v>4</v>
      </c>
      <c r="R155" t="s">
        <v>56</v>
      </c>
      <c r="S155" t="b">
        <v>0</v>
      </c>
      <c r="W155" t="s">
        <v>51</v>
      </c>
    </row>
    <row r="156" spans="1:23" x14ac:dyDescent="0.25">
      <c r="A156" t="s">
        <v>102</v>
      </c>
      <c r="B156">
        <v>2018</v>
      </c>
      <c r="C156">
        <v>2</v>
      </c>
      <c r="D156">
        <v>4</v>
      </c>
      <c r="E156" t="s">
        <v>49</v>
      </c>
      <c r="F156" t="s">
        <v>67</v>
      </c>
      <c r="G156" t="s">
        <v>78</v>
      </c>
      <c r="H156" t="s">
        <v>57</v>
      </c>
      <c r="I156" t="s">
        <v>68</v>
      </c>
      <c r="J156">
        <v>0</v>
      </c>
      <c r="K156">
        <v>0</v>
      </c>
      <c r="L156">
        <v>0</v>
      </c>
      <c r="M156">
        <v>0</v>
      </c>
      <c r="N156">
        <v>2</v>
      </c>
      <c r="O156">
        <v>0</v>
      </c>
      <c r="P156">
        <v>0</v>
      </c>
      <c r="Q156">
        <v>2</v>
      </c>
      <c r="R156" t="s">
        <v>56</v>
      </c>
      <c r="S156" t="b">
        <v>0</v>
      </c>
      <c r="W156" t="s">
        <v>51</v>
      </c>
    </row>
    <row r="157" spans="1:23" x14ac:dyDescent="0.25">
      <c r="A157" t="s">
        <v>48</v>
      </c>
      <c r="B157">
        <v>2018</v>
      </c>
      <c r="C157">
        <v>2</v>
      </c>
      <c r="D157">
        <v>4</v>
      </c>
      <c r="E157" t="s">
        <v>49</v>
      </c>
      <c r="F157" t="s">
        <v>67</v>
      </c>
      <c r="G157" t="s">
        <v>78</v>
      </c>
      <c r="H157" t="s">
        <v>57</v>
      </c>
      <c r="I157" t="s">
        <v>58</v>
      </c>
      <c r="J157">
        <v>0</v>
      </c>
      <c r="K157">
        <v>6</v>
      </c>
      <c r="L157">
        <v>0</v>
      </c>
      <c r="M157">
        <v>6</v>
      </c>
      <c r="N157">
        <v>0</v>
      </c>
      <c r="O157">
        <v>0</v>
      </c>
      <c r="P157">
        <v>0</v>
      </c>
      <c r="Q157">
        <v>12</v>
      </c>
      <c r="R157" t="s">
        <v>56</v>
      </c>
      <c r="S157" t="b">
        <v>0</v>
      </c>
      <c r="W157" t="s">
        <v>51</v>
      </c>
    </row>
    <row r="158" spans="1:23" x14ac:dyDescent="0.25">
      <c r="A158" t="s">
        <v>102</v>
      </c>
      <c r="B158">
        <v>2018</v>
      </c>
      <c r="C158">
        <v>2</v>
      </c>
      <c r="D158">
        <v>3</v>
      </c>
      <c r="E158" t="s">
        <v>49</v>
      </c>
      <c r="F158" t="s">
        <v>67</v>
      </c>
      <c r="G158" t="s">
        <v>78</v>
      </c>
      <c r="H158" t="s">
        <v>57</v>
      </c>
      <c r="I158" t="s">
        <v>87</v>
      </c>
      <c r="J158">
        <v>0</v>
      </c>
      <c r="K158">
        <v>1</v>
      </c>
      <c r="L158">
        <v>0</v>
      </c>
      <c r="M158">
        <v>1</v>
      </c>
      <c r="N158">
        <v>0</v>
      </c>
      <c r="O158">
        <v>1</v>
      </c>
      <c r="P158">
        <v>0</v>
      </c>
      <c r="Q158">
        <v>3</v>
      </c>
      <c r="R158" t="s">
        <v>56</v>
      </c>
      <c r="S158" t="b">
        <v>0</v>
      </c>
      <c r="W158" t="s">
        <v>51</v>
      </c>
    </row>
    <row r="159" spans="1:23" x14ac:dyDescent="0.25">
      <c r="A159" t="s">
        <v>48</v>
      </c>
      <c r="B159">
        <v>2018</v>
      </c>
      <c r="C159">
        <v>2</v>
      </c>
      <c r="D159">
        <v>3</v>
      </c>
      <c r="E159" t="s">
        <v>49</v>
      </c>
      <c r="F159" t="s">
        <v>67</v>
      </c>
      <c r="G159" t="s">
        <v>78</v>
      </c>
      <c r="H159" t="s">
        <v>57</v>
      </c>
      <c r="I159" t="s">
        <v>58</v>
      </c>
      <c r="J159">
        <v>0</v>
      </c>
      <c r="K159">
        <v>8</v>
      </c>
      <c r="L159">
        <v>8</v>
      </c>
      <c r="M159">
        <v>8</v>
      </c>
      <c r="N159">
        <v>0</v>
      </c>
      <c r="O159">
        <v>0</v>
      </c>
      <c r="P159">
        <v>0</v>
      </c>
      <c r="Q159">
        <v>24</v>
      </c>
      <c r="R159" t="s">
        <v>56</v>
      </c>
      <c r="S159" t="b">
        <v>0</v>
      </c>
      <c r="W159" t="s">
        <v>51</v>
      </c>
    </row>
    <row r="160" spans="1:23" x14ac:dyDescent="0.25">
      <c r="A160" t="s">
        <v>102</v>
      </c>
      <c r="B160">
        <v>2018</v>
      </c>
      <c r="C160">
        <v>2</v>
      </c>
      <c r="D160">
        <v>2</v>
      </c>
      <c r="E160" t="s">
        <v>49</v>
      </c>
      <c r="F160" t="s">
        <v>67</v>
      </c>
      <c r="G160" t="s">
        <v>78</v>
      </c>
      <c r="H160" t="s">
        <v>57</v>
      </c>
      <c r="I160" t="s">
        <v>68</v>
      </c>
      <c r="J160">
        <v>0</v>
      </c>
      <c r="K160">
        <v>0</v>
      </c>
      <c r="L160">
        <v>2</v>
      </c>
      <c r="M160">
        <v>0</v>
      </c>
      <c r="N160">
        <v>1</v>
      </c>
      <c r="O160">
        <v>1</v>
      </c>
      <c r="P160">
        <v>0</v>
      </c>
      <c r="Q160">
        <v>4</v>
      </c>
      <c r="R160" t="s">
        <v>56</v>
      </c>
      <c r="S160" t="b">
        <v>0</v>
      </c>
      <c r="W160" t="s">
        <v>51</v>
      </c>
    </row>
    <row r="161" spans="1:23" x14ac:dyDescent="0.25">
      <c r="A161" t="s">
        <v>102</v>
      </c>
      <c r="B161">
        <v>2018</v>
      </c>
      <c r="C161">
        <v>2</v>
      </c>
      <c r="D161">
        <v>1</v>
      </c>
      <c r="E161" t="s">
        <v>49</v>
      </c>
      <c r="F161" t="s">
        <v>67</v>
      </c>
      <c r="G161" t="s">
        <v>78</v>
      </c>
      <c r="H161" t="s">
        <v>57</v>
      </c>
      <c r="I161" t="s">
        <v>68</v>
      </c>
      <c r="J161">
        <v>0</v>
      </c>
      <c r="K161">
        <v>0</v>
      </c>
      <c r="L161">
        <v>0</v>
      </c>
      <c r="M161">
        <v>0</v>
      </c>
      <c r="N161">
        <v>2</v>
      </c>
      <c r="O161">
        <v>0</v>
      </c>
      <c r="P161">
        <v>0</v>
      </c>
      <c r="Q161">
        <v>2</v>
      </c>
      <c r="R161" t="s">
        <v>56</v>
      </c>
      <c r="S161" t="b">
        <v>0</v>
      </c>
      <c r="W161" t="s">
        <v>51</v>
      </c>
    </row>
    <row r="162" spans="1:23" x14ac:dyDescent="0.25">
      <c r="A162" t="s">
        <v>74</v>
      </c>
      <c r="B162">
        <v>2018</v>
      </c>
      <c r="C162">
        <v>5</v>
      </c>
      <c r="D162">
        <v>2</v>
      </c>
      <c r="E162" t="s">
        <v>49</v>
      </c>
      <c r="F162" t="s">
        <v>82</v>
      </c>
      <c r="G162" t="s">
        <v>78</v>
      </c>
      <c r="H162" t="s">
        <v>54</v>
      </c>
      <c r="I162" t="s">
        <v>55</v>
      </c>
      <c r="J162">
        <v>0</v>
      </c>
      <c r="K162">
        <v>0</v>
      </c>
      <c r="L162">
        <v>0</v>
      </c>
      <c r="M162">
        <v>5</v>
      </c>
      <c r="N162">
        <v>0</v>
      </c>
      <c r="O162">
        <v>0</v>
      </c>
      <c r="P162">
        <v>0</v>
      </c>
      <c r="Q162">
        <v>5</v>
      </c>
      <c r="R162" t="s">
        <v>56</v>
      </c>
      <c r="S162" t="b">
        <v>0</v>
      </c>
      <c r="W162" t="s">
        <v>51</v>
      </c>
    </row>
    <row r="163" spans="1:23" x14ac:dyDescent="0.25">
      <c r="A163" t="s">
        <v>48</v>
      </c>
      <c r="B163">
        <v>2018</v>
      </c>
      <c r="C163">
        <v>5</v>
      </c>
      <c r="D163">
        <v>2</v>
      </c>
      <c r="E163" t="s">
        <v>49</v>
      </c>
      <c r="F163" t="s">
        <v>52</v>
      </c>
      <c r="G163" t="s">
        <v>78</v>
      </c>
      <c r="H163" t="s">
        <v>54</v>
      </c>
      <c r="I163" t="s">
        <v>55</v>
      </c>
      <c r="J163">
        <v>0</v>
      </c>
      <c r="K163">
        <v>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4</v>
      </c>
      <c r="R163" t="s">
        <v>56</v>
      </c>
      <c r="S163" t="b">
        <v>0</v>
      </c>
      <c r="W163" t="s">
        <v>51</v>
      </c>
    </row>
    <row r="164" spans="1:23" x14ac:dyDescent="0.25">
      <c r="A164" t="s">
        <v>48</v>
      </c>
      <c r="B164">
        <v>2018</v>
      </c>
      <c r="C164">
        <v>5</v>
      </c>
      <c r="D164">
        <v>1</v>
      </c>
      <c r="E164" t="s">
        <v>49</v>
      </c>
      <c r="F164" t="s">
        <v>52</v>
      </c>
      <c r="G164" t="s">
        <v>78</v>
      </c>
      <c r="H164" t="s">
        <v>54</v>
      </c>
      <c r="I164" t="s">
        <v>55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4</v>
      </c>
      <c r="Q164">
        <v>4</v>
      </c>
      <c r="R164" t="s">
        <v>56</v>
      </c>
      <c r="S164" t="b">
        <v>0</v>
      </c>
      <c r="W164" t="s">
        <v>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39"/>
  <sheetViews>
    <sheetView workbookViewId="0">
      <selection sqref="A1:BC39"/>
    </sheetView>
  </sheetViews>
  <sheetFormatPr defaultRowHeight="15" x14ac:dyDescent="0.25"/>
  <sheetData>
    <row r="1" spans="1:55" x14ac:dyDescent="0.25">
      <c r="A1" s="2" t="s">
        <v>154</v>
      </c>
      <c r="B1" s="3"/>
      <c r="C1" s="3"/>
      <c r="D1" s="3"/>
      <c r="E1" s="4"/>
      <c r="F1" s="4"/>
      <c r="G1" s="5">
        <f>COUNTIF(G8:G466,"Y")</f>
        <v>21</v>
      </c>
      <c r="H1" s="6">
        <f>COUNTIF(H8:H466,"Y")</f>
        <v>0</v>
      </c>
      <c r="I1" s="7">
        <f>COUNTIF(I8:I466,"Y")</f>
        <v>6</v>
      </c>
      <c r="J1" s="7">
        <f>COUNTIF(J8:J466,"Y")</f>
        <v>18</v>
      </c>
      <c r="K1" s="8">
        <f>COUNTIF(K8:K466,"Y")</f>
        <v>12</v>
      </c>
      <c r="L1" s="9">
        <f>H1+I1</f>
        <v>6</v>
      </c>
      <c r="M1" s="9">
        <f>H1+J1</f>
        <v>18</v>
      </c>
      <c r="N1" s="9">
        <f>H1+K1</f>
        <v>12</v>
      </c>
      <c r="O1" s="10"/>
      <c r="P1" s="10"/>
      <c r="Q1" s="11" t="s">
        <v>72</v>
      </c>
      <c r="R1" s="11"/>
      <c r="S1" s="11"/>
      <c r="T1" s="11"/>
      <c r="U1" s="11"/>
      <c r="V1" s="11"/>
      <c r="W1" s="11"/>
      <c r="X1" s="11"/>
      <c r="Y1" s="12"/>
      <c r="Z1" s="12"/>
      <c r="AA1" s="13" t="s">
        <v>77</v>
      </c>
      <c r="AB1" s="14"/>
      <c r="AC1" s="14"/>
      <c r="AD1" s="14"/>
      <c r="AE1" s="14"/>
      <c r="AF1" s="14"/>
      <c r="AG1" s="14"/>
      <c r="AH1" s="14"/>
      <c r="AI1" s="15"/>
      <c r="AJ1" s="15"/>
      <c r="AK1" s="16" t="s">
        <v>155</v>
      </c>
      <c r="AL1" s="17"/>
      <c r="AM1" s="18"/>
      <c r="AN1" s="18"/>
      <c r="AO1" s="19"/>
      <c r="AP1" s="18"/>
      <c r="AQ1" s="18"/>
      <c r="AR1" s="18"/>
      <c r="AS1" s="20"/>
      <c r="AT1" s="21"/>
      <c r="AU1" s="21"/>
      <c r="AV1" s="21"/>
      <c r="AW1" s="21"/>
      <c r="AX1" s="20"/>
      <c r="AY1" s="20"/>
      <c r="AZ1" s="22"/>
      <c r="BA1" s="22"/>
      <c r="BB1" s="22"/>
      <c r="BC1" s="22"/>
    </row>
    <row r="2" spans="1:55" ht="200.25" x14ac:dyDescent="0.25">
      <c r="A2" s="24" t="s">
        <v>0</v>
      </c>
      <c r="B2" s="25" t="s">
        <v>156</v>
      </c>
      <c r="C2" s="25" t="s">
        <v>157</v>
      </c>
      <c r="D2" s="25" t="s">
        <v>158</v>
      </c>
      <c r="E2" s="26" t="s">
        <v>159</v>
      </c>
      <c r="F2" s="27" t="s">
        <v>160</v>
      </c>
      <c r="G2" s="28" t="s">
        <v>161</v>
      </c>
      <c r="H2" s="29" t="s">
        <v>162</v>
      </c>
      <c r="I2" s="30" t="s">
        <v>163</v>
      </c>
      <c r="J2" s="31" t="s">
        <v>164</v>
      </c>
      <c r="K2" s="32" t="s">
        <v>165</v>
      </c>
      <c r="L2" s="30" t="s">
        <v>166</v>
      </c>
      <c r="M2" s="31" t="s">
        <v>167</v>
      </c>
      <c r="N2" s="32" t="s">
        <v>168</v>
      </c>
      <c r="O2" s="33" t="s">
        <v>169</v>
      </c>
      <c r="P2" s="33" t="s">
        <v>170</v>
      </c>
      <c r="Q2" s="34" t="s">
        <v>171</v>
      </c>
      <c r="R2" s="34" t="s">
        <v>172</v>
      </c>
      <c r="S2" s="35" t="s">
        <v>173</v>
      </c>
      <c r="T2" s="35" t="s">
        <v>174</v>
      </c>
      <c r="U2" s="34" t="s">
        <v>175</v>
      </c>
      <c r="V2" s="34" t="s">
        <v>176</v>
      </c>
      <c r="W2" s="35" t="s">
        <v>177</v>
      </c>
      <c r="X2" s="35" t="s">
        <v>178</v>
      </c>
      <c r="Y2" s="36"/>
      <c r="Z2" s="37" t="s">
        <v>179</v>
      </c>
      <c r="AA2" s="38" t="s">
        <v>180</v>
      </c>
      <c r="AB2" s="39" t="s">
        <v>181</v>
      </c>
      <c r="AC2" s="40" t="s">
        <v>182</v>
      </c>
      <c r="AD2" s="40" t="s">
        <v>183</v>
      </c>
      <c r="AE2" s="39" t="s">
        <v>184</v>
      </c>
      <c r="AF2" s="39" t="s">
        <v>185</v>
      </c>
      <c r="AG2" s="40" t="s">
        <v>186</v>
      </c>
      <c r="AH2" s="40" t="s">
        <v>187</v>
      </c>
      <c r="AI2" s="41"/>
      <c r="AJ2" s="37" t="s">
        <v>165</v>
      </c>
      <c r="AK2" s="42" t="s">
        <v>188</v>
      </c>
      <c r="AL2" s="43" t="s">
        <v>189</v>
      </c>
      <c r="AM2" s="44" t="s">
        <v>190</v>
      </c>
      <c r="AN2" s="44" t="s">
        <v>191</v>
      </c>
      <c r="AO2" s="42" t="s">
        <v>192</v>
      </c>
      <c r="AP2" s="43" t="s">
        <v>193</v>
      </c>
      <c r="AQ2" s="44" t="s">
        <v>194</v>
      </c>
      <c r="AR2" s="44" t="s">
        <v>195</v>
      </c>
      <c r="AS2" s="45" t="s">
        <v>196</v>
      </c>
      <c r="AT2" s="46" t="s">
        <v>197</v>
      </c>
      <c r="AU2" s="47" t="s">
        <v>198</v>
      </c>
      <c r="AV2" s="47" t="s">
        <v>199</v>
      </c>
      <c r="AW2" s="47" t="s">
        <v>200</v>
      </c>
      <c r="AX2" s="47" t="s">
        <v>201</v>
      </c>
      <c r="AY2" s="47" t="s">
        <v>202</v>
      </c>
      <c r="AZ2" s="48" t="s">
        <v>203</v>
      </c>
      <c r="BA2" s="48" t="s">
        <v>204</v>
      </c>
      <c r="BB2" s="48" t="s">
        <v>205</v>
      </c>
      <c r="BC2" s="48" t="s">
        <v>206</v>
      </c>
    </row>
    <row r="3" spans="1:55" x14ac:dyDescent="0.25">
      <c r="A3" s="50" t="s">
        <v>216</v>
      </c>
      <c r="B3" s="51" t="s">
        <v>209</v>
      </c>
      <c r="C3" s="51" t="s">
        <v>209</v>
      </c>
      <c r="D3" s="51"/>
      <c r="E3" s="63">
        <f>IF(G3="Y",VLOOKUP(B3&amp;"|"&amp;C3,'[1]ETC Data'!$C$2:$D$16,2,FALSE),0)</f>
        <v>25</v>
      </c>
      <c r="F3" s="63">
        <f>IF(D3="",0,IF(G3="Y",VLOOKUP(B3&amp;"|"&amp;D3,'[1]ETC Data'!$C$2:$D$16,2,FALSE),0))</f>
        <v>0</v>
      </c>
      <c r="G3" s="53" t="str">
        <f>IF(VLOOKUP(A3,[1]Plan!A$1:H$804,8,FALSE)&lt;&gt;"",VLOOKUP(A3,[1]Plan!A$1:H$804,8,FALSE),"")</f>
        <v>Y</v>
      </c>
      <c r="H3" s="54" t="str">
        <f>IF(VLOOKUP(A3,[1]Plan!A$1:L$804,12,FALSE)&lt;&gt;"",VLOOKUP(A3,[1]Plan!A$1:L$804,12,FALSE),"")</f>
        <v/>
      </c>
      <c r="I3" s="55" t="str">
        <f>IF(VLOOKUP(A3,[1]Plan!A$1:M$804,13,FALSE)&lt;&gt;"",VLOOKUP(A3,[1]Plan!A$1:M$804,13,FALSE),"")</f>
        <v>Y</v>
      </c>
      <c r="J3" s="55" t="str">
        <f>IF(VLOOKUP(A3,[1]Plan!A$1:N$804,14,FALSE)&lt;&gt;"",VLOOKUP(A3,[1]Plan!A$1:N$804,14,FALSE),IF(VLOOKUP(A3,[1]Plan!A$1:O$804,15,FALSE)&lt;&gt;"",VLOOKUP(A3,[1]Plan!A$1:O$804,15,FALSE),""))</f>
        <v>Y</v>
      </c>
      <c r="K3" s="56" t="str">
        <f>IF(VLOOKUP(A3,[1]Plan!A$1:P$804,16,FALSE)&lt;&gt;"",VLOOKUP(A3,[1]Plan!A$1:P$804,16,FALSE),"")</f>
        <v>Y</v>
      </c>
      <c r="L3" s="55"/>
      <c r="M3" s="55"/>
      <c r="N3" s="55"/>
      <c r="O3" s="57">
        <f>IF(F3=0,E3,F3)</f>
        <v>25</v>
      </c>
      <c r="P3" s="57" t="b">
        <f>OR(H3="Y",I3="Y")</f>
        <v>1</v>
      </c>
      <c r="Q3" s="58">
        <f>IF(P3,O3*'[1]ETC Data'!$H$3*'[1]ETC Data'!$I$3,0)</f>
        <v>4.9288578512625314</v>
      </c>
      <c r="R3" s="58">
        <f>Q3-(Q3*((VLOOKUP(A3,[1]Plan!A$1:Z$804,26,FALSE)/100)))</f>
        <v>0</v>
      </c>
      <c r="S3" s="58">
        <f>IF(P3,O3*'[1]ETC Data'!$H$3*'[1]ETC Data'!$J$3,0)</f>
        <v>1.1829258843030075</v>
      </c>
      <c r="T3" s="58">
        <f>S3-(S3*((VLOOKUP(A3,[1]Plan!A$1:AA$804,27,FALSE)/100)))</f>
        <v>0</v>
      </c>
      <c r="U3" s="58">
        <f>IF(P3,O3*'[1]ETC Data'!$H$3*'[1]ETC Data'!$K$3,0)</f>
        <v>0.32859052341750217</v>
      </c>
      <c r="V3" s="58">
        <f>U3-(U3*((VLOOKUP(A3,[1]Plan!A$1:AB$804,28,FALSE)/100)))</f>
        <v>0</v>
      </c>
      <c r="W3" s="58">
        <f>IF(P3,O3*'[1]ETC Data'!$H$3*'[1]ETC Data'!$L$3,0)</f>
        <v>0.13143620936700084</v>
      </c>
      <c r="X3" s="58">
        <f>W3-(W3*((VLOOKUP(A3,[1]Plan!A$1:AC$804,29,FALSE)/100)))</f>
        <v>0</v>
      </c>
      <c r="Y3" s="59"/>
      <c r="Z3" s="60" t="b">
        <f>OR(H3="Y",J3="Y")</f>
        <v>1</v>
      </c>
      <c r="AA3" s="58">
        <f>IF(Z3,O3*'[1]ETC Data'!$H$4*'[1]ETC Data'!$I$4,0)</f>
        <v>6.1003105702957114</v>
      </c>
      <c r="AB3" s="58">
        <f>AA3-(AA3*((VLOOKUP(A3,[1]Plan!A$1:AI$804,35,FALSE)/100)))</f>
        <v>0</v>
      </c>
      <c r="AC3" s="58">
        <f>IF(Z3,O3*'[1]ETC Data'!$H$4*'[1]ETC Data'!$J$4,0)</f>
        <v>3.0501552851478557</v>
      </c>
      <c r="AD3" s="58">
        <f>AC3-(AC3*((VLOOKUP(A3,[1]Plan!A$1:AJ$804,36,FALSE)/100)))</f>
        <v>0</v>
      </c>
      <c r="AE3" s="58">
        <f>IF(Z3,O3*'[1]ETC Data'!$H$4*'[1]ETC Data'!$K$4,0)</f>
        <v>2.1961118053064559</v>
      </c>
      <c r="AF3" s="58">
        <f>AE3-(AE3*((VLOOKUP(A3,[1]Plan!A$1:AK$804,37,FALSE)/100)))</f>
        <v>0</v>
      </c>
      <c r="AG3" s="58">
        <f>IF(Z3,O3*'[1]ETC Data'!$H$4*'[1]ETC Data'!$L$4,0)</f>
        <v>0.85404347984139972</v>
      </c>
      <c r="AH3" s="58">
        <f>AG3-(AG3*((VLOOKUP(A3,[1]Plan!A$1:AP$804,42,FALSE)/100)))</f>
        <v>0</v>
      </c>
      <c r="AI3" s="60"/>
      <c r="AJ3" s="60" t="b">
        <f>OR(H3="Y",K3="Y")</f>
        <v>1</v>
      </c>
      <c r="AK3" s="61">
        <f>IF(AJ3,O3*'[1]ETC Data'!$H$5*'[1]ETC Data'!$I$5,0)</f>
        <v>3.1137841955292664</v>
      </c>
      <c r="AL3" s="58">
        <f>AK3-(AK3*((VLOOKUP(A3,[1]Plan!A$1:AY$804,51,FALSE)/100)))</f>
        <v>0</v>
      </c>
      <c r="AM3" s="58">
        <f>IF(AJ3,O3*'[1]ETC Data'!$H$5*'[1]ETC Data'!$J$5,0)</f>
        <v>1.5568920977646332</v>
      </c>
      <c r="AN3" s="58">
        <f>AM3-(AM3*((VLOOKUP(A3,[1]Plan!A$1:BA$804,53,FALSE)/100)))</f>
        <v>0</v>
      </c>
      <c r="AO3" s="61">
        <f>IF(AJ3,O3*'[1]ETC Data'!$H$5*'[1]ETC Data'!$K$5,0)</f>
        <v>1.120962310390536</v>
      </c>
      <c r="AP3" s="58">
        <f>AO3-(AO3*((VLOOKUP(A3,[1]Plan!A$1:BB$804,54,FALSE)/100)))</f>
        <v>0</v>
      </c>
      <c r="AQ3" s="58">
        <f>IF(AJ3,O3*'[1]ETC Data'!$H$5*'[1]ETC Data'!$L$5,0)</f>
        <v>0.43592978737409732</v>
      </c>
      <c r="AR3" s="58">
        <f>AQ3-(AQ3*((VLOOKUP(A3,[1]Plan!A$1:BD$804,56,FALSE)/100)))</f>
        <v>0</v>
      </c>
      <c r="AS3" s="20">
        <f>VLOOKUP(A3,'[1]PR Matrix'!A:B,2,FALSE)</f>
        <v>6207</v>
      </c>
      <c r="AT3" s="21">
        <f>R3+T3+V3+X3+AB3+AD3+AF3+AH3+AL3+AN3+AP3+AR3</f>
        <v>0</v>
      </c>
      <c r="AU3" s="21">
        <f>Q3+S3+U3+W3+AA3+AC3+AE3+AG3+AK3+AM3+AO3+AQ3</f>
        <v>25</v>
      </c>
      <c r="AV3" s="21">
        <f>R3+AB3+AL3</f>
        <v>0</v>
      </c>
      <c r="AW3" s="21">
        <f>T3+AD3+AN3</f>
        <v>0</v>
      </c>
      <c r="AX3" s="21">
        <f>V3+AF3+AP3</f>
        <v>0</v>
      </c>
      <c r="AY3" s="21">
        <f>X3+AH3+AR3</f>
        <v>0</v>
      </c>
      <c r="AZ3" s="22"/>
      <c r="BA3" s="22"/>
      <c r="BB3" s="22"/>
      <c r="BC3" s="22"/>
    </row>
    <row r="4" spans="1:55" x14ac:dyDescent="0.25">
      <c r="A4" s="50" t="s">
        <v>224</v>
      </c>
      <c r="B4" s="51" t="s">
        <v>208</v>
      </c>
      <c r="C4" s="51" t="s">
        <v>208</v>
      </c>
      <c r="D4" s="51"/>
      <c r="E4" s="63">
        <f>IF(G4="Y",VLOOKUP(B4&amp;"|"&amp;C4,'[1]ETC Data'!$C$2:$D$16,2,FALSE),0)</f>
        <v>104</v>
      </c>
      <c r="F4" s="63">
        <f>IF(D4="",0,IF(G4="Y",VLOOKUP(B4&amp;"|"&amp;D4,'[1]ETC Data'!$C$2:$D$16,2,FALSE),0))</f>
        <v>0</v>
      </c>
      <c r="G4" s="53" t="str">
        <f>IF(VLOOKUP(A4,[1]Plan!A$1:H$804,8,FALSE)&lt;&gt;"",VLOOKUP(A4,[1]Plan!A$1:H$804,8,FALSE),"")</f>
        <v>Y</v>
      </c>
      <c r="H4" s="54" t="str">
        <f>IF(VLOOKUP(A4,[1]Plan!A$1:L$804,12,FALSE)&lt;&gt;"",VLOOKUP(A4,[1]Plan!A$1:L$804,12,FALSE),"")</f>
        <v/>
      </c>
      <c r="I4" s="55" t="str">
        <f>IF(VLOOKUP(A4,[1]Plan!A$1:M$804,13,FALSE)&lt;&gt;"",VLOOKUP(A4,[1]Plan!A$1:M$804,13,FALSE),"")</f>
        <v/>
      </c>
      <c r="J4" s="55" t="str">
        <f>IF(VLOOKUP(A4,[1]Plan!A$1:N$804,14,FALSE)&lt;&gt;"",VLOOKUP(A4,[1]Plan!A$1:N$804,14,FALSE),IF(VLOOKUP(A4,[1]Plan!A$1:O$804,15,FALSE)&lt;&gt;"",VLOOKUP(A4,[1]Plan!A$1:O$804,15,FALSE),""))</f>
        <v/>
      </c>
      <c r="K4" s="56" t="str">
        <f>IF(VLOOKUP(A4,[1]Plan!A$1:P$804,16,FALSE)&lt;&gt;"",VLOOKUP(A4,[1]Plan!A$1:P$804,16,FALSE),"")</f>
        <v>Y</v>
      </c>
      <c r="L4" s="55"/>
      <c r="M4" s="55"/>
      <c r="N4" s="55"/>
      <c r="O4" s="57">
        <f>IF(F4=0,E4,F4)</f>
        <v>104</v>
      </c>
      <c r="P4" s="57" t="b">
        <f>OR(H4="Y",I4="Y")</f>
        <v>0</v>
      </c>
      <c r="Q4" s="58">
        <f>IF(P4,O4*'[1]ETC Data'!$H$3*'[1]ETC Data'!$I$3,0)</f>
        <v>0</v>
      </c>
      <c r="R4" s="58">
        <f>Q4-(Q4*((VLOOKUP(A4,[1]Plan!A$1:Z$804,26,FALSE)/100)))</f>
        <v>0</v>
      </c>
      <c r="S4" s="58">
        <f>IF(P4,O4*'[1]ETC Data'!$H$3*'[1]ETC Data'!$J$3,0)</f>
        <v>0</v>
      </c>
      <c r="T4" s="58">
        <f>S4-(S4*((VLOOKUP(A4,[1]Plan!A$1:AA$804,27,FALSE)/100)))</f>
        <v>0</v>
      </c>
      <c r="U4" s="58">
        <f>IF(P4,O4*'[1]ETC Data'!$H$3*'[1]ETC Data'!$K$3,0)</f>
        <v>0</v>
      </c>
      <c r="V4" s="58">
        <f>U4-(U4*((VLOOKUP(A4,[1]Plan!A$1:AB$804,28,FALSE)/100)))</f>
        <v>0</v>
      </c>
      <c r="W4" s="58">
        <f>IF(P4,O4*'[1]ETC Data'!$H$3*'[1]ETC Data'!$L$3,0)</f>
        <v>0</v>
      </c>
      <c r="X4" s="58">
        <f>W4-(W4*((VLOOKUP(A4,[1]Plan!A$1:AC$804,29,FALSE)/100)))</f>
        <v>0</v>
      </c>
      <c r="Y4" s="59"/>
      <c r="Z4" s="60" t="b">
        <f>OR(H4="Y",J4="Y")</f>
        <v>0</v>
      </c>
      <c r="AA4" s="58">
        <f>IF(Z4,O4*'[1]ETC Data'!$H$4*'[1]ETC Data'!$I$4,0)</f>
        <v>0</v>
      </c>
      <c r="AB4" s="58">
        <f>AA4-(AA4*((VLOOKUP(A4,[1]Plan!A$1:AI$804,35,FALSE)/100)))</f>
        <v>0</v>
      </c>
      <c r="AC4" s="58">
        <f>IF(Z4,O4*'[1]ETC Data'!$H$4*'[1]ETC Data'!$J$4,0)</f>
        <v>0</v>
      </c>
      <c r="AD4" s="58">
        <f>AC4-(AC4*((VLOOKUP(A4,[1]Plan!A$1:AJ$804,36,FALSE)/100)))</f>
        <v>0</v>
      </c>
      <c r="AE4" s="58">
        <f>IF(Z4,O4*'[1]ETC Data'!$H$4*'[1]ETC Data'!$K$4,0)</f>
        <v>0</v>
      </c>
      <c r="AF4" s="58">
        <f>AE4-(AE4*((VLOOKUP(A4,[1]Plan!A$1:AK$804,37,FALSE)/100)))</f>
        <v>0</v>
      </c>
      <c r="AG4" s="58">
        <f>IF(Z4,O4*'[1]ETC Data'!$H$4*'[1]ETC Data'!$L$4,0)</f>
        <v>0</v>
      </c>
      <c r="AH4" s="58">
        <f>AG4-(AG4*((VLOOKUP(A4,[1]Plan!A$1:AP$804,42,FALSE)/100)))</f>
        <v>0</v>
      </c>
      <c r="AI4" s="60"/>
      <c r="AJ4" s="60" t="b">
        <f>OR(H4="Y",K4="Y")</f>
        <v>1</v>
      </c>
      <c r="AK4" s="61">
        <f>IF(AJ4,O4*'[1]ETC Data'!$H$5*'[1]ETC Data'!$I$5,0)</f>
        <v>12.953342253401749</v>
      </c>
      <c r="AL4" s="58">
        <f>AK4-(AK4*((VLOOKUP(A4,[1]Plan!A$1:AY$804,51,FALSE)/100)))</f>
        <v>0</v>
      </c>
      <c r="AM4" s="58">
        <f>IF(AJ4,O4*'[1]ETC Data'!$H$5*'[1]ETC Data'!$J$5,0)</f>
        <v>6.4766711267008743</v>
      </c>
      <c r="AN4" s="58">
        <f>AM4-(AM4*((VLOOKUP(A4,[1]Plan!A$1:BA$804,53,FALSE)/100)))</f>
        <v>0</v>
      </c>
      <c r="AO4" s="61">
        <f>IF(AJ4,O4*'[1]ETC Data'!$H$5*'[1]ETC Data'!$K$5,0)</f>
        <v>4.6632032112246291</v>
      </c>
      <c r="AP4" s="58">
        <f>AO4-(AO4*((VLOOKUP(A4,[1]Plan!A$1:BB$804,54,FALSE)/100)))</f>
        <v>0</v>
      </c>
      <c r="AQ4" s="58">
        <f>IF(AJ4,O4*'[1]ETC Data'!$H$5*'[1]ETC Data'!$L$5,0)</f>
        <v>1.813467915476245</v>
      </c>
      <c r="AR4" s="58">
        <f>AQ4-(AQ4*((VLOOKUP(A4,[1]Plan!A$1:BD$804,56,FALSE)/100)))</f>
        <v>0</v>
      </c>
      <c r="AS4" s="20" t="str">
        <f>VLOOKUP(A4,'[1]PR Matrix'!A:B,2,FALSE)</f>
        <v>6275, 6247</v>
      </c>
      <c r="AT4" s="21">
        <f>R4+T4+V4+X4+AB4+AD4+AF4+AH4+AL4+AN4+AP4+AR4</f>
        <v>0</v>
      </c>
      <c r="AU4" s="21">
        <f>Q4+S4+U4+W4+AA4+AC4+AE4+AG4+AK4+AM4+AO4+AQ4</f>
        <v>25.906684506803497</v>
      </c>
      <c r="AV4" s="21">
        <f>R4+AB4+AL4</f>
        <v>0</v>
      </c>
      <c r="AW4" s="21">
        <f>T4+AD4+AN4</f>
        <v>0</v>
      </c>
      <c r="AX4" s="21">
        <f>V4+AF4+AP4</f>
        <v>0</v>
      </c>
      <c r="AY4" s="21">
        <f>X4+AH4+AR4</f>
        <v>0</v>
      </c>
      <c r="AZ4" s="22"/>
      <c r="BA4" s="22"/>
      <c r="BB4" s="22"/>
      <c r="BC4" s="22"/>
    </row>
    <row r="5" spans="1:55" x14ac:dyDescent="0.25">
      <c r="A5" s="50" t="s">
        <v>267</v>
      </c>
      <c r="B5" s="51" t="s">
        <v>208</v>
      </c>
      <c r="C5" s="51" t="s">
        <v>258</v>
      </c>
      <c r="D5" s="51"/>
      <c r="E5" s="63">
        <f>IF(G5="Y",VLOOKUP(B5&amp;"|"&amp;C5,'[1]ETC Data'!$C$2:$D$16,2,FALSE),0)</f>
        <v>169</v>
      </c>
      <c r="F5" s="63">
        <f>IF(D5="",0,IF(G5="Y",VLOOKUP(B5&amp;"|"&amp;D5,'[1]ETC Data'!$C$2:$D$16,2,FALSE),0))</f>
        <v>0</v>
      </c>
      <c r="G5" s="53" t="str">
        <f>IF(VLOOKUP(A5,[1]Plan!A$1:H$804,8,FALSE)&lt;&gt;"",VLOOKUP(A5,[1]Plan!A$1:H$804,8,FALSE),"")</f>
        <v>Y</v>
      </c>
      <c r="H5" s="54" t="str">
        <f>IF(VLOOKUP(A5,[1]Plan!A$1:L$804,12,FALSE)&lt;&gt;"",VLOOKUP(A5,[1]Plan!A$1:L$804,12,FALSE),"")</f>
        <v/>
      </c>
      <c r="I5" s="55" t="str">
        <f>IF(VLOOKUP(A5,[1]Plan!A$1:M$804,13,FALSE)&lt;&gt;"",VLOOKUP(A5,[1]Plan!A$1:M$804,13,FALSE),"")</f>
        <v>Y</v>
      </c>
      <c r="J5" s="55" t="str">
        <f>IF(VLOOKUP(A5,[1]Plan!A$1:N$804,14,FALSE)&lt;&gt;"",VLOOKUP(A5,[1]Plan!A$1:N$804,14,FALSE),IF(VLOOKUP(A5,[1]Plan!A$1:O$804,15,FALSE)&lt;&gt;"",VLOOKUP(A5,[1]Plan!A$1:O$804,15,FALSE),""))</f>
        <v>Y</v>
      </c>
      <c r="K5" s="56" t="str">
        <f>IF(VLOOKUP(A5,[1]Plan!A$1:P$804,16,FALSE)&lt;&gt;"",VLOOKUP(A5,[1]Plan!A$1:P$804,16,FALSE),"")</f>
        <v>Y</v>
      </c>
      <c r="L5" s="55"/>
      <c r="M5" s="55"/>
      <c r="N5" s="55"/>
      <c r="O5" s="57">
        <f>IF(F5=0,E5,F5)</f>
        <v>169</v>
      </c>
      <c r="P5" s="57" t="b">
        <f>OR(H5="Y",I5="Y")</f>
        <v>1</v>
      </c>
      <c r="Q5" s="58">
        <f>IF(P5,O5*'[1]ETC Data'!$H$3*'[1]ETC Data'!$I$3,0)</f>
        <v>33.319079074534713</v>
      </c>
      <c r="R5" s="58">
        <f>Q5-(Q5*((VLOOKUP(A5,[1]Plan!A$1:Z$804,26,FALSE)/100)))</f>
        <v>0</v>
      </c>
      <c r="S5" s="58">
        <f>IF(P5,O5*'[1]ETC Data'!$H$3*'[1]ETC Data'!$J$3,0)</f>
        <v>7.9965789778883307</v>
      </c>
      <c r="T5" s="58">
        <f>S5-(S5*((VLOOKUP(A5,[1]Plan!A$1:AA$804,27,FALSE)/100)))</f>
        <v>0</v>
      </c>
      <c r="U5" s="58">
        <f>IF(P5,O5*'[1]ETC Data'!$H$3*'[1]ETC Data'!$K$3,0)</f>
        <v>2.2212719383023143</v>
      </c>
      <c r="V5" s="58">
        <f>U5-(U5*((VLOOKUP(A5,[1]Plan!A$1:AB$804,28,FALSE)/100)))</f>
        <v>0</v>
      </c>
      <c r="W5" s="58">
        <f>IF(P5,O5*'[1]ETC Data'!$H$3*'[1]ETC Data'!$L$3,0)</f>
        <v>0.88850877532092565</v>
      </c>
      <c r="X5" s="58">
        <f>W5-(W5*((VLOOKUP(A5,[1]Plan!A$1:AC$804,29,FALSE)/100)))</f>
        <v>0</v>
      </c>
      <c r="Y5" s="59"/>
      <c r="Z5" s="60" t="b">
        <f>OR(H5="Y",J5="Y")</f>
        <v>1</v>
      </c>
      <c r="AA5" s="58">
        <f>IF(Z5,O5*'[1]ETC Data'!$H$4*'[1]ETC Data'!$I$4,0)</f>
        <v>41.238099455199013</v>
      </c>
      <c r="AB5" s="58">
        <f>AA5-(AA5*((VLOOKUP(A5,[1]Plan!A$1:AI$804,35,FALSE)/100)))</f>
        <v>0</v>
      </c>
      <c r="AC5" s="58">
        <f>IF(Z5,O5*'[1]ETC Data'!$H$4*'[1]ETC Data'!$J$4,0)</f>
        <v>20.619049727599506</v>
      </c>
      <c r="AD5" s="58">
        <f>AC5-(AC5*((VLOOKUP(A5,[1]Plan!A$1:AJ$804,36,FALSE)/100)))</f>
        <v>0</v>
      </c>
      <c r="AE5" s="58">
        <f>IF(Z5,O5*'[1]ETC Data'!$H$4*'[1]ETC Data'!$K$4,0)</f>
        <v>14.845715803871643</v>
      </c>
      <c r="AF5" s="58">
        <f>AE5-(AE5*((VLOOKUP(A5,[1]Plan!A$1:AK$804,37,FALSE)/100)))</f>
        <v>0</v>
      </c>
      <c r="AG5" s="58">
        <f>IF(Z5,O5*'[1]ETC Data'!$H$4*'[1]ETC Data'!$L$4,0)</f>
        <v>5.7733339237278622</v>
      </c>
      <c r="AH5" s="58">
        <f>AG5-(AG5*((VLOOKUP(A5,[1]Plan!A$1:AP$804,42,FALSE)/100)))</f>
        <v>0</v>
      </c>
      <c r="AI5" s="60"/>
      <c r="AJ5" s="60" t="b">
        <f>OR(H5="Y",K5="Y")</f>
        <v>1</v>
      </c>
      <c r="AK5" s="61">
        <f>IF(AJ5,O5*'[1]ETC Data'!$H$5*'[1]ETC Data'!$I$5,0)</f>
        <v>21.049181161777842</v>
      </c>
      <c r="AL5" s="58">
        <f>AK5-(AK5*((VLOOKUP(A5,[1]Plan!A$1:AY$804,51,FALSE)/100)))</f>
        <v>0</v>
      </c>
      <c r="AM5" s="58">
        <f>IF(AJ5,O5*'[1]ETC Data'!$H$5*'[1]ETC Data'!$J$5,0)</f>
        <v>10.524590580888921</v>
      </c>
      <c r="AN5" s="58">
        <f>AM5-(AM5*((VLOOKUP(A5,[1]Plan!A$1:BA$804,53,FALSE)/100)))</f>
        <v>0</v>
      </c>
      <c r="AO5" s="61">
        <f>IF(AJ5,O5*'[1]ETC Data'!$H$5*'[1]ETC Data'!$K$5,0)</f>
        <v>7.5777052182400224</v>
      </c>
      <c r="AP5" s="58">
        <f>AO5-(AO5*((VLOOKUP(A5,[1]Plan!A$1:BB$804,54,FALSE)/100)))</f>
        <v>0</v>
      </c>
      <c r="AQ5" s="58">
        <f>IF(AJ5,O5*'[1]ETC Data'!$H$5*'[1]ETC Data'!$L$5,0)</f>
        <v>2.946885362648898</v>
      </c>
      <c r="AR5" s="58">
        <f>AQ5-(AQ5*((VLOOKUP(A5,[1]Plan!A$1:BD$804,56,FALSE)/100)))</f>
        <v>0</v>
      </c>
      <c r="AS5" s="20">
        <f>VLOOKUP(A5,'[1]PR Matrix'!A:B,2,FALSE)</f>
        <v>6247</v>
      </c>
      <c r="AT5" s="21">
        <f>R5+T5+V5+X5+AB5+AD5+AF5+AH5+AL5+AN5+AP5+AR5</f>
        <v>0</v>
      </c>
      <c r="AU5" s="21">
        <f>Q5+S5+U5+W5+AA5+AC5+AE5+AG5+AK5+AM5+AO5+AQ5</f>
        <v>168.99999999999997</v>
      </c>
      <c r="AV5" s="21">
        <f>R5+AB5+AL5</f>
        <v>0</v>
      </c>
      <c r="AW5" s="21">
        <f>T5+AD5+AN5</f>
        <v>0</v>
      </c>
      <c r="AX5" s="21">
        <f>V5+AF5+AP5</f>
        <v>0</v>
      </c>
      <c r="AY5" s="21">
        <f>X5+AH5+AR5</f>
        <v>0</v>
      </c>
      <c r="AZ5" s="22"/>
      <c r="BA5" s="22"/>
      <c r="BB5" s="22"/>
      <c r="BC5" s="22"/>
    </row>
    <row r="6" spans="1:55" x14ac:dyDescent="0.25">
      <c r="A6" s="50" t="s">
        <v>275</v>
      </c>
      <c r="B6" s="51" t="s">
        <v>208</v>
      </c>
      <c r="C6" s="51" t="s">
        <v>209</v>
      </c>
      <c r="D6" s="51"/>
      <c r="E6" s="63">
        <f>IF(G6="Y",VLOOKUP(B6&amp;"|"&amp;C6,'[1]ETC Data'!$C$2:$D$16,2,FALSE),0)</f>
        <v>48</v>
      </c>
      <c r="F6" s="63">
        <f>IF(D6="",0,IF(G6="Y",VLOOKUP(B6&amp;"|"&amp;D6,'[1]ETC Data'!$C$2:$D$16,2,FALSE),0))</f>
        <v>0</v>
      </c>
      <c r="G6" s="53" t="str">
        <f>IF(VLOOKUP(A6,[1]Plan!A$1:H$804,8,FALSE)&lt;&gt;"",VLOOKUP(A6,[1]Plan!A$1:H$804,8,FALSE),"")</f>
        <v>Y</v>
      </c>
      <c r="H6" s="54" t="str">
        <f>IF(VLOOKUP(A6,[1]Plan!A$1:L$804,12,FALSE)&lt;&gt;"",VLOOKUP(A6,[1]Plan!A$1:L$804,12,FALSE),"")</f>
        <v/>
      </c>
      <c r="I6" s="55" t="str">
        <f>IF(VLOOKUP(A6,[1]Plan!A$1:M$804,13,FALSE)&lt;&gt;"",VLOOKUP(A6,[1]Plan!A$1:M$804,13,FALSE),"")</f>
        <v/>
      </c>
      <c r="J6" s="55" t="str">
        <f>IF(VLOOKUP(A6,[1]Plan!A$1:N$804,14,FALSE)&lt;&gt;"",VLOOKUP(A6,[1]Plan!A$1:N$804,14,FALSE),IF(VLOOKUP(A6,[1]Plan!A$1:O$804,15,FALSE)&lt;&gt;"",VLOOKUP(A6,[1]Plan!A$1:O$804,15,FALSE),""))</f>
        <v>Y</v>
      </c>
      <c r="K6" s="56" t="str">
        <f>IF(VLOOKUP(A6,[1]Plan!A$1:P$804,16,FALSE)&lt;&gt;"",VLOOKUP(A6,[1]Plan!A$1:P$804,16,FALSE),"")</f>
        <v>Y</v>
      </c>
      <c r="L6" s="55"/>
      <c r="M6" s="55"/>
      <c r="N6" s="55"/>
      <c r="O6" s="57">
        <f>IF(F6=0,E6,F6)</f>
        <v>48</v>
      </c>
      <c r="P6" s="57" t="b">
        <f>OR(H6="Y",I6="Y")</f>
        <v>0</v>
      </c>
      <c r="Q6" s="58">
        <f>IF(P6,O6*'[1]ETC Data'!$H$3*'[1]ETC Data'!$I$3,0)</f>
        <v>0</v>
      </c>
      <c r="R6" s="58">
        <f>Q6-(Q6*((VLOOKUP(A6,[1]Plan!A$1:Z$804,26,FALSE)/100)))</f>
        <v>0</v>
      </c>
      <c r="S6" s="58">
        <f>IF(P6,O6*'[1]ETC Data'!$H$3*'[1]ETC Data'!$J$3,0)</f>
        <v>0</v>
      </c>
      <c r="T6" s="58">
        <f>S6-(S6*((VLOOKUP(A6,[1]Plan!A$1:AA$804,27,FALSE)/100)))</f>
        <v>0</v>
      </c>
      <c r="U6" s="58">
        <f>IF(P6,O6*'[1]ETC Data'!$H$3*'[1]ETC Data'!$K$3,0)</f>
        <v>0</v>
      </c>
      <c r="V6" s="58">
        <f>U6-(U6*((VLOOKUP(A6,[1]Plan!A$1:AB$804,28,FALSE)/100)))</f>
        <v>0</v>
      </c>
      <c r="W6" s="58">
        <f>IF(P6,O6*'[1]ETC Data'!$H$3*'[1]ETC Data'!$L$3,0)</f>
        <v>0</v>
      </c>
      <c r="X6" s="58">
        <f>W6-(W6*((VLOOKUP(A6,[1]Plan!A$1:AC$804,29,FALSE)/100)))</f>
        <v>0</v>
      </c>
      <c r="Y6" s="59"/>
      <c r="Z6" s="60" t="b">
        <f>OR(H6="Y",J6="Y")</f>
        <v>1</v>
      </c>
      <c r="AA6" s="58">
        <f>IF(Z6,O6*'[1]ETC Data'!$H$4*'[1]ETC Data'!$I$4,0)</f>
        <v>11.712596294967767</v>
      </c>
      <c r="AB6" s="58">
        <f>AA6-(AA6*((VLOOKUP(A6,[1]Plan!A$1:AI$804,35,FALSE)/100)))</f>
        <v>0</v>
      </c>
      <c r="AC6" s="58">
        <f>IF(Z6,O6*'[1]ETC Data'!$H$4*'[1]ETC Data'!$J$4,0)</f>
        <v>5.8562981474838836</v>
      </c>
      <c r="AD6" s="58">
        <f>AC6-(AC6*((VLOOKUP(A6,[1]Plan!A$1:AJ$804,36,FALSE)/100)))</f>
        <v>0</v>
      </c>
      <c r="AE6" s="58">
        <f>IF(Z6,O6*'[1]ETC Data'!$H$4*'[1]ETC Data'!$K$4,0)</f>
        <v>4.2165346661883962</v>
      </c>
      <c r="AF6" s="58">
        <f>AE6-(AE6*((VLOOKUP(A6,[1]Plan!A$1:AK$804,37,FALSE)/100)))</f>
        <v>0</v>
      </c>
      <c r="AG6" s="58">
        <f>IF(Z6,O6*'[1]ETC Data'!$H$4*'[1]ETC Data'!$L$4,0)</f>
        <v>1.6397634812954875</v>
      </c>
      <c r="AH6" s="58">
        <f>AG6-(AG6*((VLOOKUP(A6,[1]Plan!A$1:AP$804,42,FALSE)/100)))</f>
        <v>0</v>
      </c>
      <c r="AI6" s="60"/>
      <c r="AJ6" s="60" t="b">
        <f>OR(H6="Y",K6="Y")</f>
        <v>1</v>
      </c>
      <c r="AK6" s="61">
        <f>IF(AJ6,O6*'[1]ETC Data'!$H$5*'[1]ETC Data'!$I$5,0)</f>
        <v>5.9784656554161915</v>
      </c>
      <c r="AL6" s="58">
        <v>10</v>
      </c>
      <c r="AM6" s="58">
        <f>IF(AJ6,O6*'[1]ETC Data'!$H$5*'[1]ETC Data'!$J$5,0)</f>
        <v>2.9892328277080957</v>
      </c>
      <c r="AN6" s="58">
        <v>6</v>
      </c>
      <c r="AO6" s="61">
        <f>IF(AJ6,O6*'[1]ETC Data'!$H$5*'[1]ETC Data'!$K$5,0)</f>
        <v>2.1522476359498288</v>
      </c>
      <c r="AP6" s="58">
        <f>AO6-(AO6*((VLOOKUP(A6,[1]Plan!A$1:BB$804,54,FALSE)/100)))</f>
        <v>0</v>
      </c>
      <c r="AQ6" s="58">
        <f>IF(AJ6,O6*'[1]ETC Data'!$H$5*'[1]ETC Data'!$L$5,0)</f>
        <v>0.83698519175826691</v>
      </c>
      <c r="AR6" s="58">
        <f>AQ6-(AQ6*((VLOOKUP(A6,[1]Plan!A$1:BD$804,56,FALSE)/100)))</f>
        <v>0</v>
      </c>
      <c r="AS6" s="20">
        <f>VLOOKUP(A6,'[1]PR Matrix'!A:B,2,FALSE)</f>
        <v>6216</v>
      </c>
      <c r="AT6" s="21">
        <f>R6+T6+V6+X6+AB6+AD6+AF6+AH6+AL6+AN6+AP6+AR6</f>
        <v>16</v>
      </c>
      <c r="AU6" s="21">
        <f>Q6+S6+U6+W6+AA6+AC6+AE6+AG6+AK6+AM6+AO6+AQ6</f>
        <v>35.382123900767915</v>
      </c>
      <c r="AV6" s="21">
        <f>R6+AB6+AL6</f>
        <v>10</v>
      </c>
      <c r="AW6" s="21">
        <f>T6+AD6+AN6</f>
        <v>6</v>
      </c>
      <c r="AX6" s="21">
        <f>V6+AF6+AP6</f>
        <v>0</v>
      </c>
      <c r="AY6" s="21">
        <f>X6+AH6+AR6</f>
        <v>0</v>
      </c>
      <c r="AZ6" s="22"/>
      <c r="BA6" s="22"/>
      <c r="BB6" s="22"/>
      <c r="BC6" s="22"/>
    </row>
    <row r="7" spans="1:55" x14ac:dyDescent="0.25">
      <c r="A7" s="50" t="s">
        <v>279</v>
      </c>
      <c r="B7" s="51" t="s">
        <v>208</v>
      </c>
      <c r="C7" s="51" t="s">
        <v>209</v>
      </c>
      <c r="D7" s="51"/>
      <c r="E7" s="63">
        <f>IF(G7="Y",VLOOKUP(B7&amp;"|"&amp;C7,'[1]ETC Data'!$C$2:$D$16,2,FALSE),0)</f>
        <v>48</v>
      </c>
      <c r="F7" s="63">
        <f>IF(D7="",0,IF(G7="Y",VLOOKUP(B7&amp;"|"&amp;D7,'[1]ETC Data'!$C$2:$D$16,2,FALSE),0))</f>
        <v>0</v>
      </c>
      <c r="G7" s="53" t="str">
        <f>IF(VLOOKUP(A7,[1]Plan!A$1:H$804,8,FALSE)&lt;&gt;"",VLOOKUP(A7,[1]Plan!A$1:H$804,8,FALSE),"")</f>
        <v>Y</v>
      </c>
      <c r="H7" s="54" t="str">
        <f>IF(VLOOKUP(A7,[1]Plan!A$1:L$804,12,FALSE)&lt;&gt;"",VLOOKUP(A7,[1]Plan!A$1:L$804,12,FALSE),"")</f>
        <v/>
      </c>
      <c r="I7" s="55" t="str">
        <f>IF(VLOOKUP(A7,[1]Plan!A$1:M$804,13,FALSE)&lt;&gt;"",VLOOKUP(A7,[1]Plan!A$1:M$804,13,FALSE),"")</f>
        <v>Y</v>
      </c>
      <c r="J7" s="55" t="str">
        <f>IF(VLOOKUP(A7,[1]Plan!A$1:N$804,14,FALSE)&lt;&gt;"",VLOOKUP(A7,[1]Plan!A$1:N$804,14,FALSE),IF(VLOOKUP(A7,[1]Plan!A$1:O$804,15,FALSE)&lt;&gt;"",VLOOKUP(A7,[1]Plan!A$1:O$804,15,FALSE),""))</f>
        <v>Y</v>
      </c>
      <c r="K7" s="56" t="str">
        <f>IF(VLOOKUP(A7,[1]Plan!A$1:P$804,16,FALSE)&lt;&gt;"",VLOOKUP(A7,[1]Plan!A$1:P$804,16,FALSE),"")</f>
        <v>Y</v>
      </c>
      <c r="L7" s="55"/>
      <c r="M7" s="55"/>
      <c r="N7" s="55"/>
      <c r="O7" s="57">
        <f>IF(F7=0,E7,F7)</f>
        <v>48</v>
      </c>
      <c r="P7" s="57" t="b">
        <f>OR(H7="Y",I7="Y")</f>
        <v>1</v>
      </c>
      <c r="Q7" s="58">
        <f>IF(P7,O7*'[1]ETC Data'!$H$3*'[1]ETC Data'!$I$3,0)</f>
        <v>9.4634070744240617</v>
      </c>
      <c r="R7" s="58">
        <f>Q7-(Q7*((VLOOKUP(A7,[1]Plan!A$1:Z$804,26,FALSE)/100)))</f>
        <v>0</v>
      </c>
      <c r="S7" s="58">
        <f>IF(P7,O7*'[1]ETC Data'!$H$3*'[1]ETC Data'!$J$3,0)</f>
        <v>2.2712176978617746</v>
      </c>
      <c r="T7" s="58">
        <f>S7-(S7*((VLOOKUP(A7,[1]Plan!A$1:AA$804,27,FALSE)/100)))</f>
        <v>0</v>
      </c>
      <c r="U7" s="58">
        <f>IF(P7,O7*'[1]ETC Data'!$H$3*'[1]ETC Data'!$K$3,0)</f>
        <v>0.63089380496160408</v>
      </c>
      <c r="V7" s="58">
        <f>U7-(U7*((VLOOKUP(A7,[1]Plan!A$1:AB$804,28,FALSE)/100)))</f>
        <v>0</v>
      </c>
      <c r="W7" s="58">
        <f>IF(P7,O7*'[1]ETC Data'!$H$3*'[1]ETC Data'!$L$3,0)</f>
        <v>0.25235752198464162</v>
      </c>
      <c r="X7" s="58">
        <f>W7-(W7*((VLOOKUP(A7,[1]Plan!A$1:AC$804,29,FALSE)/100)))</f>
        <v>0</v>
      </c>
      <c r="Y7" s="59"/>
      <c r="Z7" s="60" t="b">
        <f>OR(H7="Y",J7="Y")</f>
        <v>1</v>
      </c>
      <c r="AA7" s="58">
        <f>IF(Z7,O7*'[1]ETC Data'!$H$4*'[1]ETC Data'!$I$4,0)</f>
        <v>11.712596294967767</v>
      </c>
      <c r="AB7" s="58">
        <f>AA7-(AA7*((VLOOKUP(A7,[1]Plan!A$1:AI$804,35,FALSE)/100)))</f>
        <v>0</v>
      </c>
      <c r="AC7" s="58">
        <f>IF(Z7,O7*'[1]ETC Data'!$H$4*'[1]ETC Data'!$J$4,0)</f>
        <v>5.8562981474838836</v>
      </c>
      <c r="AD7" s="58">
        <f>AC7-(AC7*((VLOOKUP(A7,[1]Plan!A$1:AJ$804,36,FALSE)/100)))</f>
        <v>0</v>
      </c>
      <c r="AE7" s="58">
        <f>IF(Z7,O7*'[1]ETC Data'!$H$4*'[1]ETC Data'!$K$4,0)</f>
        <v>4.2165346661883962</v>
      </c>
      <c r="AF7" s="58">
        <f>AE7-(AE7*((VLOOKUP(A7,[1]Plan!A$1:AK$804,37,FALSE)/100)))</f>
        <v>0</v>
      </c>
      <c r="AG7" s="58">
        <f>IF(Z7,O7*'[1]ETC Data'!$H$4*'[1]ETC Data'!$L$4,0)</f>
        <v>1.6397634812954875</v>
      </c>
      <c r="AH7" s="58">
        <f>AG7-(AG7*((VLOOKUP(A7,[1]Plan!A$1:AP$804,42,FALSE)/100)))</f>
        <v>0</v>
      </c>
      <c r="AI7" s="60"/>
      <c r="AJ7" s="60" t="b">
        <f>OR(H7="Y",K7="Y")</f>
        <v>1</v>
      </c>
      <c r="AK7" s="61">
        <f>IF(AJ7,O7*'[1]ETC Data'!$H$5*'[1]ETC Data'!$I$5,0)</f>
        <v>5.9784656554161915</v>
      </c>
      <c r="AL7" s="58">
        <v>10</v>
      </c>
      <c r="AM7" s="58">
        <f>IF(AJ7,O7*'[1]ETC Data'!$H$5*'[1]ETC Data'!$J$5,0)</f>
        <v>2.9892328277080957</v>
      </c>
      <c r="AN7" s="58">
        <v>6</v>
      </c>
      <c r="AO7" s="61">
        <f>IF(AJ7,O7*'[1]ETC Data'!$H$5*'[1]ETC Data'!$K$5,0)</f>
        <v>2.1522476359498288</v>
      </c>
      <c r="AP7" s="58">
        <f>AO7-(AO7*((VLOOKUP(A7,[1]Plan!A$1:BB$804,54,FALSE)/100)))</f>
        <v>0</v>
      </c>
      <c r="AQ7" s="58">
        <f>IF(AJ7,O7*'[1]ETC Data'!$H$5*'[1]ETC Data'!$L$5,0)</f>
        <v>0.83698519175826691</v>
      </c>
      <c r="AR7" s="58">
        <f>AQ7-(AQ7*((VLOOKUP(A7,[1]Plan!A$1:BD$804,56,FALSE)/100)))</f>
        <v>0</v>
      </c>
      <c r="AS7" s="20">
        <f>VLOOKUP(A7,'[1]PR Matrix'!A:B,2,FALSE)</f>
        <v>6216</v>
      </c>
      <c r="AT7" s="21">
        <f>R7+T7+V7+X7+AB7+AD7+AF7+AH7+AL7+AN7+AP7+AR7</f>
        <v>16</v>
      </c>
      <c r="AU7" s="21">
        <f>Q7+S7+U7+W7+AA7+AC7+AE7+AG7+AK7+AM7+AO7+AQ7</f>
        <v>48</v>
      </c>
      <c r="AV7" s="21">
        <f>R7+AB7+AL7</f>
        <v>10</v>
      </c>
      <c r="AW7" s="21">
        <f>T7+AD7+AN7</f>
        <v>6</v>
      </c>
      <c r="AX7" s="21">
        <f>V7+AF7+AP7</f>
        <v>0</v>
      </c>
      <c r="AY7" s="21">
        <f>X7+AH7+AR7</f>
        <v>0</v>
      </c>
      <c r="AZ7" s="22"/>
      <c r="BA7" s="22"/>
      <c r="BB7" s="22"/>
      <c r="BC7" s="22"/>
    </row>
    <row r="8" spans="1:55" x14ac:dyDescent="0.25">
      <c r="A8" s="67" t="s">
        <v>608</v>
      </c>
      <c r="B8" s="51" t="s">
        <v>208</v>
      </c>
      <c r="C8" s="51"/>
      <c r="D8" s="51"/>
      <c r="E8" s="63" t="e">
        <f>IF(G8="Y",VLOOKUP(B8&amp;"|"&amp;C8,'[1]ETC Data'!$C$2:$D$16,2,FALSE),0)</f>
        <v>#N/A</v>
      </c>
      <c r="F8" s="63">
        <f>IF(D8="",0,IF(G8="Y",VLOOKUP(B8&amp;"|"&amp;D8,'[1]ETC Data'!$C$2:$D$16,2,FALSE),0))</f>
        <v>0</v>
      </c>
      <c r="G8" s="53" t="str">
        <f>IF(VLOOKUP(A8,[1]Plan!A$1:H$804,8,FALSE)&lt;&gt;"",VLOOKUP(A8,[1]Plan!A$1:H$804,8,FALSE),"")</f>
        <v>Y</v>
      </c>
      <c r="H8" s="54" t="str">
        <f>IF(VLOOKUP(A8,[1]Plan!A$1:L$804,12,FALSE)&lt;&gt;"",VLOOKUP(A8,[1]Plan!A$1:L$804,12,FALSE),"")</f>
        <v/>
      </c>
      <c r="I8" s="55" t="str">
        <f>IF(VLOOKUP(A8,[1]Plan!A$1:M$804,13,FALSE)&lt;&gt;"",VLOOKUP(A8,[1]Plan!A$1:M$804,13,FALSE),"")</f>
        <v/>
      </c>
      <c r="J8" s="55" t="str">
        <f>IF(VLOOKUP(A8,[1]Plan!A$1:N$804,14,FALSE)&lt;&gt;"",VLOOKUP(A8,[1]Plan!A$1:N$804,14,FALSE),IF(VLOOKUP(A8,[1]Plan!A$1:O$804,15,FALSE)&lt;&gt;"",VLOOKUP(A8,[1]Plan!A$1:O$804,15,FALSE),""))</f>
        <v>Y</v>
      </c>
      <c r="K8" s="56" t="str">
        <f>IF(VLOOKUP(A8,[1]Plan!A$1:P$804,16,FALSE)&lt;&gt;"",VLOOKUP(A8,[1]Plan!A$1:P$804,16,FALSE),"")</f>
        <v/>
      </c>
      <c r="L8" s="55"/>
      <c r="M8" s="55"/>
      <c r="N8" s="55"/>
      <c r="O8" s="57" t="e">
        <f>IF(F8=0,E8,F8)</f>
        <v>#N/A</v>
      </c>
      <c r="P8" s="57" t="b">
        <f>OR(H8="Y",I8="Y")</f>
        <v>0</v>
      </c>
      <c r="Q8" s="58">
        <f>IF(P8,O8*'[1]ETC Data'!$H$3*'[1]ETC Data'!$I$3,0)</f>
        <v>0</v>
      </c>
      <c r="R8" s="58">
        <f>Q8-(Q8*((VLOOKUP(A8,[1]Plan!A$1:Z$804,26,FALSE)/100)))</f>
        <v>0</v>
      </c>
      <c r="S8" s="58">
        <f>IF(P8,O8*'[1]ETC Data'!$H$3*'[1]ETC Data'!$J$3,0)</f>
        <v>0</v>
      </c>
      <c r="T8" s="58">
        <f>S8-(S8*((VLOOKUP(A8,[1]Plan!A$1:AA$804,27,FALSE)/100)))</f>
        <v>0</v>
      </c>
      <c r="U8" s="58">
        <f>IF(P8,O8*'[1]ETC Data'!$H$3*'[1]ETC Data'!$K$3,0)</f>
        <v>0</v>
      </c>
      <c r="V8" s="58">
        <f>U8-(U8*((VLOOKUP(A8,[1]Plan!A$1:AB$804,28,FALSE)/100)))</f>
        <v>0</v>
      </c>
      <c r="W8" s="58">
        <f>IF(P8,O8*'[1]ETC Data'!$H$3*'[1]ETC Data'!$L$3,0)</f>
        <v>0</v>
      </c>
      <c r="X8" s="58">
        <f>W8-(W8*((VLOOKUP(A8,[1]Plan!A$1:AC$804,29,FALSE)/100)))</f>
        <v>0</v>
      </c>
      <c r="Y8" s="59"/>
      <c r="Z8" s="60" t="b">
        <f>OR(H8="Y",J8="Y")</f>
        <v>1</v>
      </c>
      <c r="AA8" s="58" t="e">
        <f>IF(Z8,O8*'[1]ETC Data'!$H$4*'[1]ETC Data'!$I$4,0)</f>
        <v>#N/A</v>
      </c>
      <c r="AB8" s="58" t="e">
        <f>AA8-(AA8*((VLOOKUP(A8,[1]Plan!A$1:AI$804,35,FALSE)/100)))</f>
        <v>#N/A</v>
      </c>
      <c r="AC8" s="58" t="e">
        <f>IF(Z8,O8*'[1]ETC Data'!$H$4*'[1]ETC Data'!$J$4,0)</f>
        <v>#N/A</v>
      </c>
      <c r="AD8" s="58" t="e">
        <f>AC8-(AC8*((VLOOKUP(A8,[1]Plan!A$1:AJ$804,36,FALSE)/100)))</f>
        <v>#N/A</v>
      </c>
      <c r="AE8" s="58" t="e">
        <f>IF(Z8,O8*'[1]ETC Data'!$H$4*'[1]ETC Data'!$K$4,0)</f>
        <v>#N/A</v>
      </c>
      <c r="AF8" s="58" t="e">
        <f>AE8-(AE8*((VLOOKUP(A8,[1]Plan!A$1:AK$804,37,FALSE)/100)))</f>
        <v>#N/A</v>
      </c>
      <c r="AG8" s="58" t="e">
        <f>IF(Z8,O8*'[1]ETC Data'!$H$4*'[1]ETC Data'!$L$4,0)</f>
        <v>#N/A</v>
      </c>
      <c r="AH8" s="58" t="e">
        <f>AG8-(AG8*((VLOOKUP(A8,[1]Plan!A$1:AP$804,42,FALSE)/100)))</f>
        <v>#N/A</v>
      </c>
      <c r="AI8" s="60"/>
      <c r="AJ8" s="60" t="b">
        <f>OR(H8="Y",K8="Y")</f>
        <v>0</v>
      </c>
      <c r="AK8" s="61">
        <f>IF(AJ8,O8*'[1]ETC Data'!$H$5*'[1]ETC Data'!$I$5,0)</f>
        <v>0</v>
      </c>
      <c r="AL8" s="58">
        <f>AK8-(AK8*((VLOOKUP(A8,[1]Plan!A$1:AY$804,51,FALSE)/100)))</f>
        <v>0</v>
      </c>
      <c r="AM8" s="58">
        <f>IF(AJ8,O8*'[1]ETC Data'!$H$5*'[1]ETC Data'!$J$5,0)</f>
        <v>0</v>
      </c>
      <c r="AN8" s="58">
        <f>AM8-(AM8*((VLOOKUP(A8,[1]Plan!A$1:BA$804,53,FALSE)/100)))</f>
        <v>0</v>
      </c>
      <c r="AO8" s="61">
        <f>IF(AJ8,O8*'[1]ETC Data'!$H$5*'[1]ETC Data'!$K$5,0)</f>
        <v>0</v>
      </c>
      <c r="AP8" s="58">
        <f>AO8-(AO8*((VLOOKUP(A8,[1]Plan!A$1:BB$804,54,FALSE)/100)))</f>
        <v>0</v>
      </c>
      <c r="AQ8" s="58">
        <f>IF(AJ8,O8*'[1]ETC Data'!$H$5*'[1]ETC Data'!$L$5,0)</f>
        <v>0</v>
      </c>
      <c r="AR8" s="58">
        <f>AQ8-(AQ8*((VLOOKUP(A8,[1]Plan!A$1:BD$804,56,FALSE)/100)))</f>
        <v>0</v>
      </c>
      <c r="AS8" s="20">
        <f>VLOOKUP(A8,'[1]PR Matrix'!A:B,2,FALSE)</f>
        <v>6233</v>
      </c>
      <c r="AT8" s="21" t="e">
        <f>R8+T8+V8+X8+AB8+AD8+AF8+AH8+AL8+AN8+AP8+AR8</f>
        <v>#N/A</v>
      </c>
      <c r="AU8" s="21" t="e">
        <f>Q8+S8+U8+W8+AA8+AC8+AE8+AG8+AK8+AM8+AO8+AQ8</f>
        <v>#N/A</v>
      </c>
      <c r="AV8" s="21" t="e">
        <f>R8+AB8+AL8</f>
        <v>#N/A</v>
      </c>
      <c r="AW8" s="72" t="e">
        <f>T8+AD8+AN8</f>
        <v>#N/A</v>
      </c>
      <c r="AX8" s="72" t="e">
        <f>V8+AF8+AP8</f>
        <v>#N/A</v>
      </c>
      <c r="AY8" s="72" t="e">
        <f>X8+AH8+AR8</f>
        <v>#N/A</v>
      </c>
      <c r="AZ8" s="22"/>
      <c r="BA8" s="22"/>
      <c r="BB8" s="22"/>
      <c r="BC8" s="22"/>
    </row>
    <row r="9" spans="1:55" x14ac:dyDescent="0.25">
      <c r="A9" s="50" t="s">
        <v>611</v>
      </c>
      <c r="B9" s="51" t="s">
        <v>208</v>
      </c>
      <c r="C9" s="51"/>
      <c r="D9" s="51"/>
      <c r="E9" s="63" t="e">
        <f>IF(G9="Y",VLOOKUP(B9&amp;"|"&amp;C9,'[1]ETC Data'!$C$2:$D$16,2,FALSE),0)</f>
        <v>#N/A</v>
      </c>
      <c r="F9" s="63">
        <f>IF(D9="",0,IF(G9="Y",VLOOKUP(B9&amp;"|"&amp;D9,'[1]ETC Data'!$C$2:$D$16,2,FALSE),0))</f>
        <v>0</v>
      </c>
      <c r="G9" s="53" t="str">
        <f>IF(VLOOKUP(A9,[1]Plan!A$1:H$804,8,FALSE)&lt;&gt;"",VLOOKUP(A9,[1]Plan!A$1:H$804,8,FALSE),"")</f>
        <v>Y</v>
      </c>
      <c r="H9" s="54" t="str">
        <f>IF(VLOOKUP(A9,[1]Plan!A$1:L$804,12,FALSE)&lt;&gt;"",VLOOKUP(A9,[1]Plan!A$1:L$804,12,FALSE),"")</f>
        <v/>
      </c>
      <c r="I9" s="55" t="str">
        <f>IF(VLOOKUP(A9,[1]Plan!A$1:M$804,13,FALSE)&lt;&gt;"",VLOOKUP(A9,[1]Plan!A$1:M$804,13,FALSE),"")</f>
        <v/>
      </c>
      <c r="J9" s="55" t="str">
        <f>IF(VLOOKUP(A9,[1]Plan!A$1:N$804,14,FALSE)&lt;&gt;"",VLOOKUP(A9,[1]Plan!A$1:N$804,14,FALSE),IF(VLOOKUP(A9,[1]Plan!A$1:O$804,15,FALSE)&lt;&gt;"",VLOOKUP(A9,[1]Plan!A$1:O$804,15,FALSE),""))</f>
        <v>Y</v>
      </c>
      <c r="K9" s="56" t="str">
        <f>IF(VLOOKUP(A9,[1]Plan!A$1:P$804,16,FALSE)&lt;&gt;"",VLOOKUP(A9,[1]Plan!A$1:P$804,16,FALSE),"")</f>
        <v/>
      </c>
      <c r="L9" s="55"/>
      <c r="M9" s="55"/>
      <c r="N9" s="55"/>
      <c r="O9" s="57" t="e">
        <f>IF(F9=0,E9,F9)</f>
        <v>#N/A</v>
      </c>
      <c r="P9" s="57" t="b">
        <f>OR(H9="Y",I9="Y")</f>
        <v>0</v>
      </c>
      <c r="Q9" s="58">
        <f>IF(P9,O9*'[1]ETC Data'!$H$3*'[1]ETC Data'!$I$3,0)</f>
        <v>0</v>
      </c>
      <c r="R9" s="58">
        <f>Q9-(Q9*((VLOOKUP(A9,[1]Plan!A$1:Z$804,26,FALSE)/100)))</f>
        <v>0</v>
      </c>
      <c r="S9" s="58">
        <f>IF(P9,O9*'[1]ETC Data'!$H$3*'[1]ETC Data'!$J$3,0)</f>
        <v>0</v>
      </c>
      <c r="T9" s="58">
        <f>S9-(S9*((VLOOKUP(A9,[1]Plan!A$1:AA$804,27,FALSE)/100)))</f>
        <v>0</v>
      </c>
      <c r="U9" s="58">
        <f>IF(P9,O9*'[1]ETC Data'!$H$3*'[1]ETC Data'!$K$3,0)</f>
        <v>0</v>
      </c>
      <c r="V9" s="58">
        <f>U9-(U9*((VLOOKUP(A9,[1]Plan!A$1:AB$804,28,FALSE)/100)))</f>
        <v>0</v>
      </c>
      <c r="W9" s="58">
        <f>IF(P9,O9*'[1]ETC Data'!$H$3*'[1]ETC Data'!$L$3,0)</f>
        <v>0</v>
      </c>
      <c r="X9" s="58">
        <f>W9-(W9*((VLOOKUP(A9,[1]Plan!A$1:AC$804,29,FALSE)/100)))</f>
        <v>0</v>
      </c>
      <c r="Y9" s="59"/>
      <c r="Z9" s="60" t="b">
        <f>OR(H9="Y",J9="Y")</f>
        <v>1</v>
      </c>
      <c r="AA9" s="58" t="e">
        <f>IF(Z9,O9*'[1]ETC Data'!$H$4*'[1]ETC Data'!$I$4,0)</f>
        <v>#N/A</v>
      </c>
      <c r="AB9" s="58" t="e">
        <f>AA9-(AA9*((VLOOKUP(A9,[1]Plan!A$1:AI$804,35,FALSE)/100)))</f>
        <v>#N/A</v>
      </c>
      <c r="AC9" s="58" t="e">
        <f>IF(Z9,O9*'[1]ETC Data'!$H$4*'[1]ETC Data'!$J$4,0)</f>
        <v>#N/A</v>
      </c>
      <c r="AD9" s="58" t="e">
        <f>AC9-(AC9*((VLOOKUP(A9,[1]Plan!A$1:AJ$804,36,FALSE)/100)))</f>
        <v>#N/A</v>
      </c>
      <c r="AE9" s="58" t="e">
        <f>IF(Z9,O9*'[1]ETC Data'!$H$4*'[1]ETC Data'!$K$4,0)</f>
        <v>#N/A</v>
      </c>
      <c r="AF9" s="58" t="e">
        <f>AE9-(AE9*((VLOOKUP(A9,[1]Plan!A$1:AK$804,37,FALSE)/100)))</f>
        <v>#N/A</v>
      </c>
      <c r="AG9" s="58" t="e">
        <f>IF(Z9,O9*'[1]ETC Data'!$H$4*'[1]ETC Data'!$L$4,0)</f>
        <v>#N/A</v>
      </c>
      <c r="AH9" s="58" t="e">
        <f>AG9-(AG9*((VLOOKUP(A9,[1]Plan!A$1:AP$804,42,FALSE)/100)))</f>
        <v>#N/A</v>
      </c>
      <c r="AI9" s="60"/>
      <c r="AJ9" s="60" t="b">
        <f>OR(H9="Y",K9="Y")</f>
        <v>0</v>
      </c>
      <c r="AK9" s="61">
        <f>IF(AJ9,O9*'[1]ETC Data'!$H$5*'[1]ETC Data'!$I$5,0)</f>
        <v>0</v>
      </c>
      <c r="AL9" s="58">
        <f>AK9-(AK9*((VLOOKUP(A9,[1]Plan!A$1:AY$804,51,FALSE)/100)))</f>
        <v>0</v>
      </c>
      <c r="AM9" s="58">
        <f>IF(AJ9,O9*'[1]ETC Data'!$H$5*'[1]ETC Data'!$J$5,0)</f>
        <v>0</v>
      </c>
      <c r="AN9" s="58">
        <f>AM9-(AM9*((VLOOKUP(A9,[1]Plan!A$1:BA$804,53,FALSE)/100)))</f>
        <v>0</v>
      </c>
      <c r="AO9" s="61">
        <f>IF(AJ9,O9*'[1]ETC Data'!$H$5*'[1]ETC Data'!$K$5,0)</f>
        <v>0</v>
      </c>
      <c r="AP9" s="58">
        <f>AO9-(AO9*((VLOOKUP(A9,[1]Plan!A$1:BB$804,54,FALSE)/100)))</f>
        <v>0</v>
      </c>
      <c r="AQ9" s="58">
        <f>IF(AJ9,O9*'[1]ETC Data'!$H$5*'[1]ETC Data'!$L$5,0)</f>
        <v>0</v>
      </c>
      <c r="AR9" s="58">
        <f>AQ9-(AQ9*((VLOOKUP(A9,[1]Plan!A$1:BD$804,56,FALSE)/100)))</f>
        <v>0</v>
      </c>
      <c r="AS9" s="20">
        <f>VLOOKUP(A9,'[1]PR Matrix'!A:B,2,FALSE)</f>
        <v>6233</v>
      </c>
      <c r="AT9" s="21" t="e">
        <f>R9+T9+V9+X9+AB9+AD9+AF9+AH9+AL9+AN9+AP9+AR9</f>
        <v>#N/A</v>
      </c>
      <c r="AU9" s="21" t="e">
        <f>Q9+S9+U9+W9+AA9+AC9+AE9+AG9+AK9+AM9+AO9+AQ9</f>
        <v>#N/A</v>
      </c>
      <c r="AV9" s="21" t="e">
        <f>R9+AB9+AL9</f>
        <v>#N/A</v>
      </c>
      <c r="AW9" s="72" t="e">
        <f>T9+AD9+AN9</f>
        <v>#N/A</v>
      </c>
      <c r="AX9" s="72" t="e">
        <f>V9+AF9+AP9</f>
        <v>#N/A</v>
      </c>
      <c r="AY9" s="72" t="e">
        <f>X9+AH9+AR9</f>
        <v>#N/A</v>
      </c>
      <c r="AZ9" s="22"/>
      <c r="BA9" s="22"/>
      <c r="BB9" s="22"/>
      <c r="BC9" s="22"/>
    </row>
    <row r="10" spans="1:55" x14ac:dyDescent="0.25">
      <c r="A10" s="50" t="s">
        <v>613</v>
      </c>
      <c r="B10" s="51" t="s">
        <v>208</v>
      </c>
      <c r="C10" s="51"/>
      <c r="D10" s="51"/>
      <c r="E10" s="63" t="e">
        <f>IF(G10="Y",VLOOKUP(B10&amp;"|"&amp;C10,'[1]ETC Data'!$C$2:$D$16,2,FALSE),0)</f>
        <v>#N/A</v>
      </c>
      <c r="F10" s="63">
        <f>IF(D10="",0,IF(G10="Y",VLOOKUP(B10&amp;"|"&amp;D10,'[1]ETC Data'!$C$2:$D$16,2,FALSE),0))</f>
        <v>0</v>
      </c>
      <c r="G10" s="53" t="str">
        <f>IF(VLOOKUP(A10,[1]Plan!A$1:H$804,8,FALSE)&lt;&gt;"",VLOOKUP(A10,[1]Plan!A$1:H$804,8,FALSE),"")</f>
        <v>Y</v>
      </c>
      <c r="H10" s="54" t="str">
        <f>IF(VLOOKUP(A10,[1]Plan!A$1:L$804,12,FALSE)&lt;&gt;"",VLOOKUP(A10,[1]Plan!A$1:L$804,12,FALSE),"")</f>
        <v/>
      </c>
      <c r="I10" s="55" t="str">
        <f>IF(VLOOKUP(A10,[1]Plan!A$1:M$804,13,FALSE)&lt;&gt;"",VLOOKUP(A10,[1]Plan!A$1:M$804,13,FALSE),"")</f>
        <v/>
      </c>
      <c r="J10" s="55" t="str">
        <f>IF(VLOOKUP(A10,[1]Plan!A$1:N$804,14,FALSE)&lt;&gt;"",VLOOKUP(A10,[1]Plan!A$1:N$804,14,FALSE),IF(VLOOKUP(A10,[1]Plan!A$1:O$804,15,FALSE)&lt;&gt;"",VLOOKUP(A10,[1]Plan!A$1:O$804,15,FALSE),""))</f>
        <v>Y</v>
      </c>
      <c r="K10" s="56" t="str">
        <f>IF(VLOOKUP(A10,[1]Plan!A$1:P$804,16,FALSE)&lt;&gt;"",VLOOKUP(A10,[1]Plan!A$1:P$804,16,FALSE),"")</f>
        <v/>
      </c>
      <c r="L10" s="55"/>
      <c r="M10" s="55"/>
      <c r="N10" s="55"/>
      <c r="O10" s="57" t="e">
        <f>IF(F10=0,E10,F10)</f>
        <v>#N/A</v>
      </c>
      <c r="P10" s="57" t="b">
        <f>OR(H10="Y",I10="Y")</f>
        <v>0</v>
      </c>
      <c r="Q10" s="58">
        <f>IF(P10,O10*'[1]ETC Data'!$H$3*'[1]ETC Data'!$I$3,0)</f>
        <v>0</v>
      </c>
      <c r="R10" s="58">
        <f>Q10-(Q10*((VLOOKUP(A10,[1]Plan!A$1:Z$804,26,FALSE)/100)))</f>
        <v>0</v>
      </c>
      <c r="S10" s="58">
        <f>IF(P10,O10*'[1]ETC Data'!$H$3*'[1]ETC Data'!$J$3,0)</f>
        <v>0</v>
      </c>
      <c r="T10" s="58">
        <f>S10-(S10*((VLOOKUP(A10,[1]Plan!A$1:AA$804,27,FALSE)/100)))</f>
        <v>0</v>
      </c>
      <c r="U10" s="58">
        <f>IF(P10,O10*'[1]ETC Data'!$H$3*'[1]ETC Data'!$K$3,0)</f>
        <v>0</v>
      </c>
      <c r="V10" s="58">
        <f>U10-(U10*((VLOOKUP(A10,[1]Plan!A$1:AB$804,28,FALSE)/100)))</f>
        <v>0</v>
      </c>
      <c r="W10" s="58">
        <f>IF(P10,O10*'[1]ETC Data'!$H$3*'[1]ETC Data'!$L$3,0)</f>
        <v>0</v>
      </c>
      <c r="X10" s="58">
        <f>W10-(W10*((VLOOKUP(A10,[1]Plan!A$1:AC$804,29,FALSE)/100)))</f>
        <v>0</v>
      </c>
      <c r="Y10" s="59"/>
      <c r="Z10" s="60" t="b">
        <f>OR(H10="Y",J10="Y")</f>
        <v>1</v>
      </c>
      <c r="AA10" s="58" t="e">
        <f>IF(Z10,O10*'[1]ETC Data'!$H$4*'[1]ETC Data'!$I$4,0)</f>
        <v>#N/A</v>
      </c>
      <c r="AB10" s="58" t="e">
        <f>AA10-(AA10*((VLOOKUP(A10,[1]Plan!A$1:AI$804,35,FALSE)/100)))</f>
        <v>#N/A</v>
      </c>
      <c r="AC10" s="58" t="e">
        <f>IF(Z10,O10*'[1]ETC Data'!$H$4*'[1]ETC Data'!$J$4,0)</f>
        <v>#N/A</v>
      </c>
      <c r="AD10" s="58" t="e">
        <f>AC10-(AC10*((VLOOKUP(A10,[1]Plan!A$1:AJ$804,36,FALSE)/100)))</f>
        <v>#N/A</v>
      </c>
      <c r="AE10" s="58" t="e">
        <f>IF(Z10,O10*'[1]ETC Data'!$H$4*'[1]ETC Data'!$K$4,0)</f>
        <v>#N/A</v>
      </c>
      <c r="AF10" s="58" t="e">
        <f>AE10-(AE10*((VLOOKUP(A10,[1]Plan!A$1:AK$804,37,FALSE)/100)))</f>
        <v>#N/A</v>
      </c>
      <c r="AG10" s="58" t="e">
        <f>IF(Z10,O10*'[1]ETC Data'!$H$4*'[1]ETC Data'!$L$4,0)</f>
        <v>#N/A</v>
      </c>
      <c r="AH10" s="58" t="e">
        <f>AG10-(AG10*((VLOOKUP(A10,[1]Plan!A$1:AP$804,42,FALSE)/100)))</f>
        <v>#N/A</v>
      </c>
      <c r="AI10" s="60"/>
      <c r="AJ10" s="60" t="b">
        <f>OR(H10="Y",K10="Y")</f>
        <v>0</v>
      </c>
      <c r="AK10" s="61">
        <f>IF(AJ10,O10*'[1]ETC Data'!$H$5*'[1]ETC Data'!$I$5,0)</f>
        <v>0</v>
      </c>
      <c r="AL10" s="58">
        <f>AK10-(AK10*((VLOOKUP(A10,[1]Plan!A$1:AY$804,51,FALSE)/100)))</f>
        <v>0</v>
      </c>
      <c r="AM10" s="58">
        <f>IF(AJ10,O10*'[1]ETC Data'!$H$5*'[1]ETC Data'!$J$5,0)</f>
        <v>0</v>
      </c>
      <c r="AN10" s="58">
        <f>AM10-(AM10*((VLOOKUP(A10,[1]Plan!A$1:BA$804,53,FALSE)/100)))</f>
        <v>0</v>
      </c>
      <c r="AO10" s="61">
        <f>IF(AJ10,O10*'[1]ETC Data'!$H$5*'[1]ETC Data'!$K$5,0)</f>
        <v>0</v>
      </c>
      <c r="AP10" s="58">
        <f>AO10-(AO10*((VLOOKUP(A10,[1]Plan!A$1:BB$804,54,FALSE)/100)))</f>
        <v>0</v>
      </c>
      <c r="AQ10" s="58">
        <f>IF(AJ10,O10*'[1]ETC Data'!$H$5*'[1]ETC Data'!$L$5,0)</f>
        <v>0</v>
      </c>
      <c r="AR10" s="58">
        <f>AQ10-(AQ10*((VLOOKUP(A10,[1]Plan!A$1:BD$804,56,FALSE)/100)))</f>
        <v>0</v>
      </c>
      <c r="AS10" s="20">
        <f>VLOOKUP(A10,'[1]PR Matrix'!A:B,2,FALSE)</f>
        <v>6233</v>
      </c>
      <c r="AT10" s="21" t="e">
        <f>R10+T10+V10+X10+AB10+AD10+AF10+AH10+AL10+AN10+AP10+AR10</f>
        <v>#N/A</v>
      </c>
      <c r="AU10" s="21" t="e">
        <f>Q10+S10+U10+W10+AA10+AC10+AE10+AG10+AK10+AM10+AO10+AQ10</f>
        <v>#N/A</v>
      </c>
      <c r="AV10" s="21" t="e">
        <f>R10+AB10+AL10</f>
        <v>#N/A</v>
      </c>
      <c r="AW10" s="72" t="e">
        <f>T10+AD10+AN10</f>
        <v>#N/A</v>
      </c>
      <c r="AX10" s="72" t="e">
        <f>V10+AF10+AP10</f>
        <v>#N/A</v>
      </c>
      <c r="AY10" s="72" t="e">
        <f>X10+AH10+AR10</f>
        <v>#N/A</v>
      </c>
      <c r="AZ10" s="22"/>
      <c r="BA10" s="22"/>
      <c r="BB10" s="22"/>
      <c r="BC10" s="22"/>
    </row>
    <row r="11" spans="1:55" x14ac:dyDescent="0.25">
      <c r="A11" s="50" t="s">
        <v>625</v>
      </c>
      <c r="B11" s="51" t="s">
        <v>208</v>
      </c>
      <c r="C11" s="51"/>
      <c r="D11" s="51"/>
      <c r="E11" s="63" t="e">
        <f>IF(G11="Y",VLOOKUP(B11&amp;"|"&amp;C11,'[1]ETC Data'!$C$2:$D$16,2,FALSE),0)</f>
        <v>#N/A</v>
      </c>
      <c r="F11" s="63">
        <f>IF(D11="",0,IF(G11="Y",VLOOKUP(B11&amp;"|"&amp;D11,'[1]ETC Data'!$C$2:$D$16,2,FALSE),0))</f>
        <v>0</v>
      </c>
      <c r="G11" s="53" t="str">
        <f>IF(VLOOKUP(A11,[1]Plan!A$1:H$804,8,FALSE)&lt;&gt;"",VLOOKUP(A11,[1]Plan!A$1:H$804,8,FALSE),"")</f>
        <v>Y</v>
      </c>
      <c r="H11" s="54" t="str">
        <f>IF(VLOOKUP(A11,[1]Plan!A$1:L$804,12,FALSE)&lt;&gt;"",VLOOKUP(A11,[1]Plan!A$1:L$804,12,FALSE),"")</f>
        <v/>
      </c>
      <c r="I11" s="55" t="str">
        <f>IF(VLOOKUP(A11,[1]Plan!A$1:M$804,13,FALSE)&lt;&gt;"",VLOOKUP(A11,[1]Plan!A$1:M$804,13,FALSE),"")</f>
        <v/>
      </c>
      <c r="J11" s="55" t="str">
        <f>IF(VLOOKUP(A11,[1]Plan!A$1:N$804,14,FALSE)&lt;&gt;"",VLOOKUP(A11,[1]Plan!A$1:N$804,14,FALSE),IF(VLOOKUP(A11,[1]Plan!A$1:O$804,15,FALSE)&lt;&gt;"",VLOOKUP(A11,[1]Plan!A$1:O$804,15,FALSE),""))</f>
        <v>Y</v>
      </c>
      <c r="K11" s="56" t="str">
        <f>IF(VLOOKUP(A11,[1]Plan!A$1:P$804,16,FALSE)&lt;&gt;"",VLOOKUP(A11,[1]Plan!A$1:P$804,16,FALSE),"")</f>
        <v/>
      </c>
      <c r="L11" s="55"/>
      <c r="M11" s="55"/>
      <c r="N11" s="55"/>
      <c r="O11" s="57" t="e">
        <f>IF(F11=0,E11,F11)</f>
        <v>#N/A</v>
      </c>
      <c r="P11" s="57" t="b">
        <f>OR(H11="Y",I11="Y")</f>
        <v>0</v>
      </c>
      <c r="Q11" s="58">
        <f>IF(P11,O11*'[1]ETC Data'!$H$3*'[1]ETC Data'!$I$3,0)</f>
        <v>0</v>
      </c>
      <c r="R11" s="58">
        <f>Q11-(Q11*((VLOOKUP(A11,[1]Plan!A$1:Z$804,26,FALSE)/100)))</f>
        <v>0</v>
      </c>
      <c r="S11" s="58">
        <f>IF(P11,O11*'[1]ETC Data'!$H$3*'[1]ETC Data'!$J$3,0)</f>
        <v>0</v>
      </c>
      <c r="T11" s="58">
        <f>S11-(S11*((VLOOKUP(A11,[1]Plan!A$1:AA$804,27,FALSE)/100)))</f>
        <v>0</v>
      </c>
      <c r="U11" s="58">
        <f>IF(P11,O11*'[1]ETC Data'!$H$3*'[1]ETC Data'!$K$3,0)</f>
        <v>0</v>
      </c>
      <c r="V11" s="58">
        <f>U11-(U11*((VLOOKUP(A11,[1]Plan!A$1:AB$804,28,FALSE)/100)))</f>
        <v>0</v>
      </c>
      <c r="W11" s="58">
        <f>IF(P11,O11*'[1]ETC Data'!$H$3*'[1]ETC Data'!$L$3,0)</f>
        <v>0</v>
      </c>
      <c r="X11" s="58">
        <f>W11-(W11*((VLOOKUP(A11,[1]Plan!A$1:AC$804,29,FALSE)/100)))</f>
        <v>0</v>
      </c>
      <c r="Y11" s="59"/>
      <c r="Z11" s="60" t="b">
        <f>OR(H11="Y",J11="Y")</f>
        <v>1</v>
      </c>
      <c r="AA11" s="58" t="e">
        <f>IF(Z11,O11*'[1]ETC Data'!$H$4*'[1]ETC Data'!$I$4,0)</f>
        <v>#N/A</v>
      </c>
      <c r="AB11" s="58" t="e">
        <f>AA11-(AA11*((VLOOKUP(A11,[1]Plan!A$1:AI$804,35,FALSE)/100)))</f>
        <v>#N/A</v>
      </c>
      <c r="AC11" s="58" t="e">
        <f>IF(Z11,O11*'[1]ETC Data'!$H$4*'[1]ETC Data'!$J$4,0)</f>
        <v>#N/A</v>
      </c>
      <c r="AD11" s="58" t="e">
        <f>AC11-(AC11*((VLOOKUP(A11,[1]Plan!A$1:AJ$804,36,FALSE)/100)))</f>
        <v>#N/A</v>
      </c>
      <c r="AE11" s="58" t="e">
        <f>IF(Z11,O11*'[1]ETC Data'!$H$4*'[1]ETC Data'!$K$4,0)</f>
        <v>#N/A</v>
      </c>
      <c r="AF11" s="58" t="e">
        <f>AE11-(AE11*((VLOOKUP(A11,[1]Plan!A$1:AK$804,37,FALSE)/100)))</f>
        <v>#N/A</v>
      </c>
      <c r="AG11" s="58" t="e">
        <f>IF(Z11,O11*'[1]ETC Data'!$H$4*'[1]ETC Data'!$L$4,0)</f>
        <v>#N/A</v>
      </c>
      <c r="AH11" s="58" t="e">
        <f>AG11-(AG11*((VLOOKUP(A11,[1]Plan!A$1:AP$804,42,FALSE)/100)))</f>
        <v>#N/A</v>
      </c>
      <c r="AI11" s="60"/>
      <c r="AJ11" s="60" t="b">
        <f>OR(H11="Y",K11="Y")</f>
        <v>0</v>
      </c>
      <c r="AK11" s="61">
        <f>IF(AJ11,O11*'[1]ETC Data'!$H$5*'[1]ETC Data'!$I$5,0)</f>
        <v>0</v>
      </c>
      <c r="AL11" s="58">
        <f>AK11-(AK11*((VLOOKUP(A11,[1]Plan!A$1:AY$804,51,FALSE)/100)))</f>
        <v>0</v>
      </c>
      <c r="AM11" s="58">
        <f>IF(AJ11,O11*'[1]ETC Data'!$H$5*'[1]ETC Data'!$J$5,0)</f>
        <v>0</v>
      </c>
      <c r="AN11" s="58">
        <f>AM11-(AM11*((VLOOKUP(A11,[1]Plan!A$1:BA$804,53,FALSE)/100)))</f>
        <v>0</v>
      </c>
      <c r="AO11" s="61">
        <f>IF(AJ11,O11*'[1]ETC Data'!$H$5*'[1]ETC Data'!$K$5,0)</f>
        <v>0</v>
      </c>
      <c r="AP11" s="58">
        <f>AO11-(AO11*((VLOOKUP(A11,[1]Plan!A$1:BB$804,54,FALSE)/100)))</f>
        <v>0</v>
      </c>
      <c r="AQ11" s="58">
        <f>IF(AJ11,O11*'[1]ETC Data'!$H$5*'[1]ETC Data'!$L$5,0)</f>
        <v>0</v>
      </c>
      <c r="AR11" s="58">
        <f>AQ11-(AQ11*((VLOOKUP(A11,[1]Plan!A$1:BD$804,56,FALSE)/100)))</f>
        <v>0</v>
      </c>
      <c r="AS11" s="20">
        <f>VLOOKUP(A11,'[1]PR Matrix'!A:B,2,FALSE)</f>
        <v>6233</v>
      </c>
      <c r="AT11" s="21" t="e">
        <f>R11+T11+V11+X11+AB11+AD11+AF11+AH11+AL11+AN11+AP11+AR11</f>
        <v>#N/A</v>
      </c>
      <c r="AU11" s="21" t="e">
        <f>Q11+S11+U11+W11+AA11+AC11+AE11+AG11+AK11+AM11+AO11+AQ11</f>
        <v>#N/A</v>
      </c>
      <c r="AV11" s="21" t="e">
        <f>R11+AB11+AL11</f>
        <v>#N/A</v>
      </c>
      <c r="AW11" s="72" t="e">
        <f>T11+AD11+AN11</f>
        <v>#N/A</v>
      </c>
      <c r="AX11" s="72" t="e">
        <f>V11+AF11+AP11</f>
        <v>#N/A</v>
      </c>
      <c r="AY11" s="72" t="e">
        <f>X11+AH11+AR11</f>
        <v>#N/A</v>
      </c>
      <c r="AZ11" s="22"/>
      <c r="BA11" s="22"/>
      <c r="BB11" s="22"/>
      <c r="BC11" s="22"/>
    </row>
    <row r="12" spans="1:55" x14ac:dyDescent="0.25">
      <c r="A12" s="50" t="s">
        <v>337</v>
      </c>
      <c r="B12" s="51" t="s">
        <v>208</v>
      </c>
      <c r="C12" s="51" t="s">
        <v>209</v>
      </c>
      <c r="D12" s="51"/>
      <c r="E12" s="63">
        <f>IF(G12="Y",VLOOKUP(B12&amp;"|"&amp;C12,'[1]ETC Data'!$C$2:$D$16,2,FALSE),0)</f>
        <v>48</v>
      </c>
      <c r="F12" s="63">
        <f>IF(D12="",0,IF(G12="Y",VLOOKUP(B12&amp;"|"&amp;D12,'[1]ETC Data'!$C$2:$D$16,2,FALSE),0))</f>
        <v>0</v>
      </c>
      <c r="G12" s="53" t="str">
        <f>IF(VLOOKUP(A12,[1]Plan!A$1:H$804,8,FALSE)&lt;&gt;"",VLOOKUP(A12,[1]Plan!A$1:H$804,8,FALSE),"")</f>
        <v>Y</v>
      </c>
      <c r="H12" s="54" t="str">
        <f>IF(VLOOKUP(A12,[1]Plan!A$1:L$804,12,FALSE)&lt;&gt;"",VLOOKUP(A12,[1]Plan!A$1:L$804,12,FALSE),"")</f>
        <v/>
      </c>
      <c r="I12" s="55" t="str">
        <f>IF(VLOOKUP(A12,[1]Plan!A$1:M$804,13,FALSE)&lt;&gt;"",VLOOKUP(A12,[1]Plan!A$1:M$804,13,FALSE),"")</f>
        <v>Y</v>
      </c>
      <c r="J12" s="55" t="str">
        <f>IF(VLOOKUP(A12,[1]Plan!A$1:N$804,14,FALSE)&lt;&gt;"",VLOOKUP(A12,[1]Plan!A$1:N$804,14,FALSE),IF(VLOOKUP(A12,[1]Plan!A$1:O$804,15,FALSE)&lt;&gt;"",VLOOKUP(A12,[1]Plan!A$1:O$804,15,FALSE),""))</f>
        <v>Y</v>
      </c>
      <c r="K12" s="56" t="str">
        <f>IF(VLOOKUP(A12,[1]Plan!A$1:P$804,16,FALSE)&lt;&gt;"",VLOOKUP(A12,[1]Plan!A$1:P$804,16,FALSE),"")</f>
        <v>Y</v>
      </c>
      <c r="L12" s="55"/>
      <c r="M12" s="55"/>
      <c r="N12" s="55"/>
      <c r="O12" s="57">
        <f>IF(F12=0,E12,F12)</f>
        <v>48</v>
      </c>
      <c r="P12" s="57" t="b">
        <f>OR(H12="Y",I12="Y")</f>
        <v>1</v>
      </c>
      <c r="Q12" s="58">
        <f>IF(P12,O12*'[1]ETC Data'!$H$3*'[1]ETC Data'!$I$3,0)</f>
        <v>9.4634070744240617</v>
      </c>
      <c r="R12" s="58">
        <f>Q12-(Q12*((VLOOKUP(A12,[1]Plan!A$1:Z$804,26,FALSE)/100)))</f>
        <v>0</v>
      </c>
      <c r="S12" s="58">
        <f>IF(P12,O12*'[1]ETC Data'!$H$3*'[1]ETC Data'!$J$3,0)</f>
        <v>2.2712176978617746</v>
      </c>
      <c r="T12" s="58">
        <v>6</v>
      </c>
      <c r="U12" s="58">
        <f>IF(P12,O12*'[1]ETC Data'!$H$3*'[1]ETC Data'!$K$3,0)</f>
        <v>0.63089380496160408</v>
      </c>
      <c r="V12" s="58">
        <f>U12-(U12*((VLOOKUP(A12,[1]Plan!A$1:AB$804,28,FALSE)/100)))</f>
        <v>0</v>
      </c>
      <c r="W12" s="58">
        <f>IF(P12,O12*'[1]ETC Data'!$H$3*'[1]ETC Data'!$L$3,0)</f>
        <v>0.25235752198464162</v>
      </c>
      <c r="X12" s="58">
        <f>W12-(W12*((VLOOKUP(A12,[1]Plan!A$1:AC$804,29,FALSE)/100)))</f>
        <v>0</v>
      </c>
      <c r="Y12" s="59"/>
      <c r="Z12" s="60" t="b">
        <f>OR(H12="Y",J12="Y")</f>
        <v>1</v>
      </c>
      <c r="AA12" s="58">
        <f>IF(Z12,O12*'[1]ETC Data'!$H$4*'[1]ETC Data'!$I$4,0)</f>
        <v>11.712596294967767</v>
      </c>
      <c r="AB12" s="58">
        <f>AA12-(AA12*((VLOOKUP(A12,[1]Plan!A$1:AI$804,35,FALSE)/100)))</f>
        <v>0</v>
      </c>
      <c r="AC12" s="58">
        <f>IF(Z12,O12*'[1]ETC Data'!$H$4*'[1]ETC Data'!$J$4,0)</f>
        <v>5.8562981474838836</v>
      </c>
      <c r="AD12" s="58">
        <f>AC12-(AC12*((VLOOKUP(A12,[1]Plan!A$1:AJ$804,36,FALSE)/100)))</f>
        <v>0</v>
      </c>
      <c r="AE12" s="58">
        <f>IF(Z12,O12*'[1]ETC Data'!$H$4*'[1]ETC Data'!$K$4,0)</f>
        <v>4.2165346661883962</v>
      </c>
      <c r="AF12" s="58">
        <f>AE12-(AE12*((VLOOKUP(A12,[1]Plan!A$1:AK$804,37,FALSE)/100)))</f>
        <v>0</v>
      </c>
      <c r="AG12" s="58">
        <f>IF(Z12,O12*'[1]ETC Data'!$H$4*'[1]ETC Data'!$L$4,0)</f>
        <v>1.6397634812954875</v>
      </c>
      <c r="AH12" s="58">
        <f>AG12-(AG12*((VLOOKUP(A12,[1]Plan!A$1:AP$804,42,FALSE)/100)))</f>
        <v>0</v>
      </c>
      <c r="AI12" s="60"/>
      <c r="AJ12" s="60" t="b">
        <f>OR(H12="Y",K12="Y")</f>
        <v>1</v>
      </c>
      <c r="AK12" s="61">
        <f>IF(AJ12,O12*'[1]ETC Data'!$H$5*'[1]ETC Data'!$I$5,0)</f>
        <v>5.9784656554161915</v>
      </c>
      <c r="AL12" s="58">
        <f>AK12-(AK12*((VLOOKUP(A12,[1]Plan!A$1:AY$804,51,FALSE)/100)))</f>
        <v>0</v>
      </c>
      <c r="AM12" s="58">
        <f>IF(AJ12,O12*'[1]ETC Data'!$H$5*'[1]ETC Data'!$J$5,0)</f>
        <v>2.9892328277080957</v>
      </c>
      <c r="AN12" s="58">
        <v>6</v>
      </c>
      <c r="AO12" s="61">
        <f>IF(AJ12,O12*'[1]ETC Data'!$H$5*'[1]ETC Data'!$K$5,0)</f>
        <v>2.1522476359498288</v>
      </c>
      <c r="AP12" s="58">
        <f>AO12-(AO12*((VLOOKUP(A12,[1]Plan!A$1:BB$804,54,FALSE)/100)))</f>
        <v>0</v>
      </c>
      <c r="AQ12" s="58">
        <f>IF(AJ12,O12*'[1]ETC Data'!$H$5*'[1]ETC Data'!$L$5,0)</f>
        <v>0.83698519175826691</v>
      </c>
      <c r="AR12" s="58">
        <f>AQ12-(AQ12*((VLOOKUP(A12,[1]Plan!A$1:BD$804,56,FALSE)/100)))</f>
        <v>0</v>
      </c>
      <c r="AS12" s="20" t="str">
        <f>VLOOKUP(A12,'[1]PR Matrix'!A:B,2,FALSE)</f>
        <v>6207, 6247</v>
      </c>
      <c r="AT12" s="21">
        <f>R12+T12+V12+X12+AB12+AD12+AF12+AH12+AL12+AN12+AP12+AR12</f>
        <v>12</v>
      </c>
      <c r="AU12" s="21">
        <f>Q12+S12+U12+W12+AA12+AC12+AE12+AG12+AK12+AM12+AO12+AQ12</f>
        <v>48</v>
      </c>
      <c r="AV12" s="21">
        <f>R12+AB12+AL12</f>
        <v>0</v>
      </c>
      <c r="AW12" s="21">
        <f>T12+AD12+AN12</f>
        <v>12</v>
      </c>
      <c r="AX12" s="21">
        <f>V12+AF12+AP12</f>
        <v>0</v>
      </c>
      <c r="AY12" s="21">
        <f>X12+AH12+AR12</f>
        <v>0</v>
      </c>
      <c r="AZ12" s="22"/>
      <c r="BA12" s="22"/>
      <c r="BB12" s="22"/>
      <c r="BC12" s="22"/>
    </row>
    <row r="13" spans="1:55" x14ac:dyDescent="0.25">
      <c r="A13" s="50" t="s">
        <v>338</v>
      </c>
      <c r="B13" s="51" t="s">
        <v>208</v>
      </c>
      <c r="C13" s="51" t="s">
        <v>209</v>
      </c>
      <c r="D13" s="51"/>
      <c r="E13" s="63">
        <f>IF(G13="Y",VLOOKUP(B13&amp;"|"&amp;C13,'[1]ETC Data'!$C$2:$D$16,2,FALSE),0)</f>
        <v>48</v>
      </c>
      <c r="F13" s="63">
        <f>IF(D13="",0,IF(G13="Y",VLOOKUP(B13&amp;"|"&amp;D13,'[1]ETC Data'!$C$2:$D$16,2,FALSE),0))</f>
        <v>0</v>
      </c>
      <c r="G13" s="53" t="str">
        <f>IF(VLOOKUP(A13,[1]Plan!A$1:H$804,8,FALSE)&lt;&gt;"",VLOOKUP(A13,[1]Plan!A$1:H$804,8,FALSE),"")</f>
        <v>Y</v>
      </c>
      <c r="H13" s="54" t="str">
        <f>IF(VLOOKUP(A13,[1]Plan!A$1:L$804,12,FALSE)&lt;&gt;"",VLOOKUP(A13,[1]Plan!A$1:L$804,12,FALSE),"")</f>
        <v/>
      </c>
      <c r="I13" s="55" t="str">
        <f>IF(VLOOKUP(A13,[1]Plan!A$1:M$804,13,FALSE)&lt;&gt;"",VLOOKUP(A13,[1]Plan!A$1:M$804,13,FALSE),"")</f>
        <v>Y</v>
      </c>
      <c r="J13" s="55" t="str">
        <f>IF(VLOOKUP(A13,[1]Plan!A$1:N$804,14,FALSE)&lt;&gt;"",VLOOKUP(A13,[1]Plan!A$1:N$804,14,FALSE),IF(VLOOKUP(A13,[1]Plan!A$1:O$804,15,FALSE)&lt;&gt;"",VLOOKUP(A13,[1]Plan!A$1:O$804,15,FALSE),""))</f>
        <v>Y</v>
      </c>
      <c r="K13" s="56" t="str">
        <f>IF(VLOOKUP(A13,[1]Plan!A$1:P$804,16,FALSE)&lt;&gt;"",VLOOKUP(A13,[1]Plan!A$1:P$804,16,FALSE),"")</f>
        <v>Y</v>
      </c>
      <c r="L13" s="55"/>
      <c r="M13" s="55"/>
      <c r="N13" s="55"/>
      <c r="O13" s="57">
        <f>IF(F13=0,E13,F13)</f>
        <v>48</v>
      </c>
      <c r="P13" s="57" t="b">
        <f>OR(H13="Y",I13="Y")</f>
        <v>1</v>
      </c>
      <c r="Q13" s="58">
        <f>IF(P13,O13*'[1]ETC Data'!$H$3*'[1]ETC Data'!$I$3,0)</f>
        <v>9.4634070744240617</v>
      </c>
      <c r="R13" s="58">
        <f>Q13-(Q13*((VLOOKUP(A13,[1]Plan!A$1:Z$804,26,FALSE)/100)))</f>
        <v>0</v>
      </c>
      <c r="S13" s="58">
        <f>IF(P13,O13*'[1]ETC Data'!$H$3*'[1]ETC Data'!$J$3,0)</f>
        <v>2.2712176978617746</v>
      </c>
      <c r="T13" s="58">
        <v>6</v>
      </c>
      <c r="U13" s="58">
        <f>IF(P13,O13*'[1]ETC Data'!$H$3*'[1]ETC Data'!$K$3,0)</f>
        <v>0.63089380496160408</v>
      </c>
      <c r="V13" s="58">
        <f>U13-(U13*((VLOOKUP(A13,[1]Plan!A$1:AB$804,28,FALSE)/100)))</f>
        <v>0</v>
      </c>
      <c r="W13" s="58">
        <f>IF(P13,O13*'[1]ETC Data'!$H$3*'[1]ETC Data'!$L$3,0)</f>
        <v>0.25235752198464162</v>
      </c>
      <c r="X13" s="58">
        <f>W13-(W13*((VLOOKUP(A13,[1]Plan!A$1:AC$804,29,FALSE)/100)))</f>
        <v>0</v>
      </c>
      <c r="Y13" s="59"/>
      <c r="Z13" s="60" t="b">
        <f>OR(H13="Y",J13="Y")</f>
        <v>1</v>
      </c>
      <c r="AA13" s="58">
        <f>IF(Z13,O13*'[1]ETC Data'!$H$4*'[1]ETC Data'!$I$4,0)</f>
        <v>11.712596294967767</v>
      </c>
      <c r="AB13" s="58">
        <f>AA13-(AA13*((VLOOKUP(A13,[1]Plan!A$1:AI$804,35,FALSE)/100)))</f>
        <v>0</v>
      </c>
      <c r="AC13" s="58">
        <f>IF(Z13,O13*'[1]ETC Data'!$H$4*'[1]ETC Data'!$J$4,0)</f>
        <v>5.8562981474838836</v>
      </c>
      <c r="AD13" s="58">
        <f>AC13-(AC13*((VLOOKUP(A13,[1]Plan!A$1:AJ$804,36,FALSE)/100)))</f>
        <v>0</v>
      </c>
      <c r="AE13" s="58">
        <f>IF(Z13,O13*'[1]ETC Data'!$H$4*'[1]ETC Data'!$K$4,0)</f>
        <v>4.2165346661883962</v>
      </c>
      <c r="AF13" s="58">
        <f>AE13-(AE13*((VLOOKUP(A13,[1]Plan!A$1:AK$804,37,FALSE)/100)))</f>
        <v>0</v>
      </c>
      <c r="AG13" s="58">
        <f>IF(Z13,O13*'[1]ETC Data'!$H$4*'[1]ETC Data'!$L$4,0)</f>
        <v>1.6397634812954875</v>
      </c>
      <c r="AH13" s="58">
        <f>AG13-(AG13*((VLOOKUP(A13,[1]Plan!A$1:AP$804,42,FALSE)/100)))</f>
        <v>0</v>
      </c>
      <c r="AI13" s="60"/>
      <c r="AJ13" s="60" t="b">
        <f>OR(H13="Y",K13="Y")</f>
        <v>1</v>
      </c>
      <c r="AK13" s="61">
        <f>IF(AJ13,O13*'[1]ETC Data'!$H$5*'[1]ETC Data'!$I$5,0)</f>
        <v>5.9784656554161915</v>
      </c>
      <c r="AL13" s="58">
        <f>AK13-(AK13*((VLOOKUP(A13,[1]Plan!A$1:AY$804,51,FALSE)/100)))</f>
        <v>0</v>
      </c>
      <c r="AM13" s="58">
        <f>IF(AJ13,O13*'[1]ETC Data'!$H$5*'[1]ETC Data'!$J$5,0)</f>
        <v>2.9892328277080957</v>
      </c>
      <c r="AN13" s="58">
        <v>6</v>
      </c>
      <c r="AO13" s="61">
        <f>IF(AJ13,O13*'[1]ETC Data'!$H$5*'[1]ETC Data'!$K$5,0)</f>
        <v>2.1522476359498288</v>
      </c>
      <c r="AP13" s="58">
        <f>AO13-(AO13*((VLOOKUP(A13,[1]Plan!A$1:BB$804,54,FALSE)/100)))</f>
        <v>0</v>
      </c>
      <c r="AQ13" s="58">
        <f>IF(AJ13,O13*'[1]ETC Data'!$H$5*'[1]ETC Data'!$L$5,0)</f>
        <v>0.83698519175826691</v>
      </c>
      <c r="AR13" s="58">
        <f>AQ13-(AQ13*((VLOOKUP(A13,[1]Plan!A$1:BD$804,56,FALSE)/100)))</f>
        <v>0</v>
      </c>
      <c r="AS13" s="20">
        <f>VLOOKUP(A13,'[1]PR Matrix'!A:B,2,FALSE)</f>
        <v>6207</v>
      </c>
      <c r="AT13" s="21">
        <f>R13+T13+V13+X13+AB13+AD13+AF13+AH13+AL13+AN13+AP13+AR13</f>
        <v>12</v>
      </c>
      <c r="AU13" s="21">
        <f>Q13+S13+U13+W13+AA13+AC13+AE13+AG13+AK13+AM13+AO13+AQ13</f>
        <v>48</v>
      </c>
      <c r="AV13" s="21">
        <f>R13+AB13+AL13</f>
        <v>0</v>
      </c>
      <c r="AW13" s="21">
        <f>T13+AD13+AN13</f>
        <v>12</v>
      </c>
      <c r="AX13" s="21">
        <f>V13+AF13+AP13</f>
        <v>0</v>
      </c>
      <c r="AY13" s="21">
        <f>X13+AH13+AR13</f>
        <v>0</v>
      </c>
      <c r="AZ13" s="22"/>
      <c r="BA13" s="22"/>
      <c r="BB13" s="22"/>
      <c r="BC13" s="22"/>
    </row>
    <row r="14" spans="1:55" x14ac:dyDescent="0.25">
      <c r="A14" s="50" t="s">
        <v>369</v>
      </c>
      <c r="B14" s="51" t="s">
        <v>208</v>
      </c>
      <c r="C14" s="51" t="s">
        <v>208</v>
      </c>
      <c r="D14" s="51"/>
      <c r="E14" s="63">
        <f>IF(G14="Y",VLOOKUP(B14&amp;"|"&amp;C14,'[1]ETC Data'!$C$2:$D$16,2,FALSE),0)</f>
        <v>104</v>
      </c>
      <c r="F14" s="63">
        <f>IF(D14="",0,IF(G14="Y",VLOOKUP(B14&amp;"|"&amp;D14,'[1]ETC Data'!$C$2:$D$16,2,FALSE),0))</f>
        <v>0</v>
      </c>
      <c r="G14" s="53" t="str">
        <f>IF(VLOOKUP(A14,[1]Plan!A$1:H$804,8,FALSE)&lt;&gt;"",VLOOKUP(A14,[1]Plan!A$1:H$804,8,FALSE),"")</f>
        <v>Y</v>
      </c>
      <c r="H14" s="54" t="str">
        <f>IF(VLOOKUP(A14,[1]Plan!A$1:L$804,12,FALSE)&lt;&gt;"",VLOOKUP(A14,[1]Plan!A$1:L$804,12,FALSE),"")</f>
        <v/>
      </c>
      <c r="I14" s="55" t="str">
        <f>IF(VLOOKUP(A14,[1]Plan!A$1:M$804,13,FALSE)&lt;&gt;"",VLOOKUP(A14,[1]Plan!A$1:M$804,13,FALSE),"")</f>
        <v>Y</v>
      </c>
      <c r="J14" s="55" t="str">
        <f>IF(VLOOKUP(A14,[1]Plan!A$1:N$804,14,FALSE)&lt;&gt;"",VLOOKUP(A14,[1]Plan!A$1:N$804,14,FALSE),IF(VLOOKUP(A14,[1]Plan!A$1:O$804,15,FALSE)&lt;&gt;"",VLOOKUP(A14,[1]Plan!A$1:O$804,15,FALSE),""))</f>
        <v>Y</v>
      </c>
      <c r="K14" s="56" t="str">
        <f>IF(VLOOKUP(A14,[1]Plan!A$1:P$804,16,FALSE)&lt;&gt;"",VLOOKUP(A14,[1]Plan!A$1:P$804,16,FALSE),"")</f>
        <v>Y</v>
      </c>
      <c r="L14" s="55"/>
      <c r="M14" s="55"/>
      <c r="N14" s="55"/>
      <c r="O14" s="57">
        <f>IF(F14=0,E14,F14)</f>
        <v>104</v>
      </c>
      <c r="P14" s="57" t="b">
        <f>OR(H14="Y",I14="Y")</f>
        <v>1</v>
      </c>
      <c r="Q14" s="58">
        <f>IF(P14,O14*'[1]ETC Data'!$H$3*'[1]ETC Data'!$I$3,0)</f>
        <v>20.504048661252135</v>
      </c>
      <c r="R14" s="58">
        <v>15</v>
      </c>
      <c r="S14" s="58">
        <f>IF(P14,O14*'[1]ETC Data'!$H$3*'[1]ETC Data'!$J$3,0)</f>
        <v>4.9209716787005116</v>
      </c>
      <c r="T14" s="58">
        <v>10</v>
      </c>
      <c r="U14" s="58">
        <f>IF(P14,O14*'[1]ETC Data'!$H$3*'[1]ETC Data'!$K$3,0)</f>
        <v>1.366936577416809</v>
      </c>
      <c r="V14" s="58">
        <f>U14-(U14*((VLOOKUP(A14,[1]Plan!A$1:AB$804,28,FALSE)/100)))</f>
        <v>0</v>
      </c>
      <c r="W14" s="58">
        <f>IF(P14,O14*'[1]ETC Data'!$H$3*'[1]ETC Data'!$L$3,0)</f>
        <v>0.54677463096672352</v>
      </c>
      <c r="X14" s="58">
        <f>W14-(W14*((VLOOKUP(A14,[1]Plan!A$1:AC$804,29,FALSE)/100)))</f>
        <v>0</v>
      </c>
      <c r="Y14" s="59"/>
      <c r="Z14" s="60" t="b">
        <f>OR(H14="Y",J14="Y")</f>
        <v>1</v>
      </c>
      <c r="AA14" s="58">
        <f>IF(Z14,O14*'[1]ETC Data'!$H$4*'[1]ETC Data'!$I$4,0)</f>
        <v>25.377291972430161</v>
      </c>
      <c r="AB14" s="58">
        <v>15</v>
      </c>
      <c r="AC14" s="58">
        <f>IF(Z14,O14*'[1]ETC Data'!$H$4*'[1]ETC Data'!$J$4,0)</f>
        <v>12.68864598621508</v>
      </c>
      <c r="AD14" s="58">
        <f>AC14-(AC14*((VLOOKUP(A14,[1]Plan!A$1:AJ$804,36,FALSE)/100)))</f>
        <v>0</v>
      </c>
      <c r="AE14" s="58">
        <f>IF(Z14,O14*'[1]ETC Data'!$H$4*'[1]ETC Data'!$K$4,0)</f>
        <v>9.1358251100748582</v>
      </c>
      <c r="AF14" s="58">
        <f>AE14-(AE14*((VLOOKUP(A14,[1]Plan!A$1:AK$804,37,FALSE)/100)))</f>
        <v>0</v>
      </c>
      <c r="AG14" s="58">
        <f>IF(Z14,O14*'[1]ETC Data'!$H$4*'[1]ETC Data'!$L$4,0)</f>
        <v>3.5528208761402227</v>
      </c>
      <c r="AH14" s="58">
        <f>AG14-(AG14*((VLOOKUP(A14,[1]Plan!A$1:AP$804,42,FALSE)/100)))</f>
        <v>0</v>
      </c>
      <c r="AI14" s="60"/>
      <c r="AJ14" s="60" t="b">
        <f>OR(H14="Y",K14="Y")</f>
        <v>1</v>
      </c>
      <c r="AK14" s="61">
        <f>IF(AJ14,O14*'[1]ETC Data'!$H$5*'[1]ETC Data'!$I$5,0)</f>
        <v>12.953342253401749</v>
      </c>
      <c r="AL14" s="58">
        <f>AK14-(AK14*((VLOOKUP(A14,[1]Plan!A$1:AY$804,51,FALSE)/100)))</f>
        <v>0</v>
      </c>
      <c r="AM14" s="58">
        <f>IF(AJ14,O14*'[1]ETC Data'!$H$5*'[1]ETC Data'!$J$5,0)</f>
        <v>6.4766711267008743</v>
      </c>
      <c r="AN14" s="58">
        <v>9</v>
      </c>
      <c r="AO14" s="61">
        <f>IF(AJ14,O14*'[1]ETC Data'!$H$5*'[1]ETC Data'!$K$5,0)</f>
        <v>4.6632032112246291</v>
      </c>
      <c r="AP14" s="58">
        <f>AO14-(AO14*((VLOOKUP(A14,[1]Plan!A$1:BB$804,54,FALSE)/100)))</f>
        <v>0</v>
      </c>
      <c r="AQ14" s="58">
        <f>IF(AJ14,O14*'[1]ETC Data'!$H$5*'[1]ETC Data'!$L$5,0)</f>
        <v>1.813467915476245</v>
      </c>
      <c r="AR14" s="58">
        <f>AQ14-(AQ14*((VLOOKUP(A14,[1]Plan!A$1:BD$804,56,FALSE)/100)))</f>
        <v>0</v>
      </c>
      <c r="AS14" s="20">
        <f>VLOOKUP(A14,'[1]PR Matrix'!A:B,2,FALSE)</f>
        <v>6275</v>
      </c>
      <c r="AT14" s="21">
        <f>R14+T14+V14+X14+AB14+AD14+AF14+AH14+AL14+AN14+AP14+AR14</f>
        <v>49</v>
      </c>
      <c r="AU14" s="21">
        <f>Q14+S14+U14+W14+AA14+AC14+AE14+AG14+AK14+AM14+AO14+AQ14</f>
        <v>103.99999999999999</v>
      </c>
      <c r="AV14" s="21">
        <f>R14+AB14+AL14</f>
        <v>30</v>
      </c>
      <c r="AW14" s="21">
        <f>T14+AD14+AN14</f>
        <v>19</v>
      </c>
      <c r="AX14" s="21">
        <f>V14+AF14+AP14</f>
        <v>0</v>
      </c>
      <c r="AY14" s="21">
        <f>X14+AH14+AR14</f>
        <v>0</v>
      </c>
      <c r="AZ14" s="22"/>
      <c r="BA14" s="22"/>
      <c r="BB14" s="22"/>
      <c r="BC14" s="22"/>
    </row>
    <row r="15" spans="1:55" x14ac:dyDescent="0.25">
      <c r="A15" s="50" t="s">
        <v>381</v>
      </c>
      <c r="B15" s="51" t="s">
        <v>208</v>
      </c>
      <c r="C15" s="51" t="s">
        <v>208</v>
      </c>
      <c r="D15" s="51"/>
      <c r="E15" s="63">
        <f>IF(G15="Y",VLOOKUP(B15&amp;"|"&amp;C15,'[1]ETC Data'!$C$2:$D$16,2,FALSE),0)</f>
        <v>104</v>
      </c>
      <c r="F15" s="63">
        <f>IF(D15="",0,IF(G15="Y",VLOOKUP(B15&amp;"|"&amp;D15,'[1]ETC Data'!$C$2:$D$16,2,FALSE),0))</f>
        <v>0</v>
      </c>
      <c r="G15" s="53" t="str">
        <f>IF(VLOOKUP(A15,[1]Plan!A$1:H$804,8,FALSE)&lt;&gt;"",VLOOKUP(A15,[1]Plan!A$1:H$804,8,FALSE),"")</f>
        <v>Y</v>
      </c>
      <c r="H15" s="54" t="str">
        <f>IF(VLOOKUP(A15,[1]Plan!A$1:L$804,12,FALSE)&lt;&gt;"",VLOOKUP(A15,[1]Plan!A$1:L$804,12,FALSE),"")</f>
        <v/>
      </c>
      <c r="I15" s="55" t="str">
        <f>IF(VLOOKUP(A15,[1]Plan!A$1:M$804,13,FALSE)&lt;&gt;"",VLOOKUP(A15,[1]Plan!A$1:M$804,13,FALSE),"")</f>
        <v/>
      </c>
      <c r="J15" s="55" t="str">
        <f>IF(VLOOKUP(A15,[1]Plan!A$1:N$804,14,FALSE)&lt;&gt;"",VLOOKUP(A15,[1]Plan!A$1:N$804,14,FALSE),IF(VLOOKUP(A15,[1]Plan!A$1:O$804,15,FALSE)&lt;&gt;"",VLOOKUP(A15,[1]Plan!A$1:O$804,15,FALSE),""))</f>
        <v/>
      </c>
      <c r="K15" s="56" t="str">
        <f>IF(VLOOKUP(A15,[1]Plan!A$1:P$804,16,FALSE)&lt;&gt;"",VLOOKUP(A15,[1]Plan!A$1:P$804,16,FALSE),"")</f>
        <v>Y</v>
      </c>
      <c r="L15" s="55"/>
      <c r="M15" s="55"/>
      <c r="N15" s="55"/>
      <c r="O15" s="57">
        <f>IF(F15=0,E15,F15)</f>
        <v>104</v>
      </c>
      <c r="P15" s="57" t="b">
        <f>OR(H15="Y",I15="Y")</f>
        <v>0</v>
      </c>
      <c r="Q15" s="58">
        <f>IF(P15,O15*'[1]ETC Data'!$H$3*'[1]ETC Data'!$I$3,0)</f>
        <v>0</v>
      </c>
      <c r="R15" s="58">
        <f>Q15-(Q15*((VLOOKUP(A15,[1]Plan!A$1:Z$804,26,FALSE)/100)))</f>
        <v>0</v>
      </c>
      <c r="S15" s="58">
        <f>IF(P15,O15*'[1]ETC Data'!$H$3*'[1]ETC Data'!$J$3,0)</f>
        <v>0</v>
      </c>
      <c r="T15" s="58">
        <f>S15-(S15*((VLOOKUP(A15,[1]Plan!A$1:AA$804,27,FALSE)/100)))</f>
        <v>0</v>
      </c>
      <c r="U15" s="58">
        <f>IF(P15,O15*'[1]ETC Data'!$H$3*'[1]ETC Data'!$K$3,0)</f>
        <v>0</v>
      </c>
      <c r="V15" s="58">
        <f>U15-(U15*((VLOOKUP(A15,[1]Plan!A$1:AB$804,28,FALSE)/100)))</f>
        <v>0</v>
      </c>
      <c r="W15" s="58">
        <f>IF(P15,O15*'[1]ETC Data'!$H$3*'[1]ETC Data'!$L$3,0)</f>
        <v>0</v>
      </c>
      <c r="X15" s="58">
        <f>W15-(W15*((VLOOKUP(A15,[1]Plan!A$1:AC$804,29,FALSE)/100)))</f>
        <v>0</v>
      </c>
      <c r="Y15" s="59"/>
      <c r="Z15" s="60" t="b">
        <f>OR(H15="Y",J15="Y")</f>
        <v>0</v>
      </c>
      <c r="AA15" s="58">
        <f>IF(Z15,O15*'[1]ETC Data'!$H$4*'[1]ETC Data'!$I$4,0)</f>
        <v>0</v>
      </c>
      <c r="AB15" s="58">
        <f>AA15-(AA15*((VLOOKUP(A15,[1]Plan!A$1:AI$804,35,FALSE)/100)))</f>
        <v>0</v>
      </c>
      <c r="AC15" s="58">
        <f>IF(Z15,O15*'[1]ETC Data'!$H$4*'[1]ETC Data'!$J$4,0)</f>
        <v>0</v>
      </c>
      <c r="AD15" s="58">
        <f>AC15-(AC15*((VLOOKUP(A15,[1]Plan!A$1:AJ$804,36,FALSE)/100)))</f>
        <v>0</v>
      </c>
      <c r="AE15" s="58">
        <f>IF(Z15,O15*'[1]ETC Data'!$H$4*'[1]ETC Data'!$K$4,0)</f>
        <v>0</v>
      </c>
      <c r="AF15" s="58">
        <f>AE15-(AE15*((VLOOKUP(A15,[1]Plan!A$1:AK$804,37,FALSE)/100)))</f>
        <v>0</v>
      </c>
      <c r="AG15" s="58">
        <f>IF(Z15,O15*'[1]ETC Data'!$H$4*'[1]ETC Data'!$L$4,0)</f>
        <v>0</v>
      </c>
      <c r="AH15" s="58">
        <f>AG15-(AG15*((VLOOKUP(A15,[1]Plan!A$1:AP$804,42,FALSE)/100)))</f>
        <v>0</v>
      </c>
      <c r="AI15" s="60"/>
      <c r="AJ15" s="60" t="b">
        <f>OR(H15="Y",K15="Y")</f>
        <v>1</v>
      </c>
      <c r="AK15" s="61">
        <f>IF(AJ15,O15*'[1]ETC Data'!$H$5*'[1]ETC Data'!$I$5,0)</f>
        <v>12.953342253401749</v>
      </c>
      <c r="AL15" s="58">
        <f>AK15-(AK15*((VLOOKUP(A15,[1]Plan!A$1:AY$804,51,FALSE)/100)))</f>
        <v>0</v>
      </c>
      <c r="AM15" s="58">
        <f>IF(AJ15,O15*'[1]ETC Data'!$H$5*'[1]ETC Data'!$J$5,0)</f>
        <v>6.4766711267008743</v>
      </c>
      <c r="AN15" s="58">
        <f>AM15-(AM15*((VLOOKUP(A15,[1]Plan!A$1:BA$804,53,FALSE)/100)))</f>
        <v>0</v>
      </c>
      <c r="AO15" s="61">
        <f>IF(AJ15,O15*'[1]ETC Data'!$H$5*'[1]ETC Data'!$K$5,0)</f>
        <v>4.6632032112246291</v>
      </c>
      <c r="AP15" s="58">
        <f>AO15-(AO15*((VLOOKUP(A15,[1]Plan!A$1:BB$804,54,FALSE)/100)))</f>
        <v>0</v>
      </c>
      <c r="AQ15" s="58">
        <f>IF(AJ15,O15*'[1]ETC Data'!$H$5*'[1]ETC Data'!$L$5,0)</f>
        <v>1.813467915476245</v>
      </c>
      <c r="AR15" s="58">
        <f>AQ15-(AQ15*((VLOOKUP(A15,[1]Plan!A$1:BD$804,56,FALSE)/100)))</f>
        <v>0</v>
      </c>
      <c r="AS15" s="20">
        <f>VLOOKUP(A15,'[1]PR Matrix'!A:B,2,FALSE)</f>
        <v>6233</v>
      </c>
      <c r="AT15" s="21">
        <f>R15+T15+V15+X15+AB15+AD15+AF15+AH15+AL15+AN15+AP15+AR15</f>
        <v>0</v>
      </c>
      <c r="AU15" s="21">
        <f>Q15+S15+U15+W15+AA15+AC15+AE15+AG15+AK15+AM15+AO15+AQ15</f>
        <v>25.906684506803497</v>
      </c>
      <c r="AV15" s="21">
        <f>R15+AB15+AL15</f>
        <v>0</v>
      </c>
      <c r="AW15" s="21">
        <f>T15+AD15+AN15</f>
        <v>0</v>
      </c>
      <c r="AX15" s="21">
        <f>V15+AF15+AP15</f>
        <v>0</v>
      </c>
      <c r="AY15" s="21">
        <f>X15+AH15+AR15</f>
        <v>0</v>
      </c>
      <c r="AZ15" s="22"/>
      <c r="BA15" s="22"/>
      <c r="BB15" s="22"/>
      <c r="BC15" s="22"/>
    </row>
    <row r="16" spans="1:55" x14ac:dyDescent="0.25">
      <c r="A16" s="50" t="s">
        <v>382</v>
      </c>
      <c r="B16" s="51" t="s">
        <v>208</v>
      </c>
      <c r="C16" s="51" t="s">
        <v>208</v>
      </c>
      <c r="D16" s="51"/>
      <c r="E16" s="63">
        <f>IF(G16="Y",VLOOKUP(B16&amp;"|"&amp;C16,'[1]ETC Data'!$C$2:$D$16,2,FALSE),0)</f>
        <v>104</v>
      </c>
      <c r="F16" s="63">
        <f>IF(D16="",0,IF(G16="Y",VLOOKUP(B16&amp;"|"&amp;D16,'[1]ETC Data'!$C$2:$D$16,2,FALSE),0))</f>
        <v>0</v>
      </c>
      <c r="G16" s="53" t="str">
        <f>IF(VLOOKUP(A16,[1]Plan!A$1:H$804,8,FALSE)&lt;&gt;"",VLOOKUP(A16,[1]Plan!A$1:H$804,8,FALSE),"")</f>
        <v>Y</v>
      </c>
      <c r="H16" s="54" t="str">
        <f>IF(VLOOKUP(A16,[1]Plan!A$1:L$804,12,FALSE)&lt;&gt;"",VLOOKUP(A16,[1]Plan!A$1:L$804,12,FALSE),"")</f>
        <v/>
      </c>
      <c r="I16" s="55" t="str">
        <f>IF(VLOOKUP(A16,[1]Plan!A$1:M$804,13,FALSE)&lt;&gt;"",VLOOKUP(A16,[1]Plan!A$1:M$804,13,FALSE),"")</f>
        <v/>
      </c>
      <c r="J16" s="55" t="str">
        <f>IF(VLOOKUP(A16,[1]Plan!A$1:N$804,14,FALSE)&lt;&gt;"",VLOOKUP(A16,[1]Plan!A$1:N$804,14,FALSE),IF(VLOOKUP(A16,[1]Plan!A$1:O$804,15,FALSE)&lt;&gt;"",VLOOKUP(A16,[1]Plan!A$1:O$804,15,FALSE),""))</f>
        <v/>
      </c>
      <c r="K16" s="56" t="str">
        <f>IF(VLOOKUP(A16,[1]Plan!A$1:P$804,16,FALSE)&lt;&gt;"",VLOOKUP(A16,[1]Plan!A$1:P$804,16,FALSE),"")</f>
        <v>Y</v>
      </c>
      <c r="L16" s="55"/>
      <c r="M16" s="55"/>
      <c r="N16" s="55"/>
      <c r="O16" s="57">
        <f>IF(F16=0,E16,F16)</f>
        <v>104</v>
      </c>
      <c r="P16" s="57" t="b">
        <f>OR(H16="Y",I16="Y")</f>
        <v>0</v>
      </c>
      <c r="Q16" s="58">
        <f>IF(P16,O16*'[1]ETC Data'!$H$3*'[1]ETC Data'!$I$3,0)</f>
        <v>0</v>
      </c>
      <c r="R16" s="58">
        <f>Q16-(Q16*((VLOOKUP(A16,[1]Plan!A$1:Z$804,26,FALSE)/100)))</f>
        <v>0</v>
      </c>
      <c r="S16" s="58">
        <f>IF(P16,O16*'[1]ETC Data'!$H$3*'[1]ETC Data'!$J$3,0)</f>
        <v>0</v>
      </c>
      <c r="T16" s="58">
        <f>S16-(S16*((VLOOKUP(A16,[1]Plan!A$1:AA$804,27,FALSE)/100)))</f>
        <v>0</v>
      </c>
      <c r="U16" s="58">
        <f>IF(P16,O16*'[1]ETC Data'!$H$3*'[1]ETC Data'!$K$3,0)</f>
        <v>0</v>
      </c>
      <c r="V16" s="58">
        <f>U16-(U16*((VLOOKUP(A16,[1]Plan!A$1:AB$804,28,FALSE)/100)))</f>
        <v>0</v>
      </c>
      <c r="W16" s="58">
        <f>IF(P16,O16*'[1]ETC Data'!$H$3*'[1]ETC Data'!$L$3,0)</f>
        <v>0</v>
      </c>
      <c r="X16" s="58">
        <f>W16-(W16*((VLOOKUP(A16,[1]Plan!A$1:AC$804,29,FALSE)/100)))</f>
        <v>0</v>
      </c>
      <c r="Y16" s="59"/>
      <c r="Z16" s="60" t="b">
        <f>OR(H16="Y",J16="Y")</f>
        <v>0</v>
      </c>
      <c r="AA16" s="58">
        <f>IF(Z16,O16*'[1]ETC Data'!$H$4*'[1]ETC Data'!$I$4,0)</f>
        <v>0</v>
      </c>
      <c r="AB16" s="58">
        <f>AA16-(AA16*((VLOOKUP(A16,[1]Plan!A$1:AI$804,35,FALSE)/100)))</f>
        <v>0</v>
      </c>
      <c r="AC16" s="58">
        <f>IF(Z16,O16*'[1]ETC Data'!$H$4*'[1]ETC Data'!$J$4,0)</f>
        <v>0</v>
      </c>
      <c r="AD16" s="58">
        <f>AC16-(AC16*((VLOOKUP(A16,[1]Plan!A$1:AJ$804,36,FALSE)/100)))</f>
        <v>0</v>
      </c>
      <c r="AE16" s="58">
        <f>IF(Z16,O16*'[1]ETC Data'!$H$4*'[1]ETC Data'!$K$4,0)</f>
        <v>0</v>
      </c>
      <c r="AF16" s="58">
        <f>AE16-(AE16*((VLOOKUP(A16,[1]Plan!A$1:AK$804,37,FALSE)/100)))</f>
        <v>0</v>
      </c>
      <c r="AG16" s="58">
        <f>IF(Z16,O16*'[1]ETC Data'!$H$4*'[1]ETC Data'!$L$4,0)</f>
        <v>0</v>
      </c>
      <c r="AH16" s="58">
        <f>AG16-(AG16*((VLOOKUP(A16,[1]Plan!A$1:AP$804,42,FALSE)/100)))</f>
        <v>0</v>
      </c>
      <c r="AI16" s="60"/>
      <c r="AJ16" s="60" t="b">
        <f>OR(H16="Y",K16="Y")</f>
        <v>1</v>
      </c>
      <c r="AK16" s="61">
        <f>IF(AJ16,O16*'[1]ETC Data'!$H$5*'[1]ETC Data'!$I$5,0)</f>
        <v>12.953342253401749</v>
      </c>
      <c r="AL16" s="58">
        <f>AK16-(AK16*((VLOOKUP(A16,[1]Plan!A$1:AY$804,51,FALSE)/100)))</f>
        <v>0</v>
      </c>
      <c r="AM16" s="58">
        <f>IF(AJ16,O16*'[1]ETC Data'!$H$5*'[1]ETC Data'!$J$5,0)</f>
        <v>6.4766711267008743</v>
      </c>
      <c r="AN16" s="58">
        <f>AM16-(AM16*((VLOOKUP(A16,[1]Plan!A$1:BA$804,53,FALSE)/100)))</f>
        <v>0</v>
      </c>
      <c r="AO16" s="61">
        <f>IF(AJ16,O16*'[1]ETC Data'!$H$5*'[1]ETC Data'!$K$5,0)</f>
        <v>4.6632032112246291</v>
      </c>
      <c r="AP16" s="58">
        <f>AO16-(AO16*((VLOOKUP(A16,[1]Plan!A$1:BB$804,54,FALSE)/100)))</f>
        <v>0</v>
      </c>
      <c r="AQ16" s="58">
        <f>IF(AJ16,O16*'[1]ETC Data'!$H$5*'[1]ETC Data'!$L$5,0)</f>
        <v>1.813467915476245</v>
      </c>
      <c r="AR16" s="58">
        <f>AQ16-(AQ16*((VLOOKUP(A16,[1]Plan!A$1:BD$804,56,FALSE)/100)))</f>
        <v>0</v>
      </c>
      <c r="AS16" s="20">
        <f>VLOOKUP(A16,'[1]PR Matrix'!A:B,2,FALSE)</f>
        <v>6233</v>
      </c>
      <c r="AT16" s="21">
        <f>R16+T16+V16+X16+AB16+AD16+AF16+AH16+AL16+AN16+AP16+AR16</f>
        <v>0</v>
      </c>
      <c r="AU16" s="21">
        <f>Q16+S16+U16+W16+AA16+AC16+AE16+AG16+AK16+AM16+AO16+AQ16</f>
        <v>25.906684506803497</v>
      </c>
      <c r="AV16" s="21">
        <f>R16+AB16+AL16</f>
        <v>0</v>
      </c>
      <c r="AW16" s="21">
        <f>T16+AD16+AN16</f>
        <v>0</v>
      </c>
      <c r="AX16" s="21">
        <f>V16+AF16+AP16</f>
        <v>0</v>
      </c>
      <c r="AY16" s="21">
        <f>X16+AH16+AR16</f>
        <v>0</v>
      </c>
      <c r="AZ16" s="22"/>
      <c r="BA16" s="22"/>
      <c r="BB16" s="22"/>
      <c r="BC16" s="22"/>
    </row>
    <row r="17" spans="1:55" x14ac:dyDescent="0.25">
      <c r="A17" s="50" t="s">
        <v>371</v>
      </c>
      <c r="B17" s="51" t="s">
        <v>209</v>
      </c>
      <c r="C17" s="51" t="s">
        <v>208</v>
      </c>
      <c r="D17" s="51"/>
      <c r="E17" s="63">
        <f>IF(G17="Y",VLOOKUP(B17&amp;"|"&amp;C17,'[1]ETC Data'!$C$2:$D$16,2,FALSE),0)</f>
        <v>45</v>
      </c>
      <c r="F17" s="63">
        <f>IF(D17="",0,IF(G17="Y",VLOOKUP(B17&amp;"|"&amp;D17,'[1]ETC Data'!$C$2:$D$16,2,FALSE),0))</f>
        <v>0</v>
      </c>
      <c r="G17" s="53" t="str">
        <f>IF(VLOOKUP(A17,[1]Plan!A$1:H$804,8,FALSE)&lt;&gt;"",VLOOKUP(A17,[1]Plan!A$1:H$804,8,FALSE),"")</f>
        <v>Y</v>
      </c>
      <c r="H17" s="54" t="str">
        <f>IF(VLOOKUP(A17,[1]Plan!A$1:L$804,12,FALSE)&lt;&gt;"",VLOOKUP(A17,[1]Plan!A$1:L$804,12,FALSE),"")</f>
        <v/>
      </c>
      <c r="I17" s="55" t="str">
        <f>IF(VLOOKUP(A17,[1]Plan!A$1:M$804,13,FALSE)&lt;&gt;"",VLOOKUP(A17,[1]Plan!A$1:M$804,13,FALSE),"")</f>
        <v>Y</v>
      </c>
      <c r="J17" s="55" t="str">
        <f>IF(VLOOKUP(A17,[1]Plan!A$1:N$804,14,FALSE)&lt;&gt;"",VLOOKUP(A17,[1]Plan!A$1:N$804,14,FALSE),IF(VLOOKUP(A17,[1]Plan!A$1:O$804,15,FALSE)&lt;&gt;"",VLOOKUP(A17,[1]Plan!A$1:O$804,15,FALSE),""))</f>
        <v>Y</v>
      </c>
      <c r="K17" s="56" t="str">
        <f>IF(VLOOKUP(A17,[1]Plan!A$1:P$804,16,FALSE)&lt;&gt;"",VLOOKUP(A17,[1]Plan!A$1:P$804,16,FALSE),"")</f>
        <v>Y</v>
      </c>
      <c r="L17" s="55"/>
      <c r="M17" s="55"/>
      <c r="N17" s="55"/>
      <c r="O17" s="57">
        <f>IF(F17=0,E17,F17)</f>
        <v>45</v>
      </c>
      <c r="P17" s="57" t="b">
        <f>OR(H17="Y",I17="Y")</f>
        <v>1</v>
      </c>
      <c r="Q17" s="58">
        <f>IF(P17,O17*'[1]ETC Data'!$H$3*'[1]ETC Data'!$I$3,0)</f>
        <v>8.8719441322725565</v>
      </c>
      <c r="R17" s="58">
        <f>Q17-(Q17*((VLOOKUP(A17,[1]Plan!A$1:Z$804,26,FALSE)/100)))</f>
        <v>0</v>
      </c>
      <c r="S17" s="58">
        <f>IF(P17,O17*'[1]ETC Data'!$H$3*'[1]ETC Data'!$J$3,0)</f>
        <v>2.1292665917454134</v>
      </c>
      <c r="T17" s="58">
        <f>S17-(S17*((VLOOKUP(A17,[1]Plan!A$1:AA$804,27,FALSE)/100)))</f>
        <v>0</v>
      </c>
      <c r="U17" s="58">
        <f>IF(P17,O17*'[1]ETC Data'!$H$3*'[1]ETC Data'!$K$3,0)</f>
        <v>0.59146294215150375</v>
      </c>
      <c r="V17" s="58">
        <f>U17-(U17*((VLOOKUP(A17,[1]Plan!A$1:AB$804,28,FALSE)/100)))</f>
        <v>0</v>
      </c>
      <c r="W17" s="58">
        <f>IF(P17,O17*'[1]ETC Data'!$H$3*'[1]ETC Data'!$L$3,0)</f>
        <v>0.23658517686060151</v>
      </c>
      <c r="X17" s="58">
        <f>W17-(W17*((VLOOKUP(A17,[1]Plan!A$1:AC$804,29,FALSE)/100)))</f>
        <v>0</v>
      </c>
      <c r="Y17" s="59"/>
      <c r="Z17" s="60" t="b">
        <f>OR(H17="Y",J17="Y")</f>
        <v>1</v>
      </c>
      <c r="AA17" s="58">
        <f>IF(Z17,O17*'[1]ETC Data'!$H$4*'[1]ETC Data'!$I$4,0)</f>
        <v>10.980559026532282</v>
      </c>
      <c r="AB17" s="58">
        <f>AA17-(AA17*((VLOOKUP(A17,[1]Plan!A$1:AI$804,35,FALSE)/100)))</f>
        <v>0</v>
      </c>
      <c r="AC17" s="58">
        <f>IF(Z17,O17*'[1]ETC Data'!$H$4*'[1]ETC Data'!$J$4,0)</f>
        <v>5.4902795132661408</v>
      </c>
      <c r="AD17" s="58">
        <f>AC17-(AC17*((VLOOKUP(A17,[1]Plan!A$1:AJ$804,36,FALSE)/100)))</f>
        <v>0</v>
      </c>
      <c r="AE17" s="58">
        <f>IF(Z17,O17*'[1]ETC Data'!$H$4*'[1]ETC Data'!$K$4,0)</f>
        <v>3.9530012495516211</v>
      </c>
      <c r="AF17" s="58">
        <f>AE17-(AE17*((VLOOKUP(A17,[1]Plan!A$1:AK$804,37,FALSE)/100)))</f>
        <v>0</v>
      </c>
      <c r="AG17" s="58">
        <f>IF(Z17,O17*'[1]ETC Data'!$H$4*'[1]ETC Data'!$L$4,0)</f>
        <v>1.5372782637145195</v>
      </c>
      <c r="AH17" s="58">
        <f>AG17-(AG17*((VLOOKUP(A17,[1]Plan!A$1:AP$804,42,FALSE)/100)))</f>
        <v>0</v>
      </c>
      <c r="AI17" s="60"/>
      <c r="AJ17" s="60" t="b">
        <f>OR(H17="Y",K17="Y")</f>
        <v>1</v>
      </c>
      <c r="AK17" s="61">
        <f>IF(AJ17,O17*'[1]ETC Data'!$H$5*'[1]ETC Data'!$I$5,0)</f>
        <v>5.6048115519526798</v>
      </c>
      <c r="AL17" s="58">
        <f>AK17-(AK17*((VLOOKUP(A17,[1]Plan!A$1:AY$804,51,FALSE)/100)))</f>
        <v>0</v>
      </c>
      <c r="AM17" s="58">
        <f>IF(AJ17,O17*'[1]ETC Data'!$H$5*'[1]ETC Data'!$J$5,0)</f>
        <v>2.8024057759763399</v>
      </c>
      <c r="AN17" s="58">
        <f>AM17-(AM17*((VLOOKUP(A17,[1]Plan!A$1:BA$804,53,FALSE)/100)))</f>
        <v>0</v>
      </c>
      <c r="AO17" s="61">
        <f>IF(AJ17,O17*'[1]ETC Data'!$H$5*'[1]ETC Data'!$K$5,0)</f>
        <v>2.0177321587029646</v>
      </c>
      <c r="AP17" s="58">
        <f>AO17-(AO17*((VLOOKUP(A17,[1]Plan!A$1:BB$804,54,FALSE)/100)))</f>
        <v>0</v>
      </c>
      <c r="AQ17" s="58">
        <f>IF(AJ17,O17*'[1]ETC Data'!$H$5*'[1]ETC Data'!$L$5,0)</f>
        <v>0.78467361727337526</v>
      </c>
      <c r="AR17" s="58">
        <f>AQ17-(AQ17*((VLOOKUP(A17,[1]Plan!A$1:BD$804,56,FALSE)/100)))</f>
        <v>0</v>
      </c>
      <c r="AS17" s="20">
        <f>VLOOKUP(A17,'[1]PR Matrix'!A:B,2,FALSE)</f>
        <v>6247</v>
      </c>
      <c r="AT17" s="21">
        <f>R17+T17+V17+X17+AB17+AD17+AF17+AH17+AL17+AN17+AP17+AR17</f>
        <v>0</v>
      </c>
      <c r="AU17" s="21">
        <f>Q17+S17+U17+W17+AA17+AC17+AE17+AG17+AK17+AM17+AO17+AQ17</f>
        <v>44.999999999999993</v>
      </c>
      <c r="AV17" s="21">
        <f>R17+AB17+AL17</f>
        <v>0</v>
      </c>
      <c r="AW17" s="21">
        <f>T17+AD17+AN17</f>
        <v>0</v>
      </c>
      <c r="AX17" s="21">
        <f>V17+AF17+AP17</f>
        <v>0</v>
      </c>
      <c r="AY17" s="21">
        <f>X17+AH17+AR17</f>
        <v>0</v>
      </c>
      <c r="AZ17" s="22"/>
      <c r="BA17" s="22"/>
      <c r="BB17" s="22"/>
      <c r="BC17" s="22"/>
    </row>
    <row r="18" spans="1:55" x14ac:dyDescent="0.25">
      <c r="A18" s="50" t="s">
        <v>372</v>
      </c>
      <c r="B18" s="51" t="s">
        <v>208</v>
      </c>
      <c r="C18" s="51" t="s">
        <v>258</v>
      </c>
      <c r="D18" s="51"/>
      <c r="E18" s="63">
        <f>IF(G18="Y",VLOOKUP(B18&amp;"|"&amp;C18,'[1]ETC Data'!$C$2:$D$16,2,FALSE),0)</f>
        <v>169</v>
      </c>
      <c r="F18" s="63">
        <f>IF(D18="",0,IF(G18="Y",VLOOKUP(B18&amp;"|"&amp;D18,'[1]ETC Data'!$C$2:$D$16,2,FALSE),0))</f>
        <v>0</v>
      </c>
      <c r="G18" s="53" t="str">
        <f>IF(VLOOKUP(A18,[1]Plan!A$1:H$804,8,FALSE)&lt;&gt;"",VLOOKUP(A18,[1]Plan!A$1:H$804,8,FALSE),"")</f>
        <v>Y</v>
      </c>
      <c r="H18" s="54" t="str">
        <f>IF(VLOOKUP(A18,[1]Plan!A$1:L$804,12,FALSE)&lt;&gt;"",VLOOKUP(A18,[1]Plan!A$1:L$804,12,FALSE),"")</f>
        <v/>
      </c>
      <c r="I18" s="55" t="str">
        <f>IF(VLOOKUP(A18,[1]Plan!A$1:M$804,13,FALSE)&lt;&gt;"",VLOOKUP(A18,[1]Plan!A$1:M$804,13,FALSE),"")</f>
        <v/>
      </c>
      <c r="J18" s="55" t="str">
        <f>IF(VLOOKUP(A18,[1]Plan!A$1:N$804,14,FALSE)&lt;&gt;"",VLOOKUP(A18,[1]Plan!A$1:N$804,14,FALSE),IF(VLOOKUP(A18,[1]Plan!A$1:O$804,15,FALSE)&lt;&gt;"",VLOOKUP(A18,[1]Plan!A$1:O$804,15,FALSE),""))</f>
        <v>Y</v>
      </c>
      <c r="K18" s="56" t="str">
        <f>IF(VLOOKUP(A18,[1]Plan!A$1:P$804,16,FALSE)&lt;&gt;"",VLOOKUP(A18,[1]Plan!A$1:P$804,16,FALSE),"")</f>
        <v/>
      </c>
      <c r="L18" s="55"/>
      <c r="M18" s="55"/>
      <c r="N18" s="55"/>
      <c r="O18" s="57">
        <f>IF(F18=0,E18,F18)</f>
        <v>169</v>
      </c>
      <c r="P18" s="57" t="b">
        <f>OR(H18="Y",I18="Y")</f>
        <v>0</v>
      </c>
      <c r="Q18" s="58">
        <f>IF(P18,O18*'[1]ETC Data'!$H$3*'[1]ETC Data'!$I$3,0)</f>
        <v>0</v>
      </c>
      <c r="R18" s="58">
        <f>Q18-(Q18*((VLOOKUP(A18,[1]Plan!A$1:Z$804,26,FALSE)/100)))</f>
        <v>0</v>
      </c>
      <c r="S18" s="58">
        <f>IF(P18,O18*'[1]ETC Data'!$H$3*'[1]ETC Data'!$J$3,0)</f>
        <v>0</v>
      </c>
      <c r="T18" s="58">
        <f>S18-(S18*((VLOOKUP(A18,[1]Plan!A$1:AA$804,27,FALSE)/100)))</f>
        <v>0</v>
      </c>
      <c r="U18" s="58">
        <f>IF(P18,O18*'[1]ETC Data'!$H$3*'[1]ETC Data'!$K$3,0)</f>
        <v>0</v>
      </c>
      <c r="V18" s="58">
        <f>U18-(U18*((VLOOKUP(A18,[1]Plan!A$1:AB$804,28,FALSE)/100)))</f>
        <v>0</v>
      </c>
      <c r="W18" s="58">
        <f>IF(P18,O18*'[1]ETC Data'!$H$3*'[1]ETC Data'!$L$3,0)</f>
        <v>0</v>
      </c>
      <c r="X18" s="58">
        <f>W18-(W18*((VLOOKUP(A18,[1]Plan!A$1:AC$804,29,FALSE)/100)))</f>
        <v>0</v>
      </c>
      <c r="Y18" s="59"/>
      <c r="Z18" s="60" t="b">
        <f>OR(H18="Y",J18="Y")</f>
        <v>1</v>
      </c>
      <c r="AA18" s="58">
        <f>IF(Z18,O18*'[1]ETC Data'!$H$4*'[1]ETC Data'!$I$4,0)</f>
        <v>41.238099455199013</v>
      </c>
      <c r="AB18" s="58">
        <f>AA18-(AA18*((VLOOKUP(A18,[1]Plan!A$1:AI$804,35,FALSE)/100)))</f>
        <v>41.238099455199013</v>
      </c>
      <c r="AC18" s="58">
        <f>IF(Z18,O18*'[1]ETC Data'!$H$4*'[1]ETC Data'!$J$4,0)</f>
        <v>20.619049727599506</v>
      </c>
      <c r="AD18" s="58">
        <f>AC18-(AC18*((VLOOKUP(A18,[1]Plan!A$1:AJ$804,36,FALSE)/100)))</f>
        <v>20.619049727599506</v>
      </c>
      <c r="AE18" s="58">
        <f>IF(Z18,O18*'[1]ETC Data'!$H$4*'[1]ETC Data'!$K$4,0)</f>
        <v>14.845715803871643</v>
      </c>
      <c r="AF18" s="58">
        <f>AE18-(AE18*((VLOOKUP(A18,[1]Plan!A$1:AK$804,37,FALSE)/100)))</f>
        <v>14.845715803871643</v>
      </c>
      <c r="AG18" s="58">
        <f>IF(Z18,O18*'[1]ETC Data'!$H$4*'[1]ETC Data'!$L$4,0)</f>
        <v>5.7733339237278622</v>
      </c>
      <c r="AH18" s="58">
        <f>AG18-(AG18*((VLOOKUP(A18,[1]Plan!A$1:AP$804,42,FALSE)/100)))</f>
        <v>5.7733339237278622</v>
      </c>
      <c r="AI18" s="60"/>
      <c r="AJ18" s="60" t="b">
        <f>OR(H18="Y",K18="Y")</f>
        <v>0</v>
      </c>
      <c r="AK18" s="61">
        <f>IF(AJ18,O18*'[1]ETC Data'!$H$5*'[1]ETC Data'!$I$5,0)</f>
        <v>0</v>
      </c>
      <c r="AL18" s="58">
        <f>AK18-(AK18*((VLOOKUP(A18,[1]Plan!A$1:AY$804,51,FALSE)/100)))</f>
        <v>0</v>
      </c>
      <c r="AM18" s="58">
        <f>IF(AJ18,O18*'[1]ETC Data'!$H$5*'[1]ETC Data'!$J$5,0)</f>
        <v>0</v>
      </c>
      <c r="AN18" s="58">
        <f>AM18-(AM18*((VLOOKUP(A18,[1]Plan!A$1:BA$804,53,FALSE)/100)))</f>
        <v>0</v>
      </c>
      <c r="AO18" s="61">
        <f>IF(AJ18,O18*'[1]ETC Data'!$H$5*'[1]ETC Data'!$K$5,0)</f>
        <v>0</v>
      </c>
      <c r="AP18" s="58">
        <f>AO18-(AO18*((VLOOKUP(A18,[1]Plan!A$1:BB$804,54,FALSE)/100)))</f>
        <v>0</v>
      </c>
      <c r="AQ18" s="58">
        <f>IF(AJ18,O18*'[1]ETC Data'!$H$5*'[1]ETC Data'!$L$5,0)</f>
        <v>0</v>
      </c>
      <c r="AR18" s="58">
        <f>AQ18-(AQ18*((VLOOKUP(A18,[1]Plan!A$1:BD$804,56,FALSE)/100)))</f>
        <v>0</v>
      </c>
      <c r="AS18" s="20">
        <f>VLOOKUP(A18,'[1]PR Matrix'!A:B,2,FALSE)</f>
        <v>6233</v>
      </c>
      <c r="AT18" s="21">
        <f>R18+T18+V18+X18+AB18+AD18+AF18+AH18+AL18+AN18+AP18+AR18</f>
        <v>82.476198910398026</v>
      </c>
      <c r="AU18" s="21">
        <f>Q18+S18+U18+W18+AA18+AC18+AE18+AG18+AK18+AM18+AO18+AQ18</f>
        <v>82.476198910398026</v>
      </c>
      <c r="AV18" s="21">
        <f>R18+AB18+AL18</f>
        <v>41.238099455199013</v>
      </c>
      <c r="AW18" s="21">
        <f>T18+AD18+AN18</f>
        <v>20.619049727599506</v>
      </c>
      <c r="AX18" s="21">
        <f>V18+AF18+AP18</f>
        <v>14.845715803871643</v>
      </c>
      <c r="AY18" s="21">
        <f>X18+AH18+AR18</f>
        <v>5.7733339237278622</v>
      </c>
      <c r="AZ18" s="22"/>
      <c r="BA18" s="22"/>
      <c r="BB18" s="22"/>
      <c r="BC18" s="22"/>
    </row>
    <row r="19" spans="1:55" x14ac:dyDescent="0.25">
      <c r="A19" s="50" t="s">
        <v>373</v>
      </c>
      <c r="B19" s="51" t="s">
        <v>208</v>
      </c>
      <c r="C19" s="51" t="s">
        <v>258</v>
      </c>
      <c r="D19" s="51"/>
      <c r="E19" s="63">
        <f>IF(G19="Y",VLOOKUP(B19&amp;"|"&amp;C19,'[1]ETC Data'!$C$2:$D$16,2,FALSE),0)</f>
        <v>169</v>
      </c>
      <c r="F19" s="63">
        <f>IF(D19="",0,IF(G19="Y",VLOOKUP(B19&amp;"|"&amp;D19,'[1]ETC Data'!$C$2:$D$16,2,FALSE),0))</f>
        <v>0</v>
      </c>
      <c r="G19" s="53" t="str">
        <f>IF(VLOOKUP(A19,[1]Plan!A$1:H$804,8,FALSE)&lt;&gt;"",VLOOKUP(A19,[1]Plan!A$1:H$804,8,FALSE),"")</f>
        <v>Y</v>
      </c>
      <c r="H19" s="54" t="str">
        <f>IF(VLOOKUP(A19,[1]Plan!A$1:L$804,12,FALSE)&lt;&gt;"",VLOOKUP(A19,[1]Plan!A$1:L$804,12,FALSE),"")</f>
        <v/>
      </c>
      <c r="I19" s="55" t="str">
        <f>IF(VLOOKUP(A19,[1]Plan!A$1:M$804,13,FALSE)&lt;&gt;"",VLOOKUP(A19,[1]Plan!A$1:M$804,13,FALSE),"")</f>
        <v/>
      </c>
      <c r="J19" s="55" t="str">
        <f>IF(VLOOKUP(A19,[1]Plan!A$1:N$804,14,FALSE)&lt;&gt;"",VLOOKUP(A19,[1]Plan!A$1:N$804,14,FALSE),IF(VLOOKUP(A19,[1]Plan!A$1:O$804,15,FALSE)&lt;&gt;"",VLOOKUP(A19,[1]Plan!A$1:O$804,15,FALSE),""))</f>
        <v>Y</v>
      </c>
      <c r="K19" s="56" t="str">
        <f>IF(VLOOKUP(A19,[1]Plan!A$1:P$804,16,FALSE)&lt;&gt;"",VLOOKUP(A19,[1]Plan!A$1:P$804,16,FALSE),"")</f>
        <v/>
      </c>
      <c r="L19" s="55"/>
      <c r="M19" s="55"/>
      <c r="N19" s="55"/>
      <c r="O19" s="57">
        <f>IF(F19=0,E19,F19)</f>
        <v>169</v>
      </c>
      <c r="P19" s="57" t="b">
        <f>OR(H19="Y",I19="Y")</f>
        <v>0</v>
      </c>
      <c r="Q19" s="58">
        <f>IF(P19,O19*'[1]ETC Data'!$H$3*'[1]ETC Data'!$I$3,0)</f>
        <v>0</v>
      </c>
      <c r="R19" s="58">
        <f>Q19-(Q19*((VLOOKUP(A19,[1]Plan!A$1:Z$804,26,FALSE)/100)))</f>
        <v>0</v>
      </c>
      <c r="S19" s="58">
        <f>IF(P19,O19*'[1]ETC Data'!$H$3*'[1]ETC Data'!$J$3,0)</f>
        <v>0</v>
      </c>
      <c r="T19" s="58">
        <f>S19-(S19*((VLOOKUP(A19,[1]Plan!A$1:AA$804,27,FALSE)/100)))</f>
        <v>0</v>
      </c>
      <c r="U19" s="58">
        <f>IF(P19,O19*'[1]ETC Data'!$H$3*'[1]ETC Data'!$K$3,0)</f>
        <v>0</v>
      </c>
      <c r="V19" s="58">
        <f>U19-(U19*((VLOOKUP(A19,[1]Plan!A$1:AB$804,28,FALSE)/100)))</f>
        <v>0</v>
      </c>
      <c r="W19" s="58">
        <f>IF(P19,O19*'[1]ETC Data'!$H$3*'[1]ETC Data'!$L$3,0)</f>
        <v>0</v>
      </c>
      <c r="X19" s="58">
        <f>W19-(W19*((VLOOKUP(A19,[1]Plan!A$1:AC$804,29,FALSE)/100)))</f>
        <v>0</v>
      </c>
      <c r="Y19" s="59"/>
      <c r="Z19" s="60" t="b">
        <f>OR(H19="Y",J19="Y")</f>
        <v>1</v>
      </c>
      <c r="AA19" s="58">
        <f>IF(Z19,O19*'[1]ETC Data'!$H$4*'[1]ETC Data'!$I$4,0)</f>
        <v>41.238099455199013</v>
      </c>
      <c r="AB19" s="58">
        <f>AA19-(AA19*((VLOOKUP(A19,[1]Plan!A$1:AI$804,35,FALSE)/100)))</f>
        <v>41.238099455199013</v>
      </c>
      <c r="AC19" s="58">
        <f>IF(Z19,O19*'[1]ETC Data'!$H$4*'[1]ETC Data'!$J$4,0)</f>
        <v>20.619049727599506</v>
      </c>
      <c r="AD19" s="58">
        <f>AC19-(AC19*((VLOOKUP(A19,[1]Plan!A$1:AJ$804,36,FALSE)/100)))</f>
        <v>20.619049727599506</v>
      </c>
      <c r="AE19" s="58">
        <f>IF(Z19,O19*'[1]ETC Data'!$H$4*'[1]ETC Data'!$K$4,0)</f>
        <v>14.845715803871643</v>
      </c>
      <c r="AF19" s="58">
        <f>AE19-(AE19*((VLOOKUP(A19,[1]Plan!A$1:AK$804,37,FALSE)/100)))</f>
        <v>14.845715803871643</v>
      </c>
      <c r="AG19" s="58">
        <f>IF(Z19,O19*'[1]ETC Data'!$H$4*'[1]ETC Data'!$L$4,0)</f>
        <v>5.7733339237278622</v>
      </c>
      <c r="AH19" s="58">
        <f>AG19-(AG19*((VLOOKUP(A19,[1]Plan!A$1:AP$804,42,FALSE)/100)))</f>
        <v>5.7733339237278622</v>
      </c>
      <c r="AI19" s="60"/>
      <c r="AJ19" s="60" t="b">
        <f>OR(H19="Y",K19="Y")</f>
        <v>0</v>
      </c>
      <c r="AK19" s="61">
        <f>IF(AJ19,O19*'[1]ETC Data'!$H$5*'[1]ETC Data'!$I$5,0)</f>
        <v>0</v>
      </c>
      <c r="AL19" s="58">
        <f>AK19-(AK19*((VLOOKUP(A19,[1]Plan!A$1:AY$804,51,FALSE)/100)))</f>
        <v>0</v>
      </c>
      <c r="AM19" s="58">
        <f>IF(AJ19,O19*'[1]ETC Data'!$H$5*'[1]ETC Data'!$J$5,0)</f>
        <v>0</v>
      </c>
      <c r="AN19" s="58">
        <f>AM19-(AM19*((VLOOKUP(A19,[1]Plan!A$1:BA$804,53,FALSE)/100)))</f>
        <v>0</v>
      </c>
      <c r="AO19" s="61">
        <f>IF(AJ19,O19*'[1]ETC Data'!$H$5*'[1]ETC Data'!$K$5,0)</f>
        <v>0</v>
      </c>
      <c r="AP19" s="58">
        <f>AO19-(AO19*((VLOOKUP(A19,[1]Plan!A$1:BB$804,54,FALSE)/100)))</f>
        <v>0</v>
      </c>
      <c r="AQ19" s="58">
        <f>IF(AJ19,O19*'[1]ETC Data'!$H$5*'[1]ETC Data'!$L$5,0)</f>
        <v>0</v>
      </c>
      <c r="AR19" s="58">
        <f>AQ19-(AQ19*((VLOOKUP(A19,[1]Plan!A$1:BD$804,56,FALSE)/100)))</f>
        <v>0</v>
      </c>
      <c r="AS19" s="20">
        <f>VLOOKUP(A19,'[1]PR Matrix'!A:B,2,FALSE)</f>
        <v>6233</v>
      </c>
      <c r="AT19" s="21">
        <f>R19+T19+V19+X19+AB19+AD19+AF19+AH19+AL19+AN19+AP19+AR19</f>
        <v>82.476198910398026</v>
      </c>
      <c r="AU19" s="21">
        <f>Q19+S19+U19+W19+AA19+AC19+AE19+AG19+AK19+AM19+AO19+AQ19</f>
        <v>82.476198910398026</v>
      </c>
      <c r="AV19" s="21">
        <f>R19+AB19+AL19</f>
        <v>41.238099455199013</v>
      </c>
      <c r="AW19" s="21">
        <f>T19+AD19+AN19</f>
        <v>20.619049727599506</v>
      </c>
      <c r="AX19" s="21">
        <f>V19+AF19+AP19</f>
        <v>14.845715803871643</v>
      </c>
      <c r="AY19" s="21">
        <f>X19+AH19+AR19</f>
        <v>5.7733339237278622</v>
      </c>
      <c r="AZ19" s="22"/>
      <c r="BA19" s="22"/>
      <c r="BB19" s="22"/>
      <c r="BC19" s="22"/>
    </row>
    <row r="20" spans="1:55" x14ac:dyDescent="0.25">
      <c r="A20" s="50" t="s">
        <v>374</v>
      </c>
      <c r="B20" s="51" t="s">
        <v>209</v>
      </c>
      <c r="C20" s="51" t="s">
        <v>208</v>
      </c>
      <c r="D20" s="51"/>
      <c r="E20" s="63">
        <f>IF(G20="Y",VLOOKUP(B20&amp;"|"&amp;C20,'[1]ETC Data'!$C$2:$D$16,2,FALSE),0)</f>
        <v>45</v>
      </c>
      <c r="F20" s="63">
        <f>IF(D20="",0,IF(G20="Y",VLOOKUP(B20&amp;"|"&amp;D20,'[1]ETC Data'!$C$2:$D$16,2,FALSE),0))</f>
        <v>0</v>
      </c>
      <c r="G20" s="53" t="str">
        <f>IF(VLOOKUP(A20,[1]Plan!A$1:H$804,8,FALSE)&lt;&gt;"",VLOOKUP(A20,[1]Plan!A$1:H$804,8,FALSE),"")</f>
        <v>Y</v>
      </c>
      <c r="H20" s="54" t="str">
        <f>IF(VLOOKUP(A20,[1]Plan!A$1:L$804,12,FALSE)&lt;&gt;"",VLOOKUP(A20,[1]Plan!A$1:L$804,12,FALSE),"")</f>
        <v/>
      </c>
      <c r="I20" s="55" t="str">
        <f>IF(VLOOKUP(A20,[1]Plan!A$1:M$804,13,FALSE)&lt;&gt;"",VLOOKUP(A20,[1]Plan!A$1:M$804,13,FALSE),"")</f>
        <v/>
      </c>
      <c r="J20" s="55" t="str">
        <f>IF(VLOOKUP(A20,[1]Plan!A$1:N$804,14,FALSE)&lt;&gt;"",VLOOKUP(A20,[1]Plan!A$1:N$804,14,FALSE),IF(VLOOKUP(A20,[1]Plan!A$1:O$804,15,FALSE)&lt;&gt;"",VLOOKUP(A20,[1]Plan!A$1:O$804,15,FALSE),""))</f>
        <v/>
      </c>
      <c r="K20" s="56" t="str">
        <f>IF(VLOOKUP(A20,[1]Plan!A$1:P$804,16,FALSE)&lt;&gt;"",VLOOKUP(A20,[1]Plan!A$1:P$804,16,FALSE),"")</f>
        <v>Y</v>
      </c>
      <c r="L20" s="55"/>
      <c r="M20" s="55"/>
      <c r="N20" s="55"/>
      <c r="O20" s="57">
        <f>IF(F20=0,E20,F20)</f>
        <v>45</v>
      </c>
      <c r="P20" s="57" t="b">
        <f>OR(H20="Y",I20="Y")</f>
        <v>0</v>
      </c>
      <c r="Q20" s="58">
        <f>IF(P20,O20*'[1]ETC Data'!$H$3*'[1]ETC Data'!$I$3,0)</f>
        <v>0</v>
      </c>
      <c r="R20" s="58">
        <f>Q20-(Q20*((VLOOKUP(A20,[1]Plan!A$1:Z$804,26,FALSE)/100)))</f>
        <v>0</v>
      </c>
      <c r="S20" s="58">
        <f>IF(P20,O20*'[1]ETC Data'!$H$3*'[1]ETC Data'!$J$3,0)</f>
        <v>0</v>
      </c>
      <c r="T20" s="58">
        <f>S20-(S20*((VLOOKUP(A20,[1]Plan!A$1:AA$804,27,FALSE)/100)))</f>
        <v>0</v>
      </c>
      <c r="U20" s="58">
        <f>IF(P20,O20*'[1]ETC Data'!$H$3*'[1]ETC Data'!$K$3,0)</f>
        <v>0</v>
      </c>
      <c r="V20" s="58">
        <f>U20-(U20*((VLOOKUP(A20,[1]Plan!A$1:AB$804,28,FALSE)/100)))</f>
        <v>0</v>
      </c>
      <c r="W20" s="58">
        <f>IF(P20,O20*'[1]ETC Data'!$H$3*'[1]ETC Data'!$L$3,0)</f>
        <v>0</v>
      </c>
      <c r="X20" s="58">
        <f>W20-(W20*((VLOOKUP(A20,[1]Plan!A$1:AC$804,29,FALSE)/100)))</f>
        <v>0</v>
      </c>
      <c r="Y20" s="59"/>
      <c r="Z20" s="60" t="b">
        <f>OR(H20="Y",J20="Y")</f>
        <v>0</v>
      </c>
      <c r="AA20" s="58">
        <f>IF(Z20,O20*'[1]ETC Data'!$H$4*'[1]ETC Data'!$I$4,0)</f>
        <v>0</v>
      </c>
      <c r="AB20" s="58">
        <f>AA20-(AA20*((VLOOKUP(A20,[1]Plan!A$1:AI$804,35,FALSE)/100)))</f>
        <v>0</v>
      </c>
      <c r="AC20" s="58">
        <f>IF(Z20,O20*'[1]ETC Data'!$H$4*'[1]ETC Data'!$J$4,0)</f>
        <v>0</v>
      </c>
      <c r="AD20" s="58">
        <f>AC20-(AC20*((VLOOKUP(A20,[1]Plan!A$1:AJ$804,36,FALSE)/100)))</f>
        <v>0</v>
      </c>
      <c r="AE20" s="58">
        <f>IF(Z20,O20*'[1]ETC Data'!$H$4*'[1]ETC Data'!$K$4,0)</f>
        <v>0</v>
      </c>
      <c r="AF20" s="58">
        <f>AE20-(AE20*((VLOOKUP(A20,[1]Plan!A$1:AK$804,37,FALSE)/100)))</f>
        <v>0</v>
      </c>
      <c r="AG20" s="58">
        <f>IF(Z20,O20*'[1]ETC Data'!$H$4*'[1]ETC Data'!$L$4,0)</f>
        <v>0</v>
      </c>
      <c r="AH20" s="58">
        <f>AG20-(AG20*((VLOOKUP(A20,[1]Plan!A$1:AP$804,42,FALSE)/100)))</f>
        <v>0</v>
      </c>
      <c r="AI20" s="60"/>
      <c r="AJ20" s="60" t="b">
        <f>OR(H20="Y",K20="Y")</f>
        <v>1</v>
      </c>
      <c r="AK20" s="61">
        <f>IF(AJ20,O20*'[1]ETC Data'!$H$5*'[1]ETC Data'!$I$5,0)</f>
        <v>5.6048115519526798</v>
      </c>
      <c r="AL20" s="58">
        <f>AK20-(AK20*((VLOOKUP(A20,[1]Plan!A$1:AY$804,51,FALSE)/100)))</f>
        <v>0</v>
      </c>
      <c r="AM20" s="58">
        <f>IF(AJ20,O20*'[1]ETC Data'!$H$5*'[1]ETC Data'!$J$5,0)</f>
        <v>2.8024057759763399</v>
      </c>
      <c r="AN20" s="58">
        <f>AM20-(AM20*((VLOOKUP(A20,[1]Plan!A$1:BA$804,53,FALSE)/100)))</f>
        <v>0</v>
      </c>
      <c r="AO20" s="61">
        <f>IF(AJ20,O20*'[1]ETC Data'!$H$5*'[1]ETC Data'!$K$5,0)</f>
        <v>2.0177321587029646</v>
      </c>
      <c r="AP20" s="58">
        <f>AO20-(AO20*((VLOOKUP(A20,[1]Plan!A$1:BB$804,54,FALSE)/100)))</f>
        <v>0</v>
      </c>
      <c r="AQ20" s="58">
        <f>IF(AJ20,O20*'[1]ETC Data'!$H$5*'[1]ETC Data'!$L$5,0)</f>
        <v>0.78467361727337526</v>
      </c>
      <c r="AR20" s="58">
        <f>AQ20-(AQ20*((VLOOKUP(A20,[1]Plan!A$1:BD$804,56,FALSE)/100)))</f>
        <v>0</v>
      </c>
      <c r="AS20" s="20">
        <f>VLOOKUP(A20,'[1]PR Matrix'!A:B,2,FALSE)</f>
        <v>6247</v>
      </c>
      <c r="AT20" s="21">
        <f>R20+T20+V20+X20+AB20+AD20+AF20+AH20+AL20+AN20+AP20+AR20</f>
        <v>0</v>
      </c>
      <c r="AU20" s="21">
        <f>Q20+S20+U20+W20+AA20+AC20+AE20+AG20+AK20+AM20+AO20+AQ20</f>
        <v>11.20962310390536</v>
      </c>
      <c r="AV20" s="21">
        <f>R20+AB20+AL20</f>
        <v>0</v>
      </c>
      <c r="AW20" s="21">
        <f>T20+AD20+AN20</f>
        <v>0</v>
      </c>
      <c r="AX20" s="21">
        <f>V20+AF20+AP20</f>
        <v>0</v>
      </c>
      <c r="AY20" s="21">
        <f>X20+AH20+AR20</f>
        <v>0</v>
      </c>
      <c r="AZ20" s="22"/>
      <c r="BA20" s="22"/>
      <c r="BB20" s="22"/>
      <c r="BC20" s="22"/>
    </row>
    <row r="21" spans="1:55" x14ac:dyDescent="0.25">
      <c r="A21" s="50" t="s">
        <v>388</v>
      </c>
      <c r="B21" s="51" t="s">
        <v>208</v>
      </c>
      <c r="C21" s="51" t="s">
        <v>208</v>
      </c>
      <c r="D21" s="51"/>
      <c r="E21" s="63">
        <f>IF(G21="Y",VLOOKUP(B21&amp;"|"&amp;C21,'[1]ETC Data'!$C$2:$D$16,2,FALSE),0)</f>
        <v>104</v>
      </c>
      <c r="F21" s="63">
        <f>IF(D21="",0,IF(G21="Y",VLOOKUP(B21&amp;"|"&amp;D21,'[1]ETC Data'!$C$2:$D$16,2,FALSE),0))</f>
        <v>0</v>
      </c>
      <c r="G21" s="53" t="str">
        <f>IF(VLOOKUP(A21,[1]Plan!A$1:H$804,8,FALSE)&lt;&gt;"",VLOOKUP(A21,[1]Plan!A$1:H$804,8,FALSE),"")</f>
        <v>Y</v>
      </c>
      <c r="H21" s="54" t="str">
        <f>IF(VLOOKUP(A21,[1]Plan!A$1:L$804,12,FALSE)&lt;&gt;"",VLOOKUP(A21,[1]Plan!A$1:L$804,12,FALSE),"")</f>
        <v/>
      </c>
      <c r="I21" s="55" t="str">
        <f>IF(VLOOKUP(A21,[1]Plan!A$1:M$804,13,FALSE)&lt;&gt;"",VLOOKUP(A21,[1]Plan!A$1:M$804,13,FALSE),"")</f>
        <v>Y</v>
      </c>
      <c r="J21" s="55" t="str">
        <f>IF(VLOOKUP(A21,[1]Plan!A$1:N$804,14,FALSE)&lt;&gt;"",VLOOKUP(A21,[1]Plan!A$1:N$804,14,FALSE),IF(VLOOKUP(A21,[1]Plan!A$1:O$804,15,FALSE)&lt;&gt;"",VLOOKUP(A21,[1]Plan!A$1:O$804,15,FALSE),""))</f>
        <v>Y</v>
      </c>
      <c r="K21" s="56" t="str">
        <f>IF(VLOOKUP(A21,[1]Plan!A$1:P$804,16,FALSE)&lt;&gt;"",VLOOKUP(A21,[1]Plan!A$1:P$804,16,FALSE),"")</f>
        <v>Y</v>
      </c>
      <c r="L21" s="55"/>
      <c r="M21" s="55"/>
      <c r="N21" s="55"/>
      <c r="O21" s="57">
        <f>IF(F21=0,E21,F21)</f>
        <v>104</v>
      </c>
      <c r="P21" s="57" t="b">
        <f>OR(H21="Y",I21="Y")</f>
        <v>1</v>
      </c>
      <c r="Q21" s="58">
        <f>IF(P21,O21*'[1]ETC Data'!$H$3*'[1]ETC Data'!$I$3,0)</f>
        <v>20.504048661252135</v>
      </c>
      <c r="R21" s="58">
        <f>Q21-(Q21*((VLOOKUP(A21,[1]Plan!A$1:Z$804,26,FALSE)/100)))</f>
        <v>0</v>
      </c>
      <c r="S21" s="58">
        <f>IF(P21,O21*'[1]ETC Data'!$H$3*'[1]ETC Data'!$J$3,0)</f>
        <v>4.9209716787005116</v>
      </c>
      <c r="T21" s="58">
        <f>S21-(S21*((VLOOKUP(A21,[1]Plan!A$1:AA$804,27,FALSE)/100)))</f>
        <v>0</v>
      </c>
      <c r="U21" s="58">
        <f>IF(P21,O21*'[1]ETC Data'!$H$3*'[1]ETC Data'!$K$3,0)</f>
        <v>1.366936577416809</v>
      </c>
      <c r="V21" s="58">
        <f>U21-(U21*((VLOOKUP(A21,[1]Plan!A$1:AB$804,28,FALSE)/100)))</f>
        <v>0</v>
      </c>
      <c r="W21" s="58">
        <f>IF(P21,O21*'[1]ETC Data'!$H$3*'[1]ETC Data'!$L$3,0)</f>
        <v>0.54677463096672352</v>
      </c>
      <c r="X21" s="58">
        <f>W21-(W21*((VLOOKUP(A21,[1]Plan!A$1:AC$804,29,FALSE)/100)))</f>
        <v>0</v>
      </c>
      <c r="Y21" s="59"/>
      <c r="Z21" s="60" t="b">
        <f>OR(H21="Y",J21="Y")</f>
        <v>1</v>
      </c>
      <c r="AA21" s="58">
        <f>IF(Z21,O21*'[1]ETC Data'!$H$4*'[1]ETC Data'!$I$4,0)</f>
        <v>25.377291972430161</v>
      </c>
      <c r="AB21" s="58">
        <f>AA21-(AA21*((VLOOKUP(A21,[1]Plan!A$1:AI$804,35,FALSE)/100)))</f>
        <v>0</v>
      </c>
      <c r="AC21" s="58">
        <f>IF(Z21,O21*'[1]ETC Data'!$H$4*'[1]ETC Data'!$J$4,0)</f>
        <v>12.68864598621508</v>
      </c>
      <c r="AD21" s="58">
        <f>AC21-(AC21*((VLOOKUP(A21,[1]Plan!A$1:AJ$804,36,FALSE)/100)))</f>
        <v>0</v>
      </c>
      <c r="AE21" s="58">
        <f>IF(Z21,O21*'[1]ETC Data'!$H$4*'[1]ETC Data'!$K$4,0)</f>
        <v>9.1358251100748582</v>
      </c>
      <c r="AF21" s="58">
        <f>AE21-(AE21*((VLOOKUP(A21,[1]Plan!A$1:AK$804,37,FALSE)/100)))</f>
        <v>0</v>
      </c>
      <c r="AG21" s="58">
        <f>IF(Z21,O21*'[1]ETC Data'!$H$4*'[1]ETC Data'!$L$4,0)</f>
        <v>3.5528208761402227</v>
      </c>
      <c r="AH21" s="58">
        <f>AG21-(AG21*((VLOOKUP(A21,[1]Plan!A$1:AP$804,42,FALSE)/100)))</f>
        <v>0</v>
      </c>
      <c r="AI21" s="60"/>
      <c r="AJ21" s="60" t="b">
        <f>OR(H21="Y",K21="Y")</f>
        <v>1</v>
      </c>
      <c r="AK21" s="61">
        <f>IF(AJ21,O21*'[1]ETC Data'!$H$5*'[1]ETC Data'!$I$5,0)</f>
        <v>12.953342253401749</v>
      </c>
      <c r="AL21" s="58">
        <f>AK21-(AK21*((VLOOKUP(A21,[1]Plan!A$1:AY$804,51,FALSE)/100)))</f>
        <v>0</v>
      </c>
      <c r="AM21" s="58">
        <f>IF(AJ21,O21*'[1]ETC Data'!$H$5*'[1]ETC Data'!$J$5,0)</f>
        <v>6.4766711267008743</v>
      </c>
      <c r="AN21" s="58">
        <f>AM21-(AM21*((VLOOKUP(A21,[1]Plan!A$1:BA$804,53,FALSE)/100)))</f>
        <v>0</v>
      </c>
      <c r="AO21" s="61">
        <f>IF(AJ21,O21*'[1]ETC Data'!$H$5*'[1]ETC Data'!$K$5,0)</f>
        <v>4.6632032112246291</v>
      </c>
      <c r="AP21" s="58">
        <f>AO21-(AO21*((VLOOKUP(A21,[1]Plan!A$1:BB$804,54,FALSE)/100)))</f>
        <v>0</v>
      </c>
      <c r="AQ21" s="58">
        <f>IF(AJ21,O21*'[1]ETC Data'!$H$5*'[1]ETC Data'!$L$5,0)</f>
        <v>1.813467915476245</v>
      </c>
      <c r="AR21" s="58">
        <f>AQ21-(AQ21*((VLOOKUP(A21,[1]Plan!A$1:BD$804,56,FALSE)/100)))</f>
        <v>0</v>
      </c>
      <c r="AS21" s="20" t="str">
        <f>VLOOKUP(A21,'[1]PR Matrix'!A:B,2,FALSE)</f>
        <v>6232, 6275</v>
      </c>
      <c r="AT21" s="21">
        <f>R21+T21+V21+X21+AB21+AD21+AF21+AH21+AL21+AN21+AP21+AR21</f>
        <v>0</v>
      </c>
      <c r="AU21" s="21">
        <f>Q21+S21+U21+W21+AA21+AC21+AE21+AG21+AK21+AM21+AO21+AQ21</f>
        <v>103.99999999999999</v>
      </c>
      <c r="AV21" s="21">
        <f>R21+AB21+AL21</f>
        <v>0</v>
      </c>
      <c r="AW21" s="21">
        <f>T21+AD21+AN21</f>
        <v>0</v>
      </c>
      <c r="AX21" s="21">
        <f>V21+AF21+AP21</f>
        <v>0</v>
      </c>
      <c r="AY21" s="21">
        <f>X21+AH21+AR21</f>
        <v>0</v>
      </c>
      <c r="AZ21" s="22"/>
      <c r="BA21" s="22"/>
      <c r="BB21" s="22"/>
      <c r="BC21" s="22"/>
    </row>
    <row r="22" spans="1:55" x14ac:dyDescent="0.25">
      <c r="A22" s="50" t="s">
        <v>410</v>
      </c>
      <c r="B22" s="51" t="s">
        <v>208</v>
      </c>
      <c r="C22" s="51" t="s">
        <v>209</v>
      </c>
      <c r="D22" s="51"/>
      <c r="E22" s="63">
        <f>IF(G22="Y",VLOOKUP(B22&amp;"|"&amp;C22,'[1]ETC Data'!$C$2:$D$16,2,FALSE),0)</f>
        <v>48</v>
      </c>
      <c r="F22" s="63">
        <f>IF(D22="",0,IF(G22="Y",VLOOKUP(B22&amp;"|"&amp;D22,'[1]ETC Data'!$C$2:$D$16,2,FALSE),0))</f>
        <v>0</v>
      </c>
      <c r="G22" s="53" t="str">
        <f>IF(VLOOKUP(A22,[1]Plan!A$1:H$804,8,FALSE)&lt;&gt;"",VLOOKUP(A22,[1]Plan!A$1:H$804,8,FALSE),"")</f>
        <v>Y</v>
      </c>
      <c r="H22" s="54" t="str">
        <f>IF(VLOOKUP(A22,[1]Plan!A$1:L$804,12,FALSE)&lt;&gt;"",VLOOKUP(A22,[1]Plan!A$1:L$804,12,FALSE),"")</f>
        <v/>
      </c>
      <c r="I22" s="55" t="str">
        <f>IF(VLOOKUP(A22,[1]Plan!A$1:M$804,13,FALSE)&lt;&gt;"",VLOOKUP(A22,[1]Plan!A$1:M$804,13,FALSE),"")</f>
        <v/>
      </c>
      <c r="J22" s="55" t="str">
        <f>IF(VLOOKUP(A22,[1]Plan!A$1:N$804,14,FALSE)&lt;&gt;"",VLOOKUP(A22,[1]Plan!A$1:N$804,14,FALSE),IF(VLOOKUP(A22,[1]Plan!A$1:O$804,15,FALSE)&lt;&gt;"",VLOOKUP(A22,[1]Plan!A$1:O$804,15,FALSE),""))</f>
        <v>Y</v>
      </c>
      <c r="K22" s="56" t="str">
        <f>IF(VLOOKUP(A22,[1]Plan!A$1:P$804,16,FALSE)&lt;&gt;"",VLOOKUP(A22,[1]Plan!A$1:P$804,16,FALSE),"")</f>
        <v>Y</v>
      </c>
      <c r="L22" s="55"/>
      <c r="M22" s="55"/>
      <c r="N22" s="55"/>
      <c r="O22" s="57">
        <f>IF(F22=0,E22,F22)</f>
        <v>48</v>
      </c>
      <c r="P22" s="57" t="b">
        <f>OR(H22="Y",I22="Y")</f>
        <v>0</v>
      </c>
      <c r="Q22" s="58">
        <f>IF(P22,O22*'[1]ETC Data'!$H$3*'[1]ETC Data'!$I$3,0)</f>
        <v>0</v>
      </c>
      <c r="R22" s="58">
        <f>Q22-(Q22*((VLOOKUP(A22,[1]Plan!A$1:Z$804,26,FALSE)/100)))</f>
        <v>0</v>
      </c>
      <c r="S22" s="58">
        <f>IF(P22,O22*'[1]ETC Data'!$H$3*'[1]ETC Data'!$J$3,0)</f>
        <v>0</v>
      </c>
      <c r="T22" s="58">
        <f>S22-(S22*((VLOOKUP(A22,[1]Plan!A$1:AA$804,27,FALSE)/100)))</f>
        <v>0</v>
      </c>
      <c r="U22" s="58">
        <f>IF(P22,O22*'[1]ETC Data'!$H$3*'[1]ETC Data'!$K$3,0)</f>
        <v>0</v>
      </c>
      <c r="V22" s="58">
        <f>U22-(U22*((VLOOKUP(A22,[1]Plan!A$1:AB$804,28,FALSE)/100)))</f>
        <v>0</v>
      </c>
      <c r="W22" s="58">
        <f>IF(P22,O22*'[1]ETC Data'!$H$3*'[1]ETC Data'!$L$3,0)</f>
        <v>0</v>
      </c>
      <c r="X22" s="58">
        <f>W22-(W22*((VLOOKUP(A22,[1]Plan!A$1:AC$804,29,FALSE)/100)))</f>
        <v>0</v>
      </c>
      <c r="Y22" s="59"/>
      <c r="Z22" s="60" t="b">
        <f>OR(H22="Y",J22="Y")</f>
        <v>1</v>
      </c>
      <c r="AA22" s="58">
        <f>IF(Z22,O22*'[1]ETC Data'!$H$4*'[1]ETC Data'!$I$4,0)</f>
        <v>11.712596294967767</v>
      </c>
      <c r="AB22" s="58">
        <f>AA22-(AA22*((VLOOKUP(A22,[1]Plan!A$1:AI$804,35,FALSE)/100)))</f>
        <v>0</v>
      </c>
      <c r="AC22" s="58">
        <f>IF(Z22,O22*'[1]ETC Data'!$H$4*'[1]ETC Data'!$J$4,0)</f>
        <v>5.8562981474838836</v>
      </c>
      <c r="AD22" s="58">
        <f>AC22-(AC22*((VLOOKUP(A22,[1]Plan!A$1:AJ$804,36,FALSE)/100)))</f>
        <v>0</v>
      </c>
      <c r="AE22" s="58">
        <f>IF(Z22,O22*'[1]ETC Data'!$H$4*'[1]ETC Data'!$K$4,0)</f>
        <v>4.2165346661883962</v>
      </c>
      <c r="AF22" s="58">
        <f>AE22-(AE22*((VLOOKUP(A22,[1]Plan!A$1:AK$804,37,FALSE)/100)))</f>
        <v>0</v>
      </c>
      <c r="AG22" s="58">
        <f>IF(Z22,O22*'[1]ETC Data'!$H$4*'[1]ETC Data'!$L$4,0)</f>
        <v>1.6397634812954875</v>
      </c>
      <c r="AH22" s="58">
        <f>AG22-(AG22*((VLOOKUP(A22,[1]Plan!A$1:AP$804,42,FALSE)/100)))</f>
        <v>0</v>
      </c>
      <c r="AI22" s="60"/>
      <c r="AJ22" s="60" t="b">
        <f>OR(H22="Y",K22="Y")</f>
        <v>1</v>
      </c>
      <c r="AK22" s="61">
        <f>IF(AJ22,O22*'[1]ETC Data'!$H$5*'[1]ETC Data'!$I$5,0)</f>
        <v>5.9784656554161915</v>
      </c>
      <c r="AL22" s="58">
        <f>AK22-(AK22*((VLOOKUP(A22,[1]Plan!A$1:AY$804,51,FALSE)/100)))</f>
        <v>0</v>
      </c>
      <c r="AM22" s="58">
        <f>IF(AJ22,O22*'[1]ETC Data'!$H$5*'[1]ETC Data'!$J$5,0)</f>
        <v>2.9892328277080957</v>
      </c>
      <c r="AN22" s="58">
        <v>6</v>
      </c>
      <c r="AO22" s="61">
        <f>IF(AJ22,O22*'[1]ETC Data'!$H$5*'[1]ETC Data'!$K$5,0)</f>
        <v>2.1522476359498288</v>
      </c>
      <c r="AP22" s="58">
        <f>AO22-(AO22*((VLOOKUP(A22,[1]Plan!A$1:BB$804,54,FALSE)/100)))</f>
        <v>0</v>
      </c>
      <c r="AQ22" s="58">
        <f>IF(AJ22,O22*'[1]ETC Data'!$H$5*'[1]ETC Data'!$L$5,0)</f>
        <v>0.83698519175826691</v>
      </c>
      <c r="AR22" s="58">
        <f>AQ22-(AQ22*((VLOOKUP(A22,[1]Plan!A$1:BD$804,56,FALSE)/100)))</f>
        <v>0</v>
      </c>
      <c r="AS22" s="20">
        <f>VLOOKUP(A22,'[1]PR Matrix'!A:B,2,FALSE)</f>
        <v>6217</v>
      </c>
      <c r="AT22" s="21">
        <f>R22+T22+V22+X22+AB22+AD22+AF22+AH22+AL22+AN22+AP22+AR22</f>
        <v>6</v>
      </c>
      <c r="AU22" s="21">
        <f>Q22+S22+U22+W22+AA22+AC22+AE22+AG22+AK22+AM22+AO22+AQ22</f>
        <v>35.382123900767915</v>
      </c>
      <c r="AV22" s="21">
        <f>R22+AB22+AL22</f>
        <v>0</v>
      </c>
      <c r="AW22" s="21">
        <f>T22+AD22+AN22</f>
        <v>6</v>
      </c>
      <c r="AX22" s="21">
        <f>V22+AF22+AP22</f>
        <v>0</v>
      </c>
      <c r="AY22" s="21">
        <f>X22+AH22+AR22</f>
        <v>0</v>
      </c>
      <c r="AZ22" s="22"/>
      <c r="BA22" s="22"/>
      <c r="BB22" s="22"/>
      <c r="BC22" s="22"/>
    </row>
    <row r="23" spans="1:55" x14ac:dyDescent="0.25">
      <c r="A23" s="67" t="s">
        <v>426</v>
      </c>
      <c r="B23" s="51" t="s">
        <v>208</v>
      </c>
      <c r="C23" s="51" t="s">
        <v>209</v>
      </c>
      <c r="D23" s="51"/>
      <c r="E23" s="63">
        <f>IF(G23="Y",VLOOKUP(B23&amp;"|"&amp;C23,'[1]ETC Data'!$C$2:$D$16,2,FALSE),0)</f>
        <v>48</v>
      </c>
      <c r="F23" s="63">
        <f>IF(D23="",0,IF(G23="Y",VLOOKUP(B23&amp;"|"&amp;D23,'[1]ETC Data'!$C$2:$D$16,2,FALSE),0))</f>
        <v>0</v>
      </c>
      <c r="G23" s="53" t="str">
        <f>IF(VLOOKUP(A23,[1]Plan!A$1:H$804,8,FALSE)&lt;&gt;"",VLOOKUP(A23,[1]Plan!A$1:H$804,8,FALSE),"")</f>
        <v>Y</v>
      </c>
      <c r="H23" s="54" t="str">
        <f>IF(VLOOKUP(A23,[1]Plan!A$1:L$804,12,FALSE)&lt;&gt;"",VLOOKUP(A23,[1]Plan!A$1:L$804,12,FALSE),"")</f>
        <v/>
      </c>
      <c r="I23" s="55" t="str">
        <f>IF(VLOOKUP(A23,[1]Plan!A$1:M$804,13,FALSE)&lt;&gt;"",VLOOKUP(A23,[1]Plan!A$1:M$804,13,FALSE),"")</f>
        <v/>
      </c>
      <c r="J23" s="55" t="str">
        <f>IF(VLOOKUP(A23,[1]Plan!A$1:N$804,14,FALSE)&lt;&gt;"",VLOOKUP(A23,[1]Plan!A$1:N$804,14,FALSE),IF(VLOOKUP(A23,[1]Plan!A$1:O$804,15,FALSE)&lt;&gt;"",VLOOKUP(A23,[1]Plan!A$1:O$804,15,FALSE),""))</f>
        <v>Y</v>
      </c>
      <c r="K23" s="56" t="str">
        <f>IF(VLOOKUP(A23,[1]Plan!A$1:P$804,16,FALSE)&lt;&gt;"",VLOOKUP(A23,[1]Plan!A$1:P$804,16,FALSE),"")</f>
        <v>Y</v>
      </c>
      <c r="L23" s="55"/>
      <c r="M23" s="55"/>
      <c r="N23" s="55"/>
      <c r="O23" s="57">
        <f>IF(F23=0,E23,F23)</f>
        <v>48</v>
      </c>
      <c r="P23" s="57" t="b">
        <f>OR(H23="Y",I23="Y")</f>
        <v>0</v>
      </c>
      <c r="Q23" s="58">
        <f>IF(P23,O23*'[1]ETC Data'!$H$3*'[1]ETC Data'!$I$3,0)</f>
        <v>0</v>
      </c>
      <c r="R23" s="58">
        <f>Q23-(Q23*((VLOOKUP(A23,[1]Plan!A$1:Z$804,26,FALSE)/100)))</f>
        <v>0</v>
      </c>
      <c r="S23" s="58">
        <f>IF(P23,O23*'[1]ETC Data'!$H$3*'[1]ETC Data'!$J$3,0)</f>
        <v>0</v>
      </c>
      <c r="T23" s="58">
        <f>S23-(S23*((VLOOKUP(A23,[1]Plan!A$1:AA$804,27,FALSE)/100)))</f>
        <v>0</v>
      </c>
      <c r="U23" s="58">
        <f>IF(P23,O23*'[1]ETC Data'!$H$3*'[1]ETC Data'!$K$3,0)</f>
        <v>0</v>
      </c>
      <c r="V23" s="58">
        <f>U23-(U23*((VLOOKUP(A23,[1]Plan!A$1:AB$804,28,FALSE)/100)))</f>
        <v>0</v>
      </c>
      <c r="W23" s="58">
        <f>IF(P23,O23*'[1]ETC Data'!$H$3*'[1]ETC Data'!$L$3,0)</f>
        <v>0</v>
      </c>
      <c r="X23" s="58">
        <f>W23-(W23*((VLOOKUP(A23,[1]Plan!A$1:AC$804,29,FALSE)/100)))</f>
        <v>0</v>
      </c>
      <c r="Y23" s="59"/>
      <c r="Z23" s="60" t="b">
        <f>OR(H23="Y",J23="Y")</f>
        <v>1</v>
      </c>
      <c r="AA23" s="58">
        <f>IF(Z23,O23*'[1]ETC Data'!$H$4*'[1]ETC Data'!$I$4,0)</f>
        <v>11.712596294967767</v>
      </c>
      <c r="AB23" s="58">
        <f>AA23-(AA23*((VLOOKUP(A23,[1]Plan!A$1:AI$804,35,FALSE)/100)))</f>
        <v>0</v>
      </c>
      <c r="AC23" s="58">
        <f>IF(Z23,O23*'[1]ETC Data'!$H$4*'[1]ETC Data'!$J$4,0)</f>
        <v>5.8562981474838836</v>
      </c>
      <c r="AD23" s="58">
        <f>AC23-(AC23*((VLOOKUP(A23,[1]Plan!A$1:AJ$804,36,FALSE)/100)))</f>
        <v>0</v>
      </c>
      <c r="AE23" s="58">
        <f>IF(Z23,O23*'[1]ETC Data'!$H$4*'[1]ETC Data'!$K$4,0)</f>
        <v>4.2165346661883962</v>
      </c>
      <c r="AF23" s="58">
        <f>AE23-(AE23*((VLOOKUP(A23,[1]Plan!A$1:AK$804,37,FALSE)/100)))</f>
        <v>0</v>
      </c>
      <c r="AG23" s="58">
        <f>IF(Z23,O23*'[1]ETC Data'!$H$4*'[1]ETC Data'!$L$4,0)</f>
        <v>1.6397634812954875</v>
      </c>
      <c r="AH23" s="58">
        <f>AG23-(AG23*((VLOOKUP(A23,[1]Plan!A$1:AP$804,42,FALSE)/100)))</f>
        <v>0</v>
      </c>
      <c r="AI23" s="60"/>
      <c r="AJ23" s="60" t="b">
        <f>OR(H23="Y",K23="Y")</f>
        <v>1</v>
      </c>
      <c r="AK23" s="61">
        <f>IF(AJ23,O23*'[1]ETC Data'!$H$5*'[1]ETC Data'!$I$5,0)</f>
        <v>5.9784656554161915</v>
      </c>
      <c r="AL23" s="58">
        <v>10</v>
      </c>
      <c r="AM23" s="58">
        <f>IF(AJ23,O23*'[1]ETC Data'!$H$5*'[1]ETC Data'!$J$5,0)</f>
        <v>2.9892328277080957</v>
      </c>
      <c r="AN23" s="58">
        <f>AM23-(AM23*((VLOOKUP(A23,[1]Plan!A$1:BA$804,53,FALSE)/100)))</f>
        <v>0</v>
      </c>
      <c r="AO23" s="61">
        <f>IF(AJ23,O23*'[1]ETC Data'!$H$5*'[1]ETC Data'!$K$5,0)</f>
        <v>2.1522476359498288</v>
      </c>
      <c r="AP23" s="58">
        <f>AO23-(AO23*((VLOOKUP(A23,[1]Plan!A$1:BB$804,54,FALSE)/100)))</f>
        <v>0</v>
      </c>
      <c r="AQ23" s="58">
        <f>IF(AJ23,O23*'[1]ETC Data'!$H$5*'[1]ETC Data'!$L$5,0)</f>
        <v>0.83698519175826691</v>
      </c>
      <c r="AR23" s="58">
        <f>AQ23-(AQ23*((VLOOKUP(A23,[1]Plan!A$1:BD$804,56,FALSE)/100)))</f>
        <v>0</v>
      </c>
      <c r="AS23" s="20">
        <f>VLOOKUP(A23,'[1]PR Matrix'!A:B,2,FALSE)</f>
        <v>6216</v>
      </c>
      <c r="AT23" s="21">
        <f>R23+T23+V23+X23+AB23+AD23+AF23+AH23+AL23+AN23+AP23+AR23</f>
        <v>10</v>
      </c>
      <c r="AU23" s="21">
        <f>Q23+S23+U23+W23+AA23+AC23+AE23+AG23+AK23+AM23+AO23+AQ23</f>
        <v>35.382123900767915</v>
      </c>
      <c r="AV23" s="21">
        <f>R23+AB23+AL23</f>
        <v>10</v>
      </c>
      <c r="AW23" s="21">
        <f>T23+AD23+AN23</f>
        <v>0</v>
      </c>
      <c r="AX23" s="21">
        <f>V23+AF23+AP23</f>
        <v>0</v>
      </c>
      <c r="AY23" s="21">
        <f>X23+AH23+AR23</f>
        <v>0</v>
      </c>
      <c r="AZ23" s="22"/>
      <c r="BA23" s="22"/>
      <c r="BB23" s="22"/>
      <c r="BC23" s="22"/>
    </row>
    <row r="24" spans="1:55" x14ac:dyDescent="0.25">
      <c r="A24" s="50" t="s">
        <v>497</v>
      </c>
      <c r="B24" s="51" t="s">
        <v>209</v>
      </c>
      <c r="C24" s="51" t="s">
        <v>209</v>
      </c>
      <c r="D24" s="51"/>
      <c r="E24" s="63">
        <f>IF(G24="Y",VLOOKUP(B24&amp;"|"&amp;C24,'[1]ETC Data'!$C$2:$D$16,2,FALSE),0)</f>
        <v>25</v>
      </c>
      <c r="F24" s="63">
        <f>IF(D24="",0,IF(G24="Y",VLOOKUP(B24&amp;"|"&amp;D24,'[1]ETC Data'!$C$2:$D$16,2,FALSE),0))</f>
        <v>0</v>
      </c>
      <c r="G24" s="53" t="str">
        <f>IF(VLOOKUP(A24,[1]Plan!A$1:H$804,8,FALSE)&lt;&gt;"",VLOOKUP(A24,[1]Plan!A$1:H$804,8,FALSE),"")</f>
        <v>Y</v>
      </c>
      <c r="H24" s="54" t="str">
        <f>IF(VLOOKUP(A24,[1]Plan!A$1:L$804,12,FALSE)&lt;&gt;"",VLOOKUP(A24,[1]Plan!A$1:L$804,12,FALSE),"")</f>
        <v/>
      </c>
      <c r="I24" s="55" t="str">
        <f>IF(VLOOKUP(A24,[1]Plan!A$1:M$804,13,FALSE)&lt;&gt;"",VLOOKUP(A24,[1]Plan!A$1:M$804,13,FALSE),"")</f>
        <v/>
      </c>
      <c r="J24" s="55" t="str">
        <f>IF(VLOOKUP(A24,[1]Plan!A$1:N$804,14,FALSE)&lt;&gt;"",VLOOKUP(A24,[1]Plan!A$1:N$804,14,FALSE),IF(VLOOKUP(A24,[1]Plan!A$1:O$804,15,FALSE)&lt;&gt;"",VLOOKUP(A24,[1]Plan!A$1:O$804,15,FALSE),""))</f>
        <v>Y</v>
      </c>
      <c r="K24" s="56" t="str">
        <f>IF(VLOOKUP(A24,[1]Plan!A$1:P$804,16,FALSE)&lt;&gt;"",VLOOKUP(A24,[1]Plan!A$1:P$804,16,FALSE),"")</f>
        <v/>
      </c>
      <c r="L24" s="55"/>
      <c r="M24" s="55"/>
      <c r="N24" s="55"/>
      <c r="O24" s="57">
        <f>IF(F24=0,E24,F24)</f>
        <v>25</v>
      </c>
      <c r="P24" s="57" t="b">
        <f>OR(H24="Y",I24="Y")</f>
        <v>0</v>
      </c>
      <c r="Q24" s="58">
        <f>IF(P24,O24*'[1]ETC Data'!$H$3*'[1]ETC Data'!$I$3,0)</f>
        <v>0</v>
      </c>
      <c r="R24" s="58">
        <f>Q24-(Q24*((VLOOKUP(A24,[1]Plan!A$1:Z$804,26,FALSE)/100)))</f>
        <v>0</v>
      </c>
      <c r="S24" s="58">
        <f>IF(P24,O24*'[1]ETC Data'!$H$3*'[1]ETC Data'!$J$3,0)</f>
        <v>0</v>
      </c>
      <c r="T24" s="58">
        <f>S24-(S24*((VLOOKUP(A24,[1]Plan!A$1:AA$804,27,FALSE)/100)))</f>
        <v>0</v>
      </c>
      <c r="U24" s="58">
        <f>IF(P24,O24*'[1]ETC Data'!$H$3*'[1]ETC Data'!$K$3,0)</f>
        <v>0</v>
      </c>
      <c r="V24" s="58">
        <f>U24-(U24*((VLOOKUP(A24,[1]Plan!A$1:AB$804,28,FALSE)/100)))</f>
        <v>0</v>
      </c>
      <c r="W24" s="58">
        <f>IF(P24,O24*'[1]ETC Data'!$H$3*'[1]ETC Data'!$L$3,0)</f>
        <v>0</v>
      </c>
      <c r="X24" s="58">
        <f>W24-(W24*((VLOOKUP(A24,[1]Plan!A$1:AC$804,29,FALSE)/100)))</f>
        <v>0</v>
      </c>
      <c r="Y24" s="59"/>
      <c r="Z24" s="60" t="b">
        <f>OR(H24="Y",J24="Y")</f>
        <v>1</v>
      </c>
      <c r="AA24" s="58">
        <f>IF(Z24,O24*'[1]ETC Data'!$H$4*'[1]ETC Data'!$I$4,0)</f>
        <v>6.1003105702957114</v>
      </c>
      <c r="AB24" s="58">
        <f>AA24-(AA24*((VLOOKUP(A24,[1]Plan!A$1:AI$804,35,FALSE)/100)))</f>
        <v>6.1003105702957114</v>
      </c>
      <c r="AC24" s="58">
        <f>IF(Z24,O24*'[1]ETC Data'!$H$4*'[1]ETC Data'!$J$4,0)</f>
        <v>3.0501552851478557</v>
      </c>
      <c r="AD24" s="58">
        <f>AC24-(AC24*((VLOOKUP(A24,[1]Plan!A$1:AJ$804,36,FALSE)/100)))</f>
        <v>3.0501552851478557</v>
      </c>
      <c r="AE24" s="58">
        <f>IF(Z24,O24*'[1]ETC Data'!$H$4*'[1]ETC Data'!$K$4,0)</f>
        <v>2.1961118053064559</v>
      </c>
      <c r="AF24" s="58">
        <f>AE24-(AE24*((VLOOKUP(A24,[1]Plan!A$1:AK$804,37,FALSE)/100)))</f>
        <v>2.1961118053064559</v>
      </c>
      <c r="AG24" s="58">
        <f>IF(Z24,O24*'[1]ETC Data'!$H$4*'[1]ETC Data'!$L$4,0)</f>
        <v>0.85404347984139972</v>
      </c>
      <c r="AH24" s="58">
        <f>AG24-(AG24*((VLOOKUP(A24,[1]Plan!A$1:AP$804,42,FALSE)/100)))</f>
        <v>0.85404347984139972</v>
      </c>
      <c r="AI24" s="60"/>
      <c r="AJ24" s="60" t="b">
        <f>OR(H24="Y",K24="Y")</f>
        <v>0</v>
      </c>
      <c r="AK24" s="61">
        <f>IF(AJ24,O24*'[1]ETC Data'!$H$5*'[1]ETC Data'!$I$5,0)</f>
        <v>0</v>
      </c>
      <c r="AL24" s="58">
        <f>AK24-(AK24*((VLOOKUP(A24,[1]Plan!A$1:AY$804,51,FALSE)/100)))</f>
        <v>0</v>
      </c>
      <c r="AM24" s="58">
        <f>IF(AJ24,O24*'[1]ETC Data'!$H$5*'[1]ETC Data'!$J$5,0)</f>
        <v>0</v>
      </c>
      <c r="AN24" s="58">
        <f>AM24-(AM24*((VLOOKUP(A24,[1]Plan!A$1:BA$804,53,FALSE)/100)))</f>
        <v>0</v>
      </c>
      <c r="AO24" s="61">
        <f>IF(AJ24,O24*'[1]ETC Data'!$H$5*'[1]ETC Data'!$K$5,0)</f>
        <v>0</v>
      </c>
      <c r="AP24" s="58">
        <f>AO24-(AO24*((VLOOKUP(A24,[1]Plan!A$1:BB$804,54,FALSE)/100)))</f>
        <v>0</v>
      </c>
      <c r="AQ24" s="58">
        <f>IF(AJ24,O24*'[1]ETC Data'!$H$5*'[1]ETC Data'!$L$5,0)</f>
        <v>0</v>
      </c>
      <c r="AR24" s="58">
        <f>AQ24-(AQ24*((VLOOKUP(A24,[1]Plan!A$1:BD$804,56,FALSE)/100)))</f>
        <v>0</v>
      </c>
      <c r="AS24" s="20">
        <f>VLOOKUP(A24,'[1]PR Matrix'!A:B,2,FALSE)</f>
        <v>6207</v>
      </c>
      <c r="AT24" s="21">
        <f>R24+T24+V24+X24+AB24+AD24+AF24+AH24+AL24+AN24+AP24+AR24</f>
        <v>12.200621140591423</v>
      </c>
      <c r="AU24" s="21">
        <f>Q24+S24+U24+W24+AA24+AC24+AE24+AG24+AK24+AM24+AO24+AQ24</f>
        <v>12.200621140591423</v>
      </c>
      <c r="AV24" s="21">
        <f>R24+AB24+AL24</f>
        <v>6.1003105702957114</v>
      </c>
      <c r="AW24" s="21">
        <f>T24+AD24+AN24</f>
        <v>3.0501552851478557</v>
      </c>
      <c r="AX24" s="21">
        <f>V24+AF24+AP24</f>
        <v>2.1961118053064559</v>
      </c>
      <c r="AY24" s="21">
        <f>X24+AH24+AR24</f>
        <v>0.85404347984139972</v>
      </c>
      <c r="AZ24" s="22"/>
      <c r="BA24" s="22"/>
      <c r="BB24" s="22"/>
      <c r="BC24" s="22"/>
    </row>
    <row r="25" spans="1:55" x14ac:dyDescent="0.25">
      <c r="A25" s="50" t="s">
        <v>498</v>
      </c>
      <c r="B25" s="51" t="s">
        <v>208</v>
      </c>
      <c r="C25" s="51" t="s">
        <v>209</v>
      </c>
      <c r="D25" s="51"/>
      <c r="E25" s="63">
        <f>IF(G25="Y",VLOOKUP(B25&amp;"|"&amp;C25,'[1]ETC Data'!$C$2:$D$16,2,FALSE),0)</f>
        <v>48</v>
      </c>
      <c r="F25" s="63">
        <f>IF(D25="",0,IF(G25="Y",VLOOKUP(B25&amp;"|"&amp;D25,'[1]ETC Data'!$C$2:$D$16,2,FALSE),0))</f>
        <v>0</v>
      </c>
      <c r="G25" s="53" t="str">
        <f>IF(VLOOKUP(A25,[1]Plan!A$1:H$804,8,FALSE)&lt;&gt;"",VLOOKUP(A25,[1]Plan!A$1:H$804,8,FALSE),"")</f>
        <v>Y</v>
      </c>
      <c r="H25" s="54" t="str">
        <f>IF(VLOOKUP(A25,[1]Plan!A$1:L$804,12,FALSE)&lt;&gt;"",VLOOKUP(A25,[1]Plan!A$1:L$804,12,FALSE),"")</f>
        <v/>
      </c>
      <c r="I25" s="55" t="str">
        <f>IF(VLOOKUP(A25,[1]Plan!A$1:M$804,13,FALSE)&lt;&gt;"",VLOOKUP(A25,[1]Plan!A$1:M$804,13,FALSE),"")</f>
        <v>Y</v>
      </c>
      <c r="J25" s="55" t="str">
        <f>IF(VLOOKUP(A25,[1]Plan!A$1:N$804,14,FALSE)&lt;&gt;"",VLOOKUP(A25,[1]Plan!A$1:N$804,14,FALSE),IF(VLOOKUP(A25,[1]Plan!A$1:O$804,15,FALSE)&lt;&gt;"",VLOOKUP(A25,[1]Plan!A$1:O$804,15,FALSE),""))</f>
        <v>Y</v>
      </c>
      <c r="K25" s="56" t="str">
        <f>IF(VLOOKUP(A25,[1]Plan!A$1:P$804,16,FALSE)&lt;&gt;"",VLOOKUP(A25,[1]Plan!A$1:P$804,16,FALSE),"")</f>
        <v>Y</v>
      </c>
      <c r="L25" s="55"/>
      <c r="M25" s="55"/>
      <c r="N25" s="55"/>
      <c r="O25" s="57">
        <f>IF(F25=0,E25,F25)</f>
        <v>48</v>
      </c>
      <c r="P25" s="57" t="b">
        <f>OR(H25="Y",I25="Y")</f>
        <v>1</v>
      </c>
      <c r="Q25" s="58">
        <f>IF(P25,O25*'[1]ETC Data'!$H$3*'[1]ETC Data'!$I$3,0)</f>
        <v>9.4634070744240617</v>
      </c>
      <c r="R25" s="58">
        <f>Q25-(Q25*((VLOOKUP(A25,[1]Plan!A$1:Z$804,26,FALSE)/100)))</f>
        <v>0</v>
      </c>
      <c r="S25" s="58">
        <f>IF(P25,O25*'[1]ETC Data'!$H$3*'[1]ETC Data'!$J$3,0)</f>
        <v>2.2712176978617746</v>
      </c>
      <c r="T25" s="58">
        <f>S25-(S25*((VLOOKUP(A25,[1]Plan!A$1:AA$804,27,FALSE)/100)))</f>
        <v>0</v>
      </c>
      <c r="U25" s="58">
        <f>IF(P25,O25*'[1]ETC Data'!$H$3*'[1]ETC Data'!$K$3,0)</f>
        <v>0.63089380496160408</v>
      </c>
      <c r="V25" s="58">
        <f>U25-(U25*((VLOOKUP(A25,[1]Plan!A$1:AB$804,28,FALSE)/100)))</f>
        <v>0</v>
      </c>
      <c r="W25" s="58">
        <f>IF(P25,O25*'[1]ETC Data'!$H$3*'[1]ETC Data'!$L$3,0)</f>
        <v>0.25235752198464162</v>
      </c>
      <c r="X25" s="58">
        <f>W25-(W25*((VLOOKUP(A25,[1]Plan!A$1:AC$804,29,FALSE)/100)))</f>
        <v>0</v>
      </c>
      <c r="Y25" s="59"/>
      <c r="Z25" s="60" t="b">
        <f>OR(H25="Y",J25="Y")</f>
        <v>1</v>
      </c>
      <c r="AA25" s="58">
        <f>IF(Z25,O25*'[1]ETC Data'!$H$4*'[1]ETC Data'!$I$4,0)</f>
        <v>11.712596294967767</v>
      </c>
      <c r="AB25" s="58">
        <f>AA25-(AA25*((VLOOKUP(A25,[1]Plan!A$1:AI$804,35,FALSE)/100)))</f>
        <v>0</v>
      </c>
      <c r="AC25" s="58">
        <f>IF(Z25,O25*'[1]ETC Data'!$H$4*'[1]ETC Data'!$J$4,0)</f>
        <v>5.8562981474838836</v>
      </c>
      <c r="AD25" s="58">
        <f>AC25-(AC25*((VLOOKUP(A25,[1]Plan!A$1:AJ$804,36,FALSE)/100)))</f>
        <v>0</v>
      </c>
      <c r="AE25" s="58">
        <f>IF(Z25,O25*'[1]ETC Data'!$H$4*'[1]ETC Data'!$K$4,0)</f>
        <v>4.2165346661883962</v>
      </c>
      <c r="AF25" s="58">
        <f>AE25-(AE25*((VLOOKUP(A25,[1]Plan!A$1:AK$804,37,FALSE)/100)))</f>
        <v>0</v>
      </c>
      <c r="AG25" s="58">
        <f>IF(Z25,O25*'[1]ETC Data'!$H$4*'[1]ETC Data'!$L$4,0)</f>
        <v>1.6397634812954875</v>
      </c>
      <c r="AH25" s="58">
        <f>AG25-(AG25*((VLOOKUP(A25,[1]Plan!A$1:AP$804,42,FALSE)/100)))</f>
        <v>0</v>
      </c>
      <c r="AI25" s="60"/>
      <c r="AJ25" s="60" t="b">
        <f>OR(H25="Y",K25="Y")</f>
        <v>1</v>
      </c>
      <c r="AK25" s="61">
        <f>IF(AJ25,O25*'[1]ETC Data'!$H$5*'[1]ETC Data'!$I$5,0)</f>
        <v>5.9784656554161915</v>
      </c>
      <c r="AL25" s="58">
        <f>AK25-(AK25*((VLOOKUP(A25,[1]Plan!A$1:AY$804,51,FALSE)/100)))</f>
        <v>0</v>
      </c>
      <c r="AM25" s="58">
        <f>IF(AJ25,O25*'[1]ETC Data'!$H$5*'[1]ETC Data'!$J$5,0)</f>
        <v>2.9892328277080957</v>
      </c>
      <c r="AN25" s="58">
        <f>AM25-(AM25*((VLOOKUP(A25,[1]Plan!A$1:BA$804,53,FALSE)/100)))</f>
        <v>0</v>
      </c>
      <c r="AO25" s="61">
        <f>IF(AJ25,O25*'[1]ETC Data'!$H$5*'[1]ETC Data'!$K$5,0)</f>
        <v>2.1522476359498288</v>
      </c>
      <c r="AP25" s="58">
        <f>AO25-(AO25*((VLOOKUP(A25,[1]Plan!A$1:BB$804,54,FALSE)/100)))</f>
        <v>0</v>
      </c>
      <c r="AQ25" s="58">
        <f>IF(AJ25,O25*'[1]ETC Data'!$H$5*'[1]ETC Data'!$L$5,0)</f>
        <v>0.83698519175826691</v>
      </c>
      <c r="AR25" s="58">
        <f>AQ25-(AQ25*((VLOOKUP(A25,[1]Plan!A$1:BD$804,56,FALSE)/100)))</f>
        <v>0</v>
      </c>
      <c r="AS25" s="20">
        <f>VLOOKUP(A25,'[1]PR Matrix'!A:B,2,FALSE)</f>
        <v>6207</v>
      </c>
      <c r="AT25" s="21">
        <f>R25+T25+V25+X25+AB25+AD25+AF25+AH25+AL25+AN25+AP25+AR25</f>
        <v>0</v>
      </c>
      <c r="AU25" s="21">
        <f>Q25+S25+U25+W25+AA25+AC25+AE25+AG25+AK25+AM25+AO25+AQ25</f>
        <v>48</v>
      </c>
      <c r="AV25" s="21">
        <f>R25+AB25+AL25</f>
        <v>0</v>
      </c>
      <c r="AW25" s="21">
        <f>T25+AD25+AN25</f>
        <v>0</v>
      </c>
      <c r="AX25" s="21">
        <f>V25+AF25+AP25</f>
        <v>0</v>
      </c>
      <c r="AY25" s="21">
        <f>X25+AH25+AR25</f>
        <v>0</v>
      </c>
      <c r="AZ25" s="22"/>
      <c r="BA25" s="22"/>
      <c r="BB25" s="22"/>
      <c r="BC25" s="22"/>
    </row>
    <row r="26" spans="1:55" x14ac:dyDescent="0.25">
      <c r="A26" s="50" t="s">
        <v>499</v>
      </c>
      <c r="B26" s="51" t="s">
        <v>208</v>
      </c>
      <c r="C26" s="51" t="s">
        <v>208</v>
      </c>
      <c r="D26" s="51"/>
      <c r="E26" s="63">
        <f>IF(G26="Y",VLOOKUP(B26&amp;"|"&amp;C26,'[1]ETC Data'!$C$2:$D$16,2,FALSE),0)</f>
        <v>104</v>
      </c>
      <c r="F26" s="63">
        <f>IF(D26="",0,IF(G26="Y",VLOOKUP(B26&amp;"|"&amp;D26,'[1]ETC Data'!$C$2:$D$16,2,FALSE),0))</f>
        <v>0</v>
      </c>
      <c r="G26" s="53" t="str">
        <f>IF(VLOOKUP(A26,[1]Plan!A$1:H$804,8,FALSE)&lt;&gt;"",VLOOKUP(A26,[1]Plan!A$1:H$804,8,FALSE),"")</f>
        <v>Y</v>
      </c>
      <c r="H26" s="54" t="str">
        <f>IF(VLOOKUP(A26,[1]Plan!A$1:L$804,12,FALSE)&lt;&gt;"",VLOOKUP(A26,[1]Plan!A$1:L$804,12,FALSE),"")</f>
        <v/>
      </c>
      <c r="I26" s="55" t="str">
        <f>IF(VLOOKUP(A26,[1]Plan!A$1:M$804,13,FALSE)&lt;&gt;"",VLOOKUP(A26,[1]Plan!A$1:M$804,13,FALSE),"")</f>
        <v/>
      </c>
      <c r="J26" s="55" t="str">
        <f>IF(VLOOKUP(A26,[1]Plan!A$1:N$804,14,FALSE)&lt;&gt;"",VLOOKUP(A26,[1]Plan!A$1:N$804,14,FALSE),IF(VLOOKUP(A26,[1]Plan!A$1:O$804,15,FALSE)&lt;&gt;"",VLOOKUP(A26,[1]Plan!A$1:O$804,15,FALSE),""))</f>
        <v>Y</v>
      </c>
      <c r="K26" s="56" t="str">
        <f>IF(VLOOKUP(A26,[1]Plan!A$1:P$804,16,FALSE)&lt;&gt;"",VLOOKUP(A26,[1]Plan!A$1:P$804,16,FALSE),"")</f>
        <v/>
      </c>
      <c r="L26" s="55"/>
      <c r="M26" s="55"/>
      <c r="N26" s="55"/>
      <c r="O26" s="57">
        <f>IF(F26=0,E26,F26)</f>
        <v>104</v>
      </c>
      <c r="P26" s="57" t="b">
        <f>OR(H26="Y",I26="Y")</f>
        <v>0</v>
      </c>
      <c r="Q26" s="58">
        <f>IF(P26,O26*'[1]ETC Data'!$H$3*'[1]ETC Data'!$I$3,0)</f>
        <v>0</v>
      </c>
      <c r="R26" s="58">
        <f>Q26-(Q26*((VLOOKUP(A26,[1]Plan!A$1:Z$804,26,FALSE)/100)))</f>
        <v>0</v>
      </c>
      <c r="S26" s="58">
        <f>IF(P26,O26*'[1]ETC Data'!$H$3*'[1]ETC Data'!$J$3,0)</f>
        <v>0</v>
      </c>
      <c r="T26" s="58">
        <v>8</v>
      </c>
      <c r="U26" s="58">
        <f>IF(P26,O26*'[1]ETC Data'!$H$3*'[1]ETC Data'!$K$3,0)</f>
        <v>0</v>
      </c>
      <c r="V26" s="58">
        <f>U26-(U26*((VLOOKUP(A26,[1]Plan!A$1:AB$804,28,FALSE)/100)))</f>
        <v>0</v>
      </c>
      <c r="W26" s="58">
        <f>IF(P26,O26*'[1]ETC Data'!$H$3*'[1]ETC Data'!$L$3,0)</f>
        <v>0</v>
      </c>
      <c r="X26" s="58">
        <f>W26-(W26*((VLOOKUP(A26,[1]Plan!A$1:AC$804,29,FALSE)/100)))</f>
        <v>0</v>
      </c>
      <c r="Y26" s="59"/>
      <c r="Z26" s="60" t="b">
        <f>OR(H26="Y",J26="Y")</f>
        <v>1</v>
      </c>
      <c r="AA26" s="58">
        <f>IF(Z26,O26*'[1]ETC Data'!$H$4*'[1]ETC Data'!$I$4,0)</f>
        <v>25.377291972430161</v>
      </c>
      <c r="AB26" s="58">
        <f>AA26-(AA26*((VLOOKUP(A26,[1]Plan!A$1:AI$804,35,FALSE)/100)))</f>
        <v>25.377291972430161</v>
      </c>
      <c r="AC26" s="58">
        <f>IF(Z26,O26*'[1]ETC Data'!$H$4*'[1]ETC Data'!$J$4,0)</f>
        <v>12.68864598621508</v>
      </c>
      <c r="AD26" s="58">
        <f>AC26-(AC26*((VLOOKUP(A26,[1]Plan!A$1:AJ$804,36,FALSE)/100)))</f>
        <v>12.68864598621508</v>
      </c>
      <c r="AE26" s="58">
        <f>IF(Z26,O26*'[1]ETC Data'!$H$4*'[1]ETC Data'!$K$4,0)</f>
        <v>9.1358251100748582</v>
      </c>
      <c r="AF26" s="58">
        <f>AE26-(AE26*((VLOOKUP(A26,[1]Plan!A$1:AK$804,37,FALSE)/100)))</f>
        <v>9.1358251100748582</v>
      </c>
      <c r="AG26" s="58">
        <f>IF(Z26,O26*'[1]ETC Data'!$H$4*'[1]ETC Data'!$L$4,0)</f>
        <v>3.5528208761402227</v>
      </c>
      <c r="AH26" s="58">
        <f>AG26-(AG26*((VLOOKUP(A26,[1]Plan!A$1:AP$804,42,FALSE)/100)))</f>
        <v>3.5528208761402227</v>
      </c>
      <c r="AI26" s="60"/>
      <c r="AJ26" s="60" t="b">
        <f>OR(H26="Y",K26="Y")</f>
        <v>0</v>
      </c>
      <c r="AK26" s="61">
        <f>IF(AJ26,O26*'[1]ETC Data'!$H$5*'[1]ETC Data'!$I$5,0)</f>
        <v>0</v>
      </c>
      <c r="AL26" s="58">
        <f>AK26-(AK26*((VLOOKUP(A26,[1]Plan!A$1:AY$804,51,FALSE)/100)))</f>
        <v>0</v>
      </c>
      <c r="AM26" s="58">
        <f>IF(AJ26,O26*'[1]ETC Data'!$H$5*'[1]ETC Data'!$J$5,0)</f>
        <v>0</v>
      </c>
      <c r="AN26" s="58">
        <v>9</v>
      </c>
      <c r="AO26" s="61">
        <f>IF(AJ26,O26*'[1]ETC Data'!$H$5*'[1]ETC Data'!$K$5,0)</f>
        <v>0</v>
      </c>
      <c r="AP26" s="58">
        <f>AO26-(AO26*((VLOOKUP(A26,[1]Plan!A$1:BB$804,54,FALSE)/100)))</f>
        <v>0</v>
      </c>
      <c r="AQ26" s="58">
        <f>IF(AJ26,O26*'[1]ETC Data'!$H$5*'[1]ETC Data'!$L$5,0)</f>
        <v>0</v>
      </c>
      <c r="AR26" s="58">
        <f>AQ26-(AQ26*((VLOOKUP(A26,[1]Plan!A$1:BD$804,56,FALSE)/100)))</f>
        <v>0</v>
      </c>
      <c r="AS26" s="20">
        <f>VLOOKUP(A26,'[1]PR Matrix'!A:B,2,FALSE)</f>
        <v>6230</v>
      </c>
      <c r="AT26" s="21">
        <f>R26+T26+V26+X26+AB26+AD26+AF26+AH26+AL26+AN26+AP26+AR26</f>
        <v>67.754583944860315</v>
      </c>
      <c r="AU26" s="21">
        <f>Q26+S26+U26+W26+AA26+AC26+AE26+AG26+AK26+AM26+AO26+AQ26</f>
        <v>50.754583944860322</v>
      </c>
      <c r="AV26" s="21">
        <f>R26+AB26+AL26</f>
        <v>25.377291972430161</v>
      </c>
      <c r="AW26" s="21">
        <f>T26+AD26+AN26</f>
        <v>29.688645986215079</v>
      </c>
      <c r="AX26" s="21">
        <f>V26+AF26+AP26</f>
        <v>9.1358251100748582</v>
      </c>
      <c r="AY26" s="21">
        <f>X26+AH26+AR26</f>
        <v>3.5528208761402227</v>
      </c>
      <c r="AZ26" s="22"/>
      <c r="BA26" s="22"/>
      <c r="BB26" s="22"/>
      <c r="BC26" s="22"/>
    </row>
    <row r="27" spans="1:55" x14ac:dyDescent="0.25">
      <c r="A27" s="66" t="s">
        <v>513</v>
      </c>
      <c r="B27" s="51" t="s">
        <v>208</v>
      </c>
      <c r="C27" s="51"/>
      <c r="D27" s="51"/>
      <c r="E27" s="52" t="e">
        <f>IF(G27="Y",VLOOKUP(B27&amp;"|"&amp;C27,'[1]ETC Data'!$C$2:$D$16,2,FALSE),0)</f>
        <v>#N/A</v>
      </c>
      <c r="F27" s="52">
        <f>IF(D27="",0,IF(G27="Y",VLOOKUP(B27&amp;"|"&amp;D27,'[1]ETC Data'!$C$2:$D$16,2,FALSE),0))</f>
        <v>0</v>
      </c>
      <c r="G27" s="53" t="str">
        <f>IF(VLOOKUP(A27,[1]Plan!A$1:H$804,8,FALSE)&lt;&gt;"",VLOOKUP(A27,[1]Plan!A$1:H$804,8,FALSE),"")</f>
        <v>Y</v>
      </c>
      <c r="H27" s="54" t="str">
        <f>IF(VLOOKUP(A27,[1]Plan!A$1:L$804,12,FALSE)&lt;&gt;"",VLOOKUP(A27,[1]Plan!A$1:L$804,12,FALSE),"")</f>
        <v/>
      </c>
      <c r="I27" s="55" t="str">
        <f>IF(VLOOKUP(A27,[1]Plan!A$1:M$804,13,FALSE)&lt;&gt;"",VLOOKUP(A27,[1]Plan!A$1:M$804,13,FALSE),"")</f>
        <v/>
      </c>
      <c r="J27" s="55" t="str">
        <f>IF(VLOOKUP(A27,[1]Plan!A$1:N$804,14,FALSE)&lt;&gt;"",VLOOKUP(A27,[1]Plan!A$1:N$804,14,FALSE),IF(VLOOKUP(A27,[1]Plan!A$1:O$804,15,FALSE)&lt;&gt;"",VLOOKUP(A27,[1]Plan!A$1:O$804,15,FALSE),""))</f>
        <v>Y</v>
      </c>
      <c r="K27" s="56" t="str">
        <f>IF(VLOOKUP(A27,[1]Plan!A$1:P$804,16,FALSE)&lt;&gt;"",VLOOKUP(A27,[1]Plan!A$1:P$804,16,FALSE),"")</f>
        <v/>
      </c>
      <c r="L27" s="55"/>
      <c r="M27" s="55"/>
      <c r="N27" s="55"/>
      <c r="O27" s="57" t="e">
        <f>IF(F27=0,E27,F27)</f>
        <v>#N/A</v>
      </c>
      <c r="P27" s="57" t="b">
        <f>OR(H27="Y",I27="Y")</f>
        <v>0</v>
      </c>
      <c r="Q27" s="58">
        <f>IF(P27,O27*'[1]ETC Data'!$H$3*'[1]ETC Data'!$I$3,0)</f>
        <v>0</v>
      </c>
      <c r="R27" s="58">
        <f>Q27-(Q27*((VLOOKUP(A27,[1]Plan!A$1:Z$804,26,FALSE)/100)))</f>
        <v>0</v>
      </c>
      <c r="S27" s="58">
        <f>IF(P27,O27*'[1]ETC Data'!$H$3*'[1]ETC Data'!$J$3,0)</f>
        <v>0</v>
      </c>
      <c r="T27" s="58">
        <f>S27-(S27*((VLOOKUP(A27,[1]Plan!A$1:AA$804,27,FALSE)/100)))</f>
        <v>0</v>
      </c>
      <c r="U27" s="58">
        <f>IF(P27,O27*'[1]ETC Data'!$H$3*'[1]ETC Data'!$K$3,0)</f>
        <v>0</v>
      </c>
      <c r="V27" s="58">
        <f>U27-(U27*((VLOOKUP(A27,[1]Plan!A$1:AB$804,28,FALSE)/100)))</f>
        <v>0</v>
      </c>
      <c r="W27" s="58">
        <f>IF(P27,O27*'[1]ETC Data'!$H$3*'[1]ETC Data'!$L$3,0)</f>
        <v>0</v>
      </c>
      <c r="X27" s="58">
        <f>W27-(W27*((VLOOKUP(A27,[1]Plan!A$1:AC$804,29,FALSE)/100)))</f>
        <v>0</v>
      </c>
      <c r="Y27" s="59"/>
      <c r="Z27" s="60" t="b">
        <f>OR(H27="Y",J27="Y")</f>
        <v>1</v>
      </c>
      <c r="AA27" s="58" t="e">
        <f>IF(Z27,O27*'[1]ETC Data'!$H$4*'[1]ETC Data'!$I$4,0)</f>
        <v>#N/A</v>
      </c>
      <c r="AB27" s="58" t="e">
        <f>AA27-(AA27*((VLOOKUP(A27,[1]Plan!A$1:AI$804,35,FALSE)/100)))</f>
        <v>#N/A</v>
      </c>
      <c r="AC27" s="58" t="e">
        <f>IF(Z27,O27*'[1]ETC Data'!$H$4*'[1]ETC Data'!$J$4,0)</f>
        <v>#N/A</v>
      </c>
      <c r="AD27" s="58" t="e">
        <f>AC27-(AC27*((VLOOKUP(A27,[1]Plan!A$1:AJ$804,36,FALSE)/100)))</f>
        <v>#N/A</v>
      </c>
      <c r="AE27" s="58" t="e">
        <f>IF(Z27,O27*'[1]ETC Data'!$H$4*'[1]ETC Data'!$K$4,0)</f>
        <v>#N/A</v>
      </c>
      <c r="AF27" s="58" t="e">
        <f>AE27-(AE27*((VLOOKUP(A27,[1]Plan!A$1:AK$804,37,FALSE)/100)))</f>
        <v>#N/A</v>
      </c>
      <c r="AG27" s="58" t="e">
        <f>IF(Z27,O27*'[1]ETC Data'!$H$4*'[1]ETC Data'!$L$4,0)</f>
        <v>#N/A</v>
      </c>
      <c r="AH27" s="58" t="e">
        <f>AG27-(AG27*((VLOOKUP(A27,[1]Plan!A$1:AP$804,42,FALSE)/100)))</f>
        <v>#N/A</v>
      </c>
      <c r="AI27" s="60"/>
      <c r="AJ27" s="60" t="b">
        <f>OR(H27="Y",K27="Y")</f>
        <v>0</v>
      </c>
      <c r="AK27" s="61">
        <f>IF(AJ27,O27*'[1]ETC Data'!$H$5*'[1]ETC Data'!$I$5,0)</f>
        <v>0</v>
      </c>
      <c r="AL27" s="58">
        <f>AK27-(AK27*((VLOOKUP(A27,[1]Plan!A$1:AY$804,51,FALSE)/100)))</f>
        <v>0</v>
      </c>
      <c r="AM27" s="58">
        <f>IF(AJ27,O27*'[1]ETC Data'!$H$5*'[1]ETC Data'!$J$5,0)</f>
        <v>0</v>
      </c>
      <c r="AN27" s="58">
        <f>AM27-(AM27*((VLOOKUP(A27,[1]Plan!A$1:BA$804,53,FALSE)/100)))</f>
        <v>0</v>
      </c>
      <c r="AO27" s="61">
        <f>IF(AJ27,O27*'[1]ETC Data'!$H$5*'[1]ETC Data'!$K$5,0)</f>
        <v>0</v>
      </c>
      <c r="AP27" s="58">
        <f>AO27-(AO27*((VLOOKUP(A27,[1]Plan!A$1:BB$804,54,FALSE)/100)))</f>
        <v>0</v>
      </c>
      <c r="AQ27" s="58">
        <f>IF(AJ27,O27*'[1]ETC Data'!$H$5*'[1]ETC Data'!$L$5,0)</f>
        <v>0</v>
      </c>
      <c r="AR27" s="58">
        <f>AQ27-(AQ27*((VLOOKUP(A27,[1]Plan!A$1:BD$804,56,FALSE)/100)))</f>
        <v>0</v>
      </c>
      <c r="AS27" s="20">
        <f>VLOOKUP(A27,'[1]PR Matrix'!A:B,2,FALSE)</f>
        <v>6233</v>
      </c>
      <c r="AT27" s="21" t="e">
        <f>R27+T27+V27+X27+AB27+AD27+AF27+AH27+AL27+AN27+AP27+AR27</f>
        <v>#N/A</v>
      </c>
      <c r="AU27" s="21" t="e">
        <f>Q27+S27+U27+W27+AA27+AC27+AE27+AG27+AK27+AM27+AO27+AQ27</f>
        <v>#N/A</v>
      </c>
      <c r="AV27" s="21" t="e">
        <f>R27+AB27+AL27</f>
        <v>#N/A</v>
      </c>
      <c r="AW27" s="21" t="e">
        <f>T27+AD27+AN27</f>
        <v>#N/A</v>
      </c>
      <c r="AX27" s="21" t="e">
        <f>V27+AF27+AP27</f>
        <v>#N/A</v>
      </c>
      <c r="AY27" s="21" t="e">
        <f>X27+AH27+AR27</f>
        <v>#N/A</v>
      </c>
      <c r="AZ27" s="22"/>
      <c r="BA27" s="22"/>
      <c r="BB27" s="22"/>
      <c r="BC27" s="22"/>
    </row>
    <row r="28" spans="1:55" x14ac:dyDescent="0.25">
      <c r="A28" s="50" t="s">
        <v>516</v>
      </c>
      <c r="B28" s="51" t="s">
        <v>208</v>
      </c>
      <c r="C28" s="51" t="s">
        <v>208</v>
      </c>
      <c r="D28" s="51"/>
      <c r="E28" s="63">
        <f>IF(G28="Y",VLOOKUP(B28&amp;"|"&amp;C28,'[1]ETC Data'!$C$2:$D$16,2,FALSE),0)</f>
        <v>104</v>
      </c>
      <c r="F28" s="63">
        <f>IF(D28="",0,IF(G28="Y",VLOOKUP(B28&amp;"|"&amp;D28,'[1]ETC Data'!$C$2:$D$16,2,FALSE),0))</f>
        <v>0</v>
      </c>
      <c r="G28" s="53" t="str">
        <f>IF(VLOOKUP(A28,[1]Plan!A$1:H$804,8,FALSE)&lt;&gt;"",VLOOKUP(A28,[1]Plan!A$1:H$804,8,FALSE),"")</f>
        <v>Y</v>
      </c>
      <c r="H28" s="54" t="str">
        <f>IF(VLOOKUP(A28,[1]Plan!A$1:L$804,12,FALSE)&lt;&gt;"",VLOOKUP(A28,[1]Plan!A$1:L$804,12,FALSE),"")</f>
        <v/>
      </c>
      <c r="I28" s="55" t="str">
        <f>IF(VLOOKUP(A28,[1]Plan!A$1:M$804,13,FALSE)&lt;&gt;"",VLOOKUP(A28,[1]Plan!A$1:M$804,13,FALSE),"")</f>
        <v/>
      </c>
      <c r="J28" s="55" t="str">
        <f>IF(VLOOKUP(A28,[1]Plan!A$1:N$804,14,FALSE)&lt;&gt;"",VLOOKUP(A28,[1]Plan!A$1:N$804,14,FALSE),IF(VLOOKUP(A28,[1]Plan!A$1:O$804,15,FALSE)&lt;&gt;"",VLOOKUP(A28,[1]Plan!A$1:O$804,15,FALSE),""))</f>
        <v>Y</v>
      </c>
      <c r="K28" s="56" t="str">
        <f>IF(VLOOKUP(A28,[1]Plan!A$1:P$804,16,FALSE)&lt;&gt;"",VLOOKUP(A28,[1]Plan!A$1:P$804,16,FALSE),"")</f>
        <v>Y</v>
      </c>
      <c r="L28" s="55"/>
      <c r="M28" s="55"/>
      <c r="N28" s="55"/>
      <c r="O28" s="57">
        <f>IF(F28=0,E28,F28)</f>
        <v>104</v>
      </c>
      <c r="P28" s="57" t="b">
        <f>OR(H28="Y",I28="Y")</f>
        <v>0</v>
      </c>
      <c r="Q28" s="58">
        <f>IF(P28,O28*'[1]ETC Data'!$H$3*'[1]ETC Data'!$I$3,0)</f>
        <v>0</v>
      </c>
      <c r="R28" s="58">
        <f>Q28-(Q28*((VLOOKUP(A28,[1]Plan!A$1:Z$804,26,FALSE)/100)))</f>
        <v>0</v>
      </c>
      <c r="S28" s="58">
        <f>IF(P28,O28*'[1]ETC Data'!$H$3*'[1]ETC Data'!$J$3,0)</f>
        <v>0</v>
      </c>
      <c r="T28" s="58">
        <f>S28-(S28*((VLOOKUP(A28,[1]Plan!A$1:AA$804,27,FALSE)/100)))</f>
        <v>0</v>
      </c>
      <c r="U28" s="58">
        <f>IF(P28,O28*'[1]ETC Data'!$H$3*'[1]ETC Data'!$K$3,0)</f>
        <v>0</v>
      </c>
      <c r="V28" s="58">
        <f>U28-(U28*((VLOOKUP(A28,[1]Plan!A$1:AB$804,28,FALSE)/100)))</f>
        <v>0</v>
      </c>
      <c r="W28" s="58">
        <f>IF(P28,O28*'[1]ETC Data'!$H$3*'[1]ETC Data'!$L$3,0)</f>
        <v>0</v>
      </c>
      <c r="X28" s="58">
        <f>W28-(W28*((VLOOKUP(A28,[1]Plan!A$1:AC$804,29,FALSE)/100)))</f>
        <v>0</v>
      </c>
      <c r="Y28" s="59"/>
      <c r="Z28" s="60" t="b">
        <f>OR(H28="Y",J28="Y")</f>
        <v>1</v>
      </c>
      <c r="AA28" s="58">
        <f>IF(Z28,O28*'[1]ETC Data'!$H$4*'[1]ETC Data'!$I$4,0)</f>
        <v>25.377291972430161</v>
      </c>
      <c r="AB28" s="58">
        <f>AA28-(AA28*((VLOOKUP(A28,[1]Plan!A$1:AI$804,35,FALSE)/100)))</f>
        <v>0</v>
      </c>
      <c r="AC28" s="58">
        <f>IF(Z28,O28*'[1]ETC Data'!$H$4*'[1]ETC Data'!$J$4,0)</f>
        <v>12.68864598621508</v>
      </c>
      <c r="AD28" s="58">
        <f>AC28-(AC28*((VLOOKUP(A28,[1]Plan!A$1:AJ$804,36,FALSE)/100)))</f>
        <v>0</v>
      </c>
      <c r="AE28" s="58">
        <f>IF(Z28,O28*'[1]ETC Data'!$H$4*'[1]ETC Data'!$K$4,0)</f>
        <v>9.1358251100748582</v>
      </c>
      <c r="AF28" s="58">
        <f>AE28-(AE28*((VLOOKUP(A28,[1]Plan!A$1:AK$804,37,FALSE)/100)))</f>
        <v>0</v>
      </c>
      <c r="AG28" s="58">
        <f>IF(Z28,O28*'[1]ETC Data'!$H$4*'[1]ETC Data'!$L$4,0)</f>
        <v>3.5528208761402227</v>
      </c>
      <c r="AH28" s="58">
        <f>AG28-(AG28*((VLOOKUP(A28,[1]Plan!A$1:AP$804,42,FALSE)/100)))</f>
        <v>0</v>
      </c>
      <c r="AI28" s="60"/>
      <c r="AJ28" s="60" t="b">
        <f>OR(H28="Y",K28="Y")</f>
        <v>1</v>
      </c>
      <c r="AK28" s="61">
        <f>IF(AJ28,O28*'[1]ETC Data'!$H$5*'[1]ETC Data'!$I$5,0)</f>
        <v>12.953342253401749</v>
      </c>
      <c r="AL28" s="58">
        <f>AK28-(AK28*((VLOOKUP(A28,[1]Plan!A$1:AY$804,51,FALSE)/100)))</f>
        <v>0</v>
      </c>
      <c r="AM28" s="58">
        <f>IF(AJ28,O28*'[1]ETC Data'!$H$5*'[1]ETC Data'!$J$5,0)</f>
        <v>6.4766711267008743</v>
      </c>
      <c r="AN28" s="58">
        <f>AM28-(AM28*((VLOOKUP(A28,[1]Plan!A$1:BA$804,53,FALSE)/100)))</f>
        <v>0</v>
      </c>
      <c r="AO28" s="61">
        <f>IF(AJ28,O28*'[1]ETC Data'!$H$5*'[1]ETC Data'!$K$5,0)</f>
        <v>4.6632032112246291</v>
      </c>
      <c r="AP28" s="58">
        <f>AO28-(AO28*((VLOOKUP(A28,[1]Plan!A$1:BB$804,54,FALSE)/100)))</f>
        <v>0</v>
      </c>
      <c r="AQ28" s="58">
        <f>IF(AJ28,O28*'[1]ETC Data'!$H$5*'[1]ETC Data'!$L$5,0)</f>
        <v>1.813467915476245</v>
      </c>
      <c r="AR28" s="58">
        <f>AQ28-(AQ28*((VLOOKUP(A28,[1]Plan!A$1:BD$804,56,FALSE)/100)))</f>
        <v>0</v>
      </c>
      <c r="AS28" s="20">
        <f>VLOOKUP(A28,'[1]PR Matrix'!A:B,2,FALSE)</f>
        <v>6230</v>
      </c>
      <c r="AT28" s="21">
        <f>R28+T28+V28+X28+AB28+AD28+AF28+AH28+AL28+AN28+AP28+AR28</f>
        <v>0</v>
      </c>
      <c r="AU28" s="21">
        <f>Q28+S28+U28+W28+AA28+AC28+AE28+AG28+AK28+AM28+AO28+AQ28</f>
        <v>76.661268451663815</v>
      </c>
      <c r="AV28" s="21">
        <f>R28+AB28+AL28</f>
        <v>0</v>
      </c>
      <c r="AW28" s="21">
        <f>T28+AD28+AN28</f>
        <v>0</v>
      </c>
      <c r="AX28" s="21">
        <f>V28+AF28+AP28</f>
        <v>0</v>
      </c>
      <c r="AY28" s="21">
        <f>X28+AH28+AR28</f>
        <v>0</v>
      </c>
      <c r="AZ28" s="22"/>
      <c r="BA28" s="22"/>
      <c r="BB28" s="22"/>
      <c r="BC28" s="22"/>
    </row>
    <row r="29" spans="1:55" x14ac:dyDescent="0.25">
      <c r="A29" s="2"/>
      <c r="B29" s="3"/>
      <c r="C29" s="51"/>
      <c r="D29" s="51"/>
      <c r="E29" s="4"/>
      <c r="F29" s="4"/>
      <c r="G29" s="73"/>
      <c r="H29" s="4"/>
      <c r="I29" s="4"/>
      <c r="J29" s="4"/>
      <c r="K29" s="4"/>
      <c r="L29" s="4"/>
      <c r="M29" s="4"/>
      <c r="N29" s="4"/>
      <c r="O29" s="4"/>
      <c r="P29" s="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5"/>
      <c r="AB29" s="76"/>
      <c r="AC29" s="76"/>
      <c r="AD29" s="76"/>
      <c r="AE29" s="76"/>
      <c r="AF29" s="76"/>
      <c r="AG29" s="76"/>
      <c r="AH29" s="76"/>
      <c r="AI29" s="76"/>
      <c r="AJ29" s="76"/>
      <c r="AK29" s="75"/>
      <c r="AL29" s="76"/>
      <c r="AM29" s="76"/>
      <c r="AN29" s="76"/>
      <c r="AO29" s="75"/>
      <c r="AP29" s="76"/>
      <c r="AQ29" s="76"/>
      <c r="AR29" s="76"/>
      <c r="AS29" s="20"/>
      <c r="AT29" s="21"/>
      <c r="AU29" s="21"/>
      <c r="AV29" s="21"/>
      <c r="AW29" s="21"/>
      <c r="AX29" s="20"/>
      <c r="AY29" s="20"/>
      <c r="AZ29" s="22"/>
      <c r="BA29" s="22"/>
      <c r="BB29" s="22"/>
      <c r="BC29" s="22"/>
    </row>
    <row r="30" spans="1:55" x14ac:dyDescent="0.25">
      <c r="A30" s="2" t="s">
        <v>41</v>
      </c>
      <c r="B30" s="3"/>
      <c r="C30" s="51"/>
      <c r="D30" s="51"/>
      <c r="E30" s="4" t="e">
        <f>SUM(#REF!)</f>
        <v>#REF!</v>
      </c>
      <c r="F30" s="4"/>
      <c r="G30" s="73"/>
      <c r="H30" s="4"/>
      <c r="I30" s="4"/>
      <c r="J30" s="4"/>
      <c r="K30" s="4"/>
      <c r="L30" s="4"/>
      <c r="M30" s="4"/>
      <c r="N30" s="4"/>
      <c r="O30" s="74"/>
      <c r="P30" s="4"/>
      <c r="Q30" s="74" t="s">
        <v>667</v>
      </c>
      <c r="R30" s="74" t="e">
        <f>SUMIF(#REF!,"=Y",#REF!)</f>
        <v>#REF!</v>
      </c>
      <c r="S30" s="74"/>
      <c r="T30" s="74" t="e">
        <f>SUMIF(#REF!,"=Y",#REF!)</f>
        <v>#REF!</v>
      </c>
      <c r="U30" s="74"/>
      <c r="V30" s="74" t="e">
        <f>SUMIF(#REF!,"=Y",#REF!)</f>
        <v>#REF!</v>
      </c>
      <c r="W30" s="74"/>
      <c r="X30" s="74" t="e">
        <f>SUMIF(#REF!,"=Y",#REF!)</f>
        <v>#REF!</v>
      </c>
      <c r="Y30" s="75"/>
      <c r="Z30" s="76"/>
      <c r="AA30" s="75"/>
      <c r="AB30" s="74" t="e">
        <f>SUMIF(#REF!,"=Y",#REF!)</f>
        <v>#REF!</v>
      </c>
      <c r="AC30" s="76"/>
      <c r="AD30" s="74" t="e">
        <f>SUMIF(#REF!,"=Y",#REF!)</f>
        <v>#REF!</v>
      </c>
      <c r="AE30" s="76"/>
      <c r="AF30" s="74" t="e">
        <f>SUMIF(#REF!,"=Y",#REF!)</f>
        <v>#REF!</v>
      </c>
      <c r="AG30" s="76"/>
      <c r="AH30" s="74" t="e">
        <f>SUMIF(#REF!,"=Y",#REF!)</f>
        <v>#REF!</v>
      </c>
      <c r="AI30" s="75"/>
      <c r="AJ30" s="76"/>
      <c r="AK30" s="76"/>
      <c r="AL30" s="74" t="e">
        <f>SUMIF(#REF!,"=Y",#REF!)</f>
        <v>#REF!</v>
      </c>
      <c r="AM30" s="76"/>
      <c r="AN30" s="74" t="e">
        <f>SUMIF(#REF!,"=Y",#REF!)</f>
        <v>#REF!</v>
      </c>
      <c r="AO30" s="76"/>
      <c r="AP30" s="74" t="e">
        <f>SUMIF(#REF!,"=Y",#REF!)</f>
        <v>#REF!</v>
      </c>
      <c r="AQ30" s="76"/>
      <c r="AR30" s="74" t="e">
        <f>SUMIF(#REF!,"=Y",#REF!)</f>
        <v>#REF!</v>
      </c>
      <c r="AS30" s="77" t="s">
        <v>198</v>
      </c>
      <c r="AT30" s="78" t="e">
        <f>SUM(R30:AR30)</f>
        <v>#REF!</v>
      </c>
      <c r="AU30" s="21"/>
      <c r="AV30" s="21"/>
      <c r="AW30" s="21"/>
      <c r="AX30" s="20"/>
      <c r="AY30" s="20"/>
      <c r="AZ30" s="22"/>
      <c r="BA30" s="22"/>
      <c r="BB30" s="22"/>
      <c r="BC30" s="22"/>
    </row>
    <row r="31" spans="1:55" x14ac:dyDescent="0.25">
      <c r="A31" s="79"/>
      <c r="B31" s="3"/>
      <c r="C31" s="51"/>
      <c r="D31" s="51"/>
      <c r="E31" s="4"/>
      <c r="F31" s="4"/>
      <c r="G31" s="73"/>
      <c r="H31" s="4"/>
      <c r="I31" s="4"/>
      <c r="J31" s="4"/>
      <c r="K31" s="4"/>
      <c r="L31" s="4"/>
      <c r="M31" s="4"/>
      <c r="N31" s="4"/>
      <c r="O31" s="4"/>
      <c r="P31" s="4"/>
      <c r="Q31" s="74" t="s">
        <v>668</v>
      </c>
      <c r="R31" s="74" t="e">
        <f>SUMIF(#REF!,"=Y",#REF!)</f>
        <v>#REF!</v>
      </c>
      <c r="S31" s="74"/>
      <c r="T31" s="74" t="e">
        <f>SUMIF(#REF!,"=Y",#REF!)</f>
        <v>#REF!</v>
      </c>
      <c r="U31" s="74"/>
      <c r="V31" s="74" t="e">
        <f>SUMIF(#REF!,"=Y",#REF!)</f>
        <v>#REF!</v>
      </c>
      <c r="W31" s="74"/>
      <c r="X31" s="74" t="e">
        <f>SUMIF(#REF!,"=Y",#REF!)</f>
        <v>#REF!</v>
      </c>
      <c r="Y31" s="74"/>
      <c r="Z31" s="74"/>
      <c r="AA31" s="75"/>
      <c r="AB31" s="74" t="e">
        <f>SUMIF(#REF!,"=Y",#REF!)</f>
        <v>#REF!</v>
      </c>
      <c r="AC31" s="76"/>
      <c r="AD31" s="74" t="e">
        <f>SUMIF(#REF!,"=Y",#REF!)</f>
        <v>#REF!</v>
      </c>
      <c r="AE31" s="76"/>
      <c r="AF31" s="74" t="e">
        <f>SUMIF(#REF!,"=Y",#REF!)</f>
        <v>#REF!</v>
      </c>
      <c r="AG31" s="76"/>
      <c r="AH31" s="74" t="e">
        <f>SUMIF(#REF!,"=Y",#REF!)</f>
        <v>#REF!</v>
      </c>
      <c r="AI31" s="76"/>
      <c r="AJ31" s="76"/>
      <c r="AK31" s="75"/>
      <c r="AL31" s="74" t="e">
        <f>SUMIF(#REF!,"=Y",#REF!)</f>
        <v>#REF!</v>
      </c>
      <c r="AM31" s="76"/>
      <c r="AN31" s="74" t="e">
        <f>SUMIF(#REF!,"=Y",#REF!)</f>
        <v>#REF!</v>
      </c>
      <c r="AO31" s="75"/>
      <c r="AP31" s="74" t="e">
        <f>SUMIF(#REF!,"=Y",#REF!)</f>
        <v>#REF!</v>
      </c>
      <c r="AQ31" s="76"/>
      <c r="AR31" s="74" t="e">
        <f>SUMIF(#REF!,"=Y",#REF!)</f>
        <v>#REF!</v>
      </c>
      <c r="AS31" s="77" t="s">
        <v>669</v>
      </c>
      <c r="AT31" s="78" t="e">
        <f>SUM(R31:AR31)</f>
        <v>#REF!</v>
      </c>
      <c r="AU31" s="21"/>
      <c r="AV31" s="21"/>
      <c r="AW31" s="21"/>
      <c r="AX31" s="20"/>
      <c r="AY31" s="20"/>
      <c r="AZ31" s="22"/>
      <c r="BA31" s="22"/>
      <c r="BB31" s="22"/>
      <c r="BC31" s="22"/>
    </row>
    <row r="32" spans="1:55" x14ac:dyDescent="0.25">
      <c r="A32" s="2"/>
      <c r="B32" s="3"/>
      <c r="C32" s="51"/>
      <c r="D32" s="51"/>
      <c r="E32" s="4"/>
      <c r="F32" s="4"/>
      <c r="G32" s="73"/>
      <c r="H32" s="4"/>
      <c r="I32" s="4"/>
      <c r="J32" s="4"/>
      <c r="K32" s="4"/>
      <c r="L32" s="4"/>
      <c r="M32" s="4"/>
      <c r="N32" s="4"/>
      <c r="O32" s="4"/>
      <c r="P32" s="4"/>
      <c r="Q32" s="80"/>
      <c r="R32" s="80"/>
      <c r="S32" s="80"/>
      <c r="T32" s="80"/>
      <c r="U32" s="80"/>
      <c r="V32" s="80"/>
      <c r="W32" s="80"/>
      <c r="X32" s="80"/>
      <c r="Y32" s="74"/>
      <c r="Z32" s="74"/>
      <c r="AA32" s="75"/>
      <c r="AB32" s="76"/>
      <c r="AC32" s="76"/>
      <c r="AD32" s="76"/>
      <c r="AE32" s="76"/>
      <c r="AF32" s="76"/>
      <c r="AG32" s="76"/>
      <c r="AH32" s="76"/>
      <c r="AI32" s="76"/>
      <c r="AJ32" s="76"/>
      <c r="AK32" s="75"/>
      <c r="AL32" s="76"/>
      <c r="AM32" s="76"/>
      <c r="AN32" s="76"/>
      <c r="AO32" s="75"/>
      <c r="AP32" s="76"/>
      <c r="AQ32" s="76"/>
      <c r="AR32" s="76"/>
      <c r="AS32" s="20"/>
      <c r="AT32" s="21"/>
      <c r="AU32" s="21"/>
      <c r="AV32" s="21"/>
      <c r="AW32" s="21"/>
      <c r="AX32" s="20"/>
      <c r="AY32" s="20"/>
      <c r="AZ32" s="22"/>
      <c r="BA32" s="22"/>
      <c r="BB32" s="22"/>
      <c r="BC32" s="22"/>
    </row>
    <row r="33" spans="1:55" ht="77.25" x14ac:dyDescent="0.25">
      <c r="A33" s="2"/>
      <c r="B33" s="3"/>
      <c r="C33" s="51"/>
      <c r="D33" s="51"/>
      <c r="E33" s="4"/>
      <c r="F33" s="4"/>
      <c r="G33" s="73"/>
      <c r="H33" s="4"/>
      <c r="I33" s="4"/>
      <c r="J33" s="4"/>
      <c r="K33" s="4"/>
      <c r="L33" s="4"/>
      <c r="M33" s="4"/>
      <c r="N33" s="4"/>
      <c r="O33" s="4"/>
      <c r="P33" s="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5"/>
      <c r="AB33" s="76"/>
      <c r="AC33" s="76"/>
      <c r="AD33" s="76"/>
      <c r="AE33" s="76"/>
      <c r="AF33" s="76"/>
      <c r="AG33" s="76"/>
      <c r="AH33" s="76"/>
      <c r="AI33" s="76"/>
      <c r="AJ33" s="76"/>
      <c r="AK33" s="75"/>
      <c r="AL33" s="76"/>
      <c r="AM33" s="76"/>
      <c r="AN33" s="76"/>
      <c r="AO33" s="75"/>
      <c r="AP33" s="76"/>
      <c r="AQ33" s="76"/>
      <c r="AR33" s="76"/>
      <c r="AS33" s="81" t="s">
        <v>670</v>
      </c>
      <c r="AT33" s="78" t="e">
        <f>SUMIF(#REF!,"=Y",#REF!)</f>
        <v>#REF!</v>
      </c>
      <c r="AU33" s="21"/>
      <c r="AV33" s="21"/>
      <c r="AW33" s="21"/>
      <c r="AX33" s="20"/>
      <c r="AY33" s="20"/>
      <c r="AZ33" s="22"/>
      <c r="BA33" s="22"/>
      <c r="BB33" s="22"/>
      <c r="BC33" s="22"/>
    </row>
    <row r="34" spans="1:55" ht="90" x14ac:dyDescent="0.25">
      <c r="A34" s="2"/>
      <c r="B34" s="3"/>
      <c r="C34" s="51"/>
      <c r="D34" s="51"/>
      <c r="E34" s="4"/>
      <c r="F34" s="4"/>
      <c r="G34" s="73"/>
      <c r="H34" s="4"/>
      <c r="I34" s="4"/>
      <c r="J34" s="4"/>
      <c r="K34" s="4"/>
      <c r="L34" s="4"/>
      <c r="M34" s="4"/>
      <c r="N34" s="4"/>
      <c r="O34" s="4"/>
      <c r="P34" s="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5"/>
      <c r="AB34" s="76"/>
      <c r="AC34" s="76"/>
      <c r="AD34" s="76"/>
      <c r="AE34" s="76"/>
      <c r="AF34" s="76"/>
      <c r="AG34" s="76"/>
      <c r="AH34" s="76"/>
      <c r="AI34" s="76"/>
      <c r="AJ34" s="76"/>
      <c r="AK34" s="75"/>
      <c r="AL34" s="76"/>
      <c r="AM34" s="76"/>
      <c r="AN34" s="76"/>
      <c r="AO34" s="75"/>
      <c r="AP34" s="76"/>
      <c r="AQ34" s="76"/>
      <c r="AR34" s="76"/>
      <c r="AS34" s="81" t="s">
        <v>671</v>
      </c>
      <c r="AT34" s="78" t="e">
        <f>SUMIF(#REF!,"=Y",#REF!) + SUMIF(#REF!,"=Y",#REF!) + SUMIF(#REF!,"=Y",#REF!) + SUMIF(#REF!,"=Y",#REF!)</f>
        <v>#REF!</v>
      </c>
      <c r="AU34" s="21"/>
      <c r="AV34" s="21"/>
      <c r="AW34" s="21"/>
      <c r="AX34" s="20"/>
      <c r="AY34" s="20"/>
      <c r="AZ34" s="22"/>
      <c r="BA34" s="22"/>
      <c r="BB34" s="22"/>
      <c r="BC34" s="22"/>
    </row>
    <row r="35" spans="1:55" x14ac:dyDescent="0.25">
      <c r="A35" s="82" t="s">
        <v>672</v>
      </c>
      <c r="B35" s="3"/>
      <c r="C35" s="3"/>
      <c r="D35" s="3"/>
      <c r="E35" s="4"/>
      <c r="F35" s="4"/>
      <c r="G35" s="73"/>
      <c r="H35" s="4"/>
      <c r="I35" s="4"/>
      <c r="J35" s="4"/>
      <c r="K35" s="4"/>
      <c r="L35" s="4"/>
      <c r="M35" s="4"/>
      <c r="N35" s="4"/>
      <c r="O35" s="4"/>
      <c r="P35" s="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5"/>
      <c r="AB35" s="76"/>
      <c r="AC35" s="76"/>
      <c r="AD35" s="76"/>
      <c r="AE35" s="76"/>
      <c r="AF35" s="76"/>
      <c r="AG35" s="76"/>
      <c r="AH35" s="76"/>
      <c r="AI35" s="76"/>
      <c r="AJ35" s="76"/>
      <c r="AK35" s="75"/>
      <c r="AL35" s="76"/>
      <c r="AM35" s="76"/>
      <c r="AN35" s="76"/>
      <c r="AO35" s="75"/>
      <c r="AP35" s="76"/>
      <c r="AQ35" s="76"/>
      <c r="AR35" s="76"/>
      <c r="AS35" s="20"/>
      <c r="AT35" s="21"/>
      <c r="AU35" s="21"/>
      <c r="AV35" s="21"/>
      <c r="AW35" s="21"/>
      <c r="AX35" s="20"/>
      <c r="AY35" s="20"/>
      <c r="AZ35" s="22"/>
      <c r="BA35" s="22"/>
      <c r="BB35" s="22"/>
      <c r="BC35" s="22"/>
    </row>
    <row r="36" spans="1:55" x14ac:dyDescent="0.25">
      <c r="A36" s="82" t="s">
        <v>258</v>
      </c>
      <c r="B36" s="3"/>
      <c r="C36" s="3"/>
      <c r="D36" s="3"/>
      <c r="E36" s="4"/>
      <c r="F36" s="4"/>
      <c r="G36" s="73"/>
      <c r="H36" s="4"/>
      <c r="I36" s="4"/>
      <c r="J36" s="4"/>
      <c r="K36" s="4"/>
      <c r="L36" s="4"/>
      <c r="M36" s="4"/>
      <c r="N36" s="4"/>
      <c r="O36" s="4"/>
      <c r="P36" s="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5"/>
      <c r="AB36" s="76"/>
      <c r="AC36" s="76"/>
      <c r="AD36" s="76"/>
      <c r="AE36" s="76"/>
      <c r="AF36" s="76"/>
      <c r="AG36" s="76"/>
      <c r="AH36" s="76"/>
      <c r="AI36" s="76"/>
      <c r="AJ36" s="76"/>
      <c r="AK36" s="75"/>
      <c r="AL36" s="76"/>
      <c r="AM36" s="76"/>
      <c r="AN36" s="76"/>
      <c r="AO36" s="75"/>
      <c r="AP36" s="76"/>
      <c r="AQ36" s="76"/>
      <c r="AR36" s="76"/>
      <c r="AS36" s="20"/>
      <c r="AT36" s="21"/>
      <c r="AU36" s="21"/>
      <c r="AV36" s="21"/>
      <c r="AW36" s="21"/>
      <c r="AX36" s="20"/>
      <c r="AY36" s="20"/>
      <c r="AZ36" s="22"/>
      <c r="BA36" s="22"/>
      <c r="BB36" s="22"/>
      <c r="BC36" s="22"/>
    </row>
    <row r="37" spans="1:55" x14ac:dyDescent="0.25">
      <c r="A37" s="82" t="s">
        <v>208</v>
      </c>
      <c r="B37" s="3"/>
      <c r="C37" s="3"/>
      <c r="D37" s="3"/>
      <c r="E37" s="4"/>
      <c r="F37" s="4"/>
      <c r="G37" s="73"/>
      <c r="H37" s="4"/>
      <c r="I37" s="4"/>
      <c r="J37" s="4"/>
      <c r="K37" s="4"/>
      <c r="L37" s="4"/>
      <c r="M37" s="4"/>
      <c r="N37" s="4"/>
      <c r="O37" s="4"/>
      <c r="P37" s="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5"/>
      <c r="AB37" s="76"/>
      <c r="AC37" s="76"/>
      <c r="AD37" s="76"/>
      <c r="AE37" s="76"/>
      <c r="AF37" s="76"/>
      <c r="AG37" s="76"/>
      <c r="AH37" s="76"/>
      <c r="AI37" s="76"/>
      <c r="AJ37" s="76"/>
      <c r="AK37" s="75"/>
      <c r="AL37" s="76"/>
      <c r="AM37" s="76"/>
      <c r="AN37" s="76"/>
      <c r="AO37" s="75"/>
      <c r="AP37" s="76"/>
      <c r="AQ37" s="76"/>
      <c r="AR37" s="76"/>
      <c r="AS37" s="20"/>
      <c r="AT37" s="21"/>
      <c r="AU37" s="21"/>
      <c r="AV37" s="21"/>
      <c r="AW37" s="21"/>
      <c r="AX37" s="20"/>
      <c r="AY37" s="20"/>
      <c r="AZ37" s="22"/>
      <c r="BA37" s="22"/>
      <c r="BB37" s="22"/>
      <c r="BC37" s="22"/>
    </row>
    <row r="38" spans="1:55" x14ac:dyDescent="0.25">
      <c r="A38" s="82" t="s">
        <v>209</v>
      </c>
      <c r="B38" s="3"/>
      <c r="C38" s="3"/>
      <c r="D38" s="3"/>
      <c r="E38" s="4"/>
      <c r="F38" s="4"/>
      <c r="G38" s="73"/>
      <c r="H38" s="4"/>
      <c r="I38" s="4"/>
      <c r="J38" s="4"/>
      <c r="K38" s="4"/>
      <c r="L38" s="4"/>
      <c r="M38" s="4"/>
      <c r="N38" s="4"/>
      <c r="O38" s="4"/>
      <c r="P38" s="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5"/>
      <c r="AB38" s="76"/>
      <c r="AC38" s="76"/>
      <c r="AD38" s="76"/>
      <c r="AE38" s="76"/>
      <c r="AF38" s="76"/>
      <c r="AG38" s="76"/>
      <c r="AH38" s="76"/>
      <c r="AI38" s="76"/>
      <c r="AJ38" s="76"/>
      <c r="AK38" s="75"/>
      <c r="AL38" s="76"/>
      <c r="AM38" s="76"/>
      <c r="AN38" s="76"/>
      <c r="AO38" s="75"/>
      <c r="AP38" s="76"/>
      <c r="AQ38" s="76"/>
      <c r="AR38" s="76"/>
      <c r="AS38" s="20"/>
      <c r="AT38" s="21"/>
      <c r="AU38" s="21"/>
      <c r="AV38" s="21"/>
      <c r="AW38" s="21"/>
      <c r="AX38" s="20"/>
      <c r="AY38" s="20"/>
      <c r="AZ38" s="22"/>
      <c r="BA38" s="22"/>
      <c r="BB38" s="22"/>
      <c r="BC38" s="22"/>
    </row>
    <row r="39" spans="1:55" x14ac:dyDescent="0.25">
      <c r="A39" s="82" t="s">
        <v>673</v>
      </c>
      <c r="B39" s="3"/>
      <c r="C39" s="3"/>
      <c r="D39" s="3"/>
      <c r="E39" s="4"/>
      <c r="F39" s="4"/>
      <c r="G39" s="73"/>
      <c r="H39" s="4"/>
      <c r="I39" s="4"/>
      <c r="J39" s="4"/>
      <c r="K39" s="4"/>
      <c r="L39" s="4"/>
      <c r="M39" s="4"/>
      <c r="N39" s="4"/>
      <c r="O39" s="4"/>
      <c r="P39" s="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5"/>
      <c r="AB39" s="76"/>
      <c r="AC39" s="76"/>
      <c r="AD39" s="76"/>
      <c r="AE39" s="76"/>
      <c r="AF39" s="76"/>
      <c r="AG39" s="76"/>
      <c r="AH39" s="76"/>
      <c r="AI39" s="76"/>
      <c r="AJ39" s="76"/>
      <c r="AK39" s="75"/>
      <c r="AL39" s="76"/>
      <c r="AM39" s="76"/>
      <c r="AN39" s="76"/>
      <c r="AO39" s="75"/>
      <c r="AP39" s="76"/>
      <c r="AQ39" s="76"/>
      <c r="AR39" s="76"/>
      <c r="AS39" s="20"/>
      <c r="AT39" s="21"/>
      <c r="AU39" s="21"/>
      <c r="AV39" s="21"/>
      <c r="AW39" s="21"/>
      <c r="AX39" s="20"/>
      <c r="AY39" s="20"/>
      <c r="AZ39" s="22"/>
      <c r="BA39" s="22"/>
      <c r="BB39" s="22"/>
      <c r="BC39" s="22"/>
    </row>
  </sheetData>
  <conditionalFormatting sqref="X3:X29 R3:R29 V3:V29 T3:T29">
    <cfRule type="expression" dxfId="4" priority="5" stopIfTrue="1">
      <formula>OR($H3="Y",$I3="Y")</formula>
    </cfRule>
  </conditionalFormatting>
  <conditionalFormatting sqref="AB3:AB29 AD3:AD29 AF3:AF29 AH3:AH29">
    <cfRule type="expression" dxfId="3" priority="3" stopIfTrue="1">
      <formula>#REF!+AB3&gt;AA3</formula>
    </cfRule>
    <cfRule type="expression" dxfId="2" priority="4" stopIfTrue="1">
      <formula>OR($H3="Y",$J3="Y")</formula>
    </cfRule>
  </conditionalFormatting>
  <conditionalFormatting sqref="AL3:AL29 AN3:AN29 AP3:AP29 AR3:AR29">
    <cfRule type="expression" dxfId="1" priority="1" stopIfTrue="1">
      <formula>#REF!+AL3&gt;AK3</formula>
    </cfRule>
    <cfRule type="expression" dxfId="0" priority="2" stopIfTrue="1">
      <formula>OR($H3="Y",$K3="Y")</formula>
    </cfRule>
  </conditionalFormatting>
  <dataValidations count="1">
    <dataValidation type="list" allowBlank="1" showInputMessage="1" showErrorMessage="1" sqref="C3:D28">
      <formula1>"Vhigh,High,Medium,Low,Vlow"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tabSelected="1" workbookViewId="0">
      <selection activeCell="J15" sqref="J15"/>
    </sheetView>
  </sheetViews>
  <sheetFormatPr defaultRowHeight="15" x14ac:dyDescent="0.25"/>
  <cols>
    <col min="1" max="1" width="90.7109375" customWidth="1"/>
  </cols>
  <sheetData>
    <row r="1" spans="1:10" ht="15.75" x14ac:dyDescent="0.25">
      <c r="A1" s="1" t="s">
        <v>0</v>
      </c>
      <c r="B1" s="1" t="s">
        <v>1</v>
      </c>
      <c r="C1" s="1" t="s">
        <v>153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3" spans="1:10" x14ac:dyDescent="0.25">
      <c r="A3" t="s">
        <v>236</v>
      </c>
      <c r="B3" s="87"/>
      <c r="F3">
        <v>2</v>
      </c>
    </row>
    <row r="4" spans="1:10" x14ac:dyDescent="0.25">
      <c r="A4" t="s">
        <v>257</v>
      </c>
      <c r="B4" s="87"/>
      <c r="F4">
        <v>5</v>
      </c>
    </row>
    <row r="5" spans="1:10" x14ac:dyDescent="0.25">
      <c r="A5" t="s">
        <v>267</v>
      </c>
      <c r="B5">
        <v>169</v>
      </c>
      <c r="F5">
        <v>141.5</v>
      </c>
    </row>
    <row r="6" spans="1:10" x14ac:dyDescent="0.25">
      <c r="A6" t="s">
        <v>271</v>
      </c>
      <c r="B6" s="87"/>
      <c r="F6">
        <v>6</v>
      </c>
    </row>
    <row r="7" spans="1:10" x14ac:dyDescent="0.25">
      <c r="A7" t="s">
        <v>275</v>
      </c>
      <c r="B7">
        <v>48</v>
      </c>
      <c r="F7">
        <v>6</v>
      </c>
    </row>
    <row r="8" spans="1:10" x14ac:dyDescent="0.25">
      <c r="A8" t="s">
        <v>279</v>
      </c>
      <c r="B8">
        <v>48</v>
      </c>
      <c r="F8">
        <v>5</v>
      </c>
    </row>
    <row r="9" spans="1:10" x14ac:dyDescent="0.25">
      <c r="A9" t="s">
        <v>289</v>
      </c>
      <c r="B9" s="87"/>
      <c r="F9">
        <v>8.5</v>
      </c>
    </row>
    <row r="10" spans="1:10" x14ac:dyDescent="0.25">
      <c r="A10" t="s">
        <v>369</v>
      </c>
      <c r="B10">
        <v>104</v>
      </c>
      <c r="F10">
        <v>103.4</v>
      </c>
    </row>
    <row r="11" spans="1:10" x14ac:dyDescent="0.25">
      <c r="A11" t="s">
        <v>388</v>
      </c>
      <c r="B11">
        <v>104</v>
      </c>
      <c r="F11">
        <v>148.6</v>
      </c>
    </row>
    <row r="12" spans="1:10" x14ac:dyDescent="0.25">
      <c r="A12" t="s">
        <v>410</v>
      </c>
      <c r="B12">
        <v>48</v>
      </c>
      <c r="F12">
        <v>53.5</v>
      </c>
    </row>
    <row r="13" spans="1:10" x14ac:dyDescent="0.25">
      <c r="A13" t="s">
        <v>426</v>
      </c>
      <c r="B13">
        <v>48</v>
      </c>
      <c r="F13">
        <v>5.5</v>
      </c>
    </row>
    <row r="14" spans="1:10" x14ac:dyDescent="0.25">
      <c r="A14" t="s">
        <v>473</v>
      </c>
      <c r="B14" s="87"/>
      <c r="F14">
        <v>15</v>
      </c>
    </row>
    <row r="15" spans="1:10" x14ac:dyDescent="0.25">
      <c r="A15" t="s">
        <v>499</v>
      </c>
      <c r="B15">
        <v>104</v>
      </c>
      <c r="F15">
        <v>2</v>
      </c>
    </row>
    <row r="16" spans="1:10" x14ac:dyDescent="0.25">
      <c r="A16" t="s">
        <v>516</v>
      </c>
      <c r="B16">
        <v>104</v>
      </c>
      <c r="F16">
        <v>28</v>
      </c>
    </row>
    <row r="17" spans="1:6" x14ac:dyDescent="0.25">
      <c r="A17" t="s">
        <v>542</v>
      </c>
      <c r="B17" s="87"/>
      <c r="F17">
        <v>1</v>
      </c>
    </row>
    <row r="18" spans="1:6" x14ac:dyDescent="0.25">
      <c r="A18" t="s">
        <v>57</v>
      </c>
      <c r="B18" s="87"/>
      <c r="F18">
        <v>944.4</v>
      </c>
    </row>
    <row r="19" spans="1:6" x14ac:dyDescent="0.25">
      <c r="A19" t="s">
        <v>54</v>
      </c>
      <c r="B19" s="87"/>
      <c r="F19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Estimates</vt:lpstr>
      <vt:lpstr>EXPEL_DATABASE</vt:lpstr>
      <vt:lpstr>Sheet3</vt:lpstr>
      <vt:lpstr>Sheet2</vt:lpstr>
      <vt:lpstr>Sheet1</vt:lpstr>
      <vt:lpstr>EVM</vt:lpstr>
      <vt:lpstr>Estimates!Budget_Hours</vt:lpstr>
      <vt:lpstr>Estimates!Remaining_Hours</vt:lpstr>
    </vt:vector>
  </TitlesOfParts>
  <Company>Control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Unniyappan, Amrutha</dc:creator>
  <cp:lastModifiedBy>Unniyappan, Amrutha</cp:lastModifiedBy>
  <dcterms:created xsi:type="dcterms:W3CDTF">2018-06-05T04:46:17Z</dcterms:created>
  <dcterms:modified xsi:type="dcterms:W3CDTF">2018-07-27T06:13:36Z</dcterms:modified>
</cp:coreProperties>
</file>